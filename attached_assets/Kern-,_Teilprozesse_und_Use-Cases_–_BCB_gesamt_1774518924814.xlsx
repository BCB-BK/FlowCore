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threadedComments/threadedComment2.xml" ContentType="application/vnd.ms-excel.threaded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threadedComments/threadedComment3.xml" ContentType="application/vnd.ms-excel.threaded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threadedComments/threadedComment4.xml" ContentType="application/vnd.ms-excel.threadedcomments+xml"/>
  <Override PartName="/xl/comments21.xml" ContentType="application/vnd.openxmlformats-officedocument.spreadsheetml.comments+xml"/>
  <Override PartName="/xl/comments22.xml" ContentType="application/vnd.openxmlformats-officedocument.spreadsheetml.comments+xml"/>
  <Override PartName="/xl/threadedComments/threadedComment5.xml" ContentType="application/vnd.ms-excel.threadedcomments+xml"/>
  <Override PartName="/xl/comments23.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bildungscampusbacknang-my.sharepoint.com/personal/tobias_wenninger_bcb_gmbh/Documents/Dokumente/TO DO/"/>
    </mc:Choice>
  </mc:AlternateContent>
  <xr:revisionPtr revIDLastSave="640" documentId="8_{77A479F5-40A7-4766-8816-F07F7AFDA280}" xr6:coauthVersionLast="47" xr6:coauthVersionMax="47" xr10:uidLastSave="{7DF4CEB5-09E1-4B84-BAF2-BD6B5BD11D78}"/>
  <bookViews>
    <workbookView xWindow="-120" yWindow="-120" windowWidth="26040" windowHeight="21120" activeTab="10" xr2:uid="{00000000-000D-0000-FFFF-FFFF00000000}"/>
  </bookViews>
  <sheets>
    <sheet name="Use-Cases (Vorlage)" sheetId="1" r:id="rId1"/>
    <sheet name="Projekt" sheetId="2" r:id="rId2"/>
    <sheet name="AZAV-Kopie" sheetId="3" state="hidden" r:id="rId3"/>
    <sheet name="AZAV (MASTER)" sheetId="4" state="hidden" r:id="rId4"/>
    <sheet name="TN-B2C" sheetId="5" r:id="rId5"/>
    <sheet name="MA-SB2C" sheetId="6" r:id="rId6"/>
    <sheet name="MA-SA" sheetId="7" r:id="rId7"/>
    <sheet name="MA-SB2G" sheetId="8" r:id="rId8"/>
    <sheet name="AZAV" sheetId="9" r:id="rId9"/>
    <sheet name="IN - (Interessent)" sheetId="10" r:id="rId10"/>
    <sheet name="MA-VB2C" sheetId="11" r:id="rId11"/>
    <sheet name="MA - VB2B" sheetId="12" r:id="rId12"/>
    <sheet name="MA-PER (Personalreferent)" sheetId="13" r:id="rId13"/>
    <sheet name="KO (Korrektor_in)" sheetId="14" r:id="rId14"/>
    <sheet name="TU (Tutor_in)" sheetId="15" r:id="rId15"/>
    <sheet name="DO (Dozent_in)" sheetId="16" r:id="rId16"/>
    <sheet name="Buchhaltung" sheetId="17" r:id="rId17"/>
    <sheet name="Marketing" sheetId="18" r:id="rId18"/>
    <sheet name="MA-P (Produkt)" sheetId="19" r:id="rId19"/>
    <sheet name="MA-PJ (Projekt)" sheetId="20" r:id="rId20"/>
    <sheet name="Undefinierte Prozesse" sheetId="21" r:id="rId21"/>
    <sheet name="Testing Studi+Päd Übergreifend" sheetId="22" r:id="rId22"/>
    <sheet name="Bemessung AZAV-Relevanz (für St" sheetId="23" r:id="rId23"/>
    <sheet name="Archiv _MA-P (Produktmanager)_" sheetId="24" r:id="rId24"/>
  </sheets>
  <definedNames>
    <definedName name="_xlnm._FilterDatabase" localSheetId="22" hidden="1">'Bemessung AZAV-Relevanz (für St'!$A$1:$D$15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81" i="24" l="1"/>
  <c r="N475" i="24"/>
  <c r="N472" i="24"/>
  <c r="N464" i="24"/>
  <c r="N453" i="24"/>
  <c r="N235" i="24"/>
  <c r="N232" i="24"/>
  <c r="N187" i="24"/>
  <c r="W172" i="24"/>
  <c r="N168" i="24"/>
  <c r="N132" i="24"/>
  <c r="N126" i="24"/>
  <c r="N123" i="24"/>
  <c r="N79" i="24"/>
  <c r="N75" i="24"/>
  <c r="N72" i="24"/>
  <c r="N48" i="24"/>
  <c r="N18" i="24"/>
  <c r="B15" i="23"/>
  <c r="D12" i="23"/>
  <c r="D10" i="23"/>
  <c r="D9" i="23"/>
  <c r="B9" i="23"/>
  <c r="B8" i="23"/>
  <c r="D5" i="23"/>
  <c r="B2" i="23"/>
  <c r="N225" i="20"/>
  <c r="N219" i="20"/>
  <c r="N216" i="20"/>
  <c r="N208" i="20"/>
  <c r="N197" i="20"/>
  <c r="N170" i="20"/>
  <c r="N167" i="20"/>
  <c r="N122" i="20"/>
  <c r="W107" i="20"/>
  <c r="N103" i="20"/>
  <c r="N67" i="20"/>
  <c r="N61" i="20"/>
  <c r="N58" i="20"/>
  <c r="O325" i="19"/>
  <c r="O319" i="19"/>
  <c r="O316" i="19"/>
  <c r="O308" i="19"/>
  <c r="O297" i="19"/>
  <c r="O284" i="19"/>
  <c r="O281" i="19"/>
  <c r="X269" i="19"/>
  <c r="O265" i="19"/>
  <c r="O229" i="19"/>
  <c r="O223" i="19"/>
  <c r="O220" i="19"/>
  <c r="O176" i="19"/>
  <c r="O172" i="19"/>
  <c r="O169" i="19"/>
  <c r="O145" i="19"/>
  <c r="O105" i="19"/>
  <c r="N689" i="18"/>
  <c r="N681" i="18"/>
  <c r="N678" i="18"/>
  <c r="N677" i="18"/>
  <c r="N676" i="18"/>
  <c r="N660" i="18"/>
  <c r="N652" i="18"/>
  <c r="N647" i="18"/>
  <c r="N639" i="18"/>
  <c r="N638" i="18"/>
  <c r="N636" i="18"/>
  <c r="N582" i="18"/>
  <c r="N574" i="18"/>
  <c r="N568" i="18"/>
  <c r="N561" i="18"/>
  <c r="N556" i="18"/>
  <c r="N533" i="18"/>
  <c r="N527" i="18"/>
  <c r="N482" i="18"/>
  <c r="N480" i="18"/>
  <c r="N455" i="18"/>
  <c r="N452" i="18"/>
  <c r="N443" i="18"/>
  <c r="N434" i="18"/>
  <c r="N431" i="18"/>
  <c r="N430" i="18"/>
  <c r="N413" i="18"/>
  <c r="N411" i="18"/>
  <c r="N409" i="18"/>
  <c r="N407" i="18"/>
  <c r="N405" i="18"/>
  <c r="N403" i="18"/>
  <c r="N401" i="18"/>
  <c r="N399" i="18"/>
  <c r="N397" i="18"/>
  <c r="N393" i="18"/>
  <c r="N389" i="18"/>
  <c r="N384" i="18"/>
  <c r="N375" i="18"/>
  <c r="N370" i="18"/>
  <c r="N366" i="18"/>
  <c r="N361" i="18"/>
  <c r="N355" i="18"/>
  <c r="N350" i="18"/>
  <c r="N346" i="18"/>
  <c r="N342" i="18"/>
  <c r="N338" i="18"/>
  <c r="N333" i="18"/>
  <c r="N329" i="18"/>
  <c r="N324" i="18"/>
  <c r="N320" i="18"/>
  <c r="N316" i="18"/>
  <c r="N310" i="18"/>
  <c r="N303" i="18"/>
  <c r="N297" i="18"/>
  <c r="N296" i="18"/>
  <c r="N274" i="18"/>
  <c r="N273" i="18"/>
  <c r="N269" i="18"/>
  <c r="N268" i="18"/>
  <c r="N254" i="18"/>
  <c r="N245" i="18"/>
  <c r="N243" i="18"/>
  <c r="N239" i="18"/>
  <c r="N236" i="18"/>
  <c r="N235" i="18"/>
  <c r="N215" i="18"/>
  <c r="N212" i="18"/>
  <c r="N211" i="18"/>
  <c r="N210" i="18"/>
  <c r="N194" i="18"/>
  <c r="N191" i="18"/>
  <c r="N182" i="18"/>
  <c r="N166" i="18"/>
  <c r="N154" i="18"/>
  <c r="N115" i="18"/>
  <c r="N106" i="18"/>
  <c r="N81" i="18"/>
  <c r="N80" i="18"/>
  <c r="N79" i="18"/>
  <c r="N78" i="18"/>
  <c r="N77" i="18"/>
  <c r="N76" i="18"/>
  <c r="N72" i="18"/>
  <c r="N71" i="18"/>
  <c r="N70" i="18"/>
  <c r="N69" i="18"/>
  <c r="N68" i="18"/>
  <c r="N67" i="18"/>
  <c r="N51" i="18"/>
  <c r="N50" i="18"/>
  <c r="N49" i="18"/>
  <c r="N48" i="18"/>
  <c r="N47" i="18"/>
  <c r="N46" i="18"/>
  <c r="N45" i="18"/>
  <c r="N44" i="18"/>
  <c r="N43" i="18"/>
  <c r="N42" i="18"/>
  <c r="N36" i="18"/>
  <c r="N34" i="18"/>
  <c r="N33" i="18"/>
  <c r="N24" i="18"/>
  <c r="N23" i="18"/>
  <c r="N17" i="18"/>
  <c r="N14" i="18"/>
  <c r="N67" i="12"/>
  <c r="N132" i="11"/>
  <c r="N91" i="11"/>
  <c r="N69" i="11"/>
  <c r="N53" i="11"/>
  <c r="N32" i="11"/>
  <c r="N31" i="11"/>
  <c r="N24" i="11"/>
  <c r="N23" i="11"/>
  <c r="N20" i="11"/>
  <c r="N19" i="11"/>
  <c r="N16" i="11"/>
  <c r="N327" i="9"/>
  <c r="N326" i="9"/>
  <c r="N325" i="9"/>
  <c r="Q308" i="9"/>
  <c r="M308" i="9"/>
  <c r="Q260" i="9"/>
  <c r="M260" i="9"/>
  <c r="Q219" i="9"/>
  <c r="M219" i="9"/>
  <c r="P25" i="9"/>
  <c r="N9" i="9"/>
  <c r="N159" i="5"/>
  <c r="N158" i="5"/>
  <c r="N157" i="5"/>
  <c r="L217" i="3"/>
  <c r="L216" i="3"/>
  <c r="L215" i="3"/>
  <c r="Q198" i="3"/>
  <c r="K198" i="3"/>
  <c r="Q153" i="3"/>
  <c r="K153" i="3"/>
  <c r="Q111" i="3"/>
  <c r="K111" i="3"/>
  <c r="L5" i="3"/>
  <c r="K7" i="2"/>
  <c r="J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8" authorId="0" shapeId="0" xr:uid="{00000000-0006-0000-0000-000001000000}">
      <text>
        <r>
          <rPr>
            <sz val="11"/>
            <color theme="1"/>
            <rFont val="Calibri"/>
            <family val="2"/>
            <scheme val="minor"/>
          </rPr>
          <t>ID = Prozess/ Use-Case ID
Hinweis: 
Eine Prozess/Use-Case - ID darf nur einmal existieren. Bereits bestehende IDs dürfen nicht verändert werden.
Rolle - [A-Z, AA] + [1-100]
Beispiel: 
IN-A5</t>
        </r>
      </text>
    </comment>
    <comment ref="E8" authorId="0" shapeId="0" xr:uid="{00000000-0006-0000-0000-000002000000}">
      <text>
        <r>
          <rPr>
            <sz val="11"/>
            <color theme="1"/>
            <rFont val="Calibri"/>
            <family val="2"/>
            <scheme val="minor"/>
          </rPr>
          <t>Prozessebene
#1 Kernprozess
#2-6 Teilprozess oder Use-Case</t>
        </r>
      </text>
    </comment>
    <comment ref="M9" authorId="0" shapeId="0" xr:uid="{00000000-0006-0000-0000-000003000000}">
      <text>
        <r>
          <rPr>
            <sz val="11"/>
            <color theme="1"/>
            <rFont val="Calibri"/>
            <family val="2"/>
            <scheme val="minor"/>
          </rPr>
          <t>siehe Tabellenblatt "Projekt"
Z.B. MA-M -&gt; Marketing</t>
        </r>
      </text>
    </comment>
    <comment ref="O9" authorId="0" shapeId="0" xr:uid="{00000000-0006-0000-0000-000004000000}">
      <text>
        <r>
          <rPr>
            <sz val="11"/>
            <color theme="1"/>
            <rFont val="Calibri"/>
            <family val="2"/>
            <scheme val="minor"/>
          </rPr>
          <t>Besteht ein Wiki zur bisherigen Verfahrensanweisung, bitte hier verlinken.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tc={D5B8614C-F848-DB3E-BA98-98CFD4C63861}</author>
    <author>tc={72DBDC9E-3437-CE62-F432-901E949F74DC}</author>
    <author>tc={842B4920-81C1-BDB4-6928-A6973D14CC7E}</author>
    <author>tc={FA07CCCC-FB5E-58F9-2805-B1D444D33327}</author>
  </authors>
  <commentList>
    <comment ref="D55" authorId="0" shapeId="0" xr:uid="{D5B8614C-F848-DB3E-BA98-98CFD4C63861}">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Überprüfen, was hier genau gemeint war</t>
      </text>
    </comment>
    <comment ref="D56" authorId="1" shapeId="0" xr:uid="{72DBDC9E-3437-CE62-F432-901E949F74D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Funktionsweisen erklären lassen.</t>
      </text>
    </comment>
    <comment ref="D57" authorId="2" shapeId="0" xr:uid="{842B4920-81C1-BDB4-6928-A6973D14CC7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Überprüfen, was damit gemeint war</t>
      </text>
    </comment>
    <comment ref="B62" authorId="3" shapeId="0" xr:uid="{FA07CCCC-FB5E-58F9-2805-B1D444D3332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Funktionsweisen müssen nochmal überprüft werden (ONboarding)</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5" authorId="0" shapeId="0" xr:uid="{00000000-0006-0000-0200-000001000000}">
      <text>
        <r>
          <rPr>
            <sz val="11"/>
            <color theme="1"/>
            <rFont val="Calibri"/>
            <family val="2"/>
            <scheme val="minor"/>
          </rPr>
          <t>ID = Prozess/ Use-Case ID
Hinweis: 
Eine Prozess/Use-Case - ID darf nur einmal existieren. Bereits bestehende IDs dürfen nicht verändert werden.
Rolle - [A-Z, AA] + [1-100]
Beispiel: 
IN-A5</t>
        </r>
      </text>
    </comment>
    <comment ref="M5" authorId="0" shapeId="0" xr:uid="{00000000-0006-0000-0200-000002000000}">
      <text>
        <r>
          <rPr>
            <sz val="11"/>
            <color theme="1"/>
            <rFont val="Calibri"/>
            <family val="2"/>
            <scheme val="minor"/>
          </rPr>
          <t xml:space="preserve">IN = Interessent*in
IN = Interessent*in
TN = Teilnehmer*in
GF= Geschäftsführung
TL = Teamleiter
MA = Mitarbeiter*in
MA-B= Buchhalter*in
MA-M= Marketing
MA-PER= Personalreferent*in
MA-P= Produktmanager*in
MA-S Studienberater*in
MA-V = Bildungsberater*in
MA-AZAV = AZAV-Beauftragter
TU = Tutor*in
KO = Korrektor*in
DO = Dozent*in
PR= Projektbeteiligte*r
PR-A = Autor*in
PR-G = Gutachter*in
</t>
        </r>
      </text>
    </comment>
    <comment ref="N5" authorId="0" shapeId="0" xr:uid="{00000000-0006-0000-0200-000003000000}">
      <text>
        <r>
          <rPr>
            <sz val="11"/>
            <color theme="1"/>
            <rFont val="Calibri"/>
            <family val="2"/>
            <scheme val="minor"/>
          </rPr>
          <t>IN = Interessent*in
IN = Interessent*in
TN = Teilnehmer*in
GF= Geschäftsführung
TL = Teamleiter
MA = Mitarbeiter*in
MA-B= Buchhalter*in
MA-M= Marketing
MA-PER= Personalreferent*in
MA-P= Produktmanager*in
MA-S Studienberater*in
MA-V = Bildungsberater*in
MA-AZAV = AZAV-Beauftragter
TU = Tutor*in
KO = Korrektor*in
DO = Dozent*in
PR= Projektbeteiligte*r
PR-A = Autor*in
PR-G = Gutachter*in</t>
        </r>
      </text>
    </comment>
    <comment ref="P5" authorId="0" shapeId="0" xr:uid="{00000000-0006-0000-0200-000004000000}">
      <text>
        <r>
          <rPr>
            <sz val="11"/>
            <color theme="1"/>
            <rFont val="Calibri"/>
            <family val="2"/>
            <scheme val="minor"/>
          </rPr>
          <t>Besteht ein Wiki zur bisherigen Verfahrensanweisung, bitte hier verlinken.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5" authorId="0" shapeId="0" xr:uid="{00000000-0006-0000-0300-000001000000}">
      <text>
        <r>
          <rPr>
            <sz val="11"/>
            <color theme="1"/>
            <rFont val="Calibri"/>
            <family val="2"/>
            <scheme val="minor"/>
          </rPr>
          <t xml:space="preserve">IN = Interessent*in
TN = Teilnehmer*in
MA = Mitarbeiter*in
MA-B= Buchhalter*in
MA-M= Marketing
MA-PER= Personalreferent*in
MA-P= Produktmanager*in
MA-S Studienberater*in
MA-V = Bildungsberater*in
TU = Tutor*in
KO = Korrektor*in
DO = Dozent*in
PR= Projektbeteiligte*r
PR-A = Autor*in
PR-G = Gutachter*in
</t>
        </r>
      </text>
    </comment>
    <comment ref="L5" authorId="0" shapeId="0" xr:uid="{00000000-0006-0000-0300-000002000000}">
      <text>
        <r>
          <rPr>
            <sz val="11"/>
            <color theme="1"/>
            <rFont val="Calibri"/>
            <family val="2"/>
            <scheme val="minor"/>
          </rPr>
          <t>Besteht ein Wiki zur bisherigen Verfahrensanweisung, bitte hier verlinken.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8" authorId="0" shapeId="0" xr:uid="{00000000-0006-0000-0400-000001000000}">
      <text>
        <r>
          <rPr>
            <sz val="11"/>
            <color theme="1"/>
            <rFont val="Calibri"/>
            <family val="2"/>
            <scheme val="minor"/>
          </rPr>
          <t>ID = Prozess/ Use-Case ID
Hinweis: 
Eine Prozess/Use-Case - ID darf nur einmal existieren. Bereits bestehende IDs dürfen nicht verändert werden.
Rolle - [A-Z, AA] + [1-100]
Beispiel: 
IN-A5</t>
        </r>
      </text>
    </comment>
    <comment ref="D8" authorId="0" shapeId="0" xr:uid="{00000000-0006-0000-0400-000002000000}">
      <text>
        <r>
          <rPr>
            <sz val="11"/>
            <color theme="1"/>
            <rFont val="Calibri"/>
            <family val="2"/>
            <scheme val="minor"/>
          </rPr>
          <t>Prozessebene
#1 Kernprozess
#2-6 Teilprozess oder Use-Case</t>
        </r>
      </text>
    </comment>
    <comment ref="L9" authorId="0" shapeId="0" xr:uid="{00000000-0006-0000-0400-000003000000}">
      <text>
        <r>
          <rPr>
            <sz val="11"/>
            <color theme="1"/>
            <rFont val="Calibri"/>
            <family val="2"/>
            <scheme val="minor"/>
          </rPr>
          <t>siehe Tabellenblatt "Projekt"
Z.B. MA-M -&gt; Marketing</t>
        </r>
      </text>
    </comment>
    <comment ref="N9" authorId="0" shapeId="0" xr:uid="{00000000-0006-0000-0400-000004000000}">
      <text>
        <r>
          <rPr>
            <sz val="11"/>
            <color theme="1"/>
            <rFont val="Calibri"/>
            <family val="2"/>
            <scheme val="minor"/>
          </rPr>
          <t>Besteht ein Wiki zur bisherigen Verfahrensanweisung, bitte hier verlinken.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8" authorId="0" shapeId="0" xr:uid="{00000000-0006-0000-0500-000001000000}">
      <text>
        <r>
          <rPr>
            <sz val="11"/>
            <color theme="1"/>
            <rFont val="Calibri"/>
            <family val="2"/>
            <scheme val="minor"/>
          </rPr>
          <t>ID = Prozess/ Use-Case ID
Hinweis: 
Eine Prozess/Use-Case - ID darf nur einmal existieren. Bereits bestehende IDs dürfen nicht verändert werden.
Rolle - [A-Z, AA] + [1-100]
Beispiel: 
IN-A5</t>
        </r>
      </text>
    </comment>
    <comment ref="D8" authorId="0" shapeId="0" xr:uid="{00000000-0006-0000-0500-000002000000}">
      <text>
        <r>
          <rPr>
            <sz val="11"/>
            <color theme="1"/>
            <rFont val="Calibri"/>
            <family val="2"/>
            <scheme val="minor"/>
          </rPr>
          <t>Prozessebene
#1 Kernprozess
#2-6 Teilprozess oder Use-Case</t>
        </r>
      </text>
    </comment>
    <comment ref="L9" authorId="0" shapeId="0" xr:uid="{00000000-0006-0000-0500-000003000000}">
      <text>
        <r>
          <rPr>
            <sz val="11"/>
            <color theme="1"/>
            <rFont val="Calibri"/>
            <family val="2"/>
            <scheme val="minor"/>
          </rPr>
          <t>siehe Tabellenblatt "Projekt"
Z.B. MA-M -&gt; Marketing</t>
        </r>
      </text>
    </comment>
    <comment ref="N9" authorId="0" shapeId="0" xr:uid="{00000000-0006-0000-0500-000004000000}">
      <text>
        <r>
          <rPr>
            <sz val="11"/>
            <color theme="1"/>
            <rFont val="Calibri"/>
            <family val="2"/>
            <scheme val="minor"/>
          </rPr>
          <t>Besteht ein Wiki zur bisherigen Verfahrensanweisung, bitte hier verlinken.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8" authorId="0" shapeId="0" xr:uid="{00000000-0006-0000-0600-000001000000}">
      <text>
        <r>
          <rPr>
            <sz val="11"/>
            <color theme="1"/>
            <rFont val="Calibri"/>
            <family val="2"/>
            <scheme val="minor"/>
          </rPr>
          <t>ID = Prozess/ Use-Case ID
Hinweis: 
Eine Prozess/Use-Case - ID darf nur einmal existieren. Bereits bestehende IDs dürfen nicht verändert werden.
Rolle - [A-Z, AA] + [1-100]
Beispiel: 
IN-A5</t>
        </r>
      </text>
    </comment>
    <comment ref="D8" authorId="0" shapeId="0" xr:uid="{00000000-0006-0000-0600-000002000000}">
      <text>
        <r>
          <rPr>
            <sz val="11"/>
            <color theme="1"/>
            <rFont val="Calibri"/>
            <family val="2"/>
            <scheme val="minor"/>
          </rPr>
          <t>Prozessebene
#1 Kernprozess
#2-6 Teilprozess oder Use-Case</t>
        </r>
      </text>
    </comment>
    <comment ref="L9" authorId="0" shapeId="0" xr:uid="{00000000-0006-0000-0600-000003000000}">
      <text>
        <r>
          <rPr>
            <sz val="11"/>
            <color theme="1"/>
            <rFont val="Calibri"/>
            <family val="2"/>
            <scheme val="minor"/>
          </rPr>
          <t>siehe Tabellenblatt "Projekt"
Z.B. MA-M -&gt; Marketing</t>
        </r>
      </text>
    </comment>
    <comment ref="N9" authorId="0" shapeId="0" xr:uid="{00000000-0006-0000-0600-000004000000}">
      <text>
        <r>
          <rPr>
            <sz val="11"/>
            <color theme="1"/>
            <rFont val="Calibri"/>
            <family val="2"/>
            <scheme val="minor"/>
          </rPr>
          <t>Besteht ein Wiki zur bisherigen Verfahrensanweisung, bitte hier verlinken.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8" authorId="0" shapeId="0" xr:uid="{00000000-0006-0000-0700-000001000000}">
      <text>
        <r>
          <rPr>
            <sz val="11"/>
            <color theme="1"/>
            <rFont val="Calibri"/>
            <family val="2"/>
            <scheme val="minor"/>
          </rPr>
          <t>ID = Prozess/ Use-Case ID
Hinweis: 
Eine Prozess/Use-Case - ID darf nur einmal existieren. Bereits bestehende IDs dürfen nicht verändert werden.
Rolle - [A-Z, AA] + [1-100]
Beispiel: 
IN-A5</t>
        </r>
      </text>
    </comment>
    <comment ref="D8" authorId="0" shapeId="0" xr:uid="{00000000-0006-0000-0700-000002000000}">
      <text>
        <r>
          <rPr>
            <sz val="11"/>
            <color theme="1"/>
            <rFont val="Calibri"/>
            <family val="2"/>
            <scheme val="minor"/>
          </rPr>
          <t>Prozessebene
#1 Kernprozess
#2-6 Teilprozess oder Use-Case</t>
        </r>
      </text>
    </comment>
    <comment ref="L9" authorId="0" shapeId="0" xr:uid="{00000000-0006-0000-0700-000003000000}">
      <text>
        <r>
          <rPr>
            <sz val="11"/>
            <color theme="1"/>
            <rFont val="Calibri"/>
            <family val="2"/>
            <scheme val="minor"/>
          </rPr>
          <t>siehe Tabellenblatt "Projekt"
Z.B. MA-M -&gt; Marketing</t>
        </r>
      </text>
    </comment>
    <comment ref="N9" authorId="0" shapeId="0" xr:uid="{00000000-0006-0000-0700-000004000000}">
      <text>
        <r>
          <rPr>
            <sz val="11"/>
            <color theme="1"/>
            <rFont val="Calibri"/>
            <family val="2"/>
            <scheme val="minor"/>
          </rPr>
          <t>Besteht ein Wiki zur bisherigen Verfahrensanweisung, bitte hier verlinken.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tc={0C1E1FB6-4540-E10A-1F4C-D7B878A4695C}</author>
    <author>author</author>
    <author>Synology comment (id=663c17f31993ef27)</author>
    <author>tc={E732EF07-20FE-F111-DCDC-1A1721FE73B5}</author>
    <author>Synology comment (id=0c1fa3c5a3fcb5c8)</author>
    <author>tc={3EBF57A9-BA55-0F22-A7D9-0542EDA7BAAE}</author>
    <author>tc={F45B66A8-F15C-2EF8-3C02-30A07C2930AE}</author>
    <author>tc={6010FB55-3829-3364-7E78-1A92FD92B8BE}</author>
    <author>tc={D1993204-D18E-715B-2908-E48685D9E086}</author>
    <author>tc={BECD322B-7130-71F2-D9E6-FCBCA5EE1A0E}</author>
    <author>tc={BE596D57-CBAE-51A6-1925-5CCB2B821FB9}</author>
    <author>tc={B4785FB8-DDBE-4A10-72DB-73546D5C20A4}</author>
    <author>tc={0D51C5F1-C5A4-FE2D-721B-7065A755ED3E}</author>
    <author>tc={B64D2A8D-D8F3-7994-6AB8-3EE16882C69A}</author>
    <author>tc={FF17E7C4-5117-161B-5787-244440E7331B}</author>
    <author>tc={3171F43D-2E2A-3BF6-136F-9BBD5B1711BF}</author>
    <author>tc={B686F7BB-D3A0-74DD-22E3-F8BA3F91FD33}</author>
    <author>tc={B95841C1-C115-4C2B-8EAB-0BF8D054851D}</author>
    <author>tc={0F5020E3-5398-09DC-C6B7-07C43BDA269D}</author>
    <author>tc={F9AB7D5D-44AF-1142-A896-842FE9CD9B8E}</author>
    <author>tc={70E2F571-D0B4-E158-3C54-0E505A1438C3}</author>
    <author>tc={33ECDD48-2D89-751E-0924-3AA7C6231D8F}</author>
    <author>tc={7ABF41C9-31DA-EB4A-990A-73D20F0EF62B}</author>
    <author>tc={4781F5B5-D9F4-067C-6381-B5C7224B1765}</author>
    <author>tc={1E8461A9-9D2A-E9EE-2D3D-CBE95AA9ABA8}</author>
    <author>tc={915758B8-567C-DE01-2F84-AD46684EAAAC}</author>
    <author>tc={0FE6898F-C2C7-CFF8-383C-5EB05FF99AB5}</author>
    <author>tc={E73B7FBE-454D-C0CA-727D-E5E2B81AEB6A}</author>
    <author>tc={8D32920D-529F-0C43-E789-797658117B55}</author>
  </authors>
  <commentList>
    <comment ref="J5" authorId="0" shapeId="0" xr:uid="{0C1E1FB6-4540-E10A-1F4C-D7B878A4695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@:stefan.hertwig:user:1078 @:Simon.Jahn:user:1045 @:sabine.patzelt:user:1051 @:stephanie.schmid:user:1147 : LILA: Trifft m.E. auf 90% der Fälle zu! Ggf. ist eine Differenzierung zwischen übergebend, aktiv zusammenarbeitend/Teilprozess gestaltend und neue Schnittstelle/Rolle künftig zu def. sinnvoll!
Antwort:
    @:patrick.arnold:user:1120  Ich hatte den Use Case rosa markiert, wenn tatsächlich ein MA aus einer anderen Abteilung (z.B. MA-LO oder MA-PER) ein To Do hat. Bei gleichzeitiger Involvierung von MA-SB2G und MA-VB2G habe ich nicht markiert, da sonst wirklich fast alles rosa wäre.
Antwort:
    Ok, top! Allerdings wäre dann wirklich alles ein einziger Flamingo... mir geht es  nur darum, dass künftig bei all den Schnittstellen im AZAV-Bereich niemand von vorneherein aus der Pflicht genommen wird und stattdessen entsprechende Rollen, ggf. neu,  in Prozesse gegossen werden. Am Ende soll niemand sagen können, dass die Teilhabe/Aufgabe nicht bekannt war und was künftig mit wem, wie zu tun ist... ;-)</t>
      </text>
    </comment>
    <comment ref="C8" authorId="1" shapeId="0" xr:uid="{00000000-0006-0000-0800-00001D000000}">
      <text>
        <r>
          <rPr>
            <sz val="11"/>
            <color theme="1"/>
            <rFont val="Calibri"/>
            <family val="2"/>
            <scheme val="minor"/>
          </rPr>
          <t>ID = Prozess/ Use-Case ID
Hinweis: 
Eine Prozess/Use-Case - ID darf nur einmal existieren. Bereits bestehende IDs dürfen nicht verändert werden.
Rolle - [A-Z, AA] + [1-100]
Beispiel: 
IN-A5</t>
        </r>
      </text>
    </comment>
    <comment ref="D8" authorId="2" shapeId="0" xr:uid="{00000000-0006-0000-0800-000001000000}">
      <text>
        <r>
          <rPr>
            <sz val="11"/>
            <color theme="1"/>
            <rFont val="Calibri"/>
            <family val="2"/>
            <scheme val="minor"/>
          </rPr>
          <t>Prozessebene
#1 Kernprozess
#2-6 Teilprozess oder Use-Case
----
@:Jasmin Alves:user:1034 / @:Axel Mäder:user:1042 - was ist mit Prozess-ID gemeint? Ebene?
-user1030
@:tobias.wenninger:user:1030 : Wie bereits besprochen, korrekt. Ebeneen.
-Axel Mäder
-Axel Mäder</t>
        </r>
      </text>
    </comment>
    <comment ref="L9" authorId="1" shapeId="0" xr:uid="{00000000-0006-0000-0800-00001E000000}">
      <text>
        <r>
          <rPr>
            <sz val="11"/>
            <color theme="1"/>
            <rFont val="Calibri"/>
            <family val="2"/>
            <scheme val="minor"/>
          </rPr>
          <t>siehe Tabellenblatt "Projekt"
Z.B. MA-M -&gt; Marketing</t>
        </r>
      </text>
    </comment>
    <comment ref="N9" authorId="3" shapeId="0" xr:uid="{E732EF07-20FE-F111-DCDC-1A1721FE73B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GENERELL: 
1. M.E. sollten  die Prozesse, anstatt in Einzelwikis unter einem (Sub-)Themenkomplex kumuliert, in einem Gesamtprozess des (Teil-)Teams zusammengefasst werden.
2. Die Gesamtprozesse der (Teil-)Teams sollten in einer Prozesskarte, aus der die Schnittstellen, Absprache- und Vorrangregelungen sowie übergreifende Prozessketten, z.B. bei Beschwerden, hervorgehen, ersichtlich sein.</t>
      </text>
    </comment>
    <comment ref="O9" authorId="1" shapeId="0" xr:uid="{00000000-0006-0000-0800-00001F000000}">
      <text>
        <r>
          <rPr>
            <sz val="11"/>
            <color theme="1"/>
            <rFont val="Calibri"/>
            <family val="2"/>
            <scheme val="minor"/>
          </rPr>
          <t>IN = Interessent*in
IN = Interessent*in
TN = Teilnehmer*in
GF= Geschäftsführung
TL = Teamleiter
MA = Mitarbeiter*in
MA-B= Buchhalter*in
MA-M= Marketing
MA-PER= Personalreferent*in
MA-P= Produktmanager*in
MA-S Studienberater*in
MA-V = Bildungsberater*in
MA-AZAV = AZAV-Beauftragter
TU = Tutor*in
KO = Korrektor*in
DO = Dozent*in
PR= Projektbeteiligte*r
PR-A = Autor*in
PR-G = Gutachter*in</t>
        </r>
      </text>
    </comment>
    <comment ref="P9" authorId="4" shapeId="0" xr:uid="{00000000-0006-0000-0800-00000F000000}">
      <text>
        <r>
          <rPr>
            <sz val="11"/>
            <color theme="1"/>
            <rFont val="Calibri"/>
            <family val="2"/>
            <scheme val="minor"/>
          </rPr>
          <t>Besteht ein Wiki zur bisherigen Verfahrensanweisung, bitte hier verlinken.
----
Ich würde hier keine Wikis als Vorlagen nehmen, da tlw. widersprüchlich und an den Nahtstellen zu anderen Themen und z.T. inhaltlich nicht aktuell bzw. nur notdürftig erstellt, z.B. KPI.
BESSER: Die Themenbereiche, wie in Spalte K hinterlegt, nutzen und einen stringenten Prozess mit neuen Etappen in Form von Wikis aufsetzen sowie Verweise auf synchrone Prozesse aus anderen Arbeitsbereichen, die dann an den Nahtstellen in einer Gesamtprozesslandschaft abgebildet sind.
-user1120</t>
        </r>
      </text>
    </comment>
    <comment ref="K10" authorId="5" shapeId="0" xr:uid="{3EBF57A9-BA55-0F22-A7D9-0542EDA7BAA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@:patrick.arnold:user:1120 - viel zu viel Content ;) Bitte auf den unten üblichen Umfang komprimieren. Wenn es Unterschiede bezüglich ALG1&amp;2 gibt, dann muss dies konkret in den entsprechenden Prozessen wie Zeile 12 "Bedarfsanalyse" hinterlegt werden und nicht beim Kernprozess.
Antwort:
    Ergänzend...so weit in Ebenen runterbrechen, bis konkrete, einzelne Use-Cases entstehen.
Antwort:
    </t>
      </text>
    </comment>
    <comment ref="J12" authorId="6" shapeId="0" xr:uid="{F45B66A8-F15C-2EF8-3C02-30A07C2930A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@:stefan.hertwig:user:1078 - ich würde hier bereits als neue Zeile zwischen 8 und 9 einfügen "Personendatensatz anlegen"
Antwort:
    </t>
      </text>
    </comment>
    <comment ref="K12" authorId="7" shapeId="0" xr:uid="{6010FB55-3829-3364-7E78-1A92FD92B8B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Die Bedarfsanalyse ist ein wichtiger Schritt in der Planung und Durchführung einer Maßnahme und hilft sicherzustellen, dass die Bedürfnisse der Teilnehmenden berücksichtigt werden und das Bildungsziel erreicht wird.
Antwort:
    </t>
      </text>
    </comment>
    <comment ref="K17" authorId="8" shapeId="0" xr:uid="{D1993204-D18E-715B-2908-E48685D9E086}">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Kick-off Veranstaltung steht im Fokus, keine Messe
Antwort:
    </t>
      </text>
    </comment>
    <comment ref="J20" authorId="9" shapeId="0" xr:uid="{BECD322B-7130-71F2-D9E6-FCBCA5EE1A0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boom
Antwort:
    </t>
      </text>
    </comment>
    <comment ref="K24" authorId="10" shapeId="0" xr:uid="{BE596D57-CBAE-51A6-1925-5CCB2B821FB9}">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Dashboard mit Kalenderfunktion etc.
Antwort:
    </t>
      </text>
    </comment>
    <comment ref="J42" authorId="11" shapeId="0" xr:uid="{B4785FB8-DDBE-4A10-72DB-73546D5C20A4}">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@:stefan.hertwig:user:1078 / @:Simon.Jahn:user:1045 - Wording-Feintuning -&gt; es existiert zukünftig nur noch ein Personendatensatz. Wird aus einem Interessent ein Teilnehmer, wird diesem Datensatz lediglich durch das Einbuchen eines Produktes zusätzlich die Rolle "Teilnehmer" zugeordnet.
Antwort:
Antwort:
Antwort:
Antwort:
Antwort:
    </t>
      </text>
    </comment>
    <comment ref="J48" authorId="12" shapeId="0" xr:uid="{0D51C5F1-C5A4-FE2D-721B-7065A755ED3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@:stefan.hertwig:user:1078 - ist dieser Punkt "Buchungsbestätigung erstellen"?
Antwort:
    </t>
      </text>
    </comment>
    <comment ref="O48" authorId="13" shapeId="0" xr:uid="{B64D2A8D-D8F3-7994-6AB8-3EE16882C69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Neuralgische Stelle, die exakt def. werden sollte.</t>
      </text>
    </comment>
    <comment ref="J52" authorId="14" shapeId="0" xr:uid="{FF17E7C4-5117-161B-5787-244440E7331B}">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@:stefan.hertwig:user:1078 - ich würde hieraus "Leihgerät - Laptop" machen und darunter auch den Punkt Bezug (Bestellung der Geräte) aufnehmen.
Antwort:
    </t>
      </text>
    </comment>
    <comment ref="J53" authorId="15" shapeId="0" xr:uid="{3171F43D-2E2A-3BF6-136F-9BBD5B1711BF}">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@:stefan.hertwig:user:1078 - nur "Leihgerät aufsetzen", da ja auch Rückläufer komplett neu aufgesetzt werden sollten. Logistik würde ich unter "Leihgerät versenden" (Zeile darunter) behandeln.
Antwort:
    </t>
      </text>
    </comment>
    <comment ref="J56" authorId="16" shapeId="0" xr:uid="{B686F7BB-D3A0-74DD-22E3-F8BA3F91FD3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@:stefan.hertwig:user:1078 - worin liegt der Unterschied zu "Lern- und Lehrmittel freischalten"?</t>
      </text>
    </comment>
    <comment ref="J57" authorId="17" shapeId="0" xr:uid="{B95841C1-C115-4C2B-8EAB-0BF8D054851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@:stefan.hertwig:user:1078 - mir wurde diese Woche gesagt, dass aktuell Zahlungen manuell für AZAV-Teilnehmende angepasst werden müssen. Was sind denn die konkreten Voraussetzungen diesbezüglich?</t>
      </text>
    </comment>
    <comment ref="K206" authorId="18" shapeId="0" xr:uid="{0F5020E3-5398-09DC-C6B7-07C43BDA269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Bei IHK-Abschluss muss doch auch IHK-Zugangsvoraussetzung vorliegen, z.B. Berufserfahrung etc.</t>
      </text>
    </comment>
    <comment ref="K210" authorId="19" shapeId="0" xr:uid="{F9AB7D5D-44AF-1142-A896-842FE9CD9B8E}">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@:patrick.arnold:user:1120 - auch hier - viel zu viel Content bei diesem Punkt. Dann füge weitere Zeilen ein und schlüssle Personen weiter auf.
Antwort:
    </t>
      </text>
    </comment>
    <comment ref="K219" authorId="20" shapeId="0" xr:uid="{70E2F571-D0B4-E158-3C54-0E505A1438C3}">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@:stefan.hertwig:user:1078 / @:patrick.arnold:user:1120 - dieses Feld (bzw. eigentlich generell) würde ich nicht zusammenfügen. Jeder dieser drei Prozesse ist doch spezifisch. Ebenso würde ich z. B. Tutoren und Dozenten trennen, da Feedbackbogen und Ablauf unterschiedlich sind.
Antwort:
    </t>
      </text>
    </comment>
    <comment ref="M219" authorId="21" shapeId="0" xr:uid="{33ECDD48-2D89-751E-0924-3AA7C6231D8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Dieser Prozess, den ich bereits letztes Jahr begonnen habe auszuarbeiten und so ähnlich schon beim JC LB für die Vermittler aufgesetzt hatte, ist mir sehr wichtig! Ggf. ergänzen, aber der Sinn muss erhalten beleben, da er exhaustiv ziemlich alles umfasst, was mir als AZAV-Datengrundlage wichtig ist!.</t>
      </text>
    </comment>
    <comment ref="K231" authorId="22" shapeId="0" xr:uid="{7ABF41C9-31DA-EB4A-990A-73D20F0EF62B}">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@:patrick.arnold:user:1120 - bitte die ganze Tabelle im Blick behalten. z.B. Eingliederungsbefragung wäre irgendwas bei Zeile 91 "Erfolgsmessung der Alumni"
Antwort:
    </t>
      </text>
    </comment>
    <comment ref="J232" authorId="23" shapeId="0" xr:uid="{4781F5B5-D9F4-067C-6381-B5C7224B176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@Patrick / @"Stefan Hertwig" - der ergänzende, kostenfreie Fernlehrgang "richtig bewerben" sollte doch genügen, dass Absolventen eine ordentliche Bewerbung erstellen. Wir werden hier keine synchrone Zeit investieren. Bitte Prozess umformulieren und auch technisch nichts angehen.
Antwort:
    Ja, sollte, wenn konsequent umgesetzt. Mir persönlich geht es um die weitere optionale Hilfestellung, um die IQ zu erhöhen.</t>
      </text>
    </comment>
    <comment ref="J239" authorId="24" shapeId="0" xr:uid="{1E8461A9-9D2A-E9EE-2D3D-CBE95AA9ABA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@:stefan.hertwig:user:1078 - ist dies nicht bereits oben behandelt? Dies ist doch "Buchungsbestätigung"</t>
      </text>
    </comment>
    <comment ref="K304" authorId="25" shapeId="0" xr:uid="{915758B8-567C-DE01-2F84-AD46684EAAAC}">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@:patrick.arnold:user:1120 - mit Ebene 4 weitere Zeilen darunter einfügen und jeden Prüfpunkt eines internen Audits separat erfassen.
Antwort:
    </t>
      </text>
    </comment>
    <comment ref="N325" authorId="26" shapeId="0" xr:uid="{0FE6898F-C2C7-CFF8-383C-5EB05FF99AB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Nur als Wiki vorhanden, wird für Audit vorausgesetzt und sollte ausgearbeitet werden. Das verlinkte wurde während des Audits erstellt, um Mind.anf. zu erfüllen.</t>
      </text>
    </comment>
    <comment ref="O345" authorId="27" shapeId="0" xr:uid="{E73B7FBE-454D-C0CA-727D-E5E2B81AEB6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GENERELL: AZAV-rel. Zahlen/Cluster etc. sollten übergreifend ausgewertet werden bzw. Analyseziele mit AZAV-B. + GF abgesprochen werden, Schlüsse gem. gezogen und Umsetzung in Fachabteilung erfolgen =&gt;PROZESS DEF.!!!</t>
      </text>
    </comment>
    <comment ref="O349" authorId="28" shapeId="0" xr:uid="{8D32920D-529F-0C43-E789-797658117B5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AZAV-rel. Inhalte sollten mit AZAV-B. (abgesehen von Vertriebsperformance) abgestimmt werden, ggf. Texte (Ins. bzg. Wording/Recht/Zielgruppenadressierung etc.</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8" authorId="0" shapeId="0" xr:uid="{00000000-0006-0000-0900-000001000000}">
      <text>
        <r>
          <rPr>
            <sz val="11"/>
            <color theme="1"/>
            <rFont val="Calibri"/>
            <family val="2"/>
            <scheme val="minor"/>
          </rPr>
          <t>ID = Prozess/ Use-Case ID
Hinweis: 
Eine Prozess/Use-Case - ID darf nur einmal existieren. Bereits bestehende IDs dürfen nicht verändert werden.
Rolle - [A-Z, AA] + [1-100]
Beispiel: 
IN-A5</t>
        </r>
      </text>
    </comment>
    <comment ref="D8" authorId="0" shapeId="0" xr:uid="{00000000-0006-0000-0900-000002000000}">
      <text>
        <r>
          <rPr>
            <sz val="11"/>
            <color theme="1"/>
            <rFont val="Calibri"/>
            <family val="2"/>
            <scheme val="minor"/>
          </rPr>
          <t>Prozessebene
#1 Kernprozess
#2-6 Teilprozess oder Use-Case</t>
        </r>
      </text>
    </comment>
    <comment ref="M9" authorId="0" shapeId="0" xr:uid="{00000000-0006-0000-0900-000003000000}">
      <text>
        <r>
          <rPr>
            <sz val="11"/>
            <color theme="1"/>
            <rFont val="Calibri"/>
            <family val="2"/>
            <scheme val="minor"/>
          </rPr>
          <t xml:space="preserve">IN = Interessent*in
TN = Teilnehmer*in
MA = Mitarbeiter*in
MA-B= Buchhalter*in
MA-M= Marketing
MA-PER= Personalreferent*in
MA-P= Produktmanager*in
MA-S Studienberater*in
MA-V = Bildungsberater*in
TU = Tutor*in
KO = Korrektor*in
DO = Dozent*in
PR= Projektbeteiligte*r
PR-A = Autor*in
PR-G = Gutachter*in
</t>
        </r>
      </text>
    </comment>
    <comment ref="O9" authorId="0" shapeId="0" xr:uid="{00000000-0006-0000-0900-000004000000}">
      <text>
        <r>
          <rPr>
            <sz val="11"/>
            <color theme="1"/>
            <rFont val="Calibri"/>
            <family val="2"/>
            <scheme val="minor"/>
          </rPr>
          <t>Besteht ein Wiki zur bisherigen Verfahrensanweisung, bitte hier verlinken.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8" authorId="0" shapeId="0" xr:uid="{00000000-0006-0000-0A00-000001000000}">
      <text>
        <r>
          <rPr>
            <sz val="11"/>
            <color theme="1"/>
            <rFont val="Calibri"/>
            <family val="2"/>
            <scheme val="minor"/>
          </rPr>
          <t>Prozessebene
#1 Kernprozess
#2-6 Teilprozess oder Use-Case</t>
        </r>
      </text>
    </comment>
    <comment ref="L9" authorId="0" shapeId="0" xr:uid="{00000000-0006-0000-0A00-000002000000}">
      <text>
        <r>
          <rPr>
            <sz val="11"/>
            <color theme="1"/>
            <rFont val="Calibri"/>
            <family val="2"/>
            <scheme val="minor"/>
          </rPr>
          <t xml:space="preserve">IN = Interessent*in
TN = Teilnehmer*in
MA = Mitarbeiter*in
MA-B= Buchhalter*in
MA-M= Marketing
MA-PER= Personalreferent*in
MA-P= Produktmanager*in
MA-S Studienberater*in
MA-V = Bildungsberater*in
TU = Tutor*in
KO = Korrektor*in
DO = Dozent*in
PR= Projektbeteiligte*r
PR-A = Autor*in
PR-G = Gutachter*in
</t>
        </r>
      </text>
    </comment>
    <comment ref="N9" authorId="0" shapeId="0" xr:uid="{00000000-0006-0000-0A00-000003000000}">
      <text>
        <r>
          <rPr>
            <sz val="11"/>
            <color theme="1"/>
            <rFont val="Calibri"/>
            <family val="2"/>
            <scheme val="minor"/>
          </rPr>
          <t>Besteht ein Wiki zur bisherigen Verfahrensanweisung, bitte hier verlinken.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8" authorId="0" shapeId="0" xr:uid="{00000000-0006-0000-0B00-000001000000}">
      <text>
        <r>
          <rPr>
            <sz val="11"/>
            <color theme="1"/>
            <rFont val="Calibri"/>
            <family val="2"/>
            <scheme val="minor"/>
          </rPr>
          <t>ID = Prozess/ Use-Case ID
Hinweis: 
Eine Prozess/Use-Case - ID darf nur einmal existieren. Bereits bestehende IDs dürfen nicht verändert werden.
Rolle - [A-Z, AA] + [1-100]
Beispiel: 
IN-A5</t>
        </r>
      </text>
    </comment>
    <comment ref="D8" authorId="0" shapeId="0" xr:uid="{00000000-0006-0000-0B00-000002000000}">
      <text>
        <r>
          <rPr>
            <sz val="11"/>
            <color theme="1"/>
            <rFont val="Calibri"/>
            <family val="2"/>
            <scheme val="minor"/>
          </rPr>
          <t>Prozessebene
#1 Kernprozess
#2-6 Teilprozess oder Use-Case</t>
        </r>
      </text>
    </comment>
    <comment ref="L9" authorId="0" shapeId="0" xr:uid="{00000000-0006-0000-0B00-000003000000}">
      <text>
        <r>
          <rPr>
            <sz val="11"/>
            <color theme="1"/>
            <rFont val="Calibri"/>
            <family val="2"/>
            <scheme val="minor"/>
          </rPr>
          <t>siehe Tabellenblatt "Projekt"
Z.B. MA-M -&gt; Marketing</t>
        </r>
      </text>
    </comment>
    <comment ref="N9" authorId="0" shapeId="0" xr:uid="{00000000-0006-0000-0B00-000004000000}">
      <text>
        <r>
          <rPr>
            <sz val="11"/>
            <color theme="1"/>
            <rFont val="Calibri"/>
            <family val="2"/>
            <scheme val="minor"/>
          </rPr>
          <t>Besteht ein Wiki zur bisherigen Verfahrensanweisung, bitte hier verlinken.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8" authorId="0" shapeId="0" xr:uid="{00000000-0006-0000-0C00-000001000000}">
      <text>
        <r>
          <rPr>
            <sz val="11"/>
            <color theme="1"/>
            <rFont val="Calibri"/>
            <family val="2"/>
            <scheme val="minor"/>
          </rPr>
          <t>ID = Prozess/ Use-Case ID
Hinweis: 
Eine Prozess/Use-Case - ID darf nur einmal existieren. Bereits bestehende IDs dürfen nicht verändert werden.
Rolle - [A-Z, AA] + [1-100]
Beispiel: 
IN-A5</t>
        </r>
      </text>
    </comment>
    <comment ref="D8" authorId="0" shapeId="0" xr:uid="{00000000-0006-0000-0C00-000002000000}">
      <text>
        <r>
          <rPr>
            <sz val="11"/>
            <color theme="1"/>
            <rFont val="Calibri"/>
            <family val="2"/>
            <scheme val="minor"/>
          </rPr>
          <t>Prozessebene
#1 Kernprozess
#2-6 Teilprozess oder Use-Case</t>
        </r>
      </text>
    </comment>
    <comment ref="L9" authorId="0" shapeId="0" xr:uid="{00000000-0006-0000-0C00-000003000000}">
      <text>
        <r>
          <rPr>
            <sz val="11"/>
            <color theme="1"/>
            <rFont val="Calibri"/>
            <family val="2"/>
            <scheme val="minor"/>
          </rPr>
          <t>siehe Tabellenblatt "Projekt"
Z.B. MA-M -&gt; Marketing</t>
        </r>
      </text>
    </comment>
    <comment ref="N9" authorId="0" shapeId="0" xr:uid="{00000000-0006-0000-0C00-000004000000}">
      <text>
        <r>
          <rPr>
            <sz val="11"/>
            <color theme="1"/>
            <rFont val="Calibri"/>
            <family val="2"/>
            <scheme val="minor"/>
          </rPr>
          <t>Besteht ein Wiki zur bisherigen Verfahrensanweisung, bitte hier verlinken.</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author</author>
    <author>tc={FB081A00-3FC4-791D-79AB-CD704D94CFCB}</author>
  </authors>
  <commentList>
    <comment ref="C8" authorId="0" shapeId="0" xr:uid="{00000000-0006-0000-0D00-000002000000}">
      <text>
        <r>
          <rPr>
            <sz val="11"/>
            <color theme="1"/>
            <rFont val="Calibri"/>
            <family val="2"/>
            <scheme val="minor"/>
          </rPr>
          <t>ID = Prozess/ Use-Case ID
Hinweis: 
Eine Prozess/Use-Case - ID darf nur einmal existieren. Bereits bestehende IDs dürfen nicht verändert werden.
Rolle - [A-Z, AA] + [1-100]
Beispiel: 
IN-A5</t>
        </r>
      </text>
    </comment>
    <comment ref="D8" authorId="0" shapeId="0" xr:uid="{00000000-0006-0000-0D00-000003000000}">
      <text>
        <r>
          <rPr>
            <sz val="11"/>
            <color theme="1"/>
            <rFont val="Calibri"/>
            <family val="2"/>
            <scheme val="minor"/>
          </rPr>
          <t>Prozessebene
#1 Kernprozess
#2-6 Teilprozess oder Use-Case</t>
        </r>
      </text>
    </comment>
    <comment ref="L9" authorId="0" shapeId="0" xr:uid="{00000000-0006-0000-0D00-000004000000}">
      <text>
        <r>
          <rPr>
            <sz val="11"/>
            <color theme="1"/>
            <rFont val="Calibri"/>
            <family val="2"/>
            <scheme val="minor"/>
          </rPr>
          <t>siehe Tabellenblatt "Projekt"
Z.B. MA-M -&gt; Marketing</t>
        </r>
      </text>
    </comment>
    <comment ref="N9" authorId="0" shapeId="0" xr:uid="{00000000-0006-0000-0D00-000005000000}">
      <text>
        <r>
          <rPr>
            <sz val="11"/>
            <color theme="1"/>
            <rFont val="Calibri"/>
            <family val="2"/>
            <scheme val="minor"/>
          </rPr>
          <t>Besteht ein Wiki zur bisherigen Verfahrensanweisung, bitte hier verlinken.</t>
        </r>
      </text>
    </comment>
    <comment ref="Q156" authorId="1" shapeId="0" xr:uid="{FB081A00-3FC4-791D-79AB-CD704D94CFC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Neu formulieren</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8" authorId="0" shapeId="0" xr:uid="{00000000-0006-0000-0E00-000001000000}">
      <text>
        <r>
          <rPr>
            <sz val="11"/>
            <color theme="1"/>
            <rFont val="Calibri"/>
            <family val="2"/>
            <scheme val="minor"/>
          </rPr>
          <t>ID = Prozess/ Use-Case ID
Hinweis: 
Eine Prozess/Use-Case - ID darf nur einmal existieren. Bereits bestehende IDs dürfen nicht verändert werden.
Rolle - [A-Z, AA] + [1-100]
Beispiel: 
IN-A5</t>
        </r>
      </text>
    </comment>
    <comment ref="D8" authorId="0" shapeId="0" xr:uid="{00000000-0006-0000-0E00-000002000000}">
      <text>
        <r>
          <rPr>
            <sz val="11"/>
            <color theme="1"/>
            <rFont val="Calibri"/>
            <family val="2"/>
            <scheme val="minor"/>
          </rPr>
          <t>Prozessebene
#1 Kernprozess
#2-6 Teilprozess oder Use-Case</t>
        </r>
      </text>
    </comment>
    <comment ref="L9" authorId="0" shapeId="0" xr:uid="{00000000-0006-0000-0E00-000003000000}">
      <text>
        <r>
          <rPr>
            <sz val="11"/>
            <color theme="1"/>
            <rFont val="Calibri"/>
            <family val="2"/>
            <scheme val="minor"/>
          </rPr>
          <t>siehe Tabellenblatt "Projekt"
Z.B. MA-M -&gt; Marketing</t>
        </r>
      </text>
    </comment>
    <comment ref="N9" authorId="0" shapeId="0" xr:uid="{00000000-0006-0000-0E00-000004000000}">
      <text>
        <r>
          <rPr>
            <sz val="11"/>
            <color theme="1"/>
            <rFont val="Calibri"/>
            <family val="2"/>
            <scheme val="minor"/>
          </rPr>
          <t>Besteht ein Wiki zur bisherigen Verfahrensanweisung, bitte hier verlinken.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8" authorId="0" shapeId="0" xr:uid="{00000000-0006-0000-0F00-000001000000}">
      <text>
        <r>
          <rPr>
            <sz val="11"/>
            <color theme="1"/>
            <rFont val="Calibri"/>
            <family val="2"/>
            <scheme val="minor"/>
          </rPr>
          <t>ID = Prozess/ Use-Case ID
Hinweis: 
Eine Prozess/Use-Case - ID darf nur einmal existieren. Bereits bestehende IDs dürfen nicht verändert werden.
Rolle - [A-Z, AA] + [1-100]
Beispiel: 
IN-A5</t>
        </r>
      </text>
    </comment>
    <comment ref="D8" authorId="0" shapeId="0" xr:uid="{00000000-0006-0000-0F00-000002000000}">
      <text>
        <r>
          <rPr>
            <sz val="11"/>
            <color theme="1"/>
            <rFont val="Calibri"/>
            <family val="2"/>
            <scheme val="minor"/>
          </rPr>
          <t>Prozessebene
#1 Kernprozess
#2-6 Teilprozess oder Use-Case</t>
        </r>
      </text>
    </comment>
    <comment ref="L9" authorId="0" shapeId="0" xr:uid="{00000000-0006-0000-0F00-000003000000}">
      <text>
        <r>
          <rPr>
            <sz val="11"/>
            <color theme="1"/>
            <rFont val="Calibri"/>
            <family val="2"/>
            <scheme val="minor"/>
          </rPr>
          <t>siehe Tabellenblatt "Projekt"
Z.B. MA-M -&gt; Marketing</t>
        </r>
      </text>
    </comment>
    <comment ref="N9" authorId="0" shapeId="0" xr:uid="{00000000-0006-0000-0F00-000004000000}">
      <text>
        <r>
          <rPr>
            <sz val="11"/>
            <color theme="1"/>
            <rFont val="Calibri"/>
            <family val="2"/>
            <scheme val="minor"/>
          </rPr>
          <t>Besteht ein Wiki zur bisherigen Verfahrensanweisung, bitte hier verlinken.</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K5" authorId="0" shapeId="0" xr:uid="{00000000-0006-0000-1000-000001000000}">
      <text>
        <r>
          <rPr>
            <sz val="11"/>
            <color theme="1"/>
            <rFont val="Calibri"/>
            <family val="2"/>
            <scheme val="minor"/>
          </rPr>
          <t xml:space="preserve">IN = Interessent*in
TN = Teilnehmer*in
MA = Mitarbeiter*in
MA-B= Buchhalter*in
MA-M= Marketing
MA-PER= Personalreferent*in
MA-P= Produktmanager*in
MA-S Studienberater*in
MA-V = Bildungsberater*in
TU = Tutor*in
KO = Korrektor*in
DO = Dozent*in
PR= Projektbeteiligte*r
PR-A = Autor*in
PR-G = Gutachter*in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8" authorId="0" shapeId="0" xr:uid="{00000000-0006-0000-1100-000001000000}">
      <text>
        <r>
          <rPr>
            <sz val="11"/>
            <color theme="1"/>
            <rFont val="Calibri"/>
            <family val="2"/>
            <scheme val="minor"/>
          </rPr>
          <t>ID = Prozess/ Use-Case ID
Hinweis: 
Eine Prozess/Use-Case - ID darf nur einmal existieren. Bereits bestehende IDs dürfen nicht verändert werden.
Rolle - [A-Z, AA] + [1-100]
Beispiel: 
IN-A5</t>
        </r>
      </text>
    </comment>
    <comment ref="D8" authorId="0" shapeId="0" xr:uid="{00000000-0006-0000-1100-000002000000}">
      <text>
        <r>
          <rPr>
            <sz val="11"/>
            <color theme="1"/>
            <rFont val="Calibri"/>
            <family val="2"/>
            <scheme val="minor"/>
          </rPr>
          <t>Prozessebene
#1 Kernprozess
#2-6 Teilprozess oder Use-Case</t>
        </r>
      </text>
    </comment>
    <comment ref="L9" authorId="0" shapeId="0" xr:uid="{00000000-0006-0000-1100-000003000000}">
      <text>
        <r>
          <rPr>
            <sz val="11"/>
            <color theme="1"/>
            <rFont val="Calibri"/>
            <family val="2"/>
            <scheme val="minor"/>
          </rPr>
          <t xml:space="preserve">IN = Interessent*in
TN = Teilnehmer*in
MA = Mitarbeiter*in
MA-B= Buchhalter*in
MA-M= Marketing
MA-PER= Personalreferent*in
MA-P= Produktmanager*in
MA-S Studienberater*in
MA-V = Bildungsberater*in
TU = Tutor*in
KO = Korrektor*in
DO = Dozent*in
PR= Projektbeteiligte*r
PR-A = Autor*in
PR-G = Gutachter*in
</t>
        </r>
      </text>
    </comment>
    <comment ref="N9" authorId="0" shapeId="0" xr:uid="{00000000-0006-0000-1100-000004000000}">
      <text>
        <r>
          <rPr>
            <sz val="11"/>
            <color theme="1"/>
            <rFont val="Calibri"/>
            <family val="2"/>
            <scheme val="minor"/>
          </rPr>
          <t>Besteht ein Wiki zur bisherigen Verfahrensanweisung, bitte hier verlinken.</t>
        </r>
      </text>
    </comment>
    <comment ref="N46" authorId="0" shapeId="0" xr:uid="{00000000-0006-0000-1100-000005000000}">
      <text>
        <r>
          <rPr>
            <sz val="11"/>
            <color theme="1"/>
            <rFont val="Calibri"/>
            <family val="2"/>
            <scheme val="minor"/>
          </rPr>
          <t>Wiki nicht aktuell, da seit Hackerangriff nur eine Zwischenlösung der IHK online ist</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8" authorId="0" shapeId="0" xr:uid="{00000000-0006-0000-1200-000001000000}">
      <text>
        <r>
          <rPr>
            <sz val="11"/>
            <color theme="1"/>
            <rFont val="Calibri"/>
            <family val="2"/>
            <scheme val="minor"/>
          </rPr>
          <t>ID = Prozess/ Use-Case ID
Hinweis: 
Eine Prozess/Use-Case - ID darf nur einmal existieren. Bereits bestehende IDs dürfen nicht verändert werden.
Rolle - [A-Z, AA] + [1-100]
Beispiel: 
IN-A5</t>
        </r>
      </text>
    </comment>
    <comment ref="E8" authorId="0" shapeId="0" xr:uid="{00000000-0006-0000-1200-000002000000}">
      <text>
        <r>
          <rPr>
            <sz val="11"/>
            <color theme="1"/>
            <rFont val="Calibri"/>
            <family val="2"/>
            <scheme val="minor"/>
          </rPr>
          <t>Prozessebene
#1 Kernprozess
#2-6 Teilprozess oder Use-Case</t>
        </r>
      </text>
    </comment>
    <comment ref="M9" authorId="0" shapeId="0" xr:uid="{00000000-0006-0000-1200-000003000000}">
      <text>
        <r>
          <rPr>
            <sz val="11"/>
            <color theme="1"/>
            <rFont val="Calibri"/>
            <family val="2"/>
            <scheme val="minor"/>
          </rPr>
          <t>siehe Tabellenblatt "Projekt"
Z.B. MA-M -&gt; Marketing</t>
        </r>
      </text>
    </comment>
    <comment ref="O9" authorId="0" shapeId="0" xr:uid="{00000000-0006-0000-1200-000004000000}">
      <text>
        <r>
          <rPr>
            <sz val="11"/>
            <color theme="1"/>
            <rFont val="Calibri"/>
            <family val="2"/>
            <scheme val="minor"/>
          </rPr>
          <t>Besteht ein Wiki zur bisherigen Verfahrensanweisung, bitte hier verlinken.</t>
        </r>
      </text>
    </comment>
    <comment ref="C93" authorId="0" shapeId="0" xr:uid="{00000000-0006-0000-1200-000005000000}">
      <text>
        <r>
          <rPr>
            <sz val="11"/>
            <color theme="1"/>
            <rFont val="Calibri"/>
            <family val="2"/>
            <scheme val="minor"/>
          </rPr>
          <t>ID = Prozess/ Use-Case ID
Hinweis: 
Eine Prozess/Use-Case - ID darf nur einmal existieren. Bereits bestehende IDs dürfen nicht verändert werden.
Rolle - [A-Z, AA] + [1-100]
Beispiel: 
IN-A5</t>
        </r>
      </text>
    </comment>
    <comment ref="M94" authorId="0" shapeId="0" xr:uid="{00000000-0006-0000-1200-000006000000}">
      <text>
        <r>
          <rPr>
            <sz val="11"/>
            <color theme="1"/>
            <rFont val="Calibri"/>
            <family val="2"/>
            <scheme val="minor"/>
          </rPr>
          <t xml:space="preserve">IN = Interessent*in
TN = Teilnehmer*in
MA = Mitarbeiter*in
MA-A = Assistent*in
MA-B= Buchhalter*in
MA-G= Powtoon-Video-/Grafiken-Ersteller
MA-M= Marketing
MA-PER= Personalreferent*in
MA-P= Produktmanager*in
MA-S Studienberater*in
MA-V = Bildungsberater*in
MA-Q = Qualitätsmanager
TU = Tutor*in
KO = Korrektor*in
DO = Dozent*in
PR= Projektbeteiligte*r
PR-A = Autor*in
PR-G = Gutachter*in
</t>
        </r>
      </text>
    </comment>
    <comment ref="F104" authorId="0" shapeId="0" xr:uid="{00000000-0006-0000-1200-000007000000}">
      <text>
        <r>
          <rPr>
            <sz val="11"/>
            <color theme="1"/>
            <rFont val="Calibri"/>
            <family val="2"/>
            <scheme val="minor"/>
          </rPr>
          <t>Die Projektinitiierungsphase ist die erste Phase eines Projekts, in der die Grundlagen für das Projekt geschaffen werden, bevor es offiziell gestartet wird. In dieser Phase werden Ideen für das Projekt gesammelt und geprüft, ob das Projekt realisierbar ist. Es werden klare Ziele definiert, die Projektorganisation wird festgelegt, die benötigten Ressourcen werden geplant, und ein Projektplan wird erstellt. Auch Risiken werden identifiziert und minimiert, bevor das Projekt offiziell genehmigt und gestartet wird. Die Projektvorphase ist ein wichtiger Schritt, um sicherzustellen, dass das Projekt erfolgreich durchgeführt werden kann.</t>
        </r>
      </text>
    </comment>
    <comment ref="F123" authorId="0" shapeId="0" xr:uid="{00000000-0006-0000-1200-000008000000}">
      <text>
        <r>
          <rPr>
            <sz val="11"/>
            <color theme="1"/>
            <rFont val="Calibri"/>
            <family val="2"/>
            <scheme val="minor"/>
          </rPr>
          <t>Die Projektinitiierungsphase ist die erste Phase eines Projekts, in der die Grundlagen für das Projekt geschaffen werden, bevor es offiziell gestartet wird. In dieser Phase werden Ideen für das Projekt gesammelt und geprüft, ob das Projekt realisierbar ist. Es werden klare Ziele definiert, die Projektorganisation wird festgelegt, die benötigten Ressourcen werden geplant, und ein Projektplan wird erstellt. Auch Risiken werden identifiziert und minimiert, bevor das Projekt offiziell genehmigt und gestartet wird. Die Projektvorphase ist ein wichtiger Schritt, um sicherzustellen, dass das Projekt erfolgreich durchgeführt werden kann.</t>
        </r>
      </text>
    </comment>
    <comment ref="G134" authorId="0" shapeId="0" xr:uid="{00000000-0006-0000-1200-000009000000}">
      <text>
        <r>
          <rPr>
            <sz val="11"/>
            <color theme="1"/>
            <rFont val="Calibri"/>
            <family val="2"/>
            <scheme val="minor"/>
          </rPr>
          <t>Die Prozesse Projektspezifierung, Autorensuche und Vorarbeit PV I der Projektplanung können parallel verlaufen.</t>
        </r>
      </text>
    </comment>
    <comment ref="G151" authorId="0" shapeId="0" xr:uid="{00000000-0006-0000-1200-00000A000000}">
      <text>
        <r>
          <rPr>
            <sz val="11"/>
            <color theme="1"/>
            <rFont val="Calibri"/>
            <family val="2"/>
            <scheme val="minor"/>
          </rPr>
          <t>Nach der Projektplanung beginnt die Umsetzung des Projekts, bei der der Projektplan umgesetzt wird und das Projektteam die einzelnen Aufgaben und Meilensteine des Projekts bearbeitet. Nach Abschluss der Umsetzung folgen die Projektüberwachung und -kontrolle sowie die Projektabschlussphase.</t>
        </r>
      </text>
    </comment>
    <comment ref="H180" authorId="0" shapeId="0" xr:uid="{00000000-0006-0000-1200-00000B000000}">
      <text>
        <r>
          <rPr>
            <sz val="11"/>
            <color theme="1"/>
            <rFont val="Calibri"/>
            <family val="2"/>
            <scheme val="minor"/>
          </rPr>
          <t>Läuft stetig parallel zu allen Projekten. Hier festgehalten,da VOR LAUNCH ext. MA feststehen sollten</t>
        </r>
      </text>
    </comment>
    <comment ref="I229" authorId="0" shapeId="0" xr:uid="{00000000-0006-0000-1200-00000C000000}">
      <text>
        <r>
          <rPr>
            <sz val="11"/>
            <color theme="1"/>
            <rFont val="Calibri"/>
            <family val="2"/>
            <scheme val="minor"/>
          </rPr>
          <t>Beim Bewerbungsprozess werden auch mögliche GA gesucht.</t>
        </r>
      </text>
    </comment>
    <comment ref="K244" authorId="0" shapeId="0" xr:uid="{00000000-0006-0000-1200-00000D000000}">
      <text>
        <r>
          <rPr>
            <sz val="11"/>
            <color theme="1"/>
            <rFont val="Calibri"/>
            <family val="2"/>
            <scheme val="minor"/>
          </rPr>
          <t>Passiert beim Bewerbungsprozess PR-A bzw. parallel zur Projekt-Entwicklung</t>
        </r>
      </text>
    </comment>
    <comment ref="G296" authorId="0" shapeId="0" xr:uid="{00000000-0006-0000-1200-00000E000000}">
      <text>
        <r>
          <rPr>
            <sz val="11"/>
            <color theme="1"/>
            <rFont val="Calibri"/>
            <family val="2"/>
            <scheme val="minor"/>
          </rPr>
          <t>Die Prozesse Projektspezifierung, Autorensuche und Vorarbeit PV I der Projektplanung können parallel verlaufen.</t>
        </r>
      </text>
    </comment>
    <comment ref="H297" authorId="0" shapeId="0" xr:uid="{00000000-0006-0000-1200-00000F000000}">
      <text>
        <r>
          <rPr>
            <sz val="11"/>
            <color theme="1"/>
            <rFont val="Calibri"/>
            <family val="2"/>
            <scheme val="minor"/>
          </rPr>
          <t>Ressourcenplanung und Projektspezifizierung laufen parallel.
In diesen Phasen wird der Produktplan immer spezifischer, mit jedem Schritt werden Ablaufplan und Produktplan mehr befüllt.
Reihenfolge ist zweitrangig.</t>
        </r>
      </text>
    </comment>
    <comment ref="Q308" authorId="0" shapeId="0" xr:uid="{00000000-0006-0000-1200-000010000000}">
      <text>
        <r>
          <rPr>
            <sz val="11"/>
            <color theme="1"/>
            <rFont val="Calibri"/>
            <family val="2"/>
            <scheme val="minor"/>
          </rPr>
          <t>Diskussion: Muss an dieser Stelle der Vertrag bereits unterzeichnet sein?</t>
        </r>
      </text>
    </comment>
    <comment ref="I325" authorId="0" shapeId="0" xr:uid="{00000000-0006-0000-1200-000011000000}">
      <text>
        <r>
          <rPr>
            <sz val="11"/>
            <color theme="1"/>
            <rFont val="Calibri"/>
            <family val="2"/>
            <scheme val="minor"/>
          </rPr>
          <t>Beim Bewerbungsprozess werden auch mögliche GA gesucht.</t>
        </r>
      </text>
    </comment>
    <comment ref="K340" authorId="0" shapeId="0" xr:uid="{00000000-0006-0000-1200-000012000000}">
      <text>
        <r>
          <rPr>
            <sz val="11"/>
            <color theme="1"/>
            <rFont val="Calibri"/>
            <family val="2"/>
            <scheme val="minor"/>
          </rPr>
          <t>Passiert beim Bewerbungsprozess PR-A bzw. parallel zur Projekt-Entwicklung</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author</author>
    <author>tc={0E518500-C7DC-9D25-EC3A-573812BDE05B}</author>
  </authors>
  <commentList>
    <comment ref="C8" authorId="0" shapeId="0" xr:uid="{00000000-0006-0000-1300-000002000000}">
      <text>
        <r>
          <rPr>
            <sz val="11"/>
            <color theme="1"/>
            <rFont val="Calibri"/>
            <family val="2"/>
            <scheme val="minor"/>
          </rPr>
          <t>ID = Prozess/ Use-Case ID
Hinweis: 
Eine Prozess/Use-Case - ID darf nur einmal existieren. Bereits bestehende IDs dürfen nicht verändert werden.
Rolle - [A-Z, AA] + [1-100]
Beispiel: 
IN-A5</t>
        </r>
      </text>
    </comment>
    <comment ref="L9" authorId="0" shapeId="0" xr:uid="{00000000-0006-0000-1300-000003000000}">
      <text>
        <r>
          <rPr>
            <sz val="11"/>
            <color theme="1"/>
            <rFont val="Calibri"/>
            <family val="2"/>
            <scheme val="minor"/>
          </rPr>
          <t xml:space="preserve">IN = Interessent*in
TN = Teilnehmer*in
MA = Mitarbeiter*in
MA-A = Assistent*in
MA-B= Buchhalter*in
MA-G= Powtoon-Video-/Grafiken-Ersteller
MA-M= Marketing
MA-PER= Personalreferent*in
MA-P= Produktmanager*in
MA-S Studienberater*in
MA-V = Bildungsberater*in
MA-Q = Qualitätsmanager
TU = Tutor*in
KO = Korrektor*in
DO = Dozent*in
PR= Projektbeteiligte*r
PR-A = Autor*in
PR-G = Gutachter*in
</t>
        </r>
      </text>
    </comment>
    <comment ref="E39" authorId="1" shapeId="0" xr:uid="{0E518500-C7DC-9D25-EC3A-573812BDE05B}">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@:Franziska.Düßdorf:user:1118  Sollen wir das hier aufführen oder läuft das wieder gleich ab wie bei Autoren?
Antwort:
    @:Mandy Klaaßen:user:1109 ich würde es hier mit aufnehmen :)
Antwort:
    </t>
      </text>
    </comment>
    <comment ref="H67" authorId="0" shapeId="0" xr:uid="{00000000-0006-0000-1300-000004000000}">
      <text>
        <r>
          <rPr>
            <sz val="11"/>
            <color theme="1"/>
            <rFont val="Calibri"/>
            <family val="2"/>
            <scheme val="minor"/>
          </rPr>
          <t>Beim Bewerbungsprozess werden auch mögliche GA gesucht.</t>
        </r>
      </text>
    </comment>
    <comment ref="J82" authorId="0" shapeId="0" xr:uid="{00000000-0006-0000-1300-000005000000}">
      <text>
        <r>
          <rPr>
            <sz val="11"/>
            <color theme="1"/>
            <rFont val="Calibri"/>
            <family val="2"/>
            <scheme val="minor"/>
          </rPr>
          <t>Passiert beim Bewerbungsprozess PR-A bzw. parallel zur Projekt-Entwicklung</t>
        </r>
      </text>
    </comment>
    <comment ref="G120" authorId="0" shapeId="0" xr:uid="{00000000-0006-0000-1300-000006000000}">
      <text>
        <r>
          <rPr>
            <sz val="11"/>
            <color theme="1"/>
            <rFont val="Calibri"/>
            <family val="2"/>
            <scheme val="minor"/>
          </rPr>
          <t>GA extern und intern verlaufen parallel</t>
        </r>
      </text>
    </comment>
    <comment ref="F196" authorId="0" shapeId="0" xr:uid="{00000000-0006-0000-1300-000007000000}">
      <text>
        <r>
          <rPr>
            <sz val="11"/>
            <color theme="1"/>
            <rFont val="Calibri"/>
            <family val="2"/>
            <scheme val="minor"/>
          </rPr>
          <t>Die Prozesse Projektspezifierung, Autorensuche und Vorarbeit PV I der Projektplanung können parallel verlaufen.</t>
        </r>
      </text>
    </comment>
    <comment ref="G197" authorId="0" shapeId="0" xr:uid="{00000000-0006-0000-1300-000008000000}">
      <text>
        <r>
          <rPr>
            <sz val="11"/>
            <color theme="1"/>
            <rFont val="Calibri"/>
            <family val="2"/>
            <scheme val="minor"/>
          </rPr>
          <t>Ressourcenplanung und Projektspezifizierung laufen parallel.
In diesen Phasen wird der Produktplan immer spezifischer, mit jedem Schritt werden Ablaufplan und Produktplan mehr befüllt.
Reihenfolge ist zweitrangig.</t>
        </r>
      </text>
    </comment>
    <comment ref="P208" authorId="0" shapeId="0" xr:uid="{00000000-0006-0000-1300-000009000000}">
      <text>
        <r>
          <rPr>
            <sz val="11"/>
            <color theme="1"/>
            <rFont val="Calibri"/>
            <family val="2"/>
            <scheme val="minor"/>
          </rPr>
          <t>Diskussion: Muss an dieser Stelle der Vertrag bereits unterzeichnet sein?</t>
        </r>
      </text>
    </comment>
    <comment ref="H225" authorId="0" shapeId="0" xr:uid="{00000000-0006-0000-1300-00000A000000}">
      <text>
        <r>
          <rPr>
            <sz val="11"/>
            <color theme="1"/>
            <rFont val="Calibri"/>
            <family val="2"/>
            <scheme val="minor"/>
          </rPr>
          <t>Beim Bewerbungsprozess werden auch mögliche GA gesucht.</t>
        </r>
      </text>
    </comment>
    <comment ref="J240" authorId="0" shapeId="0" xr:uid="{00000000-0006-0000-1300-00000B000000}">
      <text>
        <r>
          <rPr>
            <sz val="11"/>
            <color theme="1"/>
            <rFont val="Calibri"/>
            <family val="2"/>
            <scheme val="minor"/>
          </rPr>
          <t>Passiert beim Bewerbungsprozess PR-A bzw. parallel zur Projekt-Entwicklung</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8" authorId="0" shapeId="0" xr:uid="{00000000-0006-0000-1500-000001000000}">
      <text>
        <r>
          <rPr>
            <sz val="11"/>
            <color theme="1"/>
            <rFont val="Calibri"/>
            <family val="2"/>
            <scheme val="minor"/>
          </rPr>
          <t>ID = Prozess/ Use-Case ID
Hinweis: 
Eine Prozess/Use-Case - ID darf nur einmal existieren. Bereits bestehende IDs dürfen nicht verändert werden.
Rolle - [A-Z, AA] + [1-100]
Beispiel: 
IN-A5</t>
        </r>
      </text>
    </comment>
    <comment ref="C8" authorId="0" shapeId="0" xr:uid="{00000000-0006-0000-1500-000002000000}">
      <text>
        <r>
          <rPr>
            <sz val="11"/>
            <color theme="1"/>
            <rFont val="Calibri"/>
            <family val="2"/>
            <scheme val="minor"/>
          </rPr>
          <t>Prozessebene
#1 Kernprozess
#2-6 Teilprozess oder Use-Case</t>
        </r>
      </text>
    </comment>
    <comment ref="L9" authorId="0" shapeId="0" xr:uid="{00000000-0006-0000-1500-000003000000}">
      <text>
        <r>
          <rPr>
            <sz val="11"/>
            <color theme="1"/>
            <rFont val="Calibri"/>
            <family val="2"/>
            <scheme val="minor"/>
          </rPr>
          <t>siehe Tabellenblatt "Projekt"
Z.B. MA-M -&gt; Marketing</t>
        </r>
      </text>
    </comment>
    <comment ref="N9" authorId="0" shapeId="0" xr:uid="{00000000-0006-0000-1500-000004000000}">
      <text>
        <r>
          <rPr>
            <sz val="11"/>
            <color theme="1"/>
            <rFont val="Calibri"/>
            <family val="2"/>
            <scheme val="minor"/>
          </rPr>
          <t>Besteht ein Wiki zur bisherigen Verfahrensanweisung, bitte hier verlinken.</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tc={8D58924B-801A-A768-24B9-0C2D659CBB7B}</author>
    <author>tc={7F4B3825-4AAB-9DF9-4BA7-3B2BAE54573D}</author>
    <author>tc={F27063DF-A1B0-E614-DC3E-A536DEE2F2D3}</author>
    <author>tc={5097A2E2-8B6C-B7BC-58E6-17D78CE7A83C}</author>
    <author>tc={6ABB96BF-5F96-FD9A-C1B8-2D178447AE3C}</author>
    <author>tc={F0DF5FA7-DA61-3323-53FB-7F4ED6EB80CF}</author>
  </authors>
  <commentList>
    <comment ref="A1" authorId="0" shapeId="0" xr:uid="{8D58924B-801A-A768-24B9-0C2D659CBB7B}">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Prioritätsintern farblich anhand Aufwand infolge Quantität und effizientem Zugang gestaffelt.
Antwort:
    </t>
      </text>
    </comment>
    <comment ref="A2" authorId="1" shapeId="0" xr:uid="{7F4B3825-4AAB-9DF9-4BA7-3B2BAE54573D}">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Absolute Primärquelle.</t>
      </text>
    </comment>
    <comment ref="A4" authorId="2" shapeId="0" xr:uid="{F27063DF-A1B0-E614-DC3E-A536DEE2F2D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Einschränkend, da hoher Aufwand.</t>
      </text>
    </comment>
    <comment ref="A8" authorId="3" shapeId="0" xr:uid="{5097A2E2-8B6C-B7BC-58E6-17D78CE7A83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Kategorie 3 dient primär zur Hypothesenstützung.</t>
      </text>
    </comment>
    <comment ref="A11" authorId="4" shapeId="0" xr:uid="{6ABB96BF-5F96-FD9A-C1B8-2D178447AE3C}">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Prinzipiell bei Clusterung höher zu bewerten, jedoch oft nur punktueller bzw. subjektiver Eindruck durch Selection Bias innerhalb eigenem Netzwerk.</t>
      </text>
    </comment>
    <comment ref="A12" authorId="5" shapeId="0" xr:uid="{F0DF5FA7-DA61-3323-53FB-7F4ED6EB80C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Derzeit von sehr wenigen BA angeboten und aktuell kaum Resonanz.</t>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author</author>
    <author>tc={AAB3F46F-F1B7-3EAF-FE96-BE00A4E03B45}</author>
    <author>tc={BE8E0E40-18A7-3057-57B2-42517A09E866}</author>
    <author>tc={99205951-CCF2-10A8-ED09-4B064485462A}</author>
    <author>tc={BF97E8DF-E219-06EC-6D6A-394E9FF41858}</author>
    <author>tc={B37EDF11-AB01-B6DA-56C1-DD9D4D158B69}</author>
    <author>tc={DBC17822-1FE9-6C42-33E5-FDEBB996A1FB}</author>
    <author>tc={090E7F85-9525-6A3F-736B-97C05394AA9F}</author>
  </authors>
  <commentList>
    <comment ref="C8" authorId="0" shapeId="0" xr:uid="{00000000-0006-0000-1700-000008000000}">
      <text>
        <r>
          <rPr>
            <sz val="11"/>
            <color theme="1"/>
            <rFont val="Calibri"/>
            <family val="2"/>
            <scheme val="minor"/>
          </rPr>
          <t>ID = Prozess/ Use-Case ID
Hinweis: 
Eine Prozess/Use-Case - ID darf nur einmal existieren. Bereits bestehende IDs dürfen nicht verändert werden.
Rolle - [A-Z, AA] + [1-100]
Beispiel: 
IN-A5</t>
        </r>
      </text>
    </comment>
    <comment ref="L9" authorId="0" shapeId="0" xr:uid="{00000000-0006-0000-1700-000009000000}">
      <text>
        <r>
          <rPr>
            <sz val="11"/>
            <color theme="1"/>
            <rFont val="Calibri"/>
            <family val="2"/>
            <scheme val="minor"/>
          </rPr>
          <t xml:space="preserve">IN = Interessent*in
TN = Teilnehmer*in
MA = Mitarbeiter*in
MA-A = Assistent*in
MA-B= Buchhalter*in
MA-G= Powtoon-Video-/Grafiken-Ersteller
MA-M= Marketing
MA-PER= Personalreferent*in
MA-P= Produktmanager*in
MA-S Studienberater*in
MA-V = Bildungsberater*in
MA-Q = Qualitätsmanager
TU = Tutor*in
KO = Korrektor*in
DO = Dozent*in
PR= Projektbeteiligte*r
PR-A = Autor*in
PR-G = Gutachter*in
</t>
        </r>
      </text>
    </comment>
    <comment ref="E17" authorId="0" shapeId="0" xr:uid="{00000000-0006-0000-1700-00000A000000}">
      <text>
        <r>
          <rPr>
            <sz val="11"/>
            <color theme="1"/>
            <rFont val="Calibri"/>
            <family val="2"/>
            <scheme val="minor"/>
          </rPr>
          <t>Die Projektinitiierungsphase ist die erste Phase eines Projekts, in der die Grundlagen für das Projekt geschaffen werden, bevor es offiziell gestartet wird. In dieser Phase werden Ideen für das Projekt gesammelt und geprüft, ob das Projekt realisierbar ist. Es werden klare Ziele definiert, die Projektorganisation wird festgelegt, die benötigten Ressourcen werden geplant, und ein Projektplan wird erstellt. Auch Risiken werden identifiziert und minimiert, bevor das Projekt offiziell genehmigt und gestartet wird. Die Projektvorphase ist ein wichtiger Schritt, um sicherzustellen, dass das Projekt erfolgreich durchgeführt werden kann.</t>
        </r>
      </text>
    </comment>
    <comment ref="J30" authorId="1" shapeId="0" xr:uid="{AAB3F46F-F1B7-3EAF-FE96-BE00A4E03B4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@:Axel Mäder:user:1042 @:Franziska.Düßdorf:user:1118  AZAV hier gleich Partner B2G?
Antwort:
    @:Mandy Klaaßen:user:1109 korrekt</t>
      </text>
    </comment>
    <comment ref="J35" authorId="2" shapeId="0" xr:uid="{BE8E0E40-18A7-3057-57B2-42517A09E86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die Umsetzungsentscheidung an für sich gehört nicht zur päd. sondern zu BCB.</t>
      </text>
    </comment>
    <comment ref="F37" authorId="0" shapeId="0" xr:uid="{00000000-0006-0000-1700-00000B000000}">
      <text>
        <r>
          <rPr>
            <sz val="11"/>
            <color theme="1"/>
            <rFont val="Calibri"/>
            <family val="2"/>
            <scheme val="minor"/>
          </rPr>
          <t>Die Prozesse Projektspezifierung, Autorensuche und Vorarbeit PV I der Projektplanung können parallel verlaufen.</t>
        </r>
      </text>
    </comment>
    <comment ref="L39" authorId="3" shapeId="0" xr:uid="{99205951-CCF2-10A8-ED09-4B064485462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Das sehe ich anders. Als PM arbeite ich mit Fachexperten, bin es aber nicht - zumindest nicht für alle meine Produkte. Das kann ich gar nicht leisten, dafür ist die Palette bei mir zu breit. Die Rollendefinitionen sollten mMn nicht um zusätzliche Titel erweitert werden, das wird unübersichtlich.</t>
      </text>
    </comment>
    <comment ref="J40" authorId="4" shapeId="0" xr:uid="{BF97E8DF-E219-06EC-6D6A-394E9FF41858}">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ist die Berechnung hier bereits sinnvoll und zielführend möglich?
Antwort:
    </t>
      </text>
    </comment>
    <comment ref="J41" authorId="5" shapeId="0" xr:uid="{B37EDF11-AB01-B6DA-56C1-DD9D4D158B69}">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@:Franziska.Düßdorf:user:1118 @:Axel Mäder:user:1042 sollen Lehrmaterialpläne hier schon mit anlegen?
Antwort:
    </t>
      </text>
    </comment>
    <comment ref="F54" authorId="0" shapeId="0" xr:uid="{00000000-0006-0000-1700-00000C000000}">
      <text>
        <r>
          <rPr>
            <sz val="11"/>
            <color theme="1"/>
            <rFont val="Calibri"/>
            <family val="2"/>
            <scheme val="minor"/>
          </rPr>
          <t>Nach der Projektplanung beginnt die Umsetzung des Projekts, bei der der Projektplan umgesetzt wird und das Projektteam die einzelnen Aufgaben und Meilensteine des Projekts bearbeitet. Nach Abschluss der Umsetzung folgen die Projektüberwachung und -kontrolle sowie die Projektabschlussphase.</t>
        </r>
      </text>
    </comment>
    <comment ref="G62" authorId="6" shapeId="0" xr:uid="{DBC17822-1FE9-6C42-33E5-FDEBB996A1FB}">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muss definiert werden wie viel % der Lehrmedien vorhanden sind.
Antwort:
    </t>
      </text>
    </comment>
    <comment ref="G71" authorId="7" shapeId="0" xr:uid="{090E7F85-9525-6A3F-736B-97C05394AA9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kommt das in den Prozess der LEhrmaterialerstellun mit rein und hier raus?</t>
      </text>
    </comment>
    <comment ref="G83" authorId="0" shapeId="0" xr:uid="{00000000-0006-0000-1700-00000D000000}">
      <text>
        <r>
          <rPr>
            <sz val="11"/>
            <color theme="1"/>
            <rFont val="Calibri"/>
            <family val="2"/>
            <scheme val="minor"/>
          </rPr>
          <t>Läuft stetig parallel zu allen Projekten. Hier festgehalten,da VOR LAUNCH ext. MA feststehen sollten</t>
        </r>
      </text>
    </comment>
    <comment ref="H132" authorId="0" shapeId="0" xr:uid="{00000000-0006-0000-1700-00000E000000}">
      <text>
        <r>
          <rPr>
            <sz val="11"/>
            <color theme="1"/>
            <rFont val="Calibri"/>
            <family val="2"/>
            <scheme val="minor"/>
          </rPr>
          <t>Beim Bewerbungsprozess werden auch mögliche GA gesucht.</t>
        </r>
      </text>
    </comment>
    <comment ref="J147" authorId="0" shapeId="0" xr:uid="{00000000-0006-0000-1700-00000F000000}">
      <text>
        <r>
          <rPr>
            <sz val="11"/>
            <color theme="1"/>
            <rFont val="Calibri"/>
            <family val="2"/>
            <scheme val="minor"/>
          </rPr>
          <t>Passiert beim Bewerbungsprozess PR-A bzw. parallel zur Projekt-Entwicklung</t>
        </r>
      </text>
    </comment>
    <comment ref="G185" authorId="0" shapeId="0" xr:uid="{00000000-0006-0000-1700-000010000000}">
      <text>
        <r>
          <rPr>
            <sz val="11"/>
            <color theme="1"/>
            <rFont val="Calibri"/>
            <family val="2"/>
            <scheme val="minor"/>
          </rPr>
          <t>GA extern und intern verlaufen parallel</t>
        </r>
      </text>
    </comment>
    <comment ref="F452" authorId="0" shapeId="0" xr:uid="{00000000-0006-0000-1700-000011000000}">
      <text>
        <r>
          <rPr>
            <sz val="11"/>
            <color theme="1"/>
            <rFont val="Calibri"/>
            <family val="2"/>
            <scheme val="minor"/>
          </rPr>
          <t>Die Prozesse Projektspezifierung, Autorensuche und Vorarbeit PV I der Projektplanung können parallel verlaufen.</t>
        </r>
      </text>
    </comment>
    <comment ref="G453" authorId="0" shapeId="0" xr:uid="{00000000-0006-0000-1700-000012000000}">
      <text>
        <r>
          <rPr>
            <sz val="11"/>
            <color theme="1"/>
            <rFont val="Calibri"/>
            <family val="2"/>
            <scheme val="minor"/>
          </rPr>
          <t>Ressourcenplanung und Projektspezifizierung laufen parallel.
In diesen Phasen wird der Produktplan immer spezifischer, mit jedem Schritt werden Ablaufplan und Produktplan mehr befüllt.
Reihenfolge ist zweitrangig.</t>
        </r>
      </text>
    </comment>
    <comment ref="P464" authorId="0" shapeId="0" xr:uid="{00000000-0006-0000-1700-000013000000}">
      <text>
        <r>
          <rPr>
            <sz val="11"/>
            <color theme="1"/>
            <rFont val="Calibri"/>
            <family val="2"/>
            <scheme val="minor"/>
          </rPr>
          <t>Diskussion: Muss an dieser Stelle der Vertrag bereits unterzeichnet sein?</t>
        </r>
      </text>
    </comment>
    <comment ref="H481" authorId="0" shapeId="0" xr:uid="{00000000-0006-0000-1700-000014000000}">
      <text>
        <r>
          <rPr>
            <sz val="11"/>
            <color theme="1"/>
            <rFont val="Calibri"/>
            <family val="2"/>
            <scheme val="minor"/>
          </rPr>
          <t>Beim Bewerbungsprozess werden auch mögliche GA gesucht.</t>
        </r>
      </text>
    </comment>
    <comment ref="J496" authorId="0" shapeId="0" xr:uid="{00000000-0006-0000-1700-000015000000}">
      <text>
        <r>
          <rPr>
            <sz val="11"/>
            <color theme="1"/>
            <rFont val="Calibri"/>
            <family val="2"/>
            <scheme val="minor"/>
          </rPr>
          <t>Passiert beim Bewerbungsprozess PR-A bzw. parallel zur Projekt-Entwicklung</t>
        </r>
      </text>
    </comment>
  </commentList>
</comments>
</file>

<file path=xl/sharedStrings.xml><?xml version="1.0" encoding="utf-8"?>
<sst xmlns="http://schemas.openxmlformats.org/spreadsheetml/2006/main" count="14791" uniqueCount="5485">
  <si>
    <t>Schritt 1: Erfassen aller Kern- , Teilprozesse. NOTE: Wenn Use-Cases bereits bekannt, können diese selbstverständlich gleich eingetragen werden.</t>
  </si>
  <si>
    <t>Schritt 2: Erfassen und erstellen der Use-Cases. Use-Caes, welche für die Funktionalität von elaAdministration und elaCampus essentiell sind, Zeile markieren.</t>
  </si>
  <si>
    <t xml:space="preserve">Schritt 3: Überprüfung, ob Funktionalität des Use-Cases vorhanden oder fehlen. </t>
  </si>
  <si>
    <t>Übergreifende Aufgabenverteilung - SCHRIFTfarbe dient zur schnelleren visuellen Erfassung, dass ein übergreifender Use-Case vorhanden ist oder abgestimmt werden muss.</t>
  </si>
  <si>
    <t>Ein identischer Prozess oder Use-Case wurde im Detail bereits beschrieben. Es wird auf den ursprünglichen Prozess/ Use-Case mit der Prozess-ID verwiesen.</t>
  </si>
  <si>
    <t>ELA ja/nein</t>
  </si>
  <si>
    <t>Haupttool</t>
  </si>
  <si>
    <t>ID</t>
  </si>
  <si>
    <t>Ebene</t>
  </si>
  <si>
    <t>#1</t>
  </si>
  <si>
    <t>#2</t>
  </si>
  <si>
    <t>#3</t>
  </si>
  <si>
    <t>#4</t>
  </si>
  <si>
    <t>#5</t>
  </si>
  <si>
    <t>#6</t>
  </si>
  <si>
    <t>Bezeichnung</t>
  </si>
  <si>
    <t>Beschreibung (inkl. Rolle(n))</t>
  </si>
  <si>
    <t>Rolle(n)</t>
  </si>
  <si>
    <t>Erwartetes Ergebnis</t>
  </si>
  <si>
    <t>Bisherige Verfahrens-anweisung</t>
  </si>
  <si>
    <t>Neue Verfahrens-anweisung</t>
  </si>
  <si>
    <t>Vorbedigungen</t>
  </si>
  <si>
    <t>Post-bedingungen</t>
  </si>
  <si>
    <t>Optimierungsidee</t>
  </si>
  <si>
    <t>Erfasser*in</t>
  </si>
  <si>
    <t>vorhanden</t>
  </si>
  <si>
    <t>funktioniert</t>
  </si>
  <si>
    <t>Beschreibung der Abweichung (Was und Warum)</t>
  </si>
  <si>
    <t>MeisterTask</t>
  </si>
  <si>
    <t>Status</t>
  </si>
  <si>
    <t>Kernprozess 1</t>
  </si>
  <si>
    <t>unbestimmt</t>
  </si>
  <si>
    <t>ELA</t>
  </si>
  <si>
    <t>Meistertask</t>
  </si>
  <si>
    <t>Cleverreach</t>
  </si>
  <si>
    <t>Synology</t>
  </si>
  <si>
    <t>Miro</t>
  </si>
  <si>
    <t>Google</t>
  </si>
  <si>
    <t>WhatsApp</t>
  </si>
  <si>
    <t>Canva</t>
  </si>
  <si>
    <t>Adobe</t>
  </si>
  <si>
    <t>Contao</t>
  </si>
  <si>
    <t>Wiki</t>
  </si>
  <si>
    <t>ecoDMS</t>
  </si>
  <si>
    <t>Facebook</t>
  </si>
  <si>
    <t>Instagram</t>
  </si>
  <si>
    <t>TikTok</t>
  </si>
  <si>
    <t>LinkedIn</t>
  </si>
  <si>
    <t>Youtube</t>
  </si>
  <si>
    <t>Xing</t>
  </si>
  <si>
    <t>X</t>
  </si>
  <si>
    <t>SalesForce</t>
  </si>
  <si>
    <t>Lexware</t>
  </si>
  <si>
    <t>Voba Banking</t>
  </si>
  <si>
    <t>Articulate Rise</t>
  </si>
  <si>
    <t>Outlook</t>
  </si>
  <si>
    <t>easy2book</t>
  </si>
  <si>
    <t>Domainfactory</t>
  </si>
  <si>
    <t>1und1</t>
  </si>
  <si>
    <t>Projektbeteiligte / Systemrollen</t>
  </si>
  <si>
    <t>Komponentenzugriff</t>
  </si>
  <si>
    <t>Kern- und Teilprozesse, Use-Cases</t>
  </si>
  <si>
    <t>ELA (AI + OC)</t>
  </si>
  <si>
    <t>AI Administration</t>
  </si>
  <si>
    <t>Anleitungen/WIKI/Handbuch/Verfahrensanweisung</t>
  </si>
  <si>
    <t>Systemrolle</t>
  </si>
  <si>
    <t>Kürzel</t>
  </si>
  <si>
    <t>Abteilung/Rollen/Bereiche</t>
  </si>
  <si>
    <t>AI</t>
  </si>
  <si>
    <t>OC</t>
  </si>
  <si>
    <r>
      <rPr>
        <b/>
        <sz val="12"/>
        <color rgb="FF000000"/>
        <rFont val="Arial"/>
      </rPr>
      <t xml:space="preserve">Verantwortlicher /
</t>
    </r>
    <r>
      <rPr>
        <sz val="11"/>
        <color theme="1"/>
        <rFont val="Calibri"/>
        <family val="2"/>
        <scheme val="minor"/>
      </rPr>
      <t>Ansprechpartner</t>
    </r>
  </si>
  <si>
    <t>Ersteller</t>
  </si>
  <si>
    <t>Tester</t>
  </si>
  <si>
    <t>Benutzergruppe /
Berechtigungen</t>
  </si>
  <si>
    <t>Ticketpools</t>
  </si>
  <si>
    <t>Freigabe durch?</t>
  </si>
  <si>
    <r>
      <rPr>
        <b/>
        <sz val="11"/>
        <color rgb="FF000000"/>
        <rFont val="Arial"/>
      </rPr>
      <t>A</t>
    </r>
    <r>
      <rPr>
        <sz val="11"/>
        <color rgb="FF000000"/>
        <rFont val="Arial"/>
      </rPr>
      <t xml:space="preserve">
Administratoren</t>
    </r>
  </si>
  <si>
    <t>-A</t>
  </si>
  <si>
    <t>Tobias</t>
  </si>
  <si>
    <t>sämtliche AI-Tester</t>
  </si>
  <si>
    <r>
      <rPr>
        <b/>
        <sz val="11"/>
        <color rgb="FF000000"/>
        <rFont val="Arial"/>
      </rPr>
      <t xml:space="preserve">IN
</t>
    </r>
    <r>
      <rPr>
        <sz val="11"/>
        <color rgb="FF000000"/>
        <rFont val="Arial"/>
      </rPr>
      <t>Interessent*in</t>
    </r>
  </si>
  <si>
    <t>IN</t>
  </si>
  <si>
    <t>-B2C</t>
  </si>
  <si>
    <t>Steffen</t>
  </si>
  <si>
    <t>David + Steffen</t>
  </si>
  <si>
    <t>-B2G</t>
  </si>
  <si>
    <t>Tobi, Stefan H, Simon</t>
  </si>
  <si>
    <t>Stefan H, Simon, Steffen</t>
  </si>
  <si>
    <t>-B2B</t>
  </si>
  <si>
    <t>Sabrina, Addi, Steffen</t>
  </si>
  <si>
    <r>
      <rPr>
        <b/>
        <sz val="11"/>
        <color rgb="FF000000"/>
        <rFont val="Arial"/>
      </rPr>
      <t xml:space="preserve">TN
</t>
    </r>
    <r>
      <rPr>
        <sz val="11"/>
        <color rgb="FF000000"/>
        <rFont val="Arial"/>
      </rPr>
      <t>Teilnehmer*in</t>
    </r>
  </si>
  <si>
    <t>x</t>
  </si>
  <si>
    <t>Marcel</t>
  </si>
  <si>
    <t>TN</t>
  </si>
  <si>
    <t>Nadja</t>
  </si>
  <si>
    <t>Ulmer, Nadja</t>
  </si>
  <si>
    <t>Nadja, Ulmer</t>
  </si>
  <si>
    <t>Steffen, Marleen</t>
  </si>
  <si>
    <t>Marleen</t>
  </si>
  <si>
    <r>
      <rPr>
        <b/>
        <sz val="11"/>
        <color rgb="FF000000"/>
        <rFont val="Arial"/>
      </rPr>
      <t xml:space="preserve">MA
</t>
    </r>
    <r>
      <rPr>
        <sz val="11"/>
        <color rgb="FF000000"/>
        <rFont val="Arial"/>
      </rPr>
      <t>Mitarbeiter*in (intern)</t>
    </r>
  </si>
  <si>
    <t>MA</t>
  </si>
  <si>
    <t>-B</t>
  </si>
  <si>
    <t>Buchhalter*in</t>
  </si>
  <si>
    <t>Learner Care, Teacher Care, BL, GF, BuHa</t>
  </si>
  <si>
    <t>-M</t>
  </si>
  <si>
    <t>Unternehmenskommunikation allgemein 
(Zur Schnittstellenkennzeichnung)</t>
  </si>
  <si>
    <t>-MON</t>
  </si>
  <si>
    <t>Marketing - Onpage</t>
  </si>
  <si>
    <t>Jasmin (Carola)</t>
  </si>
  <si>
    <t>Carola (Jasmin)</t>
  </si>
  <si>
    <t>Carola, Daniel, (Jasmin)</t>
  </si>
  <si>
    <t>-MOF</t>
  </si>
  <si>
    <t>Marketing - Offpage</t>
  </si>
  <si>
    <t>Carola, (Jasmin)</t>
  </si>
  <si>
    <t>-MSM</t>
  </si>
  <si>
    <t>Marketing - Social Media</t>
  </si>
  <si>
    <t>Carola, Julia, (Jasmin)</t>
  </si>
  <si>
    <t>-MP</t>
  </si>
  <si>
    <t>Marketing - Performance</t>
  </si>
  <si>
    <t>Carola, Carlos, (Jasmin)</t>
  </si>
  <si>
    <t>-MD</t>
  </si>
  <si>
    <t>Marketing - Design</t>
  </si>
  <si>
    <t>Carola, Thomas, (Jasmin)</t>
  </si>
  <si>
    <t>-PER</t>
  </si>
  <si>
    <t>Personalreferent*in</t>
  </si>
  <si>
    <t>Max</t>
  </si>
  <si>
    <t>Max, Yvi</t>
  </si>
  <si>
    <t>-P</t>
  </si>
  <si>
    <t>Produktmanager*in</t>
  </si>
  <si>
    <t>Axel</t>
  </si>
  <si>
    <t>Axel, Franzi, Martin, Chris, Chantal</t>
  </si>
  <si>
    <t>-VB2C</t>
  </si>
  <si>
    <t>Vertrieb - B2C</t>
  </si>
  <si>
    <t>Vertrieb B2C, Vertrieb B2G</t>
  </si>
  <si>
    <t>-VB2G</t>
  </si>
  <si>
    <t>Vertrieb - B2G</t>
  </si>
  <si>
    <t>Tobi, Stefan H., Simon</t>
  </si>
  <si>
    <t>Stefan H, Simon + Steffen</t>
  </si>
  <si>
    <t>Vertrieb B2G, Vertrieb B2C</t>
  </si>
  <si>
    <t>-VB2B</t>
  </si>
  <si>
    <t>Vertrieb - B2B</t>
  </si>
  <si>
    <t>Addi, Sabrina</t>
  </si>
  <si>
    <t>Addi, Sabrina, Steffen</t>
  </si>
  <si>
    <t>Vertrieb B2B, Studienbetreuung B2B</t>
  </si>
  <si>
    <t>-VA</t>
  </si>
  <si>
    <t>Vertrieb - Assistenz</t>
  </si>
  <si>
    <t>Dominik + Steffen</t>
  </si>
  <si>
    <t>Kein Pool nur direkte Zuweisung eines Tickets, Wiedervorlage</t>
  </si>
  <si>
    <t>-SB2C</t>
  </si>
  <si>
    <t>Studienbetreuung - B2C</t>
  </si>
  <si>
    <r>
      <rPr>
        <sz val="11"/>
        <color rgb="FF000000"/>
        <rFont val="Arial"/>
      </rPr>
      <t xml:space="preserve">Studienbetreuung B2C, Studienbetreuung B2G, </t>
    </r>
    <r>
      <rPr>
        <sz val="11"/>
        <color rgb="FFFF0000"/>
        <rFont val="Arial"/>
      </rPr>
      <t>Korrektur?, Präsenzphasen?</t>
    </r>
  </si>
  <si>
    <t>-SB2G</t>
  </si>
  <si>
    <t>Studienbetreuung - B2G</t>
  </si>
  <si>
    <r>
      <rPr>
        <sz val="11"/>
        <color rgb="FF000000"/>
        <rFont val="Arial"/>
      </rPr>
      <t xml:space="preserve">Studienbetreuung B2G, Studienbetreuung B2C, </t>
    </r>
    <r>
      <rPr>
        <sz val="11"/>
        <color rgb="FFFF0000"/>
        <rFont val="Arial"/>
      </rPr>
      <t>Korrektur?, Präsenzphasen?</t>
    </r>
  </si>
  <si>
    <t>-SB2B</t>
  </si>
  <si>
    <t>Studienbetreung - B2B</t>
  </si>
  <si>
    <r>
      <rPr>
        <sz val="11"/>
        <color rgb="FF000000"/>
        <rFont val="Arial"/>
      </rPr>
      <t xml:space="preserve">Studienbetreuung B2B, Vertrieb B2B, </t>
    </r>
    <r>
      <rPr>
        <sz val="11"/>
        <color rgb="FFFF0000"/>
        <rFont val="Arial"/>
      </rPr>
      <t>Korrektur?, Präsenzphasen?</t>
    </r>
  </si>
  <si>
    <t>-SA</t>
  </si>
  <si>
    <t>Studienbetreung - Assistenz</t>
  </si>
  <si>
    <t>Nadja, Melina</t>
  </si>
  <si>
    <t>-QM</t>
  </si>
  <si>
    <t>Claudi(Axel)</t>
  </si>
  <si>
    <t>Claudi, Axel, Franzi, Martin, Chris, Chantal</t>
  </si>
  <si>
    <t>-LO</t>
  </si>
  <si>
    <t>Logistik</t>
  </si>
  <si>
    <t>Melly (nachfragen ggf. gemeinsam mit Steffen)</t>
  </si>
  <si>
    <t>Melly (Steffen)</t>
  </si>
  <si>
    <r>
      <rPr>
        <b/>
        <sz val="11"/>
        <color rgb="FF000000"/>
        <rFont val="Arial"/>
      </rPr>
      <t xml:space="preserve">KO
</t>
    </r>
    <r>
      <rPr>
        <sz val="11"/>
        <color rgb="FF000000"/>
        <rFont val="Arial"/>
      </rPr>
      <t>Korrektor*in</t>
    </r>
  </si>
  <si>
    <t>Korrektor*in</t>
  </si>
  <si>
    <t>Max, Yvi, Valentina/Alex</t>
  </si>
  <si>
    <r>
      <rPr>
        <b/>
        <sz val="11"/>
        <color rgb="FF000000"/>
        <rFont val="Arial"/>
      </rPr>
      <t xml:space="preserve">DO
</t>
    </r>
    <r>
      <rPr>
        <sz val="11"/>
        <color rgb="FF000000"/>
        <rFont val="Arial"/>
      </rPr>
      <t>Dozent*in</t>
    </r>
  </si>
  <si>
    <t>Dozent*in</t>
  </si>
  <si>
    <r>
      <rPr>
        <b/>
        <sz val="11"/>
        <color rgb="FF000000"/>
        <rFont val="Arial"/>
      </rPr>
      <t xml:space="preserve">TU
</t>
    </r>
    <r>
      <rPr>
        <sz val="11"/>
        <color rgb="FF000000"/>
        <rFont val="Arial"/>
      </rPr>
      <t>Tutor*in</t>
    </r>
  </si>
  <si>
    <t>Tutor*in</t>
  </si>
  <si>
    <r>
      <rPr>
        <b/>
        <sz val="11"/>
        <color rgb="FF000000"/>
        <rFont val="Arial"/>
      </rPr>
      <t xml:space="preserve">PR
</t>
    </r>
    <r>
      <rPr>
        <sz val="11"/>
        <color rgb="FF000000"/>
        <rFont val="Arial"/>
      </rPr>
      <t>Projektbeteiligte*r</t>
    </r>
  </si>
  <si>
    <t>PR</t>
  </si>
  <si>
    <t>Autor*in</t>
  </si>
  <si>
    <t>Axel, Franzi, Martin, Chris, Chantal, (Daniel O.)</t>
  </si>
  <si>
    <t>-G</t>
  </si>
  <si>
    <t>Gutachter*in</t>
  </si>
  <si>
    <r>
      <rPr>
        <b/>
        <sz val="11"/>
        <color rgb="FFFF0000"/>
        <rFont val="Arial"/>
      </rPr>
      <t xml:space="preserve">UN
</t>
    </r>
    <r>
      <rPr>
        <sz val="11"/>
        <color rgb="FFFF0000"/>
        <rFont val="Arial"/>
      </rPr>
      <t>Unternehmen</t>
    </r>
  </si>
  <si>
    <t>UN</t>
  </si>
  <si>
    <t>Unternehmen - Ausbildungsstätte</t>
  </si>
  <si>
    <t>Personen im Unternehmen - Event-Planung</t>
  </si>
  <si>
    <t>Personen im Unternehmen - Zahlungsmanagement</t>
  </si>
  <si>
    <t>Personen im Unternehmen - Bildungsmanagement</t>
  </si>
  <si>
    <t>-K</t>
  </si>
  <si>
    <t>Unternehmen - Kostenträger</t>
  </si>
  <si>
    <t>B2B/B2G - Zuständigkeit klären</t>
  </si>
  <si>
    <r>
      <rPr>
        <b/>
        <sz val="11"/>
        <color rgb="FFFF0000"/>
        <rFont val="Arial"/>
      </rPr>
      <t>P</t>
    </r>
    <r>
      <rPr>
        <sz val="11"/>
        <color rgb="FFFF0000"/>
        <rFont val="Arial"/>
      </rPr>
      <t xml:space="preserve">
Person</t>
    </r>
  </si>
  <si>
    <t>???????????????????????????????????????????????????????</t>
  </si>
  <si>
    <t>Personen im Unternehmen</t>
  </si>
  <si>
    <t>Ziel:</t>
  </si>
  <si>
    <r>
      <t xml:space="preserve">Erfassung aller </t>
    </r>
    <r>
      <rPr>
        <b/>
        <sz val="11"/>
        <color rgb="FF000000"/>
        <rFont val="Arial"/>
      </rPr>
      <t>Kern- und Teilprozesse</t>
    </r>
    <r>
      <rPr>
        <sz val="11"/>
        <color theme="1"/>
        <rFont val="Calibri"/>
        <family val="2"/>
        <scheme val="minor"/>
      </rPr>
      <t xml:space="preserve">, aus denen sich die unterschiedlichen </t>
    </r>
    <r>
      <rPr>
        <b/>
        <sz val="11"/>
        <color rgb="FF000000"/>
        <rFont val="Arial"/>
      </rPr>
      <t>Use-Cases (Anwendungsfälle/ Anwendungsbeispiele)</t>
    </r>
    <r>
      <rPr>
        <sz val="11"/>
        <color theme="1"/>
        <rFont val="Calibri"/>
        <family val="2"/>
        <scheme val="minor"/>
      </rPr>
      <t xml:space="preserve"> abbilden. Diese definierten Kern-, Teilprozesse und Use-Cases dienen als Grundlage für die Überprüfung der Funktionalität, Entwicklung neuer Funtkionalitäten und Testung der elaAdministration und des elaCampus.</t>
    </r>
  </si>
  <si>
    <t>Was sind Kernprozesse?</t>
  </si>
  <si>
    <r>
      <t xml:space="preserve">Kernprozesse sind die </t>
    </r>
    <r>
      <rPr>
        <b/>
        <sz val="11"/>
        <color rgb="FF000000"/>
        <rFont val="Arial"/>
      </rPr>
      <t>wichtigsten Geschäftsprozesse</t>
    </r>
    <r>
      <rPr>
        <sz val="11"/>
        <color theme="1"/>
        <rFont val="Calibri"/>
        <family val="2"/>
        <scheme val="minor"/>
      </rPr>
      <t xml:space="preserve"> eines Unternehmens und deren Mitarbeiter, die entscheidend für den </t>
    </r>
    <r>
      <rPr>
        <b/>
        <sz val="11"/>
        <color rgb="FF000000"/>
        <rFont val="Arial"/>
      </rPr>
      <t>Erfolg</t>
    </r>
    <r>
      <rPr>
        <sz val="11"/>
        <color theme="1"/>
        <rFont val="Calibri"/>
        <family val="2"/>
        <scheme val="minor"/>
      </rPr>
      <t xml:space="preserve"> und die</t>
    </r>
    <r>
      <rPr>
        <b/>
        <sz val="11"/>
        <color rgb="FF000000"/>
        <rFont val="Arial"/>
      </rPr>
      <t xml:space="preserve"> Leistungsfähigkeit des Unternehmens</t>
    </r>
    <r>
      <rPr>
        <sz val="11"/>
        <color theme="1"/>
        <rFont val="Calibri"/>
        <family val="2"/>
        <scheme val="minor"/>
      </rPr>
      <t xml:space="preserve"> sind. Sie bilden das Herzstück des Unternehmens und sind eng mit den strategischen Zielen verbunden. Synonyme für Kernprozesse könnten beispielsweise zentrale Prozesse, Kerngeschäftsprozesse oder Hauptprozesse sein.
</t>
    </r>
  </si>
  <si>
    <t>Was sind Teilprozesse?</t>
  </si>
  <si>
    <r>
      <rPr>
        <sz val="11"/>
        <color rgb="FF000000"/>
        <rFont val="Arial"/>
      </rPr>
      <t xml:space="preserve">Teilprozesse sind Bestandteile eines </t>
    </r>
    <r>
      <rPr>
        <b/>
        <sz val="11"/>
        <color rgb="FF000000"/>
        <rFont val="Arial"/>
      </rPr>
      <t>übergeordneten (Kern-)Prozesses</t>
    </r>
    <r>
      <rPr>
        <sz val="11"/>
        <color rgb="FF000000"/>
        <rFont val="Arial"/>
      </rPr>
      <t>, die spezifische Aufgaben ausführen. Ein Prozess kann in mehrere Teilprozesse unterteilt werden, um komplexe Aufgaben in kleinere Schritte zu unterteilen und somit einfacher zu bewältigen.</t>
    </r>
  </si>
  <si>
    <t xml:space="preserve">Was sind Use-Cases? </t>
  </si>
  <si>
    <r>
      <t>Ein Use-Case (</t>
    </r>
    <r>
      <rPr>
        <b/>
        <sz val="11"/>
        <color rgb="FF000000"/>
        <rFont val="Arial"/>
      </rPr>
      <t>auch Anwendungsfall bzw. Anwendungsbeispiel</t>
    </r>
    <r>
      <rPr>
        <sz val="11"/>
        <color theme="1"/>
        <rFont val="Calibri"/>
        <family val="2"/>
        <scheme val="minor"/>
      </rPr>
      <t xml:space="preserve">) ist eine Beschreibung der </t>
    </r>
    <r>
      <rPr>
        <b/>
        <sz val="11"/>
        <color rgb="FF000000"/>
        <rFont val="Arial"/>
      </rPr>
      <t>Funktionalität eines Systems</t>
    </r>
    <r>
      <rPr>
        <sz val="11"/>
        <color theme="1"/>
        <rFont val="Calibri"/>
        <family val="2"/>
        <scheme val="minor"/>
      </rPr>
      <t xml:space="preserve"> oder </t>
    </r>
    <r>
      <rPr>
        <b/>
        <sz val="11"/>
        <color rgb="FF000000"/>
        <rFont val="Arial"/>
      </rPr>
      <t>einer Anwendung aus der Perspektive des Benutzers.</t>
    </r>
    <r>
      <rPr>
        <sz val="11"/>
        <color theme="1"/>
        <rFont val="Calibri"/>
        <family val="2"/>
        <scheme val="minor"/>
      </rPr>
      <t xml:space="preserve"> Er beschreibt, wie ein Benutzer das System verwenden kann, um ein bestimmtes Ziel zu erreichen. Ein Use-Case kann dazu beitragen, die Anforderungen an das System zu definieren und sicherzustellen, dass das System die Bedürfnisse der Benutzer erfüllt.</t>
    </r>
  </si>
  <si>
    <t>Arbeitsversion, aktuelle Inhalte/Zwischenergebnisse 
(Stand 15.06., inkl. verlinkten Prozessdokus)</t>
  </si>
  <si>
    <t>Ergebnisse bzw. Ansatz nach Synchronisierung</t>
  </si>
  <si>
    <t>Arbeitsbereich=&gt;Umsetzung</t>
  </si>
  <si>
    <r>
      <rPr>
        <b/>
        <sz val="12"/>
        <color rgb="FF000000"/>
        <rFont val="Arial"/>
      </rPr>
      <t xml:space="preserve">Bezeichnung
</t>
    </r>
    <r>
      <rPr>
        <b/>
        <sz val="12"/>
        <color rgb="FFFA9C3E"/>
        <rFont val="Arial"/>
      </rPr>
      <t>wenn orange unterlegt, ELA-relevant</t>
    </r>
  </si>
  <si>
    <t xml:space="preserve">Beschreibung (inkl. Rolle(n)) =&gt; daraus resultiert  =&gt;
</t>
  </si>
  <si>
    <t xml:space="preserve">Output/Konsens Stefan, Simon &amp; Patrick
</t>
  </si>
  <si>
    <t>Rolle(n) syst. Def.</t>
  </si>
  <si>
    <t>Rolle(n) konkr. Def.</t>
  </si>
  <si>
    <t>Vorbedingungen</t>
  </si>
  <si>
    <t>Alternative Abläufe</t>
  </si>
  <si>
    <t>IN-Beratung und Antragsstellung</t>
  </si>
  <si>
    <t>Dieser Prozess umfasst die Beratung von IN durch einen qualifizierten MA-VB2G, die Klärung von Fragen zur Förderung über einen Bildungsgutschein sowie die damit verbundene Antragsstellung.</t>
  </si>
  <si>
    <t>-</t>
  </si>
  <si>
    <t>Allgemeine Verfahrensanweisungen der Studienbetreuung, Bildungsberatung, Fördermöglichkeiten, Interessentenanfragen</t>
  </si>
  <si>
    <t>MA-VB2G</t>
  </si>
  <si>
    <t>IN-Beratung durchführen</t>
  </si>
  <si>
    <t>Bedarfsanalyse durchführen</t>
  </si>
  <si>
    <t>Der zuständige MA-VB2G führt eine Bedarfsanalyse durch. Er stellt sicher, dass die Maßnahme den Bedürfnissen der IN entspricht. Die Bedarfsanalyse soll dazu beitragen, die spezifischen Lernbedürfnisse und -ziele des IN zu verstehen und sicherzustellen, dass die Maßnahme das Bildungsziel erfüllt.</t>
  </si>
  <si>
    <t>Geeignete Bildungsmaßnahme finden (Ziel- / Erfolgsaussichten steigern)</t>
  </si>
  <si>
    <t>Förderberechtigung prüfen</t>
  </si>
  <si>
    <t>Der zuständige MA-VB2G überprüft anhand einer Checkliste, ob der IN förderberechtigt ist. Eine Checkliste hilft sicherzustellen, dass alle relevanten Kriterien geprüft werden und somit eine systematische Überprüfung erfolgt.</t>
  </si>
  <si>
    <t>IN ist förderberechtigt</t>
  </si>
  <si>
    <t>Eignungsfeststellung durchführen</t>
  </si>
  <si>
    <t>Der zuständige MA-VB2G führt eine Eignungsfeststellung durch. Er stellt sicher, dass der IN über die notwendigen Fähigkeiten und Kenntnisse verfügt, um an einer bestimmten Bildungsmaßnahme teilnehmen zu können.</t>
  </si>
  <si>
    <t>IN wird für die Maßnahme zugelassen</t>
  </si>
  <si>
    <r>
      <rPr>
        <sz val="11"/>
        <color rgb="FF000000"/>
        <rFont val="Arial"/>
      </rPr>
      <t xml:space="preserve">Allgemeine Verfahrensanweisungen der Studienbetreuung, Bildungsberatung, Fördermöglichkeiten, Interessentenanfragen
</t>
    </r>
    <r>
      <rPr>
        <sz val="11"/>
        <color rgb="FFFF0000"/>
        <rFont val="Arial"/>
      </rPr>
      <t>=&gt;ggf. i.V.m. Patrick &amp; Steffen Bogen erarbeiten</t>
    </r>
  </si>
  <si>
    <t>Information und Orientierung</t>
  </si>
  <si>
    <t xml:space="preserve">Informationsmaterial </t>
  </si>
  <si>
    <t>Allg. Studieninfos, analog der Kategorien auf der HP inkl. Weiterbildungspaketen "von der Stange" + "Bausteinkasten" aller mgl. kombinierbaren Bausteine. Dies setzt i.d.P. individuelle "Abschlussberatung" voraus sowie den  Bausteinkasten als Wahlmenü in ELA (z.B. drag'n'drop) und im Katalog/Flyer, wo (Auswahl) themen-/zielgruppenspez. Material sinnvoll.</t>
  </si>
  <si>
    <t>Bedarfsgerechte Bereitstellung von Flyern o. ä. (ggf. modular)</t>
  </si>
  <si>
    <r>
      <rPr>
        <sz val="11"/>
        <color rgb="FF000000"/>
        <rFont val="Arial"/>
      </rPr>
      <t>AZAV, Vertrieb =&gt; Vertriebsweg</t>
    </r>
    <r>
      <rPr>
        <sz val="11"/>
        <color rgb="FFFF0000"/>
        <rFont val="Arial"/>
      </rPr>
      <t xml:space="preserve"> 1-22 ERGÄNZEN
</t>
    </r>
    <r>
      <rPr>
        <sz val="11"/>
        <color rgb="FF000000"/>
        <rFont val="Arial"/>
      </rPr>
      <t>Marketing=&gt;</t>
    </r>
    <r>
      <rPr>
        <sz val="11"/>
        <color rgb="FFFF0000"/>
        <rFont val="Arial"/>
      </rPr>
      <t xml:space="preserve"> entsprechend Profile ERGÄNZEN</t>
    </r>
  </si>
  <si>
    <t>MA-VB2G, MA-AZAV, MA-M</t>
  </si>
  <si>
    <t>Simon, Stefan, Steffen i.V.m. Patrick + Marketing in Zust.</t>
  </si>
  <si>
    <t>Informationsveranstaltungen organisieren</t>
  </si>
  <si>
    <t>Informationsveranstaltungen bieten den IN die Möglichkeit, ihr Wissen über verschiedene Aspekte des Arbeitsmarktes, die wichtigsten Fördermöglichkeiten sowie Möglichkeiten der beruflichen Weiterbildung zu erweitern.</t>
  </si>
  <si>
    <t>Informationsveranstaltungen für relevante Zielgruppe planen und durchführen</t>
  </si>
  <si>
    <t>virtuell (online)</t>
  </si>
  <si>
    <t>Virtuelle Informationsveranstaltungen sollen IN dabei helfen, ihr Wissen mit Blick auf die Beantragung einer Bildungsmaßnahme zu verbessern und ihre Chancen auf eine erfolgreiche Wiedereingliederung in das Arbeitsleben zu erhöhen.</t>
  </si>
  <si>
    <t>Virtuelle Veranstaltungen (online) für relevante Zielgruppen planen und durchführen</t>
  </si>
  <si>
    <t>on-site (Face-to-Face)</t>
  </si>
  <si>
    <t>Physische Präsenz- bzw. Informationsveranstaltungen sollen IN dabei helfen, Kontakte zu Förderstellen und Bildungsträgern zu knüpfen, ihr Wissen mit Blick auf die Beantragung einer Bildungsmaßnahme zu verbessern und ihre Chancen auf eine erfolgreiche Wiedereingliederung in das Arbeitsleben zu erhöhen.</t>
  </si>
  <si>
    <t>Geeignete Veranstaltungen (z. B. Messen, Trägerkonferenzen) selektieren, Teilnahme planen und umsetzen</t>
  </si>
  <si>
    <t>Antragsunterstützung</t>
  </si>
  <si>
    <t>Personendatensatz anlegen</t>
  </si>
  <si>
    <t>Der zuständige MA-VB2G legt einen Personendatensatz an. Dieser Prozess ist erforderlich, um ein effektives Kundenmanagement zu gewährleisten, personalisierte Kundenansprache zu ermöglichen, Vertriebsprozesse effektive zu steuern und langfristige Kundenbeziehungen aufzubauen.</t>
  </si>
  <si>
    <t>Datensatz, der personenbezogene Daten sowie relevante Informationen über den Fördermittelgeber enthält</t>
  </si>
  <si>
    <t>Bildungsangebot legen</t>
  </si>
  <si>
    <t>Der zuständige MA-VB2G legt ein Bildungsangebot. Dieses dient dazu, IN sowie die beteiligten Fördermittelgeber über den konkreten Leistungsumfang einer Bildungsmaßnahme zu informieren.</t>
  </si>
  <si>
    <t>Zustimmungsfähiges Angebot mit detaillierten Informationen über den Leistungsumfang, die Dauer sowie die Kosten der Maßnahme</t>
  </si>
  <si>
    <t>Bildungspaket erstellen und versenden</t>
  </si>
  <si>
    <t>Bereitstellung der erforderlichen Antragsformulare und Unterlagen für die Beantragung eines Bildungsgutscheines, vor allem Anmeldebestätigung inkl. rechtlich korrekter AGBs: https://synology.bildungscampus-backnang.de:50823/?launchApp=SYNO.SDS.Drive.Application&amp;launchParam=file_id%3D737732481830137529</t>
  </si>
  <si>
    <t>Aussagekräftige Unterlagen, die eine zeitnahe Entscheidung seitens des Fördermittelgebers ermöglichen</t>
  </si>
  <si>
    <t>Wiedervorlage / Nachverfolgung einrichten</t>
  </si>
  <si>
    <t>Der zuständige MA-VB2G richtet eine Wiedervorlage / Nachverfolgung ein, um sicherzustellen, dass bestimmte Aufgaben oder Ereignisse nicht vergessen werden und zu einem späteren Zeitpunkt erneut überprüft oder bearbeitet werden können.</t>
  </si>
  <si>
    <t>MA-VB2G wird an die Angebotslegung erinnert, fasst konsequent nach und forciert den Abschluss</t>
  </si>
  <si>
    <t>N.N.</t>
  </si>
  <si>
    <t>Hilfe bei der Antragserstellung</t>
  </si>
  <si>
    <t>Unterstützung der Interessenten bei der Ausfüllung der Antragsformulare und Zusammenstellung der notwendigen Dokumente.</t>
  </si>
  <si>
    <t>Maßnahmennummer prüfen</t>
  </si>
  <si>
    <t>MA-VB2G prüft, ob eine MN-Nr. vorhanden ist oder noch beantragt werden muss</t>
  </si>
  <si>
    <t xml:space="preserve">Maßnahmennummer identifiziert eine bestimmte Bildungs- oder Qualifizierungsmaßnahme eindeutig. </t>
  </si>
  <si>
    <t>gibt es nur als Wiki ("Maßnahmenummer erhalten")
=&gt;sollte als Prozess auch in AZAV, Allgemeine Marktingaktivitäten on- und offline, Vetrieb, Anmeldeprozess, Anlage und Pflege der Bildungsprodukte im System</t>
  </si>
  <si>
    <t>MA-VB2G , MA-AZAV, MA-P</t>
  </si>
  <si>
    <t>MA-VB2G und/oder Patrick</t>
  </si>
  <si>
    <t>Prozessvorschlag MA-AZAV:</t>
  </si>
  <si>
    <t>1. MA-VB2G prüft, ob MN-Nr. vorhanden</t>
  </si>
  <si>
    <r>
      <t xml:space="preserve">2. </t>
    </r>
    <r>
      <rPr>
        <b/>
        <sz val="11"/>
        <color rgb="FFFF0000"/>
        <rFont val="Arial"/>
      </rPr>
      <t>wenn vorhanden</t>
    </r>
    <r>
      <rPr>
        <sz val="11"/>
        <color theme="1"/>
        <rFont val="Calibri"/>
        <family val="2"/>
        <scheme val="minor"/>
      </rPr>
      <t xml:space="preserve">, BG ausfüllen </t>
    </r>
  </si>
  <si>
    <r>
      <rPr>
        <sz val="11"/>
        <color rgb="FF000000"/>
        <rFont val="Arial"/>
      </rPr>
      <t xml:space="preserve">2.1. MA-VB2G lässt via Task </t>
    </r>
    <r>
      <rPr>
        <b/>
        <sz val="11"/>
        <color rgb="FF000000"/>
        <rFont val="Arial"/>
      </rPr>
      <t>ALLE</t>
    </r>
    <r>
      <rPr>
        <sz val="11"/>
        <color rgb="FF000000"/>
        <rFont val="Arial"/>
      </rPr>
      <t xml:space="preserve"> Zeitvarianten anlegen, um das ständige Anlegeprozedere zu umgehen</t>
    </r>
  </si>
  <si>
    <t>2.3. MA-P. legt Zeitvariante an, da dieser Inhalte und Umfang etc. kennt, es macht keinen Sinn, wenn diese MA-AZAV prüft</t>
  </si>
  <si>
    <r>
      <rPr>
        <sz val="11"/>
        <color rgb="FF000000"/>
        <rFont val="Arial"/>
      </rPr>
      <t xml:space="preserve">3.1. </t>
    </r>
    <r>
      <rPr>
        <b/>
        <sz val="11"/>
        <color rgb="FFFF0000"/>
        <rFont val="Arial"/>
      </rPr>
      <t>wenn NICHT vorhanden</t>
    </r>
    <r>
      <rPr>
        <sz val="11"/>
        <color rgb="FF000000"/>
        <rFont val="Arial"/>
      </rPr>
      <t>, Info via Task an MA-AZAV inkl. BG und allen rel. Infos (Task inkl. MA-MON, MA-P)</t>
    </r>
  </si>
  <si>
    <t>3.2. MA-AZAV beantragt MN-Nr. beim zust. (prüft dies) OS der BA</t>
  </si>
  <si>
    <t>3.3. nach Rücklauf, MA-AZAV informiert in entsprechendem Task über Nummer und lädt MN-Bogen in Ablagesystem und verlinkt diesen zudem im Task</t>
  </si>
  <si>
    <t>3.4. MA-P legt MN an</t>
  </si>
  <si>
    <t>3.5. MA-MON aktualisiert MN-Nr. auf HP (wobei MN Nr. auf HP nur bedingt sinnvoll, "auf Anfrage" würde reichen)</t>
  </si>
  <si>
    <t>Gültige MN-Nummer vorhanden</t>
  </si>
  <si>
    <t>Ersichtlich auf dem MN-Bogen, Gültigkeitsdatum beachten.</t>
  </si>
  <si>
    <t>Keine gültige MN-Nummer vorhanden</t>
  </si>
  <si>
    <t>Zu beantragen beim MA-AZAV unter Angabe der relevanten Infos, dieser fordert beim regional zuständigen OS der BA MN-Nr an.</t>
  </si>
  <si>
    <t>MA-VB2G , MA-AZAV</t>
  </si>
  <si>
    <t>MA-VB2G, Patrick</t>
  </si>
  <si>
    <t>Zugelassener kommunaler Träger (zkT)</t>
  </si>
  <si>
    <t>Bei zkT JC kann dies über den Arbeitgeberservice (AGS) bilateral ohne MA-AZAV laufen.</t>
  </si>
  <si>
    <t>Produktanlage</t>
  </si>
  <si>
    <t>Nach Eingang,  Eintragung auf BG.</t>
  </si>
  <si>
    <t>MA-VB2G via Patrick, Simone</t>
  </si>
  <si>
    <t>TN-Registrierung und Verwaltung</t>
  </si>
  <si>
    <t>In diesem Prozess werden die Anmeldungen der TN verwaltet, ihre persönlichen Daten erfasst und die Förderberechtigung geprüft. Digitale Checkliste im System, die den On-/Off-Boardingprozess vom Erstgespräch bis Abschluss dokumentiert.</t>
  </si>
  <si>
    <t xml:space="preserve"> Allgemein,  Anmeldeprozess</t>
  </si>
  <si>
    <t>Anmeldung und Datenerfassung</t>
  </si>
  <si>
    <t>Bereitstellung von Anmeldeformularen</t>
  </si>
  <si>
    <t>Anmeldeunterlagen prüfen</t>
  </si>
  <si>
    <t xml:space="preserve">Der zuständige MA-VB2G stellt sicher, dass die Anmeldeunterlagen vollständig, korrekt und im Einklang mit gesetzlichen Bestimmungen und internen Richtlinien sind. </t>
  </si>
  <si>
    <t>Anmeldeunterlagen sind vollständig und korrekt ausgefüllt oder müssen vom IN nachgebessert werden</t>
  </si>
  <si>
    <t>Der zuständige MA-VB2G überprüft, ob bereits ein Personendatensatz existiert, und legt diesen im Bedarfsfall neu an.</t>
  </si>
  <si>
    <t>Zugangsdaten anlegen und versenden</t>
  </si>
  <si>
    <t>Zugangsdaten werden vom zuständigen MA-VB2G angelegt und versendet, um den Zugriff auf den OC zu ermöglichen. Sie sind wichtig, um die Sicherheit des Systems zu gewährleisten, die Identität des TN zu überprüfen, den Zugriff auf Informationen und Funktionen zu verwalten, die Compliance-Anforderungen einzuhalten und Benutzeraktivitäten zu überwachen.</t>
  </si>
  <si>
    <t>TN erhält Zugriff auf den OC</t>
  </si>
  <si>
    <t>Allgemeine Verfahrensanweisungen der Studienbetreuung, Bildungsberatung, Fördermöglichkeiten, Interessentenanfragen, Online Campus, Teilnehmerbetreuung</t>
  </si>
  <si>
    <t>Maßnahme buchen</t>
  </si>
  <si>
    <t xml:space="preserve">Die Bildungsmaßnahme muss vom zuständigen MA-VB2G eingebucht werden, um sicherzustellen, dass der TN offiziell für die Maßnahme angemeldet ist und Zugang zu allen relevanten Informationen und Ressourcen hat. </t>
  </si>
  <si>
    <t>TN erhält systemseitigen Zugriff auf die bewilligte Bildungsmaßnahme</t>
  </si>
  <si>
    <t>Lern- und Lehrmittel freischalten</t>
  </si>
  <si>
    <t xml:space="preserve">Lern- und Lehrmittel müssen bei einer Bildungsmaßnahme freigeschaltet werden, um sicherzustellen, dass die TN auf alle erforderlichen Ressourcen zugreifen können, die für ein erfolgreiches Lernen notwendig sind. </t>
  </si>
  <si>
    <t>TN verfügt über die erforderlichen Lern- und Lehrmittel, um erfolgreich an der Bildungsmaßnahme teilnehmen zu können</t>
  </si>
  <si>
    <t>MA-VB2G
=&gt;Übergabe an MA-SB2G</t>
  </si>
  <si>
    <t>Hilfsmittel bereitstellen</t>
  </si>
  <si>
    <t>Hilfsmittel (z. B. IHK-Formelsammlung, Gesetzestexte) müssen bei einer Bildungsmaßnahme bereitgestellt werden, um sicherzustellen, dass die TN über alle notwendigen Ressourcen verfügt, die für ein erfolgreiches Lernen erforderlich sind. Damit ist insbesondere die Logistik (Bestellung und Versand) gemeint, die hinter diesem Prozess steht. Diese legt Produktmanager fest und hinterlegt im Produktplan, informiert sowohl MA-SA (Bestellung/Bereitstellung an TN) sowie bei AZAV-rel. Produkten MA-AZAV zu Kalkulation d. MN.</t>
  </si>
  <si>
    <t>TN verfügt über die erforderlichen Hilfsmittel, um erfolgreich an der Bildungsmaßnahme teilnehmen zu können</t>
  </si>
  <si>
    <t>Allgemeine Verfahrensanweisungen der Studienbetreuung, Bildungsberatung, Fördermöglichkeiten, Interessentenanfragen, Online Campus, Teilnehmerbetreuung, Projektmanagement, AZAV</t>
  </si>
  <si>
    <t>MA-P, AZAV, MA-SA, MA-VB2G</t>
  </si>
  <si>
    <t>Produktmanager (legt Hilfsmittel fest, dokumentiert, im Produktplan und meldet diese)
=&gt;Patrick (kalk. bei Bedarf ein, wenn AZAV-rel. Produkt)
=&gt;Pascal (bestellt und listet zentral n. Weiterbildung)  
=&gt;MA-VB2G (erhält Info)</t>
  </si>
  <si>
    <t>Leihgerät anfordern</t>
  </si>
  <si>
    <t>Um erfolgreich an der Bildungsmaßnahme teilnehmen zu können, ist es erforderlich, dass die TN über die notwendige technische Ausstattung verfügen. Ein Laptop ermöglicht den TN, an Lehrveranstaltungen teilzunehmen und auf die Kursinhalte zuzugreifen. Hinweis auf Möglichkeit muss Teil der Buchungsbestätigung sein!</t>
  </si>
  <si>
    <t>TN verfügt über die technische Ausstattung, um erfolgreich an der Bildungsmaßnahme teilnehmen zu können</t>
  </si>
  <si>
    <t>Leihgerät aufsetzen und an Logistik übergeben</t>
  </si>
  <si>
    <t>Der Prozess stellt sicher, dass alle sensiblen Daten und persönlichen Informationen der vorherigen TN vollständig gelöscht werden.</t>
  </si>
  <si>
    <t>Neuinstallation stellt sicher, dass der Laptop ordnungsgemäß funktioniert und keine technischen Probleme auftreten, die die Teilnahme an der Bildungsmaßnahme beeinträchtigen könnten</t>
  </si>
  <si>
    <t>Leihgerät an TN versenden</t>
  </si>
  <si>
    <t xml:space="preserve">Der Prozess stellt sicher, dass der TN das Gerät vor Beginn der Bildungsmaßnahme erhält und sich rechtzeitig damit vertraut machen kann. </t>
  </si>
  <si>
    <t>TN verfügt rechtzeitig über ein einsatzbereites Gerät</t>
  </si>
  <si>
    <t>Leihgerät zurückerhalten</t>
  </si>
  <si>
    <t xml:space="preserve">Der Prozess stellt sicher, dass der TN das Gerät nach Ende der Bildungsmaßnahme zurücksendet. </t>
  </si>
  <si>
    <t>Laptop wird auf mögliche Schäden überprüft und für die weitere Nutzung vorbereitet</t>
  </si>
  <si>
    <t>Allgemeine Verfahrensanweisungen der Studienbetreuung</t>
  </si>
  <si>
    <t>Buchungsbestätigung erstellen</t>
  </si>
  <si>
    <t>Eine gesetzeskonforme Buchungsbestätigung ist wichtig, um die Teilnahme an der Maßnahme nachweisen und dokumentieren zu können. Sie stellt die Vertragsbedingungen und Pflichten des TN / MA-VB2G klar und hebt die verbindliche Natur des Vertrages hervor. AGBs müssen korrekt sein und ggf. regelm. aktualisiert werden, wenn Neuerungen kommuniziert.</t>
  </si>
  <si>
    <t>TN erhält einen offiziellen Nachweis, dass er die Bildungsmaßnahme gebucht hat und berechtigt ist, daran teilzunehmen</t>
  </si>
  <si>
    <t>TN-Unterlagen an Fördermittelgeber + TN versenden und archivieren</t>
  </si>
  <si>
    <t>Die Vertragsunterlagen müssen an den TN und den Fördermittelgeber versendet werden, um sicherzustellen, dass beide Parteien über alle Einzelheiten des Vertrags informiert sind und ihre Rechte und Pflichten kennen.</t>
  </si>
  <si>
    <t>Beteiligte Parteien werden über die Buchung und die Teilnahme an der Bildungsmaßnahme informiert</t>
  </si>
  <si>
    <t>Übergabe des TN an die Studienbetreuung</t>
  </si>
  <si>
    <t>Der Prozess stellt sicher, dass der MA-SB2G schnell und effektiv mit der Betreuung des TN beginnen kann.</t>
  </si>
  <si>
    <t>Individuelle Betreuung und eine effektive Steuerung der Maßnahme</t>
  </si>
  <si>
    <t>Kommunikation</t>
  </si>
  <si>
    <t>Prüfung der Antragsunterlagen</t>
  </si>
  <si>
    <t>Die eingereichten Unterlagen der Teilnehmer werden geprüft, um die Berechtigung für den Bildungsgutschein zu bestätigen.</t>
  </si>
  <si>
    <t>Kommunikation mit Fördermittelgebern</t>
  </si>
  <si>
    <t>Das Institut bleibt in Kontakt mit dem Arbeitsvermittler bzw. der Agentur für Arbeit, um den Status der Fördermittel zu klären und eventuelle Fragen zu klären. Ergänzende Kontaktpflege, um weitere Bildungsgutscheine von diesem Berater zu erhalten. Beim Krisenintervention/komplexen Fragen/Sachverhalten, ggf. MA-AZAV konsultieren/hinzuziehen. Ebenso sollte Prozess zur Kommunikation/Interaktion/der Beteiligten bei Beschwerden/leistungsschwachen/undiszipl. TN entlang Schnittstellen erdacht werden.</t>
  </si>
  <si>
    <t>Der regelmäßige Austausch mit den Fördermittelgebern trägt dazu bei, dass die MA-VB2G / MA-AZAV stets aktuelle Informationen über Förderprogramme, gesetzliche Rahmenbedingungen, Qualifikationsanforderungen und andere relevante Aspekte erhalten. Dadurch wird eine passgenaue Unterstützung der TN sowie eine enge Verbindung zum Arbeitsmarkt sichergestellt. Die zielgerichtete Kommunikation mit dem Fördermittelgeber ermöglicht es dem MA-VB2G / MA-AZAV, sein Netzwerk auszubauen und (weitere) Kooperationsmöglichkeiten zu identifizieren.</t>
  </si>
  <si>
    <t xml:space="preserve"> Allgemein, Anmeldeprozess, Teilnehmerbetreuung, Stornierungen/Umbuchung/Kündigung/Abbruch, AZAV</t>
  </si>
  <si>
    <t>MA-VB2G, MA-AZAV</t>
  </si>
  <si>
    <t>Simon, Stefan, Patrick</t>
  </si>
  <si>
    <t>Rückmeldung an Teilnehmer</t>
  </si>
  <si>
    <t>Nach der Überprüfung der Förderberechtigung wird der Teilnehmende über den Status der Anmeldung informiert.</t>
  </si>
  <si>
    <t>Maßnahmenzuweisung</t>
  </si>
  <si>
    <t>Kurszuweisung</t>
  </si>
  <si>
    <t>Dem Teilnehmenden wird auf Basis der Bedarfsanalyse der geeigneten Kurse eingebucht</t>
  </si>
  <si>
    <t>Kommunikation von Kursdetails</t>
  </si>
  <si>
    <t>Die Teilnehmende erhält Informationen über die ihnen zugewiesene Maßnahme (Buchungsbestätigung)</t>
  </si>
  <si>
    <t>Teilnehmerbetreuung und -dokumentation</t>
  </si>
  <si>
    <t>Durchführung von Bildungsmaßnahmen</t>
  </si>
  <si>
    <t>Hier geht es um die eigentliche Durchführung der Maßnahmen, einschließlich der Organisation, der Einhaltung von Lehrplänen und der Überwachung des Lernfortschritts der Teilnehmenden.</t>
  </si>
  <si>
    <t>Teilnehmer betreuen</t>
  </si>
  <si>
    <t>Während der gesamten Bildungsmaßnahme sollte das Institut die Teilnehmer betreuen und bei Fragen oder Problemen unterstützen, ggf. auch präventiv, wenn sich eine Verlängerung anbahnt, das Gespräch mit der Vermittlungsfachkraft suchen und positiv argumentieren, bei negativen ist die entlastente Eignungsfeststellung heranzuziehen, die jedoch natürlich trotzdem den MN-Erfolg erkennen ließ.</t>
  </si>
  <si>
    <t>Endlich kann es losgehen</t>
  </si>
  <si>
    <t>Der Prozess dient dazu, die TN besser auf die Bildungsmaßnahme vorzubereiten, sie zu motivieren, Verbindlichkeit herzustellen und eine persönliche Ebene mit dem MA-SB2G zu finden.</t>
  </si>
  <si>
    <t>Schriftliche Mitteilung (OC) mit Informationen zum MA-SB2G sowie Links zur Prüfungsordnung und Weiterbildungsanleitung</t>
  </si>
  <si>
    <t>Allgem. Teilnehmerbetreuung, Anmeldeprozess, Teilnehmerbetreuung, Stornierungen/Umbuchung/Kündigung/Abbruch, Online Campus</t>
  </si>
  <si>
    <t>MA-SB2G</t>
  </si>
  <si>
    <t>Deine Live-Webinar-Termine</t>
  </si>
  <si>
    <t>Der Prozess schafft einen Überblick über die zeitliche Struktur der Maßnahme und stellt sicher, dass alle Beteiligten über wichtige Termine und Ereignisse informiert sind.</t>
  </si>
  <si>
    <t>Schriftliche Mitteilung (OC) mit Zusammenfassung der Termine für LOS und Online-Prüfungen</t>
  </si>
  <si>
    <t>Effizientes Lernen</t>
  </si>
  <si>
    <t>Der Prozess hilft den TN dabei, ihre Lernziele schneller und effektiver zu erreichen. Wenn TN verstehen, wie sie am besten lernen, können sie ihre Zeit und Energie besser nutzen und ihre Lernleistung steigern.</t>
  </si>
  <si>
    <t>Schriftliche Mitteilung (OC) mit Link zum WBT "Effizientes Lernen"</t>
  </si>
  <si>
    <t xml:space="preserve">Webinar verpasst </t>
  </si>
  <si>
    <t>Der Prozess stellt sicher, dass der TN den verpassten Inhalt so schnell wie möglich nachholt, um bei der nächsten Veranstaltung auf dem gleichen Stand wie die anderen TN zu sein und der MA-SB2G seiner Berichts- / Meldepflicht nachkommt.</t>
  </si>
  <si>
    <t>Information an TN</t>
  </si>
  <si>
    <t>Der Prozess dient dazu, TN schnellstmöglich über Ersatztermine zu informieren, um die Förderung nicht zu riskieren. Die regelmäßige Teilnahme an Lehrveranstaltungen und das Erreichen bestimmter Lernziele gehört zu den Verpflichtungen des TN. Wenn ein TN eine Lehrveranstaltung verpasst, kann dies dazu führen, dass er diese Ziele nicht erreicht oder das er seinen zeitlichen Rahmen für die Maßnahme nicht einhalten kann.</t>
  </si>
  <si>
    <t>Schriftliche Mitteilung (OC)</t>
  </si>
  <si>
    <t>Meldung an Fördermittelgeber (wenn Seminar verpasst)</t>
  </si>
  <si>
    <t>Der Prozess stellt sicher, dass der MA-SB2G seiner Berichts- / Meldepflicht nachkommt und dem Fördermittelgeber proaktiv Informationen übermittelt, die für die Überwachung der Förderung und die Einhaltung der gesetzlichen Bestimmungen relevant sind.</t>
  </si>
  <si>
    <t>Schriftliche Mitteilung (E-Mail)</t>
  </si>
  <si>
    <t>Lernfortschritt kontrollieren und dokumentieren</t>
  </si>
  <si>
    <t>Der Fortschritt ist automatisiert dokumentiert. Darauf basierend sind Auswertungen zu führen, um die Maßnahme ggfls. anzupassen. Automatisches Meldesystem zur Ermittlung von Fehlzeiten oder Fehlzeitenüberschreitung (bei IHK-Umschulungen von immenser Bedeutung!!!) sowie Kontaktprozess zur Prävention mit AVs.</t>
  </si>
  <si>
    <t>Der Prozess dient dazu, TN frühzeitig Feedback zu geben, wenn sie nicht den erwarteten Lernfortschritt erzielen. Es sollten gemeinsam Lösungen gefunden werden, um den Lernprozess zu verbessern und das Ziel der Bildungsmaßnahme zu erreichen.</t>
  </si>
  <si>
    <t>Meldung an Fördermittelgeber (wenn LF nicht ausreichend)</t>
  </si>
  <si>
    <t>Der MA-SB2G ist dazu verpflichtet, den Lernfortschritt der TN zu überwachen und sicherzustellen, dass die individuellen Ziele der Bildungsmaßnahme erreicht werden. Wenn die erforderlichen Lernfortschritt ausbleiben, muss der MA-SB2G seiner Berichts- / Meldepflicht nachkommen und dem Fördermittelgeber proaktiv Informationen übermittelt, die für die Überwachung der Förderung und die Einhaltung der gesetzlichen Bestimmungen relevant sind.</t>
  </si>
  <si>
    <t>Abbruch der Maßnahme seitens des Fördermittelgebers</t>
  </si>
  <si>
    <t>Der MA-SB2G tritt mit dem Fördermittelgeber in Kontakt, um die genauen Gründe für den Abbruch der Bildungsmaßnahme zu erfahren. Es ist wichtig, alle erforderlichen Informationen zu erhalten, um angemessen reagieren zu können.</t>
  </si>
  <si>
    <t>Der MA-SB2G kommt seiner gesetzlichen Verpflichtungen nach und informiert den TN über den Abbruch der Bildungsmaßnahme.</t>
  </si>
  <si>
    <t>Meldung an Fördermittelgeber (Nach Abbruchwunsch)</t>
  </si>
  <si>
    <t>Der MA-SB2G bestätigt dem Fördermittelgeber den Abbruch der Bildungsmaßnahme. Der Prozess gewährleistet eine formale, dokumentierte Kommunikation und regelt den Informationsfluss sowie die gesetzlichen und finanziellen Aspekte des Abbruchs.</t>
  </si>
  <si>
    <t>Rücktritt von der Maßnahme seitens des TN</t>
  </si>
  <si>
    <t>Der MA-SB2G bespricht den Rücktritt mit dem TN, um die individuellen Umstände, Auswirkungen (ggf. auch rechtlich) und alle weiteren Schritte zu klären.</t>
  </si>
  <si>
    <t>Rücktrittsbestätigung an TN</t>
  </si>
  <si>
    <t>Der MA-SB2G kommt seiner gesetzlichen Verpflichtungen nach und bestätigt den Rücktritt gegenüber dem TN.</t>
  </si>
  <si>
    <t>Meldung an Fördermittelgeber</t>
  </si>
  <si>
    <t xml:space="preserve">Der MA-SB2G ist dazu verpflichtet, dem Fördermittelgeber den Rücktritt zu melden. </t>
  </si>
  <si>
    <t>Maßnahme beendet</t>
  </si>
  <si>
    <t>Der MA-SB2G stellt sicher, dass alle erforderlichen Schritte und Abschlussaktivitäten ordnungsgemäß durchgeführt werden.</t>
  </si>
  <si>
    <t>Der MA-SB2G kommt seiner gesetzlichen Verpflichtungen nach und bestätigt dem TN das Ende der Maßnahme.</t>
  </si>
  <si>
    <t xml:space="preserve">Der MA-SB2G ist dazu verpflichtet, den Fördermittelgeber über das Maßnahmeende zu informieren. </t>
  </si>
  <si>
    <t>Leihgerät zurückfordern</t>
  </si>
  <si>
    <t>Der MA-SB2G fordert das Leihgerät beim TN zurück, um es für andere Bildungsmaßnahmen oder TN wiederverwenden zu können. Dies optimiert die Nutzung der Geräte und ermöglicht es, sie effektiv in anderen Kontexten einzusetzen.</t>
  </si>
  <si>
    <t>Rücksendeschein erstellen und an TN versenden</t>
  </si>
  <si>
    <t>Der MA-SB2G stellt dem TN einen Rücksendeschein zur Verfügung. Dadurch wird der Rückgabeprozess des Leihgeräts organisiert, dokumentiert und effizienter gestaltet. Dem TN liegen alle erforderlichen Informationen und Unterlagen vor, was den administrativen Aufwand für den MA-SB2G reduziert. Dadurch wird der Prozess beschleunigt und eine reibungslose Rückgabe des Geräts ermöglicht.</t>
  </si>
  <si>
    <t>Rücklauf kontrollieren</t>
  </si>
  <si>
    <t>Der MA-SB2G stellt sicher, dass der TN die vereinbarten Nutzungsbedingungen einhält. Dazu gehören beispielsweise die Nutzungsdauer, der Umgang mit dem Gerät und die Einhaltung von Sicherheitsrichtlinien. Durch regelmäßige Kontrollen können mögliche Missbräuche oder Verstöße frühzeitig erkannt und entsprechende Maßnahmen ergriffen werden.</t>
  </si>
  <si>
    <t>Wiedervorlage / Nachverfolgung einrichten, Wareneingang kontrollieren</t>
  </si>
  <si>
    <t>Erinnerung an die Rückgabe des Leihgerätes</t>
  </si>
  <si>
    <t>Der MA-SB2G stellt sicher, dass Verzögerungen vermieden werden und die hohe Verfügbarkeit von Leihgeräten gewährleistet ist.</t>
  </si>
  <si>
    <t>Letzte Aufforderung zur Rückgabe des Leihgerätes</t>
  </si>
  <si>
    <t>Der MA-SB2G ergreift angemessene Maßnahmen, um die Rückgabe des Leihgerätes zu beschleunigen. Dabei bleibt er während des gesamten Prozesses professionell, respektvoll und lösungsorientiert.</t>
  </si>
  <si>
    <t>Schriftliche Mitteilung (Brief / Einschreiben)</t>
  </si>
  <si>
    <t>Abschlussdokumente erstellen und an TN versenden</t>
  </si>
  <si>
    <t>Der MA-SB2G sorgt dafür, dass der TN die entsprechenden Abschlussdokumente, Zertifikate oder Teilnahmebescheinigungen erhält. Das Zertifikat/die Vorlage sollte mit Buchbarkeit bereitstehen, ungleich z.B. Scrum.</t>
  </si>
  <si>
    <t>Schriftliche Mitteilung (Brief)</t>
  </si>
  <si>
    <t>IHK-Prüfungszulassung anfordern</t>
  </si>
  <si>
    <t>Der MA-SB2G stellt sicher, dass der TN alle Voraussetzungen für die Teilnahme an der Prüfung erfüllt und das der Prüfungsprozess ordnungsgemäß organisiert und durchgeführt wird.</t>
  </si>
  <si>
    <t>Eingang kontrollieren</t>
  </si>
  <si>
    <t xml:space="preserve">Der MA-SB2 kontrolliert, ob der TN alle erforderlichen Schritte für die Teilnahme an der Prüfung unternommen hat. </t>
  </si>
  <si>
    <t>Erinnerung an die IHK-Prüfungszulassung</t>
  </si>
  <si>
    <t>Durch die Erinnerung an den fehlenden Eingang der IHK-Prüfungszulassung stellt der MA-SB2G sicher, dass der TN aktiv wird, um den erforderlichen Antrag einzureichen und die Teilnahme an der Prüfung nicht zu gefährden.</t>
  </si>
  <si>
    <t>Kostenübernahmeerklärung (IHK) erstellen und versenden</t>
  </si>
  <si>
    <t>Durch die Übermittlung der Kostenübernahme an die IHK stellt der MA-SB2G sicher, dass alle relevanten Informationen zur Zahlung der Prüfungsgebühren vorliegen und dass die finanzielle Abwicklung ordnungsgemäß erfolgt.</t>
  </si>
  <si>
    <t>Laufende Betreuung</t>
  </si>
  <si>
    <t>Dokumentation von Teilnehmerfortschritt</t>
  </si>
  <si>
    <t>Aktualisierung von Teilnehmerdaten</t>
  </si>
  <si>
    <t>Bei Änderungen der persönlichen Daten der Teilnehmer sollten diese in der Datenbank aktualisiert werden, um eine kontinuierliche und korrekte Kommunikation zu gewährleisten.</t>
  </si>
  <si>
    <t>Effektive Kommunikation</t>
  </si>
  <si>
    <t>Allgemeine Verfahrensanweisungen der Studienbetreuung, Anmeldeprozess</t>
  </si>
  <si>
    <t>Christina bzw. JEDER, dem mitgeteilt</t>
  </si>
  <si>
    <t>Tutoring und Lernbegleitung</t>
  </si>
  <si>
    <t>Bereitstellung von qualifizierten Tutoren oder Lernbegleitern, die die Teilnehmer während des Fernlehrgangs individuell unterstützen und bei Fragen oder Problemen helfen. Diese müssen im AZAV-Bereich die fachliche, praktische und pädagogische Eignung erfüllen. Ggf. hier Prozess zur Abstimmung der bzw. generell der Akquisemethode (Vorrang/Nachrang) und Eignung für AZAV-relevante Produkte. Evtl. sollte, neben der Prüfung der AZAV-Relevanz der Produkte, übergreifend auch eine Profilvorlage anhand Zielgruppe/Inhalten der MN erstellt werden.</t>
  </si>
  <si>
    <t>Individuelle Unterstützung und Betreuung, zugeschnitten auf die spezifischen Bedürfnisse und Lernziele des TN</t>
  </si>
  <si>
    <t>Allgemeine Verfahrensanweisungen der pädagogischen Abteilung, Dozenten, Tutor, Ausbildungsstätten</t>
  </si>
  <si>
    <t>MA-PER, TU, DO</t>
  </si>
  <si>
    <t>Max, Yvonne D.</t>
  </si>
  <si>
    <t>optimale Qualität, Minderung der Varianz, gezieltes Profiling der MA bei Neueinstellungen, effiziente Weiterbildung und somit mehr TN-Zufriedenheit und Umsatzplus</t>
  </si>
  <si>
    <t>Kommunikation und Feedback</t>
  </si>
  <si>
    <t>Kurzbeschreibung: Organisation von Kommunikationskanälen (z.B. Foren, E-Mail, Chat) für den Austausch zwischen Teilnehmern und Tutoren sowie für regelmäßiges Feedback zur Lernfortschritt und -erfahrung. Bsp. Sollten TN eigene (themenbezogene oder personalisierte) Räume zur Lerngruppenbildung oder punktuellem Austausch, auch mit Tutoren/Dozenten, eröffnen und andere TN dazu einladen können. Dozenten/Tutoren sollten dies analog können, Räume könnten ggf. optional zeitlich befristet geöffnet werden.</t>
  </si>
  <si>
    <t>Stärken und Schwächen erkennen, Verbesserungspotenziale identifizieren, Leistung kontinuierlich verbessern, Motivation und Engagement steigern, Selbstreflexion fördern, offene Kommunikation zwischen TN und MA-SB2G aufbauen</t>
  </si>
  <si>
    <t>Allgemeine Verfahrensanweisungen der pädagogischen Abteilung, Dozenten, Tutor, Adobe, Online Campus</t>
  </si>
  <si>
    <t>MA-PER, MA-SB2G, TU, DO, MA-AZAV</t>
  </si>
  <si>
    <r>
      <rPr>
        <b/>
        <sz val="11"/>
        <color rgb="FF000000"/>
        <rFont val="Arial"/>
      </rPr>
      <t xml:space="preserve">Max, Yvonne D.
+
ggf. Studienbetreuung für weitere Kommunikation, wie Gruppenräume
</t>
    </r>
    <r>
      <rPr>
        <sz val="11"/>
        <color theme="1"/>
        <rFont val="Calibri"/>
        <family val="2"/>
        <scheme val="minor"/>
      </rPr>
      <t>+ ggf. Patrick bei Auffälligkeiten i.R.d. Evaluation</t>
    </r>
  </si>
  <si>
    <t>Steigerung der TN-Zufriedenheit und Erhöhung des Lernerfolges und damit IQ durch Synergieeffekte</t>
  </si>
  <si>
    <t>Überwachung des Lernfortschritts</t>
  </si>
  <si>
    <t>Simon, Stefan</t>
  </si>
  <si>
    <t>Leistungsdokumentation und Berichterstattung</t>
  </si>
  <si>
    <t>Erfassung und Dokumentation der Leistungen und Lernfortschritte der Teilnehmer sowie regelmäßige Berichterstattung an interne und externe Stakeholder (z. B. Agentur für Arbeit).</t>
  </si>
  <si>
    <t>Diese sollte automatisch, z.B. wöchentlich, generiert und entsprechend der Wünsche der Vermittler versendet werden (Intervalleinstellung). Z.B. "Ihr TN XY ist i.R. der Weiterbildung "QM" (Soll/Ist), mit den aktuellen Noten... und hat bereits folgende Bausteinzertifikate erworben (Soll/Ist).</t>
  </si>
  <si>
    <t>Früherkennung und Unterstützung bei Lernschwierigkeiten</t>
  </si>
  <si>
    <t>Identifizierung von Teilnehmern, die besondere Schwierigkeiten im Fernlehrgang haben, und Bereitstellung gezielter Unterstützung oder Anpassung des Lernplans, um den Lernerfolg zu fördern. Hierzu dient auch eine individueller Eignungsfeststellung, aus der ggf. bereits Wiedervorlagen zu gezielten Themen sowie Hilfeabsprachen/deren Doku und Meldung zwischen Betreuung, TN und ggf. Vermittler abgleitet werden können.</t>
  </si>
  <si>
    <t>Inaktivitätsmeldungen über Ela automatisiert - Workflow starten?!</t>
  </si>
  <si>
    <t>Qualitätssicherung und kontinuierliche Verbesserung</t>
  </si>
  <si>
    <t>Weiterbildung der Tutoren und Lernbegleiter</t>
  </si>
  <si>
    <t>Regelmäßige Schulungen und Weiterbildungen für Tutoren und Lernbegleiter, um ihre fachlichen und pädagogischen Kompetenzen zu erweitern und auf dem neuesten Stand zu halten.
Interne Audits: zur Vereinfachung des Systems in RS mit dem Auditor, wurde folgender, einfacherer Prozess, als praktikabel und rechtskonform 
-I.R.d. Audits wurde auch dringend (Auditerfolgsrelevant!) bzgl. der Kontrolle der Weiterbildung der Lehrgangsleiter zur  Prozessausarbeitung geraten und i.R. des Audits zur Erfüllung der Grundanforderungen angepasst: http://wiki.academyofsports.online/tiki-index.php?page=Unternehmensleits%C3%A4tze</t>
  </si>
  <si>
    <t>Die Qualität der Bildungsmaßnahmen wird verbessert, der Lernerfolg der TN gesteigert und eine professionelle sowie zeitgemäße Lernumgebung geschaffen. Eine kontinuierliche Weiterbildung zahlt auf die fachlichen Kenntnisse und pädagogischen Fähigkeiten unserer Tutoren und Lernbegleiter ein.</t>
  </si>
  <si>
    <r>
      <rPr>
        <sz val="11"/>
        <color rgb="FF000000"/>
        <rFont val="Arial"/>
      </rPr>
      <t xml:space="preserve">Allgemeine Verfahrensanweisungen der pädagogischen Abteilung, Dozenten, Tutor, Abweichungen/Beschwerden erfassen, Lehrgangsabschluss
</t>
    </r>
    <r>
      <rPr>
        <sz val="11"/>
        <color rgb="FFFF0000"/>
        <rFont val="Arial"/>
      </rPr>
      <t>SOWIE WIKI KONTINUIERLICHE WEITERBILDUNG</t>
    </r>
  </si>
  <si>
    <t>MA-PER + MA-AZAV, , TU, DO</t>
  </si>
  <si>
    <r>
      <rPr>
        <b/>
        <sz val="11"/>
        <color rgb="FF000000"/>
        <rFont val="Arial"/>
      </rPr>
      <t xml:space="preserve">Max, Yvonne D.
</t>
    </r>
    <r>
      <rPr>
        <sz val="11"/>
        <color theme="1"/>
        <rFont val="Calibri"/>
        <family val="2"/>
        <scheme val="minor"/>
      </rPr>
      <t>ggf. i.V.m. Patrick (bedarfsbezogen)</t>
    </r>
  </si>
  <si>
    <t>verbindliche Bedarfsermittlung in Form z.B. Audits/Evaluationen/Prozessautomatik zum (transparenten) Umgang mit relevanten Ereignissen, wie Beschwerden/Individuell "verschuldete" Abweichungen/Varianz</t>
  </si>
  <si>
    <t>Ggf. könnte ein transparenter Prozess entwickelt werden, wonach den Dozenten/Tutoren bei stufenweiser, zunehmender Durchführung von UEs (z.B. alle 500) und Absolvierung bestimmter, von uns geforderter Weiterbildungen, automatisch das Honorar angepasst wird. Quasi vgl. Entgelttabelle im ÖD.</t>
  </si>
  <si>
    <t>ein Prozess, der transparent Erfahrung/Leistung und Qualifikation der ext. MA honoriert und fördert sowie zum Institut passende bindet bzw. ebd. neue akquiriert ist zu def.</t>
  </si>
  <si>
    <t>MA-PER + MA-AZAV, TU, DO</t>
  </si>
  <si>
    <t>Rückgriff auf Alumni: gerade ältere/sehr qualifizierte TN aus „komplexeren“ Weiterbildungen sind oft sehr offen für entsprechende Angebote bzw. forcieren dies proaktiv.
=&gt;Anwerbe- und Einführungsprozess, z.B. Hospitationen, Beratung bei den Schritten in die Selbstständigkeit usw. Zudem Interessensabfrage i.R. der Alumnibefragung/Eingliederungsbefragung.</t>
  </si>
  <si>
    <t>ein Prozess, der transparent Erfahrung/Leistung und Qualifikationsprofile der Alumni systematisch und bedarfsorientiert analysiert und passende Profile akquiriert ist zu def.</t>
  </si>
  <si>
    <t>Qualitätsmanagement und Evaluation</t>
  </si>
  <si>
    <t>Um die Qualität der Bildungsangebote sicherzustellen, sollte ein Prozess zur regelmäßigen Evaluation der Maßnahmen, Dozenten und Materialien etabliert werden. Dazu gehört auch die Sammlung von Feedback der Teilnehmer und die kontinuierliche Verbesserung des Bildungsangebots.</t>
  </si>
  <si>
    <t>Entwicklung und Implementierung von Qualitätsstandards</t>
  </si>
  <si>
    <t>Definition von Qualitätszielen</t>
  </si>
  <si>
    <t>Festlegung der Qualitätsziele für Fernlehrgänge, die auf die Bedürfnisse der Teilnehmer und die Anforderungen der Fördermittelgeber abgestimmt sind, unter Berücksichtigung der Zielgruppe (Abbruchrisiko). Ggf. über DQR der Zielgruppe zugeordnet zur Weiterbildung sowie adaptive TN-Profile, die idealerweise (in Absprache) i.R. der Produktentwicklung ("Idealteilnehmer") herausgearbeitet und bei der Taxonomie/Didaktik berücksichtigt werden.</t>
  </si>
  <si>
    <t>Ausrichtung, Überwachung und kontinuierliche Verbesserung (KVP) der Qualität von Bildungsmaßnahmen</t>
  </si>
  <si>
    <t>Müsste m.E. in Konsens/Abstimmung neu def. werden und Prozess erarbeitet.</t>
  </si>
  <si>
    <t>übergreifend</t>
  </si>
  <si>
    <t>Erhöhung der Qualität, damit einhergehend Quantität infolge Effizienz/Marktrelevanz durch Verringerung der Varianz und somit Umsatzsteigerung</t>
  </si>
  <si>
    <t>Konsens über Ziele und Kenntnis/Antizipierung der Marktrelevanz</t>
  </si>
  <si>
    <t>Erstellung von Qualitätsrichtlinien</t>
  </si>
  <si>
    <t>Entwicklung von Richtlinien und Verfahren, die sicherstellen, dass die Qualitätsziele in den Fernlehrgängen erreicht werden.
=&gt;Indikatoren wie Abbruchquoten (differenziert nach Zielgruppen, Rechtskreis, Weiterbildungsthemen- und Niveau u.v.m.) sowie Eingliederungsquoten (Zeitreihenvgl. nach 3 und 6 Monaten, wie u.g.), ggf. Zielgruppenspezifisch, Einkommensniveau sowie Nachhaltigkeit der Beschäftigung (dauert an/nicht an).</t>
  </si>
  <si>
    <t>Klarheit und Transparenz, kontinuierliche Verbesserung (KVP) , einheitliche Kommunikation, Verständnis über Qualitätsstandards innerhalb der Organisation, Referenzpunkt für Diskussionen über Qualität, effektive Zusammenarbeit und Austausch von Informationen</t>
  </si>
  <si>
    <t>Konsens über Ziele und Kenntnis/Antizipierung der Marktrelevanz sowie deren Normierung</t>
  </si>
  <si>
    <t>Implementierung von Qualitätsstandards</t>
  </si>
  <si>
    <t>Umsetzung der Qualitätsrichtlinien in den Fernlehrgängen und kontinuierliche Überwachung ihrer Einhaltung. S. Auditing/Weiterentwicklung oben.</t>
  </si>
  <si>
    <t>Einheitliche und konsistente Qualität, Effizienzsteigerung, Qualitätsverbesserung, messbare Ergebnisse (anhand bestimmter Metriken oder KPIs), Kundenzufriedenheit, Einhaltung von Vorschriften und Normen</t>
  </si>
  <si>
    <r>
      <rPr>
        <sz val="11"/>
        <color rgb="FF000000"/>
        <rFont val="Arial"/>
      </rPr>
      <t xml:space="preserve">Allgemeine Verfahrensanweisungen der pädagogischen Abteilung, Dozenten, Tutor, Abweichungen/Beschwerden erfassen,  Überarbeitung und Anreicherung von Lehrmaterial, Lehrgangsabschluss, Lehrmaterialien, Qualitätsmanagement, QMS, Qualitätsmanagement,  AZAV, Anlage und Pflege der Bildungsprodukte im System
</t>
    </r>
    <r>
      <rPr>
        <sz val="11"/>
        <color rgb="FFFF0000"/>
        <rFont val="Arial"/>
      </rPr>
      <t>SOWIE WIKI "KONTINUIERLICHE WEITERBILDUNG"</t>
    </r>
  </si>
  <si>
    <t>MA-PER, TU, DO, MA-AZAV, MA-P</t>
  </si>
  <si>
    <t>Max, Yvonne D. + Claudia 
ggf. i.V.m. Patrick (bedarfsbezogen)</t>
  </si>
  <si>
    <t>Evaluierung der Maßnahmen</t>
  </si>
  <si>
    <t>Teilnehmerevaluation</t>
  </si>
  <si>
    <t>Sammlung von Feedback der Teilnehmer zu den Fernlehrgängen, um deren Qualität und Wirksamkeit zu beurteilen in jedem Baustein sowie der Gesamtmaßnahme. 
=&gt;Direkt nach Abschluss eines Moduls sowie dem finalen Abschluss der Weiterbildung wird ein Evaluationsbogen mit Fragen, die i.R. einer Lickert-Skala zu beantworten sind, generiert. (Themen: Durchführung, Betreuung/Institut, Qualität/Quantität, Niveau, Tutoren, Dozenten, Materialien, Inhalte etc.) Ohne AW, eine automatische Erinnerungsmail. 
=&gt;Zum finalen Abschluss, bei Nichtantwort, kein erneuter Versand mit Eingliederungsbefragung (Verzerrung, da zeitliche Distanz zu einzelnen Bausteinen; Eingliederungsbefragung: diese nicht skaliert, sondern vgl. rechts) nach 3 und 6 Monaten. =&gt;Ggf. Stimuli setzen.</t>
  </si>
  <si>
    <r>
      <rPr>
        <sz val="11"/>
        <color rgb="FF000000"/>
        <rFont val="Arial"/>
      </rPr>
      <t xml:space="preserve">Allgemeine Verfahrensanweisungen der pädagogischen Abteilung, Dozenten, Tutor, Abweichungen/Beschwerden erfassen,  Überarbeitung und Anreicherung von Lehrmaterial, Lehrgangsabschluss, Lehrmaterialien, Qualitätsmanagement, QMS, Qualitätsmanagement
</t>
    </r>
    <r>
      <rPr>
        <sz val="11"/>
        <color rgb="FFFF0000"/>
        <rFont val="Arial"/>
      </rPr>
      <t>SOWIE WIKI "KONTINUIERLICHE WEITERBILDUNG"</t>
    </r>
  </si>
  <si>
    <t>MA-PER, TU, DO, MA-AZAV</t>
  </si>
  <si>
    <r>
      <t xml:space="preserve">Max, Yvonne D.
ggf. i.V.m. Patrick (bedarfsbezogen)
</t>
    </r>
    <r>
      <rPr>
        <b/>
        <sz val="11"/>
        <color rgb="FFFF0000"/>
        <rFont val="Arial"/>
      </rPr>
      <t xml:space="preserve">HIER M.E. Evaluationsbögen durch TN-Betreuung i.R. I.Q.
</t>
    </r>
    <r>
      <rPr>
        <b/>
        <sz val="11"/>
        <color rgb="FFFF0000"/>
        <rFont val="Arial"/>
      </rPr>
      <t>Nachhaltung via WV-System</t>
    </r>
  </si>
  <si>
    <t>Erhöhung der Qualität, damit einhergehend Quantität infolge Effizienz/Marktrelevanz durch Verringerung der Varianz bzgl. Zufriedenheit und Erfolgsaussichten der TN und somit Umsatzsteigerung</t>
  </si>
  <si>
    <t>Valides Instrument zu Messung, das relevante Indikatoren erhebt und Konsens über Erkenntnisvorhaben/Auswertung durch entsprechndes Verfahren</t>
  </si>
  <si>
    <t>Evaluation der Lehrmaterialien</t>
  </si>
  <si>
    <t>Sollte durch Doz. und Tutoren nach jedem Einsatz verpflichtend abgefragt werden (Qualität/Niveau, Quantität, Design, Anwenderfreundlichkeit, Zielgruppeneinschätzung, mgl. Optimierungen; (per Lickert-Skala, Optimierungen offene Fragen). Keine Filter!</t>
  </si>
  <si>
    <t>Identifizierung von Stärken und Schwächen (Welche Inhalte, Präsentationsformate oder interaktive Elemente sind effektiv und bieten positive Lernerfahrungen?), Verbesserung der Lehrqualität, Anpassung an aktuelle Bedürfnisse und Entwicklungen, Steigerung der Effektivität und Effizienz (durch die Evaluation können ineffektive oder überholte Inhalte oder Methoden identifiziert und optimiert werden)</t>
  </si>
  <si>
    <t>MA-PER, TU, DO, MA-ZAV, MA-P</t>
  </si>
  <si>
    <t>Evaluation der Dozenten und Tutoren</t>
  </si>
  <si>
    <t>Durch TN, i.R. der TN-Evaluation p. durchlaufenen MN-Baustein obligatorisch integriert. Erinnerungssystematik ergänzen!</t>
  </si>
  <si>
    <t>Identifizierung von Stärken und Schwächen (in Bezug auf ihre fachlichen Kenntnisse, pädagogischen Fähigkeiten, Kommunikationsfähigkeit und Interaktion mit den TN), Weiterentwicklung der Dozenten und Tutoren (individuelle Schulungs- oder Weiterbildungsmaßnahmen anbieten, um ihre Fähigkeiten und Kompetenzen zu stärken), Verbesserung der Lernerfahrung (indem die Qualifikationen und Fähigkeiten der Lehrenden kontinuierlich überprüft und optimiert werden), Steigerung der TN-Zufriedenheit, Steigerung der Reputation / des Unternehmenswertes (qualifizierte und kompetente Lehrende stellen sicher, dass die Bildungsziele erreicht werden)</t>
  </si>
  <si>
    <t>Erhöhung der Qualität, damit einhergehend Quantität infolge Effizienz/Marktrelevanz durch Verringerung der Varianz bzgl. Zufriedenheit und Erfolgsaussichten der TN und somit Umsatzsteigerung; außerdem langfristige Bindung ext. MA, wenn fruchtbare Beziehung</t>
  </si>
  <si>
    <t>Kontinuierliche Verbesserung</t>
  </si>
  <si>
    <t>Analyse der Evaluierungsergebnisse</t>
  </si>
  <si>
    <t>Auswertung der gesammelten Evaluierungsdaten, um Stärken und Schwächen der Fernlehrgänge zu identifizieren. Analyse der Abbrüche, deren Gründe, Clusterung TN nach Alterskohorten, Sprachniveaus, MN-Ziel, Niveau der TN etc..=&gt;mgl. valide emprische Analyse ermöglichen!</t>
  </si>
  <si>
    <t>Zusammenfassung und Interpretation der gesammelten Daten</t>
  </si>
  <si>
    <t>Müsste m.E. in Konsens/Abstimmung neu def.  und Prozess erarbeitet werden.</t>
  </si>
  <si>
    <r>
      <rPr>
        <b/>
        <sz val="11"/>
        <color rgb="FFFF0000"/>
        <rFont val="Arial"/>
      </rPr>
      <t xml:space="preserve">übergreifend
=&gt;erste Auswertung durch Daten einholende Fachabteiling
=&gt;Ergebnissanamnese übergreifend
</t>
    </r>
    <r>
      <rPr>
        <sz val="11"/>
        <color theme="1"/>
        <rFont val="Calibri"/>
        <family val="2"/>
        <scheme val="minor"/>
      </rPr>
      <t>=&gt;Umsetzung KVP dann durch Fachabteilung</t>
    </r>
  </si>
  <si>
    <t>übergreifend
=&gt;erste Auswertung durch Daten einholende Fachabteiling
=&gt;Ergebnisanamnese übergreifend
=&gt;Umsetzung KVP dann durch Fachabteilung</t>
  </si>
  <si>
    <t>Erkenntisvorhaben sowie Auswertung durch geeignetes Instrument/Bildung valider Indikatoren</t>
  </si>
  <si>
    <t>Identifikation von Verbesserungspotenzialen</t>
  </si>
  <si>
    <t>Ermittlung von Bereichen, in denen die Qualität der Fernlehrgänge verbessert werden kann, basierend auf den Ergebnissen der Evaluation.
=&gt;TN-Evaluation, Tutoren- oder Dozentenbefragungen, Audits, Eimgliederungsbefragung; Gewichtung und Indexbildung</t>
  </si>
  <si>
    <t>Liste von Bereichen, Prozessen oder Aspekten, die verbessert werden können, um eine positive Veränderung zu bewirken (Effizienzsteigerung, Qualitätsverbesserung und Optimierung)</t>
  </si>
  <si>
    <t>Exegese der Ergebnisse anhand von Indikatoren; verbindliche Richtlinien, die Handlungsbedarfe zur Umsetzung veranlassen</t>
  </si>
  <si>
    <t>Umsetzung von Verbesserungsmaßnahmen</t>
  </si>
  <si>
    <t>-Implementierung von Maßnahmen zur Verbesserung der Qualität der Fernlehrgänge, wie z.B. die Anpassung von Lehrmaterialien, die Schulung von Dozenten und Tutoren oder die Verbesserung der Kommunikation zwischen Teilnehmern und Tutoren (virtuelle Räume, s. oben, Ticketsystem bei Fragen an Tutor, das automatisch in Kopie an Personalref. geht) (Frist). 
-Modifikation/Entwicklung der/einer ggf. passgenaueren/spezifischeren Eignungsfeststellungen (je nach Weiterbildungsthema/Zielgruppe/Niveau) und der Frage, ob ggf. mehr Präsenzphasen im niederschwelligen Bereich nötig (Unklarheiten klären, Kontrolle etc.). Kontrolle/Synchronität ist hier ein Hauptkritikpunkt, insbesondere der Jobcenter. Hinzu kommt Arbeitsmarktrelevanz der Produkte.
=&gt;ggf. Konzeptanpassungen/Produktschwerpunkte richtig setzen.</t>
  </si>
  <si>
    <t>Veränderung oder Optimierung der bestehenden Situation, um die identifizierten Verbesserungspotenziale anzugehen</t>
  </si>
  <si>
    <t>Umsetzung der Erkenntnis und deren Priorisierungen transparenter Vorgaben, die nicht umgangen werden/vernachlässigt werden</t>
  </si>
  <si>
    <t>Externe Qualitätssicherung und Akkreditierung</t>
  </si>
  <si>
    <t>Einhaltung gesetzlicher Vorgaben</t>
  </si>
  <si>
    <t>Sicherstellung der Einhaltung von gesetzlichen Anforderungen und Vorgaben für Fernlehrgänge, z.B. das Fernunterrichtsschutzgesetz (FernUSG). 
=&gt;Modulare Angebote aus Quelllehrgängen obligatorisch parallel als Cafeteriaantrag einreichen. Ebenso relevante der EHIP im AZAV-Bereich implementieren und ZFU-Antrag.
=&gt;Prozess zur def. der Relevanz und Kommunikation Päd./EHiP/AZAV.</t>
  </si>
  <si>
    <t>Compliance, Vermeidung von Strafen und rechtlichen Konsequenzen, Risikominderung</t>
  </si>
  <si>
    <t xml:space="preserve"> AZAV, AZAV-Teilnehmerbezogene Prozesse, Qualitätsmanagement, QMS, Qualitätsmanagement, AZAV, ZFU
=&gt;eigentlich ALLES, was rechtlich relevant/dokumentiert werden muss</t>
  </si>
  <si>
    <t>MA-AZAV oder MA-P</t>
  </si>
  <si>
    <t>Patrick und/oder Pädagogik, entsprechend Profil</t>
  </si>
  <si>
    <t>Erhöhung der Qualität, damit einhergehend Quantität infolge Effizienz/Marktrelevanz durch Verringerung der Varianz und somit Umsatzsteigerung und Reliabilität gg. Kostenträgern, was  Umsatzsteigerungen zur Folge haben sollte</t>
  </si>
  <si>
    <t xml:space="preserve">Kenntnis der Vorgaben und Akzeptanz/Priorisierung </t>
  </si>
  <si>
    <t>Zusammenarbeit mit externen Prüfern</t>
  </si>
  <si>
    <t>Koordination und Zusammenarbeit mit externen Prüfern bei Audits und Akkreditierungen zur Qualitätssicherung der Fernlehrgänge. ggf. regelm. int. Schulung bzw. obligatorische Auditvorbesprechung in den Fachbereichen, wo relevant. Freiwilliges Angebot des MA-AZAV hat sich vorm letzten Audit sehr bewährt, wenn angenommen.</t>
  </si>
  <si>
    <t>Unabhängige Bewertung der Prozesse, Verfahren oder Systeme, Identifizierung von Schwachstellen oder Risiken, Bestätigung der Einhaltung von Standards, Empfehlungen zur Optimierung</t>
  </si>
  <si>
    <t>AZAV</t>
  </si>
  <si>
    <t>MA-AZAV</t>
  </si>
  <si>
    <t>Patrick</t>
  </si>
  <si>
    <t>Erhöhung der Qualität und Marktrelevanz durch Verringerung der Varianz und somit Reliabilität gg. Kostenträgern, was  Umsatzsteigerungen zur Folge haben sollte</t>
  </si>
  <si>
    <t>Kenntnis der Vorgaben und Akzeptanz/Priorisierung sowie die Berücksichtigung im kommunikatigen Prozess</t>
  </si>
  <si>
    <t>Erhalt und Pflege von Akkreditierungen</t>
  </si>
  <si>
    <t>Beantragung und Aufrechterhaltung von Akkreditierungen und Zertifizierungen, die die Qualität der Fernlehrgänge bestätigen und den Ruf des Bildungsinstituts stärken. AZAV/ZFU ist selbstverständlich, ferner sollten externe Partner enger an das Institut (IHK, Scrum, Verlage, wie Beuth (Normen), Klett (Sprachen) gewonnen und Zugang zu ext. Abschlüsse vereinfacht werden. Zudem Darstellung Kooperationen (Items) auf HP.</t>
  </si>
  <si>
    <t>Anerkennung und Reputation (Akkreditierung zeigt, dass bestimmte Qualitätsstandards erfüllt werden), Wettbewerbsvorteil (höheres Vertrauen in eine akkreditierte Organisation), kontinuierliche Verbesserung (durch regelmäßige Überprüfungen und Audits), Risikominderung (Reduktion von potenziellen Risiken wie regulatorische Verstöße oder Qualitätsmängel)</t>
  </si>
  <si>
    <t>AZAV, ZFU, Anerkennungen</t>
  </si>
  <si>
    <t>Patrick und/oder Axel, Simone, Josh, Martin, Chris, Selina, Mandy, ggf. Saskia und Chantal
(je nach Zust. bzw. übergreifend)</t>
  </si>
  <si>
    <t>Erhöhung der Qualität und Marktrelevanz durch Verringerung der Varianz und somit Reliabilität gg. Kostenträgern, was  Umsatzsteigerungen zur Folge haben sollte, da sich Portfolio erweitert und attraktiver wird</t>
  </si>
  <si>
    <t>Kenntnis der Vorgaben und Akzeptanz/Priorisierung sowie Generierung neuer marktrelevanter Angebote und ggf. Akquise entsprechender Kooperationen</t>
  </si>
  <si>
    <t xml:space="preserve">Unterstützung der Teilnehmer </t>
  </si>
  <si>
    <t>Die Unterstützung der Teilnehmer während ihrer Maßnahme ist ein wichtiger Bestandteil des BildungsCampus. Dazu gehören individuelle Beratung, Hilfe bei der Jobsuche, Praktikumsvermittlung und die Organisation von Veranstaltungen zur Vernetzung und Weiterbildung.</t>
  </si>
  <si>
    <t>Hilfe bei der Jobsuche und Praktikumsvermittlung</t>
  </si>
  <si>
    <t>-I.R. der IHK-Weiterbildungen sind Firmenkontakte Pflicht (und nachzuweisen). TN sollten bei Suche nach geeigneten Betrieben durch regionale Listen unterstützt werden, ergänzende Analyse der Alumni kann hier helfen. 
-Ggf. sollte die Eignung von Praktikumsbetrieben der TN bei der zuständigen IHK vor Ort unsererseits als Seviceleistung abgefragt werden. 
-WBT z.T. Praktikum, analog Büromanagement, allgemein ODER spezifisch zu allen Themenbereichen, wo relevant.</t>
  </si>
  <si>
    <r>
      <rPr>
        <sz val="11"/>
        <color rgb="FFFF0000"/>
        <rFont val="Arial"/>
      </rPr>
      <t xml:space="preserve">N.N. 
=&gt;müsste eigentlich sowohl z.T. AZAV als auch zu einem neuen IHK-Menüpunkt (Umschulung und alles i.V. damit sowie Aufstiegsbafög/Umgehung) eingestellt werden
zudem
</t>
    </r>
    <r>
      <rPr>
        <sz val="11"/>
        <color rgb="FF000000"/>
        <rFont val="Arial"/>
      </rPr>
      <t>Allgemeine Verfahrensanweisungen der Studienbetreuung ("Maßnahmeerfolg"), AZAV - Teilnehmerbezogene Prozesse (Studienbetreuung)</t>
    </r>
  </si>
  <si>
    <t>MA-VB2G, MA-AZAV, MA-SB2G</t>
  </si>
  <si>
    <t>Steffen L., Simon, Stefan (Akquise)
i.V.m.
Stefan K., Oli, Marleen, Mareike, Christina, Sabine, Sandra B.</t>
  </si>
  <si>
    <t>Erhöhung der Qualität und Marktrelevanz und Reliabilität gg. Kostenträgern, was  Umsatzsteigerungen zur Folge haben sollte, da sich Portfolio erweitert und attraktiver/effizienter für TN wird</t>
  </si>
  <si>
    <t>Kontakte zu AGs, Stellenanamnesesystem, Kompetenz/Kapazität der MA zur Erbringung der Dienstleistung</t>
  </si>
  <si>
    <t>Erstellung von Bewerbungsunterlagen</t>
  </si>
  <si>
    <t>Unterstützung der Teilnehmer bei der Erstellung und Optimierung von Bewerbungsunterlagen wie Lebenslauf, Anschreiben und Referenzen. 
=&gt;Absolut relevant, Musterunterlagensätze sollten Zielgruppen- und Branchenorientiert den Weiterbildungen zugordnet werden. Ggf. sollte auf Wusch (z.B. Häkchen im System) dem TN aus seinem CV ein Muster generiert , vgl. wie es Stepstone ermöglicht. Evtl. hierfür sogar in einer "Bewerberrubrik" auf der HP veröffentlicht, die nach außen kommuniziert wird. 
ALTERNATIV: i.R.d. Abestehenden Angebotsprofessionalisieren (Coachings/Sprechstunden/neueste Din Normen z.T. etc.)</t>
  </si>
  <si>
    <t xml:space="preserve">Durch die professionelle Unterstützung bei der Erstellung der Bewerbungsunterlagen können die Chancen des TN auf eine erfolgreiche Bewerbung und letztendlich auf Beschäftigung erhöht werden. </t>
  </si>
  <si>
    <t>Stefan K., Oli, Marleen, Mareike, Christina, Sabine, Sandra B.</t>
  </si>
  <si>
    <t>Kompetent/Ressourcen der MA sowie nachhaltiger Wunsch der TN</t>
  </si>
  <si>
    <t>Praktikums- und Jobbörse</t>
  </si>
  <si>
    <t>Bereitstellung einer Online-Plattform, z.B. wie BBQ (intern), auf der Praktikums- und Jobangebote von Partnerunternehmen und anderen Arbeitgebern veröffentlicht werden, um den Teilnehmern den Zugang zu passenden Stellen zu erleichtern. Außerdem Hilfestellung bei der Erstellung von Onlineprofilen bzw. deren Optimierung (Xing/LinkedIn/Jobbörsen) und vö der auf Wunsch unterstützten Bewerbungsunterlagen/Teilung von Profilen über SM.</t>
  </si>
  <si>
    <t>Erleichterter Zugang zu einer breiteren Palette von Praktikums- und Jobmöglichkeiten. Der Bildungsträger verfügt über Netzwerke, Kontakte zu Arbeitgebern oder Plattformen, die dem TN den Zugang zu verfügbaren Stellen erleichtern.</t>
  </si>
  <si>
    <t>MA-VB2G, MA-AZAV, MA-SB2G, MA-M</t>
  </si>
  <si>
    <t>Steffen L., Simon, Stefan; im Verlauf Jasmin und Lena (Design) 
+ 
Sandra, Sabine, Mareike, Olli, Marleen, Stefan K., (Verwaltung/Profiling)</t>
  </si>
  <si>
    <t>Organisation von Veranstaltungen zur Vernetzung und Weiterbildung</t>
  </si>
  <si>
    <t>Virtuelle Networking-Events</t>
  </si>
  <si>
    <t>Einladung von Branchenexperten und Fachleuten zu virtuellen Vorträgen, Diskussionsrunden oder Q&amp;A-Sessions, um den Teilnehmern Einblicke in aktuelle Branchentrends und Anforderungen zu geben. Hierzu könnten virtuelle Speakerevents organisiert und Gastredner gewonnen werden. Ggf. auch, wenn passend, Tutoren/Dozenten selbst bzw. Experten von EHIP. Evtl. zudem erfolgreiche Alumni ("vom Umschüler zum Betriebswirt", meine Story usw.). Dabei könnten Themenschwerpunkte, ggf. mehrere in verschiedenen virtuellen Räumen, parallel gesetzt, z.B. Digitalisierung und Wiedereinstieg o.ä. und Vertreter von Kostenträgern usw. ebenfalls zur virtuellen Teilnahme eingeladen werden.</t>
  </si>
  <si>
    <t>virtuelle Räume ermöglichen/stehen zur Verfügung, Partner werden strategisch gesucht</t>
  </si>
  <si>
    <t>Kooperation, Anerkennungen, Vertrieb, Allgemeine Marktingaktivitäten on- und offline</t>
  </si>
  <si>
    <t xml:space="preserve">übergreifend
</t>
  </si>
  <si>
    <t>Erhöhung der Arbeitsmarktrelevanz und Integrationsquoten</t>
  </si>
  <si>
    <t xml:space="preserve">Kontakte zu Protagonisten, technische Umsetzbarkeit, relevante Themen/Zielgruppen identifizieren </t>
  </si>
  <si>
    <t>Zusammenarbeit mit Branchenexperten</t>
  </si>
  <si>
    <t>Kontakte zu Protagonisten aufbauen, pflegen, erhalten</t>
  </si>
  <si>
    <t>Technische Unterstützung und Zugang zu Lernressourcen</t>
  </si>
  <si>
    <t>Hilfe bei technischen Problemen</t>
  </si>
  <si>
    <t>Bereitstellung von technischer Unterstützung für Teilnehmer bei der Nutzung von Online-Lernplattformen, Kommunikationswerkzeugen oder anderen technischen Anforderungen der Fernlehrgänge. Die optionale Bereitstellung von Leihgeräten MUSS obligatorisch in AZAV-konformen Buchungsbestätigungen aufgeführt werden. Hier könnte der Zusatz Support bzw. der Zugang zum Support ergänzt werden. Außerdem könnte ein Ticketsystem mit Problemkategorien (häufige Probleme/Lösung so clustern) zur Auswahl und Rückrufoption im System geschaffen werden. Analog letzteres für Tutoren/Dozenten.</t>
  </si>
  <si>
    <t>Customer Support steht zeitnah zur Verfügung</t>
  </si>
  <si>
    <t xml:space="preserve">Allgemeine Verfahrensanweisungen der Studienbetreuung, Online Campus </t>
  </si>
  <si>
    <t>mehr Kundenzufriedenheit</t>
  </si>
  <si>
    <t>effizientes Supportsystem, das technisch geeignet, effizient und absolut serviceorientierte MA</t>
  </si>
  <si>
    <t>Zugang zu Lernmaterialien und Ressourcen</t>
  </si>
  <si>
    <t>Sicherstellung des Zugangs zu digitalen Lernmaterialien, Fachliteratur, Online-Datenbanken und anderen Ressourcen, die den Teilnehmern bei der Vertiefung ihres Wissens und dem Erreichen ihrer Lernziele helfen. Hierzu könnte auch über einen vernetzten, übergreifender Online-OPAC für alle Unternehmensteile mit digitaler Fernleihe nachgedacht werden.</t>
  </si>
  <si>
    <t>Customer Support steht zeitnah zur Verfügung, entsprechendes (interaktives) Angebot wird aufgebaut</t>
  </si>
  <si>
    <t>Allgemeine Verfahrensanweisungen der Studienbetreuung, Online Campus, Lehrskripterstellung, Adobe, Teilnehmerbetreuung</t>
  </si>
  <si>
    <t>MA-AZAV, MA-SB2G, MA-P, MA-SA</t>
  </si>
  <si>
    <t xml:space="preserve">
Patrick, Axel, Simone, Josh, Martin, Chris, Selina, Mandy, ggf. Saskia und Chantal
(je nach Zust. bzw. übergreifend)
i.V.m.
Sandra, Sabine, Mareike, Olli, Marleen, Stefan K., Christina,
+
Print: Melly</t>
  </si>
  <si>
    <t>mehr Kundenzufriedenheit und Lernerfolg, somit Erhöhung der IQ und Umsatzsteigerung</t>
  </si>
  <si>
    <t>technische Machbarkeit, Aufbau entsprechender Datenbank an relevanten Medien sowie dessen Pflege und konsequente Betreuung/valide Anpassung</t>
  </si>
  <si>
    <t>Bereitstellung von Selbstlernmaterialien</t>
  </si>
  <si>
    <t>Bereitstellung von Selbstlernmaterialien, wie Tutorials, Videos oder Online-Kurse, die den Teilnehmern ermöglichen, ihre Fähigkeiten in ihrem eigenen Tempo zu entwickeln und individuelle Lernziele zu erreichen. Hierzu sollte, wo relevant, z.B. ISO 9001 im QM, für TN obligatorisch digitale Literatur angeschafft und überlassen werden (natürlich eingepreist). Hierzu müssen (Vorzugs-)Konditionen mit Fachverlagen, z.B. Beuth, ausgehandelt und die digitalen Rechte/Ausgabemodalitäten übers System geklärt werden. Z.B. bei Beuth sind Normen im firmeneigenen Design und mit individuellen Beigaben möglich.</t>
  </si>
  <si>
    <t>Customer Support steht zeitnah zur Verfügung, entsprechendes (interaktives) Angebot wird aufgebaut, entsprechende Kooperationspartner werden akquiriert</t>
  </si>
  <si>
    <r>
      <rPr>
        <sz val="11"/>
        <color rgb="FF000000"/>
        <rFont val="Arial"/>
      </rPr>
      <t xml:space="preserve">Teilnehmerbetreuung, Lehrgangskonzeption, Lehrmaterialien, Kooperationen 
</t>
    </r>
    <r>
      <rPr>
        <sz val="11"/>
        <color rgb="FFFF0000"/>
        <rFont val="Arial"/>
      </rPr>
      <t>HIER M.E. PROZESS Z.B. VERLAGSKOOPERATIONEN ZU DEF.</t>
    </r>
  </si>
  <si>
    <t>MA-AZAV, MA-SB2G, MA-P, MA-M</t>
  </si>
  <si>
    <t xml:space="preserve">
Patrick, Axel, Simone, Josh, Martin, Chris, Yvonne P. , Franzi, Selina, Mandy, ggf. Saskia und Chantal
(je nach Zust. bzw. übergreifend)
i.V.m.
Stefan K., Oli, Marleen, Mareike, Christina, Sabine, Sandra B.
+
ggf. Thomas</t>
  </si>
  <si>
    <t>kontinuierliche Anpassung und Pflege sowie Kooperation mit relevanten Anbietern</t>
  </si>
  <si>
    <t>Soziale und emotionale Unterstützung</t>
  </si>
  <si>
    <t>Virtuelle Lerngruppen und Peer-Support</t>
  </si>
  <si>
    <r>
      <rPr>
        <sz val="11"/>
        <color rgb="FF000000"/>
        <rFont val="Arial"/>
      </rPr>
      <t xml:space="preserve">Förderung der Bildung von virtuellen Lerngruppen und Peer-Support-Netzwerken, um den Teilnehmern bei der Bewältigung von Lernherausforderungen und der Entwicklung von sozialen Kompetenzen zu helfen.
</t>
    </r>
    <r>
      <rPr>
        <sz val="11"/>
        <color theme="1"/>
        <rFont val="Calibri"/>
        <family val="2"/>
        <scheme val="minor"/>
      </rPr>
      <t>S. Gruppenräume eröffnen.</t>
    </r>
  </si>
  <si>
    <t>Online Campus</t>
  </si>
  <si>
    <t>Mentoring-Programm</t>
  </si>
  <si>
    <t>Etablierung eines Mentoring-Programms, bei dem erfahrene Teilnehmer oder Alumni als Mentoren für neuere Teilnehmer fungieren, um ihnen bei der Orientierung im Fernlehrgang und der Entwicklung von beruflichen Perspektiven zu helfen. Diese ggf. auf Honorarbasis einsetzten und  anhand der Eingliederungsbefragung ermitteln. Zudem sind ältere, qualifizierte ehem. TN oft sehr dankbar/geeignet für Jobs als Dozenten. Ggf. hier Hilfestellung bei Weg in die Selbstständigkeit.</t>
  </si>
  <si>
    <t>virtuelle Räume ermöglichen/stehen zur Verfügung, Alumni werden strategisch gesucht</t>
  </si>
  <si>
    <t>Lehrgangsabschluss, Tutor, Dozent</t>
  </si>
  <si>
    <t>MA-SB2G, MA-PER</t>
  </si>
  <si>
    <t>Stefan K., Oli, Marleen, Mareike, Christina, Sabine, Sandra B.
+
ggf. Max, Yvonne D. (Akquise)</t>
  </si>
  <si>
    <t>Erhöhung der Arbeitsmarktrelevanz, des Lernerfolgs und Integrationsquoten, was Umsatzsteigerung durch Kundenzufriedenheit mit sich bringen dürfte</t>
  </si>
  <si>
    <t>Programmentwicklung und Akquise entsprechender Mentoren (System/Rahmenbedingungen) wsowie die technische Bereitstellung von Kontaktmöglichkeiten und die Bewerbung/Auswrtung eines entsprechnden Angebotes</t>
  </si>
  <si>
    <t>Emotionale Unterstützung und Stressbewältigung</t>
  </si>
  <si>
    <t>Bereitstellung von Ressourcen und Strategien zur emotionalen Unterstützung und Stressbewältigung, um den Teilnehmern zu helfen, mit den Herausforderungen des Fernlernens und persönlichen Belastungen umzugehen.
=&gt;Lerntutorials, Didaktische WBTs, Einführungsseminar zu Lerntechniken
=&gt;Ggf. besonders im nierderschwelligen Bereich, "Toleranzwerte" soll/ist Lernfortschritt automatisch in Kontrollprozess (z.B. 20%, oder mit Kosttenträger individ. vereinbaren) implementieren. -&gt;Z.B. die Absprache trefffen, dass TN X +20% mehr Zeit bekommt und ggf. auch so in den Unterlagen konsensual (TN, SB, AV) festhalten, Überwachungstimer so justieren.</t>
  </si>
  <si>
    <t>Coaching i.R.d. Betreuung ausbauen, entsprechende MA einstellen/weiterbilden und Verfahrensanweisunge für Fallstrukturen schaffen</t>
  </si>
  <si>
    <t>Teilnehmerbetreuung, Stornierungen/Umbuchung/Kündigung/Abbruch</t>
  </si>
  <si>
    <t>MA-VB2G, MA-SB2G, MA-SA</t>
  </si>
  <si>
    <t>Simon, Stefan
+
Sandra, Sabine, Mareike, Olli, Marleen, Stefan K., Christina</t>
  </si>
  <si>
    <t>entsprechende Schulung der MA und Kommunikation ggf. spezieller Angebote</t>
  </si>
  <si>
    <t>Abschluss und Zertifizierung</t>
  </si>
  <si>
    <t>In diesem Prozess werden die Abschlussprüfungen organisiert und die Zertifikate ausgestellt.</t>
  </si>
  <si>
    <t>Lehrgangsabschluss, Online Campus</t>
  </si>
  <si>
    <t>MA-SB2G, MA-SA</t>
  </si>
  <si>
    <t xml:space="preserve">
Sandra, Sabine, Mareike, Olli, Marleen, Stefan K., Christina</t>
  </si>
  <si>
    <t>Prüfungsorganisation und -durchführung</t>
  </si>
  <si>
    <t>Technische Vorbereitung und Durchführung von Online-Prüfungen</t>
  </si>
  <si>
    <t>Sicherstellung der technischen Voraussetzungen für Online-Prüfungen, einschließlich der Bereitstellung einer stabilen Prüfungsplattform und der Unterstützung bei technischen Problemen während der Prüfung.</t>
  </si>
  <si>
    <t>Zertifizierung und Abschlussdokumente</t>
  </si>
  <si>
    <t>Bewertung der Prüfungsleistungen</t>
  </si>
  <si>
    <t>Überprüfung und Bewertung der Prüfungsleistungen der Teilnehmer durch die zuständigen Prüfer. Hier ist es von Nöten, Prüfungsleistungen der einzelnen Module in Form und Gewichtung sowie kumulierte Abschlussprüfungsleistung zu definieren bzw. Möglichkeiten zur Auswahl zu stellen. Z.B. pro Modul (mit Modulzertifikat) eine MC-Prüfung oder Klausur in Länge/Niveau angemessen und proportionaler Gewichtung im Verhältnis zu den jeweiligen Gesamt-UEs. 
=&gt;Frage der Überwachung? Proctorio? Mitarbeiter?
=&gt;Abschlussprüfung/-arbeit dann eine Synthese aus allen durchlaufenen Modulen und entsprechende Schwerpunktsetzung. Wie erstellen verschiedene Modulprüfer dann eine gemeinsame Abschlussleistung, deren Gewichtung wie zusammengesetzt wird?
=&gt;Z.B. könnte hier eine fiktive Firma dargestellt werden, die bestimmte Anforderungen voraussetzt, die sich aus den Modulen ergeben, die vom TN ausgearbeitet werden. Hierzu müsste zu jedem (neuen) Baustein ein Fragen-/Aufgabenpool erstellt und kontinuierlich erweitert werden. Z.B. auch durch Dozenten (Vorteil für Auftragsvergabe, wenn Bereitschaft hierzu bzw. als Prüfer zu fungieren).
=&gt;Schriftliche Abschlussarbeit und/oder Präsentation? Ggf. am Standort (-&gt; könnte zudem das Vor-Ort-Problem lösen).</t>
  </si>
  <si>
    <t>spez. Prüfungsordnung AZAV ist auszuarbeiten</t>
  </si>
  <si>
    <t>Teilnehmerbetreuung, Stornierungen/Umbuchung/Kündigung/Abbruch, Lehrgangsabschluss, Tutor, Dozent</t>
  </si>
  <si>
    <t>MA-P, MA-SB2G</t>
  </si>
  <si>
    <t xml:space="preserve">(Axel, Simone,) Josh, Martin, Chris, Yvonne P., Franzi, Selina, Mandy, 
(je nach Zust.)
i.V.m.
Stefan K., Oli, Marleen, Mareike, Christina, Sabine, Sandra B.
</t>
  </si>
  <si>
    <t>verlässliches System einer der Zielgruppe angemessenen, transparenten und dem Inhalt entsprechenden Bewertungssystematik, die Abschlüsse marktfähig macht, ohne Integrationsquote zu gefährden und gleichzeitig individuelle Abschlussziele der TN zulässt</t>
  </si>
  <si>
    <t>geeignete AZAV-Prüfungsordnung ausarbeiten, die Faktoren, wie unterschiedliche Länge modularer Bausteine, ganzer Weiterbildungspakete, Beteiligung unterschiedlicher Dozenten/Tutoren etc. berücksichtigt</t>
  </si>
  <si>
    <t>Erstellung und Ausstellung von Abschlussdokumenten</t>
  </si>
  <si>
    <t>Vollautomatisierte Erstellung von Zertifikaten und Bereitstellung dieser an den Teilnehmenden über den OC inkl. Benachrichtigung. TN muss gem. AZAV über alle erbrachten Leistungen in Form und Umfang (s. AGBs) eine Bescheinigung erhalten. Für jedes absolvierte Modul bekommt der TN sowieso ein Zertifikat, ebenso natürlich bei Abschluss des Gesamtlehrgangs. Diese muss die AZAV-konform Lernform, die Gesamt-UE, Titel und Inhalte (Module) umfassen. Auf Note sollte verzichtet werden. Ggf. eine Art Transcript of Records ergänzend ausgeben (ggf. analog EHiP), dann kann TN selbst über Bekanntgabe der Noten i.R.d. Bewerbung entscheiden. Modulzertifikate unterstützen den Bewerbungsprozess und dienen gleichzeitig als zusätzlicher Leistungsnachweis gg. Vermittler.</t>
  </si>
  <si>
    <t>AZAV-konforme Vorlagen und entsprechende Bausteine sind auszuarbeiten</t>
  </si>
  <si>
    <t>Teilnehmerbetreuung, Lehrgangsabschluss</t>
  </si>
  <si>
    <t>Bescheinigung marktrelevanter Weiterbildung, höhere Integrationschancen der TN</t>
  </si>
  <si>
    <t xml:space="preserve">AZAV-konforme Inhaltsdarstellung, die idealerweise automatisch alle nötigen Komponenten systematisch generiert </t>
  </si>
  <si>
    <t>Dokumentation und Archivierung der Prüfungsergebnisse</t>
  </si>
  <si>
    <t>Erfassung, Speicherung und Archivierung der Prüfungsergebnisse für zukünftige Nachweise und zur Einhaltung gesetzlicher Vorgaben. Gerade niederschwellige TN verlieren diese oft. Kostenloser Nachversand sollte obligatorisch sein.</t>
  </si>
  <si>
    <t xml:space="preserve">Sicherungssystem sowie AGBs (Recht/Dauer auf Nachforderung) sind unter Aspekten des Datenschutz/der rechtlichen Parameter bereitszustellen </t>
  </si>
  <si>
    <t>technischer Voraussetzung und Kenntnis um Art und Ort der Ablage sowie deren Form</t>
  </si>
  <si>
    <t>Nachbetreuung und Alumni-Management</t>
  </si>
  <si>
    <t>Nach Abschluss der Bildungsmaßnahmen wird der Kontakt zu den Absolventen aufrechterhalten, um sie bei ihrer weiteren beruflichen Entwicklung zu unterstützen und ein Netzwerk ehemaliger Teilnehmer aufzubauen.</t>
  </si>
  <si>
    <t>Teilnehmerbetreuung, Lehrgangsabschluss, ggf. Online  Campus</t>
  </si>
  <si>
    <t>Nachbetreuung der Absolventen</t>
  </si>
  <si>
    <t>Jobvermittlung und Praktikumsangebote</t>
  </si>
  <si>
    <t>Das Bildungsinstitut stellt den Absolventen Informationen zu Stellenangeboten und Praktikumsmöglichkeiten (vor allem Umschulungen erfordern ein Netzwerk an Kontakten!)zur Verfügung, die auf ihre Qualifikationen und Interessen abgestimmt sind. Hierbei kann eine Zusammenarbeit mit Unternehmen und Partnerorganisationen hilfreich sein. 
=&gt;AG könnten z.B. i.R. einer Kooperation (z.B. Fitnessstudios) gegen Honorar TN vermittelt bekommen und sich evtl. Eingliederungszuschüsse (EGZ; https://www.arbeitsagentur.de/unternehmen/finanziell/eingliederungszuschuss-zur-foerderung-arbeitsaufnahme) vom Kostenträger erstatten lassen (individuelle Entscheidung, i.d.R. nur bei TN mit "Hemmnissen"; max. 12 Monate, max. 50% des Entgelts), um Honorare ggf. auszugleichen.-&gt;Hierzu wäre ebenfalls ein Prozess, der auch die Vorgehensweise bei Koperation/Vertragsschluss inkl. Information bzgl. Förderoptionen umfasst, nötig.</t>
  </si>
  <si>
    <t>entsprechende Kontakte sind (aktiv) zu akquirieren und (passiv) durch geeignete Generierungsmethoden zu identifizieren</t>
  </si>
  <si>
    <r>
      <rPr>
        <sz val="11"/>
        <color rgb="FFFF0000"/>
        <rFont val="Arial"/>
      </rPr>
      <t xml:space="preserve">N.N. müsste eigentlich sowohl z.T. AZAV, als auch zu einem IHK-Menüpunkt
zudem
</t>
    </r>
    <r>
      <rPr>
        <sz val="11"/>
        <color rgb="FF000000"/>
        <rFont val="Arial"/>
      </rPr>
      <t>Allgemeine Verfahrensanweisungen der Studienbetreuung ("Maßnahmeerfolg"), AZAV - Teilnehmerbezogene Prozesse (Studienbetreuung)</t>
    </r>
  </si>
  <si>
    <t>höhere Integrationschancen der TN</t>
  </si>
  <si>
    <t>Kontakte zu AGs, Stellenanamnesesystem, Kompetenz/Kapazität der MA zur Erbringung der Dienstleistung, ggf. Akquise von AGs und Aufbau eines Honorarsystems bei Vermittlung bzw. Beratung von AGs zu rechtlichen Möglichkeiten der Förderung bei Einstellung</t>
  </si>
  <si>
    <t>Weiterbildungs- und Spezialisierungsmöglichkeiten</t>
  </si>
  <si>
    <t>Die Absolventen werden über mögliche Weiterbildungs- und Spezialisierungskurse informiert, die ihnen helfen, ihre beruflichen Kompetenzen weiter auszubauen und sich auf dem Arbeitsmarkt besser zu positionieren. Abschlüsse def., die automatisiert eine „Aufstiegsmöglichkeit“ systemseitig zugeordnet bekommen. 
=&gt;Bspw. Büromamagement=&gt;Fachwirt oder passende kfm. Spezialisierung (z.B. E-Commerce).
=&gt;Bspw. Akademiker mit Abschluss in agilem PM =&gt; EHiP-HS-Zertifikat, dessen ECTS auch angerechnet  werden könnten, empfehlen. Umgekehrt EHIP-Bachelor, wenn ggf. auf Jobsuche, was wir durch frühere Eingliederungsbefragung eher erfahren, passende Weiterbildung oder sogar Betriebswirt anbieten (DQR 6-&gt;7) und Aufstiegsbafögkonkurrenz durch Empfehlung passenden „Umgehungsprodukts“ vermeiden usw.</t>
  </si>
  <si>
    <t>passendes Kombinations- bzw. Analysesystem ist zu schaffen, entsprechende iduktive Zuordnung zu definieren</t>
  </si>
  <si>
    <t>Lehrgangsabschluss, Allgemeine Verfahrensanweisungen der Studienbetreuung, Bildungsberatung, Fördermöglichkeiten, Vertrieb</t>
  </si>
  <si>
    <t>höhere Umsatzzahlen durch passgenauere Angebote, gleichzeitig Verlinkung AZAV-SZ (z.B. weitere Qualifikationsangebote)</t>
  </si>
  <si>
    <t>systematisches Profiling der passenden individuellen TZ-bezogenen Angebote</t>
  </si>
  <si>
    <t>Alumni-Netzwerk und Community-Aufbau</t>
  </si>
  <si>
    <t>Verwaltung des Alumni-Netzwerks</t>
  </si>
  <si>
    <t>-Das Netzwerk bietet den ehemaligen Teilnehmern eine Plattform, um sich auszutauschen, zu vernetzen und voneinander zu lernen. Angebot an Alumni, TN in ihre Firmen zu empfehlen bzw. auf Basis Profiling, nach Zustimmung des TN, diesen an Alumni/deren Firmen zu empfehlen. Ggf. könnte hier sogar eine Art "Personalvermittlung" gegen Honorar heranwachsen und parallel IQ gepusht werden.
-Ehemaligen-/Aktiventreffen über extern und intern zugängliche virtuelle Räume in ELA ermöglichen. Art "Klassentreffen" mit ggf. interessanten Netzwerkthemen (Stimuli, z.B. Impulsvorträge durch Studienbetreuung). Analog nachstehend.</t>
  </si>
  <si>
    <t>Kontaktpflege unter Bereitstellung entsprechender Stimuli, sowie Identifikationsprozess besonders relevanter Personen(kreise)</t>
  </si>
  <si>
    <t>Online-Campus, Lehrgangsabschluss</t>
  </si>
  <si>
    <t>MA-VB2G, MA-SB2G</t>
  </si>
  <si>
    <t>Simon, Stefan
i.V.m.
Stefan K., Oli, Marleen, Mareike, Christina, Sabine, Sandra B.</t>
  </si>
  <si>
    <t>Generierung eines Netzwerks, technische Voraussetzungen zum Austausch, rgelmäßige Stimulierung des Austausche bzw. Akquise auf Basis Identifizierung geeigneter Alumni sowie Themenfindung=&gt; effizientes Community Management</t>
  </si>
  <si>
    <t>Organisation von Alumni-Veranstaltungen und -Treffen</t>
  </si>
  <si>
    <t>Das Bildungsinstitut organisiert regelmäßige Alumni-Veranstaltungen und -Treffen, um den Kontakt zwischen den ehemaligen Teilnehmern aufrechtzuerhalten und den Austausch von Erfahrungen, Wissen und Best Practices zu fördern. Diese Veranstaltungen können sowohl online als auch offline stattfinden, um den Bedürfnissen von Fernlehrgangsabsolventen gerecht zu werden.</t>
  </si>
  <si>
    <t>Kommunikation und Informationsaustausch</t>
  </si>
  <si>
    <t>Um die Alumni auf dem Laufenden zu halten, wird ein regelmäßiger Informationsaustausch über Neuigkeiten, Erfolgsgeschichten und Aktivitäten des Instituts sowie relevante berufliche Entwicklungen organisiert. Dies kann über verschiedene Kanäle erfolgen, wie Newsletter, Social-Media-Gruppen oder eine dedizierte Alumni-Webseite. 
=&gt;Ggf. I.R. der Eingliederungsbefragungen sehr "erfolgreiche" Alumni als Testinmonials und ggf. weitere Rollen gewinnen und entsprechende Anreize setzen. =&gt; Mailingsystem.</t>
  </si>
  <si>
    <t xml:space="preserve">personifizierte Informations- und Angebotskanalisierung (Inhalt/Intervall) und geeignet Ressourcen, Kontakte werbewirksam zu nutzen sind bereitzustellen </t>
  </si>
  <si>
    <t>Online-Campus, Lehrgangsabschluss, Vertrieb, Allgemeine Marketingaktivitäten</t>
  </si>
  <si>
    <t>MA-VB2G, MA-SB2G, MA-M</t>
  </si>
  <si>
    <t>Simon, Stefan
i.V.m.
Stefan K., Oli, Marleen, Mareike, Christina, Sabine, Sandra B.
+
ggf. Marketing in Zust.</t>
  </si>
  <si>
    <t>thematisch passendes Community Management sowie geeignete Transportmedien und Inhalte</t>
  </si>
  <si>
    <t>Erfolgsmessung und Feedback</t>
  </si>
  <si>
    <t>Erfolgsmessung der Alumni</t>
  </si>
  <si>
    <t>-Nach 3 UND 6 Monaten eine detaillierte Eingliederungsbefragung  ggf. unter Nutzung von Stimuli, wie Rabatte oder Preise/Boni. Sehr positive AWs in Kombination mit gutem Ergebnis könnten für Werbezwecke angesprochen werden etc. 
-&gt;Daraus ließen sich, neben der Qualität der MN, auch die des Personals und ggf. weitere Schritte ableiten.
-&gt;Zudem macht es Sinn, Alumni nach Ihrem AG und den Rahmenbedingungen (Zufriedenheit Gehalt, Nachhaltigkeit der Beschäftigung u.v.m.) zu befragen, regional zu clustern und Kontakte ähnlichen TN-Profilen zuzuordnen. (s. rechts) um strategische Schritt abzuleiten (STO, Auditschwerpunkte, Produktentwicklung/Anpassung u.v.m.) =&gt; statistisches Tool/Excel-Vorlage erstellen.</t>
  </si>
  <si>
    <t>Lehrgangsabschluss, Vertrieb, QMS, Qualitätsmanagement, AZAV</t>
  </si>
  <si>
    <t>Simon, Stefan
i.V.m.
Sandra, Sabine, Mareike, Olli, Marleen, Stefan K., Christina</t>
  </si>
  <si>
    <t>höhere Integrationschancen der TN, passgenaue Angebote, massive Minderung der Varianz, marktrelevante Angebote, valide Erfolgsmessung und maximal mgl. Vorausplanung bzw. deren vorausschauende Anpassung</t>
  </si>
  <si>
    <t>geregnete Eingliederungsbefragung und Ermittlung der Interessenten sowie technische Bereitstellung zur Umsetzung</t>
  </si>
  <si>
    <t>Feedback der Alumni einholen</t>
  </si>
  <si>
    <t>Um die Qualität der Nachbetreuung und des Alumni-Managements kontinuierlich zu verbessern, wird regelmäßig Feedback von den ehemaligen Teilnehmern eingeholt. Dies kann in Form von Umfragen, Interviews oder informellen Gesprächen erfolgen. Jedoch nicht überfrachten, eher Stufensystem, zu welchen Themen sie kontaktiert werden wollen, um wertvolle Kontakte, z.B. in Firmen, nicht zu gefährden. S. Auswahl Ende Eingliederungsbefragung.</t>
  </si>
  <si>
    <t>geeigneter Evaluationsbogen, der empirische Schlüsse zulässt + Analysefunktion, die einen def. Schlussfolgerungsprozess (ebenfalls zu def.) zulässt sind zu def. und zu implementieren</t>
  </si>
  <si>
    <t>Lehrgangsabschluss</t>
  </si>
  <si>
    <t>geeignete Eingliedeungsbefagung</t>
  </si>
  <si>
    <t>Anpassung und Optimierung der Nachbetreuungsangebote</t>
  </si>
  <si>
    <t>Basierend auf den Erfahrungen und dem Feedback der Alumni werden die Nachbetreuungsangebote und Alumni-Management-Aktivitäten kontinuierlich angepasst und optimiert. Dies ermöglicht es dem Bildungsinstitut, besser auf die Bedürfnisse und Herausforderungen der Absolventen einzugehen und ihr Angebot an Unterstützungsleistungen weiter zu verbessern.</t>
  </si>
  <si>
    <t>Maßnahmenzulassung</t>
  </si>
  <si>
    <t>Dieser Prozess umfasst die Beantragung, Prüfung und Verwaltung von Zulassungen für Bildungsmaßnahmen, die durch die Agentur für Arbeit und der Staatlichen Zentralstelle für Fernunterricht (ZFU). Hierzu gehört auch die Sicherstellung der Einhaltung von Zulassungskriterien und -anforderungen.</t>
  </si>
  <si>
    <t>Prüfung der Zulassungsvoraussetzungen</t>
  </si>
  <si>
    <t>Überprüfung der fachlichen Anforderungen</t>
  </si>
  <si>
    <t>Die fachlichen Anforderungen der Bildungsmaßnahmen, wie die inhaltliche Ausrichtung, die Lehrpläne und die Qualifikation der Lehrkräfte, müssen den Vorgaben der FKS und der ZFU entsprechen. Hierzu sind in puncto der Kostenträger die Förderrelevanz, z.B. aus den Bildungszielplanungen, Stellenangeboten, interne Eingliederungsquoten, die ggf. sogar die Überschreitung des B-DKS erlauben, darzulegen. 
=&gt;Prioritätenregelung, welche Produkte vorrangig entwickelt/überarbeitet und wohin, werden.</t>
  </si>
  <si>
    <t>Einhaltung der rechtlichen Vorgaben, Erhebung durch valide und reliable Evaluationstools, Auditprozesse sowie die Bereitstellung arbeitsmarktrelevanter, rechtlich korrekt gestalteter Produkte</t>
  </si>
  <si>
    <t>AZAV, ZFU, Dozenten, Tutor</t>
  </si>
  <si>
    <t>MA-AZAV, MA-P, GF, MA-B2G</t>
  </si>
  <si>
    <t>Patrick, Axel, Simone, Josh, Martin, Chris, Yvonne P., Franzi, Selina, Mandy, ggf. Saskia und Chantal
(je nach Zust. bzw. übergreifend)
Bei Bedarf finale Entscheidung: Tobi; ggf. in Absprache mit Steffen L. unter RS mit Simon und Stefan</t>
  </si>
  <si>
    <t>marktrelevante Angebote und damit Umsatzsteigerung sowie Optimierung der Marktposition</t>
  </si>
  <si>
    <t>System zu Ermittlung der Marktrelevanz, das reliable Priorisierungen ableitet</t>
  </si>
  <si>
    <t>Kontrolle der didaktischen und methodischen Konzeption</t>
  </si>
  <si>
    <t>Die didaktische und methodische Konzeption der Fernlehrgänge muss den Anforderungen für zulassungspflichtige Bildungsmaßnahmen genügen und eine erfolgreiche Wissensvermittlung gewährleisten. Zudem sollten Zielgruppen und Niveaus definiert und besser eingehalten werden, um Abbrüche zu vermeiden. Inhaltlich sollten Befragungen von AGs (Profilanforderungen etc.), ggf. Kontakte über Verbände/Kammern und Vermittler (Hemmnisse) regelm. telefonisch stattfinden, um aktuellen Sortimentsstand/Bedürfnisorientierung  zu gewährleisten.</t>
  </si>
  <si>
    <t>ZFU, Lehrgangskonzeption, Tutor, Dozent</t>
  </si>
  <si>
    <t>MA-P, MA-AZAV</t>
  </si>
  <si>
    <t xml:space="preserve">
Axel, Simone, Josh, Martin, Chris, Yvonne P., Franzi, Selina, Mandy, ggf. Saskia und Chantal
(je nach Zust. bzw. übergreifend)
i.v.M./RS mit Patrick
</t>
  </si>
  <si>
    <t>marktrelevante, qualitativ bestmögliche Angebote und damit Umsatzsteigerung sowie Optimierung der Marktposition</t>
  </si>
  <si>
    <t>Marktrelevanz sicherstellen, Inhalte entsprechend planen, geeignetes Personal engagieren und valide Evaluationen</t>
  </si>
  <si>
    <t>Sicherstellung der technischen und organisatorischen Rahmenbedingungen</t>
  </si>
  <si>
    <t>Die technischen und organisatorischen Rahmenbedingungen, wie die Bereitstellung von Lernplattformen, Betreuung der Teilnehmer und Prüfungsdurchführung, müssen den Vorgaben der Zulassungsbehörden entsprechen. Hierbei sind seitens der FKS (und der Kostenträger) die Anwesenheit, Krankheits- und sonstige Fehlzeiten, Lernfortschritte, Abbruchgründe, Zugangsvoraussetzungen valide zu dokumentieren, jederzeit lückenlos belegbar und i.R. des Audits und der MN-Zulassung standardisiert ausweisbar. Bei Umschulungen (Fehlzeitquote &gt;10%) ebenfalls!</t>
  </si>
  <si>
    <t>Customer Support steht zeitnah zur Verfügung, entsprechendes (interaktives) Angebot wird aufgebaut, zudem werden AZAV-rel. daten systematisch dok. und stehen (aufbereitet) ur Verfügung</t>
  </si>
  <si>
    <t>Teilnehmerbetreuung, Lehrgangsabschluss, Online  Campus</t>
  </si>
  <si>
    <t>systematischer technischer Support unter Berücksichtigung der dafür nötigen personellen/fachlichen/zeitlichen Ressourcen und der bedarfsbezogenen Dokumentation</t>
  </si>
  <si>
    <t>Beantragung der Zulassung</t>
  </si>
  <si>
    <t>Zusammenstellung der Antragsunterlagen</t>
  </si>
  <si>
    <t>Die Antragsunterlagen für die Zulassung von Bildungsmaßnahmen müssen vollständig und ordnungsgemäß erstellt werden. Dazu gehören Lehrpläne, Qualifikationsnachweise der Lehrkräfte (fachlich, praktisch, didaktisch, Einsatznachweise, z.B. Lehrauftrag, Vertretungsregelungen/Personalübersichten), Angaben zur didaktischen Konzeption und Materialien für Fernlehrgänge. Zudem rechtlich/inhaltlich korrekte Anmeldungs- und Buchungsbestätigung, Kalkulation (insbesondere bei IHK-Lehrgängen müssen bzgl. Hilfsmittel, Prüfungsgebühren, bei Bedarf Raumkosten, definiert sein sowie weitere, kleinteilige, z.B. Leihgerät. Genutzte Standorte/Praxislokalitäten müssen zudem AZAV-zertifiziert sein). Außerdem Bedarf es des Nachweis der geeigneten Eignungsfeststellung, Muster eines Abschlussdokuments, Bsp. Lehrmaterialien, Prüfungen, Lernkontrollen, Nachweis Datenschutz, Konzept zur Sicherstellung des Maßnahmeunterrichts und des zugrunde gelegten Dienstleistungskonzepts.</t>
  </si>
  <si>
    <t>Stellen/MA, die Unterlagen zur Zertifizierung liefern und bei Bedarf erstellen sind zu def., Fristen und Prio sind ebenso im Prozess zu def., wie Vertretungsregelungen</t>
  </si>
  <si>
    <t>AZAV, QMS, Qualitätsmanagement</t>
  </si>
  <si>
    <t>MA-AZAV mit Fachabteilung</t>
  </si>
  <si>
    <r>
      <rPr>
        <b/>
        <sz val="11"/>
        <color rgb="FF000000"/>
        <rFont val="Arial"/>
      </rPr>
      <t xml:space="preserve">Patrick
i.V.m.
</t>
    </r>
    <r>
      <rPr>
        <sz val="11"/>
        <color theme="1"/>
        <rFont val="Calibri"/>
        <family val="2"/>
        <scheme val="minor"/>
      </rPr>
      <t>ausf./liefernder Fachabteiling</t>
    </r>
  </si>
  <si>
    <t>optimale Qualität bei minimaler/keiner Varianz und somit effiziente Zertifizierungsverfahren die max. kontrollierbar sind und keine unerwarteten (negativen) Ergebnisse erzielen</t>
  </si>
  <si>
    <t>Priorisierung der Anforderung und Def. der Zuständigkeiten</t>
  </si>
  <si>
    <t xml:space="preserve">Einreichung der Unterlagen für das Audit/Nachaudit bei der FKS </t>
  </si>
  <si>
    <t>Wenn das Audit ansteht, werden vorab seitens FKS/Auditor Unterlagen mit ca. Deadline angefordert, diese sollten natürlich bereitstehen und ggf. auch Prio 1 bei beteiligtem MA haben, wenn angef. Wenn es zu (Haupt-)Abweichungen kommt, sind diese innerhalb von 4 Wochen nachweislich zu beheben. Empfehlungen sollten nachweislich überprüft werden, um FKS gg. zu demonstrieren, dass Tipps reflektiert wurden.</t>
  </si>
  <si>
    <r>
      <rPr>
        <sz val="11"/>
        <color rgb="FF000000"/>
        <rFont val="Arial"/>
      </rPr>
      <t xml:space="preserve">AZAV, QMS, Qualitätsmanagement; </t>
    </r>
    <r>
      <rPr>
        <b/>
        <sz val="11"/>
        <color rgb="FFFF0000"/>
        <rFont val="Arial"/>
      </rPr>
      <t>eigentlich ALLE Prozesse</t>
    </r>
  </si>
  <si>
    <t>Kommunikation mit den Zulassungsbehörden</t>
  </si>
  <si>
    <t>Die Kommunikation mit den Zulassungsbehörden ist wichtig, um eventuelle Rückfragen oder Anforderungen zu klären und eine zeitnahe Bearbeitung des Antrags sicherzustellen. 
-Insbesondere gegenüber der FKS lässt sich vieles im Gespräch lösen. Hierzu benötigt es "pragmatische" Lösungen, z.B. i.R. MN-Zulassung einen WBT in LKF umzuwidmen. Systemseitig ggf. sinnvoll, den Fragenpool der LKF/WBTs/aus anderen Lernformaten gezielt geeignete Fragen zu sammeln, zu clustern und entsprechend zu kanalisieren.
-Bei der Beantragungen neuer Umschulungen bei der IHK müssen Betriebskontakte vorgehalten werden, dies ist unumgänglich und sollte nicht infrage gestellt werden, da sich der Prozess sonst unnötig verzögern. D.h. geeignete Betriebe müssen dokumentiert werden, sonst keine Zulassung (s. Büromanagement 2022).</t>
  </si>
  <si>
    <t>im Falle von zusätzlichen Anforderungen: Stellen/MA, die Unterlagen zur Zertifizierung liefern und bei Bedarf erstellen sind zu def., Fristen und Prio sind ebenso im Prozess zu def., wie Vertretungsregelungen</t>
  </si>
  <si>
    <t>durch Priorisierung der Anforderung und Def. der Zuständigkeiten, sollte Fluss und Anforderungsbefriedigung nicht gefährdetet , Kommunikation nicht erschwert/beschädigt und unnötig belastet werden</t>
  </si>
  <si>
    <t>Verwaltung der Zulassungen und Einhaltung der Zulassungskriterien</t>
  </si>
  <si>
    <t>Dokumentation der Zulassungsbescheide und Auflagen</t>
  </si>
  <si>
    <t>Die erhaltenen Zulassungsbescheide und eventuellen Auflagen müssen ordnungsgemäß dokumentiert und intern kommuniziert werden, um die Einhaltung der Anforderungen sicherzustellen. Ablageort der MN- und Trägerzertifikate, analog Backend, sodass effizienterer Zugriff für alle, die Infos benötigen, z.B. zur STO-Anlage im Kursnet. Außerdem benötigen alle relevanten MA rudiment. Kenntnisse, wie Dokumente zu lesen sind.</t>
  </si>
  <si>
    <t>geeigneter, barrierefreier, aber sicherer und konsistenter Ablageort ist zu wählen/bereitzustellen</t>
  </si>
  <si>
    <t>AZAV, QMS, Qualitätsmanagement oder ZFU</t>
  </si>
  <si>
    <t>Patrick oder Päd.(Zuständigkeit)</t>
  </si>
  <si>
    <t>Umsetzung und Kontrolle der Zulassungsauflagen</t>
  </si>
  <si>
    <t>Die im Zulassungsbescheid genannten Auflagen müssen fristgerecht und vollständig umgesetzt sowie regelmäßig kontrolliert werden, um die Zulassung der Bildungsmaßnahmen aufrechtzuerhalten. Bzgl. der AZAV-Zertifizierung, s.u. Ansonsten Fristen/Inhalte zur Korrektur von Abweichungen i.R.d. Audits.</t>
  </si>
  <si>
    <t>Audit- und Evaluations- sowie Anamneseprozesse der Arbeitsmarktrelevanz bestehender sowie der Bewertung/Erschließung neuer Produkte sind zu def.</t>
  </si>
  <si>
    <t>valides und reliables Audit-, Evaluations- und Auswertungssystem sowie Bereitschaft, dieses zu nutzen, entsprechend zu handeln und ggf. Veränderungen umzusetzen</t>
  </si>
  <si>
    <t>Aktualisierung und Verlängerung der Zulassungen</t>
  </si>
  <si>
    <r>
      <rPr>
        <sz val="11"/>
        <color rgb="FF000000"/>
        <rFont val="Arial"/>
      </rPr>
      <t xml:space="preserve">Die Zulassungen müssen regelmäßig aktualisiert und verlängert werden, um die Kontinuität der Bildungsmaßnahmen sicherzustellen. Hierzu gehören das Einreichen von Verlängerungsanträgen und die Bereitstellung aktueller Informationen zu den Bildungsangeboten. Insbesondere Änderungen der Inhalte/Lernmittel und die Erfolgsbemessung/Arbeitsmarktrelevanz. 
=&gt;Es sollte ein System, basierend auf der Vertriebs- (Buchungen/Nachfrage i.R. Beratung etc.)) und TN-Evaluation (Abbrüche/Abschluss/Eingliederungsquote etc.) geschaffen werden, das rechtzeitig einen validen Konsens über Verlängerung, ggf. vorherige Modifikation, oder Outsourcing der MN ermöglicht, die auch die Förderziele der Kostenträger berücksichtigt (ggf. Punktesystem).
</t>
    </r>
    <r>
      <rPr>
        <sz val="11"/>
        <color theme="1"/>
        <rFont val="Calibri"/>
        <family val="2"/>
        <scheme val="minor"/>
      </rPr>
      <t>Zudem ggf. eine Art Ticketsystem, das zu einem def. Zeitpunkt informiert, wenn die Zertifizierung eines (MN-)Bausteins ausläuft. Analog könnte das Ticket auch zur TN-Überwachung und zur Aktualisierungsnotwendigkeit der MN im Kursnet genutzt werden.</t>
    </r>
  </si>
  <si>
    <t>Anamneseprozesse der Relevanz bestehender MN sowie Konsensfindungsverfahren zur Entscheidung über Verlängerung/Aufgabe ist zu def. (zeitlich/Struktur)</t>
  </si>
  <si>
    <t>AZAV, QMS, Qualitätsmanagement oder ZFU, Vertrieb</t>
  </si>
  <si>
    <t>MA-AZAV oder MA-P, MA-VB2G</t>
  </si>
  <si>
    <t>Patrick oder Päd.(Zuständigkeit)
i.V.m. Vertrieb (Datengrundlage)</t>
  </si>
  <si>
    <t>max. Marktrelevanz und damit Umsatzsteigerung/effiziente Produktentwicklung und optimale Marktposition</t>
  </si>
  <si>
    <t>valides und reliables Auswertungssystem, das Konsens über weitere strategische Schritte ermöglicht; Ticketsystem in ELA</t>
  </si>
  <si>
    <t>Anpassung und Weiterentwicklung der Bildungsmaßnahmen</t>
  </si>
  <si>
    <t>Berücksichtigung von Evaluations- und Audit-Ergebnissen</t>
  </si>
  <si>
    <t>Die Ergebnisse aus internen und externen Evaluationsverfahren sowie Audits sollten zur kontinuierlichen Verbesserung der Bildungsmaßnahmen genutzt werden. Dies umfasst die Anpassung der Lehrpläne, didaktischen Methoden und Materialien, Zielgruppe, neue Kombinationen, neue Angebote, die sich zur Kombination eignen bzw. relevante neue Abschlüsse. 
=&gt;Hierzu ist insbesondere der (in)direkte Kontakt zu den Kostenträgern interessant sowie die Auswertung der Bildungszielplanungen. Marktrelevanz ist ein wesentliches Zulassungskriterium und wird auch i.R.d. Audits abgefragt. Ggf. sollte ein Vorrangregelung geschaffen werden, die sich aus Systemstatistiken in Synthese mit Umsatzmöglichkeiten ableiten lässt, welche Produkte als nächstes neu konzipiert/überarbeitet werden. Evtl. via Punktesystem (interne Nachfrage + Förderschwerpunkte der Kostenträger).</t>
  </si>
  <si>
    <t>AZAV, QMS, Qualitätsmanagement, Vertrieb, Abweichungen / Beschwerden erfassen und bewerten, Überarbeitung und Anreicherung von Lehrmaterial,  Fertigstellung und Upload von Lehrmaterialien, ZFU, Dozenten, Tutoren, Ausbildungsstätten,Überarbeitung von Lehrmaterialien, Anlage und Pflege der Bildungsprodukte im System</t>
  </si>
  <si>
    <t>MA-AZAV oder MA-P, MA-VB2G, GF</t>
  </si>
  <si>
    <t>Patrick und/oder Päd.(Zuständigkeit)
i.V.m. Tobi + Vertrieb (Datengrundlage)</t>
  </si>
  <si>
    <t>Aktualisierung der Lehrinhalte und -materialien</t>
  </si>
  <si>
    <t>Die Lehrinhalte und -materialien der Fernlehrgänge sollten regelmäßig aktualisiert und an die aktuellen Anforderungen und Entwicklungen in den jeweiligen Fachgebieten angepasst werden sowie des Arbeitsmarktes, was den regen Austausch mit Kostenträger (Trägerkonferenzen, Messen, Bildungszielplanungsanamnese) sowie der Kontakte zu Kammern (z.B. IHK) und Arbeitgebern nachhaltig erfordert. Diese sind auch i.R. der Träger- und vor allem MN-Zertifizierung förderlich, bzw. generierte Teilnahme an Messen/Infoveranstaltungen etc.</t>
  </si>
  <si>
    <t>Audit- und Evaluations- sowie Anamneseprozesse der Arbeitsmarktrelevanz bestehender sowie der Bewertung/Erschließung neuer Inhalte sind zu def.</t>
  </si>
  <si>
    <t>AZAV, QMS, Qualitätsmanagement, ZFU, Lehrmaterialien, Abweichungen / Beschwerden erfassen und bewerten,  Überarbeitung und Anreicherung von Lehrmaterial,  Fertigstellung und Upload von Lehrmaterialien, Überarbeitung von Lehrmaterialien, Anlage und Pflege der Bildungsprodukte im System</t>
  </si>
  <si>
    <t>Implementierung neuer didaktischer und technischer Ansätze</t>
  </si>
  <si>
    <t>Neue didaktische und technische Ansätze, wie beispielsweise innovative Lehr- und Lernmethoden oder verbesserte Lernplattformen, sollten in die Fernlehrgänge integriert werden, um die Qualität der Bildungsmaßnahmen weiter zu steigern.</t>
  </si>
  <si>
    <t>Kommunikation der Zulassungen und Bildungsmaßnahmen</t>
  </si>
  <si>
    <t>Informationsbereitstellung für Interessenten und Teilnehmer</t>
  </si>
  <si>
    <t>Die zulassungsrelevanten Informationen, wie die Zulassungsbescheide und die anerkannten Bildungsmaßnahmen, sollten für Interessenten und Teilnehmer transparent und zugänglich gemacht werden, z. B. auf der Webseite des Instituts oder in Informationsbroschüren.</t>
  </si>
  <si>
    <t>Kommunikation mit Fördermittelgebern und Partnern</t>
  </si>
  <si>
    <t xml:space="preserve">Die Zulassungen werden bei anderen relevanten Partnern, wie Unternehmen und Kooperationspartnern, mitgeteilt, um eine erfolgreiche Zusammenarbeit zu gewährleisten, z.B. AZAV-Flyer i.R. des QCG bei AG bzw. allgemeine sowie Kataloge/Mailings bei den Kostenträgern, um AZAV-Angebot zu verdeutlichen. Zertifikate nur auf Verlangen/wo obligatorisch z.B. Kursnet/Kostenträger Qualischecks vorlegen. </t>
  </si>
  <si>
    <t>geeignete Medien sind zu def., die Zielgruppenanforderungen, Informationsbedürfnisse, Darstellungsform und Zweck befriedigen</t>
  </si>
  <si>
    <t>AZAV, Vertrieb, Kooperationen</t>
  </si>
  <si>
    <t>MA-P, MA-AZAV, MA-VB2G</t>
  </si>
  <si>
    <r>
      <rPr>
        <b/>
        <sz val="11"/>
        <color rgb="FF000000"/>
        <rFont val="Arial"/>
      </rPr>
      <t xml:space="preserve">Marketing 
i.V.m.
</t>
    </r>
    <r>
      <rPr>
        <sz val="11"/>
        <color theme="1"/>
        <rFont val="Calibri"/>
        <family val="2"/>
        <scheme val="minor"/>
      </rPr>
      <t>Patrick &amp; Vertrieb</t>
    </r>
  </si>
  <si>
    <t>Ermittlung und Akquise relevanter Partner sowie Netzwerkpflege und geeignete Kommunikationsmedien/Informationsquellen</t>
  </si>
  <si>
    <t>Öffentlichkeitsarbeit und Marketing</t>
  </si>
  <si>
    <t>Die Zulassungen und Bildungsmaßnahmen sollten im Rahmen der Öffentlichkeitsarbeit und des Marketings kommuniziert werden, um die Bekanntheit des Instituts und seiner Angebote zu erhöhen und neue Teilnehmer zu gewinnen. Insbesondere Zielgruppen- und themenspezifische Flyer (wer, was, wo, welches Niveau/Ziel?). Bildungsbereichbezogen und anwenderfreundlich im Versand bzw. der Ergänzung/Aktualisierung. Hinzu kommen Leads in Jobbörsen und auf Weiterbildungsportalen. Insbesondere von Relevanz ist die Präsenz im Kursnet. Hierfür sind STO als Multiplikatoren wichtig. Regionale Clusteranalysen helfen, ggf. geeignete Regionen zur Aktivitätssteigerung zu identifizieren und auch den Kostenträgern die Präsenz vor Ort zu verdeutlichen, was wiederum Einladungen zu Messen sowie TN, die sich konkret auf STO beziehen, generiert.</t>
  </si>
  <si>
    <t>alle Marketingprozesse i.A.</t>
  </si>
  <si>
    <t>max. Marktrelevanz und damit Umsatzsteigerung durch Erhöhung des Bekanntheitsgrades und dadurch optimale Marktposition</t>
  </si>
  <si>
    <t>Bsp. Flyerformat SGB II, so i.d.R und nach m.E. gewünscht, sodass Ausgabefähig an pot.TN: https://www.meistertask.com/app/task/s1tlQHbK/bsp-flyer-betreuungskraft</t>
  </si>
  <si>
    <t>Allgemeine Verfahrensanweisungen der Marketingabteilung,</t>
  </si>
  <si>
    <t>max. Marktrelevanz und damit Umsatzsteigerung durch Erhöhung des Bekanntheitsgrades und dadurch optimale Marktposition hinsichtlich der Zielgruppe</t>
  </si>
  <si>
    <t>Bsp. Flyer BA (könnte so gespiegelt werden und nach Themen geclustert, ergänzt/separiert bedarfsgerecht eingesetzt werden): https://synology.bildungscampus-backnang.de:50823/drive/#file_id=710864515509579687</t>
  </si>
  <si>
    <t>Allgemeine Verfahrensanweisungen der Marketingabteilung</t>
  </si>
  <si>
    <t>Monitoring und Reporting</t>
  </si>
  <si>
    <t>Überwachung der Einhaltung der Zulassungsanforderungen</t>
  </si>
  <si>
    <t>Eine regelmäßige Überwachung der Einhaltung der Zulassungsanforderungen ist notwendig, um die Qualität der Bildungsmaßnahmen sicherzustellen und mögliche Probleme frühzeitig zu erkennen. 
=&gt;Die Empfehlungen des AZAV-Beirates sind hilfreich, jedoch werden Neuerungen nicht aktiv kommuniziert. Neuerungen treten vor allem i.R. von Zulassungen/vor Audits zutage. Dann sind schnelle Anpassungen notwendig, die entsprechenden MA müssen dann Prioritäten setzen. S. Thema AGBs.</t>
  </si>
  <si>
    <t>Prozess zur Arbeitsmarktrelevanz der Produkte und deren Vorrang/priorisierter Entwicklung ist zu def.</t>
  </si>
  <si>
    <t>Erstellung von Berichten und Statistiken</t>
  </si>
  <si>
    <r>
      <rPr>
        <sz val="11"/>
        <color rgb="FF000000"/>
        <rFont val="Arial"/>
      </rPr>
      <t xml:space="preserve">Berichte und Statistiken über die Durchführung der Bildungsmaßnahmen, die Teilnehmerzahlen und den Erfolg der Maßnahmen sollten regelmäßig erstellt und den zuständigen Behörden, Fördermittelgebern und der Geschäftsführung zur Verfügung gestellt werden.
-Positive Erfolgsauswertung kann Werbematerial bereichern und Türöffner für Lobbyarbeit bei Kostenträgern sein, wenn regional von Relevanz -&gt; Clusteranalysen.
-Sehr gute Integrationsquote und damit besondere Arbeitsmarktrelevanz kann Argument zur Überschreitung des B-DKS i.R.d. Kalkulation zur MN-Zulassung sein.
</t>
    </r>
    <r>
      <rPr>
        <sz val="11"/>
        <color theme="1"/>
        <rFont val="Calibri"/>
        <family val="2"/>
        <scheme val="minor"/>
      </rPr>
      <t>=&gt;Verdeutlicht die Bedeutung einer validen und erkenntnisreichen Eingliederungsbefragung sowie wesentlich detaillierteren Datenerhebung.</t>
    </r>
  </si>
  <si>
    <t>Prozess zur Arbeitsmarktrelevanz der Produkte sowie deren Erfolgsbewertung/Optimierungspotenziale ist zu def.</t>
  </si>
  <si>
    <t>AZAV, QMS, Qualitätsmanagement, Vertrieb</t>
  </si>
  <si>
    <t>MA-AZAV, MA-VB2G</t>
  </si>
  <si>
    <t>Vetrieb i.V.m. Patrick</t>
  </si>
  <si>
    <t>Erschließung von Potenzialen, absolut marktrelevante Produkte auf hohem Niveau, die max. Ertrag mit sich bringen</t>
  </si>
  <si>
    <t>Kontinuierliche Verbesserung und Anpassung der Prozesse</t>
  </si>
  <si>
    <t>Die Prozesse im Zusammenhang mit der Maßnahmenzulassung sollten kontinuierlich überprüft, verbessert und angepasst werden, um eine effektive und effiziente Umsetzung der Bildungsmaßnahmen und die Einhaltung der Zulassungsanforderungen zu gewährleisten. Vor allem sollten vorrangig arbeitsmarktrelevante Produkte entwickelt/zugelassen werden, s. Idee Vorrangregelung.</t>
  </si>
  <si>
    <t>MA-AZAV mit Prozessmanagement</t>
  </si>
  <si>
    <t>Patrick i.V.m. Prozessmanagement und liefernder/beitragender Abteilung</t>
  </si>
  <si>
    <t>optimale Qualität bei minimaler/keiner Varianz und somit effiziente Zertifizierungsverfahren die max. kontrollierbar sind und keine unerwarteten (negativen) Ergebnisse erzielen sowie bei Feststellung Erschließung von Potenzialen, absolut marktrelevante Produkte auf hohem Niveau</t>
  </si>
  <si>
    <t>Schulung und Weiterbildung der Mitarbeiter</t>
  </si>
  <si>
    <r>
      <rPr>
        <b/>
        <sz val="11"/>
        <color rgb="FF000000"/>
        <rFont val="Arial"/>
      </rPr>
      <t xml:space="preserve">Schulung der Mitarbeiter in Zulassungsverfahren + </t>
    </r>
    <r>
      <rPr>
        <b/>
        <sz val="11"/>
        <color rgb="FFFF0000"/>
        <rFont val="Arial"/>
      </rPr>
      <t>AZAV-Spezifika</t>
    </r>
  </si>
  <si>
    <t>Die Mitarbeiter, die für die Maßnahmenzulassung verantwortlich sind, sollten regelmäßig geschult und auf dem neuesten Stand der Zulassungskriterien und -anforderungen gehalten werden, um eine erfolgreiche Umsetzung der Bildungsmaßnahmen sicherzustellen. Deshalb möchte ich auch regelm. zu QM-Weiterbildungen, wie beantragt. Zudem sollten Beratung/TN-Betreuung, m.E. auch Produktm. und, zumindest bzgl. Fachtermini für Publikationen auch Marketing, hinsichtlich Spezifika und Arbeitsmarktrelevanz geschult werden. Gerne auch extern. Hierzu wäre die Gewinnung weiterer, AZAV-erfahrener Vertriebler/Betreuuer ebenfalls hilfreich.</t>
  </si>
  <si>
    <t>MA, die AZAV-&gt;rel. besitzen, müssen geeignete Weiterbildungen erhalten, in Auditprozess obligatorisch und bevorzugt einbezogen und bei Bedarf auditiert werden</t>
  </si>
  <si>
    <t>AZAV, QMS, Qualitätsmanagement, sonstige allgemeingültige Verfahrensanweisungen</t>
  </si>
  <si>
    <t>MA-AZAV, GF, TL</t>
  </si>
  <si>
    <t>Patrick i.V.m. Tobi &amp; ggf. TL</t>
  </si>
  <si>
    <t>optimale Qualität, Minderung der Varianz, gezieltes Profiling der MA bei Neueinstellungen, effiziente Weiterbildung</t>
  </si>
  <si>
    <t>Bereitschaft der MA, entsprechendes Angebot, (verbindliche) Bedarfsermittlung in Form z.B. Audits/Evaluationen/Prozessautomatik zum Umgang mit relevanten Ereignissen, wie Beschwerden/Individuell "verschuldete" Abweichungen</t>
  </si>
  <si>
    <r>
      <rPr>
        <b/>
        <sz val="11"/>
        <color rgb="FF000000"/>
        <rFont val="Arial"/>
      </rPr>
      <t xml:space="preserve">Schulung der Lehrkräfte in Fernunterrichts- </t>
    </r>
    <r>
      <rPr>
        <b/>
        <sz val="11"/>
        <color rgb="FFFF0000"/>
        <rFont val="Arial"/>
      </rPr>
      <t>und didaktischen Methoden/inhaltlich</t>
    </r>
  </si>
  <si>
    <r>
      <rPr>
        <sz val="11"/>
        <color rgb="FF000000"/>
        <rFont val="Arial"/>
      </rPr>
      <t xml:space="preserve">Die Lehrkräfte sollten in den spezifischen Methoden und Anforderungen des Fernunterrichts geschult werden, um eine qualitativ hochwertige Wissensvermittlung und Betreuung der Teilnehmer in den Fernlehrgängen zu gewährleisten.
Bzgl. der Kontrolle der Weiterbildung der Lehrgangsleiter wurde i.R.d. Audits zur  Prozessausarbeitung geraten und i.R. dessen zur Erfüllung der Grundanforderungen angepasst: http://wiki.academyofsports.online/tiki-index.php?page=Unternehmensleits%C3%A4tze
=&gt;Ggf. könnte ein transparenter Prozess entwickelt werden, wonach Dozenten/Tutoren bei stufenweiser zunehmender Durchführung von UEs (z.B. alle 500) und Absolvierung bestimmter, von uns geforderter Weiterbildungen, automatisch das Honorar angepasst wird. Quasi vgl. Entgelttabelle im ÖD. 
</t>
    </r>
    <r>
      <rPr>
        <sz val="11"/>
        <color theme="1"/>
        <rFont val="Calibri"/>
        <family val="2"/>
        <scheme val="minor"/>
      </rPr>
      <t>=&gt;Ebenso könnten erfahrene Tutoren/Dozenten i.R. eine Mentorenprogramms für neue fungieren.</t>
    </r>
  </si>
  <si>
    <t>ext. MA, die AZAV-&gt;rel. besitzen, müssen nachweislich Weiterbildungen erhalten und regelm. auditiert werden</t>
  </si>
  <si>
    <t>Sonstige allgemeingültige Verfahrensanweisungen, Tutoren, Dozenten, Lehrgangsabschluss</t>
  </si>
  <si>
    <t>Max + Yvonne D.</t>
  </si>
  <si>
    <t>Zusammenarbeit mit externen Experten und Institutionen</t>
  </si>
  <si>
    <t>Teilnahme an Fachveranstaltungen und Netzwerken</t>
  </si>
  <si>
    <t>Die Teilnahme an Fachveranstaltungen und der Austausch mit Experten und anderen Bildungseinrichtungen in Netzwerken können dazu beitragen, die Qualität der Bildungsmaßnahmen weiter zu verbessern und neue Impulse für die Maßnahmenzulassung zu erhalten. 
=&gt;Der AZAV-Verantwortliche nimmt regelm. an Veranstaltungen der Kostenträger und punktuell Kammern, wie IHK, teil. Wünschenswert wären punktuell Begleitungen, um MA für Thematik zu sensibilisieren Kontaktausbau vor allem über Messen und den gezielten Aufbau von Kontakten bei Ansprache mit passgenauen Infomaterialien (regional thematisch passen; flexibel gestaltbare Flyer per Mail o.ä.).</t>
  </si>
  <si>
    <t>relevante Veranstaltungen/Zielgruppen müssen identifiziert, entsprechend relevantes Portfolio (Zielgruppe/Region) muss auf Basis valider Analysen identifiziert sowie geeignete Medien/Werbemittel, die flexibel adaptierbar sind, erstellt werden, Routine der Repräsentation sollte etabliert werden (z.B. Messeteam)</t>
  </si>
  <si>
    <r>
      <rPr>
        <sz val="11"/>
        <color rgb="FFFF0000"/>
        <rFont val="Arial"/>
      </rPr>
      <t xml:space="preserve">Themenbezogen; 
</t>
    </r>
    <r>
      <rPr>
        <sz val="11"/>
        <color rgb="FF000000"/>
        <rFont val="Arial"/>
      </rPr>
      <t>u.a. Koperationen, Allgemeine Verfahrensanweisungen der Marketingabteilung</t>
    </r>
  </si>
  <si>
    <r>
      <rPr>
        <b/>
        <sz val="11"/>
        <color rgb="FFFF0000"/>
        <rFont val="Arial"/>
      </rPr>
      <t xml:space="preserve">m.E. ALLE
</t>
    </r>
    <r>
      <rPr>
        <sz val="11"/>
        <color theme="1"/>
        <rFont val="Calibri"/>
        <family val="2"/>
        <scheme val="minor"/>
      </rPr>
      <t>=&gt;neuer Schnittstellenprozess</t>
    </r>
  </si>
  <si>
    <t>max. Marktrelevanz und damit Umsatzsteigerung/effiziente Produktentwicklung und optimale Marktposition, Ausbau von Kontakten und damit Attraktivitätststeigerungen durch Angebotserweiterung bzw. Erhöhung IQ</t>
  </si>
  <si>
    <t>Ermittlung und Akquise relevanter Partner sowie Netzwerkpflege und geeignete Kommunikationsmedien/Informationsquellen, effiziente Logistik</t>
  </si>
  <si>
    <t>Externe Audits und Zertifizierung</t>
  </si>
  <si>
    <t>In diesem Prozess wird die Einhaltung von Qualitätsstandards, Vorschriften und gesetzlichen Anforderungen durch externe Audits und Zertifizierungen sichergestellt. Dazu gehört die Vorbereitung auf Audits, die Zusammenarbeit mit externen Prüfern und die Umsetzung von Maßnahmen zur Verbesserung der Qualität.</t>
  </si>
  <si>
    <t>Vorbereitung auf Audits</t>
  </si>
  <si>
    <t>Dokumentation der Prozesse und Verfahren</t>
  </si>
  <si>
    <t>Stellen Sie sicher, dass alle relevanten Prozesse und Verfahren im Bildungsinstitut schriftlich festgehalten sind und regelmäßig aktualisiert werden. Dies erleichtert den Auditoren das Verständnis der Abläufe und der Qualitätssicherung. 
=&gt;Prozessmanagement unter Absprache mit dem AZAV-Beauftragten (bzgl. Wording/Formulierung). Hier sollten einige Prozesse validiert/ausgearbeitet werden. Tlw. mussten Prozesse während des Audits nachgeschrieben werden. 
=&gt;Klare Zuständigkeiten/Intervalle und Vorgehensregelungen/Indikatoren helfen. Z.B. KPI u.v.m.</t>
  </si>
  <si>
    <t>Inhalt, Zuständigkeiten, Mindestanforderungen, Aktualisierungen müssen in Zuständigkeit festgelegt werden</t>
  </si>
  <si>
    <t>TBD, perspektivisch QMS, Qualitätsmanagement/Synthese mit AZAV, wo passend</t>
  </si>
  <si>
    <t xml:space="preserve">Prozessmanagerin i.V.m. GF und MA-AZAV </t>
  </si>
  <si>
    <t>Prozessmanagerin i.V.m. Tobi und AZAV-spez. Patrick</t>
  </si>
  <si>
    <t>Erhöhung der Qualität durch Minderung der Varianz</t>
  </si>
  <si>
    <t>konsistenter Prozess, technische Voraussetzungen, Konsens/Feststellung, welche Daten wie erhoben werden und wo dok.</t>
  </si>
  <si>
    <t>Schulung und Sensibilisierung der Mitarbeiter</t>
  </si>
  <si>
    <t>Bereiten Sie das Personal auf das Audit vor, indem Sie sie über die Anforderungen und Erwartungen des Audits informieren und entsprechende Schulungen anbieten. Dies hilft, mögliche Probleme frühzeitig zu erkennen und zu beheben. 
=&gt;Hierzu habe/werde ich als AZAV-Beauftragter jeder Abteilung eine Vorbesprechung angeboten/anbieten, die z.T. genutzt wurde. Dabei habe ich Dokumente, mgl. Fragen/Prüfgegenstände etc. durchexerziert und bin den Bericht vom Vorjahr durchgegangen sowie ggf. kommende ToDos. Besonders die aktiven TN an der Vorbesprechung haben i.R.d. Audits super mitgearbeitet. Ggf. Audit-Inforunden nach Teams obligatorisch implementieren.</t>
  </si>
  <si>
    <t>Auditvorbesprechung unter obligatorischem Einbezug der rel. MA, ggf. Schulungen, def./Bildung Stammkader AZAV-rel. MA in jedem Unternehmensteil/jeder Fachabteilung</t>
  </si>
  <si>
    <t>Sonstige allgemeingültige Verfahrensanweisungen; diese ggf. punktuell AZAV-spez. weiterentwickelt</t>
  </si>
  <si>
    <t>obligatorische Infoveranstaltung zum Audit, entsprechend der Anforderungen des Fachbereichs</t>
  </si>
  <si>
    <t>Internes Audit Dozenten/Tutoren</t>
  </si>
  <si>
    <t>Zur Vereinfachung des Systems in RS mit dem Auditor, wurde folgender, einfacherer Prozess, als praktikabel und rechtskonform besprochen (letztes Jahr hatte ich zudem einen geeigneten Auditbogen für Dozenten eingebracht, den Max M. in den bestehenden eingearbeitet hatte).</t>
  </si>
  <si>
    <t>Prozess(ketten), Rollen, Doku und Handlungsmechanismen sind zu def.</t>
  </si>
  <si>
    <t>Vorschlag Patrick i.A. mit Auditor, s. links.</t>
  </si>
  <si>
    <t>1. Externe MA (idealerweise durch Personalrefrenten):</t>
  </si>
  <si>
    <t>1.1. Neue Dozenten/Tutoren obligatorisch; ggf. für diese vorab eine obligatorische Hospitation bei Kollegen</t>
  </si>
  <si>
    <t>1.2. Bereits eingesetzte Dozenten bei Wechsel des Einsatz-/Themengebiets.</t>
  </si>
  <si>
    <t>1.3. Dozenten bei Beschwerden/schlechten Bewertungen (zu def.).
=&gt;Beschwerden: wo, wie, wie verfänglich
=&gt; Feedbacks: nach jedem Baustein oder als Gesamtfeedback, z.B. Quartalsweise? auf Basis (kumulierter) TN-Evaluationen=&gt;Prozess z.w.V. (s. rechts)</t>
  </si>
  <si>
    <t>GF, MA-PER, TU, DO, MA-AZAV</t>
  </si>
  <si>
    <t xml:space="preserve">Tobias + Geschäftsführung (Zust.), &amp; Max/Yvonne D., ggf. i.V.m. Patrick </t>
  </si>
  <si>
    <t>Erhöhung der Qualität durch Minderung der Varianz und TN-Zufriedenheit</t>
  </si>
  <si>
    <t>Internes Audit MA</t>
  </si>
  <si>
    <t>WICHTIG ist der Dakks nur, dass "Überprüfungen stattfinden".
D.h. wenn 1.1. - 1.3. nicht der Fall, könnten z.B. auch einfach stichprobenartig Audits in Form von Dokumentenprüfungen stattfinden, z.B. das Nachkommen der Dokumentationspflichten etc. Es sollten nur einige im laufenden Jahr dok. überprüft werden.
=&gt;Auditdokumentation und Kommunikation zwischen Auditor und MA-AZAV bzw. auch gemeinsame Veranlassungsentscheidung (Indikatoren)?</t>
  </si>
  <si>
    <t>Internes Audit festangestellte MA</t>
  </si>
  <si>
    <t>Interne MA nur bei Beschwerden/(groben), AZAV-relevanten Fehhlern (zu def.). 
=&gt; Anlassbezug durch Vorgesetzten; Auditor auch noch zu def. Ggf. Vorgesetzter i.V.m. MA-AZAV (z.B. dok. Prozessprüfung, in dem der "Fehler" auftrat + kurzes Verständnis-/Fachgespräch zum "Fehler").
=&gt;Auditdokumentation und Kommunikation zwischen Vorgesetzten und MA-AZAV bzw. auch gemeinsame Veranlassungsentscheidung (Indikatoren)?</t>
  </si>
  <si>
    <t>TL themenbezogen + ggf. AZAV, QMS, Qualitätsmanagement</t>
  </si>
  <si>
    <t>TL, MA-AZAV</t>
  </si>
  <si>
    <t>TL ggf. i.V.m. Patrick</t>
  </si>
  <si>
    <t>Kommunikation und Koordination</t>
  </si>
  <si>
    <t>Stellen Sie einen reibungslosen Informationsaustausch und eine gute Zusammenarbeit mit den externen Auditoren sicher. Benennen Sie einen Ansprechpartner, der für die Organisation und Koordination des Audits zuständig ist = MA-AZAV (extern) und Multiplikator intern, z.B. jeweils TL, in sein Team bzgl. der Anforderungen, die MA-AZAV kommuniziert.</t>
  </si>
  <si>
    <t>Bildung Stammkader AZAV-rel. MA in jedem Unternehmensteil/jeder Fachabteilung</t>
  </si>
  <si>
    <t>AZAV, QMS, Qualitätsmanagement + themenbezogen</t>
  </si>
  <si>
    <t>1. Patrick 
2. TL/Prozessm.</t>
  </si>
  <si>
    <t xml:space="preserve">optimale Qualität bei minimaler/keiner Varianz und somit effiziente Zertifizierungsverfahren die max. kontrollierbar sind und keine unerwarteten (negativen) Ergebnisse erzielen </t>
  </si>
  <si>
    <t>Bereitstellung von Unterlagen</t>
  </si>
  <si>
    <t>Jew. Fachabteilungen, wie vom MA-AZAV angefordert (ggf. in Prozess mit Deadlines gießen, sodass nicht stets nachgehalten werden muss); übergreifende Dokumente erl. MA-AZAV.; ggf. i.A. mit Prozessm. z.B. wenn  Anpassungen für Audit nötig.</t>
  </si>
  <si>
    <t>Offenheit und Transparenz</t>
  </si>
  <si>
    <t>Zeigen Sie während des Audits Offenheit und Transparenz, um das Vertrauen der Auditoren in die Qualität der Bildungsmaßnahmen und die Einhaltung von Standards zu stärken. Kann ich nur unterstreichen! Wichtig ist es, bei Audits die erfahrenen Kollegen, die i.R.d. Stichproben besser Auskunft geben können, in Auditvorbesprechnungen, m.E. obligatorisch, teambezogen, aufzunehmen und Anwesenheit am Audittag zu steuern sowie an einem "kommunikativen" Prüfprozess zu beteiligen, wenn nötig.
=&gt;Erfahrener MA aus Fachabteilung sollte am Audittag für inhaltliche Fragen vor Ort zur Verfügung stehen, Audit-Vorbesprechung in jeder Fachabteilung vorab obligatorisch.</t>
  </si>
  <si>
    <t>Bildung Stammkader AZAV-rel. MA in jedem Unternehmensteil/jeder Fachabteilung, die Routine entwickeln</t>
  </si>
  <si>
    <t>MA-AZAV + weitere</t>
  </si>
  <si>
    <t>1. Patrick 
2. ggf. hinzugezogene MA</t>
  </si>
  <si>
    <t>Umsetzung von Maßnahmen zur Verbesserung der Qualität</t>
  </si>
  <si>
    <t>Analyse der Audit-Ergebnisse</t>
  </si>
  <si>
    <t>Werten Sie die Ergebnisse des Audits aus und identifizieren Sie Bereiche, in denen Verbesserungen erforderlich sind. Berücksichtigen Sie dabei insbesondere die Besonderheiten von Fernlehrgängen, wie die Qualität der Lernmaterialien und die Betreuung der Teilnehmer. 
=&gt;Hierzu müssen Auditberichte, in Haupt- und Nebenabweichungen untergliedert, ausgewertet und To Dos abgeleitet werden. Diese gehen an die jeweiligen Verantwortlichen, ggf. unter Ansetzung der vom Auditor vorgegebenen Deadline, i.d.R: 4 Wochen. Zentrale Überwachung MA-AZAV. Bearbeitung von Haupt-Abweichung Prio 1! Es sollte jedoch auch eine Deadline zur Umsetzung von Empfehlungen geben, hierzu ggf. TL als Bindeglied zur praktikablen Umsetzung im Alltag.</t>
  </si>
  <si>
    <t>Gf, Prozessm., MA-AZAV</t>
  </si>
  <si>
    <t>Patrick i.V.m. Tobias unter ggf. Einbezug Prozessmanagerin &amp; TL</t>
  </si>
  <si>
    <t xml:space="preserve">auf Basis empirischer Befunde  optimale Qualität bei minimaler/keiner Varianz und somit effiziente Zertifizierungsverfahren die max. kontrollierbar sind und keine unerwarteten (negativen) Ergebnisse erzielen </t>
  </si>
  <si>
    <t>Auditbericht liefert die Grunderkenntnisse zu Anpassungsbedarfen, d.h. Umsetzungpriorisierung sollte Akzeptanz finden und obligatorische Nach-/Optimierungsbesprechnung stattfinden</t>
  </si>
  <si>
    <t>Erstellung eines Maßnahmenplans</t>
  </si>
  <si>
    <r>
      <rPr>
        <sz val="11"/>
        <color rgb="FF000000"/>
        <rFont val="Arial"/>
      </rPr>
      <t xml:space="preserve">Entwickeln Sie einen Maßnahmenplan, der die erforderlichen Verbesserungsmaßnahmen, verantwortliche Personen und Zeitpläne enthält. Kommunizieren Sie den Plan an alle beteiligten Mitarbeiter und sorgen Sie für eine zügige Umsetzung. Ableitung der To Dos unter Hinzuziehung der Prozessbeauftragten infolge des Auditberichts zur Prozessableitung des KVP/dessen Anpassung in Kooperation mit MA-AZAV und der Abteilung/verantwortlichen Person für die Abweichung. KVP bedeutet auch, aus Fehlern zu lernen, d.h. deren künftige Vermeidung in Prozesse zu gießen. Ggf. ist neben der Prozessableitung auch eine "Fehlersammlung" zum Prozess sowie des Lösungsansatz auf Basis empirischer Erkenntnisse ("Was war das Problem, wie kam es dazu und wie haben wir es gelöst?") hilfreich.
</t>
    </r>
    <r>
      <rPr>
        <sz val="11"/>
        <color theme="1"/>
        <rFont val="Calibri"/>
        <family val="2"/>
        <scheme val="minor"/>
      </rPr>
      <t>=&gt;Den Prozess zur Fehlerveremeidung sollten m.E. gemeinsam "Verursacher (Erkenntnis), TL (Multiplikator fürs Team/Umsetzungsverantwortlicher, MA-AZAV (Formalien) und Prozessm. (Struktur/effiziente Darstellung/Gliederung) ausarbeiten.</t>
    </r>
  </si>
  <si>
    <t>Gf, Prozessm., TL, MA-AZAV</t>
  </si>
  <si>
    <t>Umsetzungsskonsenz und Priorisierung</t>
  </si>
  <si>
    <t>Monitoring und Nachkontrolle</t>
  </si>
  <si>
    <t>Überwachen Sie die Umsetzung der Maßnahmen und prüfen Sie regelmäßig deren Wirksamkeit. Passen Sie bei Bedarf den Maßnahmenplan an und halten Sie den Fortschritt schriftlich fest, um bei zukünftigen Audits den kontinuierlichen Verbesserungsprozess nachzuweisen.
=&gt;Analog interne Audits von internen MA, hat die verantwortliche Person für die Abweichung proaktiv ein Abnahmegespräch mit MA-AZAV + Vorgesetztem zur Abgabe (Deadline) der Korrektur anzusetzen, um Optimierung durchzusprechen. Ziel: Abnahme durch MA-AZAV und fristgerechte Abgabe der Nachprüfung durch Auditor, Bewusstsein beim TL + MA. Ggf. kurzer Verbesserungsbericht zur Optimierung nach Abnahme durch MA (Fehlersammlung und Nachjustierung, der als Bsp. in Prozess, wie o.g., aufgenommen wird).</t>
  </si>
  <si>
    <t>MA-PER, DO, TU, MA-AZAV</t>
  </si>
  <si>
    <t>Patrick; ext. MA Max &amp; Yvonne D.</t>
  </si>
  <si>
    <t>je nach Varianz, i.R. geeigneter Evaluationen/Audits, bei fachlichen, Abnahme durch AZAV-Ver. Voraussetzung ist hierbei, Prioritätspdef. im Umgang mit Optimierungsbedarfen</t>
  </si>
  <si>
    <t>Überwachung der Zertifizierungen und Akkreditierungen</t>
  </si>
  <si>
    <t>Verfolgung der Gültigkeitsdauer</t>
  </si>
  <si>
    <r>
      <rPr>
        <sz val="11"/>
        <color rgb="FF000000"/>
        <rFont val="Arial"/>
      </rPr>
      <t xml:space="preserve">Überwachen Sie die Gültigkeitsdauer der Zertifizierungen und Akkreditierungen, um sicherzustellen, dass sie rechtzeitig erneuert werden. Führen Sie eine Übersicht mit den entsprechenden Fristen und verantwortlichen Personen. 
=&gt;Hierzu ist ein vorgelagerter Analyseprozess hilfreich, der rechtzeitig MN-Erfolg bewertet und valide Auskunft gibt, die Konsens ermöglicht, welche MN verlängert werden sollen. Hierzu sollte Prozess und ggf. Kennzahlen def. werden (Nachfrage/Zielgruppe-&gt;Inhalt/Förderwahrscheinlichkeit in der Zukunft). Diess müssen flexibel auf Konjunktur/Arbeitsmarkt/Fördertöpfe/rechtliche Neuerungen adaptierbar sein.
</t>
    </r>
    <r>
      <rPr>
        <sz val="11"/>
        <color theme="1"/>
        <rFont val="Calibri"/>
        <family val="2"/>
        <scheme val="minor"/>
      </rPr>
      <t>-Audits werden autom. angekündigt bzw. schon im Vorjahr Termin vereinbart</t>
    </r>
  </si>
  <si>
    <t>Patrick i.V.m. Vertrieb (Steffen, Simon, Stefan)</t>
  </si>
  <si>
    <t>marktrelevante, qualitativ bestmögliche Angebote und damit Umsatzsteigerung/Sicherung und somit Erhalt/Optimierung der Marktposition</t>
  </si>
  <si>
    <t>Klarheit auf Basis valider Ergebnisse, welche MN relevant</t>
  </si>
  <si>
    <t>Anpassung an geänderte Anforderungen</t>
  </si>
  <si>
    <t>Behalten Sie Änderungen in den Anforderungen und Standards für Zertifizierungen und Akkreditierungen im Blick und passen Sie Ihre Prozesse und Verfahren entsprechend an. Informieren Sie alle beteiligten Mitarbeiter über die Änderungen (z.B. Umsetzungsmeets/Vorbesprechung Audit obligatorisch veranlassen etc.) und bieten Sie gegebenenfalls Schulungen an bzw. lassen MA externe Schulungen besuchen, z.B. einmal p.a., wie auch vom MA-AZAV im QM/AZAV-Bereich gewünscht und vorgeschlagen. Bspw. bei einem Zertifizierer.</t>
  </si>
  <si>
    <t>MA-AZAV, TL</t>
  </si>
  <si>
    <t>Patrick; ggf.TL</t>
  </si>
  <si>
    <t xml:space="preserve">weiterhin optimale Qualität bei minimaler/keiner Varianz und somit effiziente Zertifizierungsverfahren die max. kontrollierbar sind und keine unerwarteten (negativen) Ergebnisse erzielen </t>
  </si>
  <si>
    <t>rechtliche Kenntnisse auf aktuellem Stand (z.B. Schulungen/obligatorischer Informationsfluss)</t>
  </si>
  <si>
    <t>Dokumentation der Zertifizierungen und Akkreditierungen</t>
  </si>
  <si>
    <t>Führen Sie eine zentrale Dokumentation aller Zertifizierungen, Akkreditierungen und Audit-Ergebnisse. Stellen Sie sicher, dass alle relevanten Informationen und Unterlagen leicht zugänglich sind, um bei zukünftigen Audits oder Anfragen einen schnellen Überblick über den aktuellen Status zu ermöglichen.
=&gt;Geeigneter Ort im System wäre hilfreich, analog führt der AZAV-Beauftragte eine entsprechende Datei für Zertifikate, MN-Zulassungen und eine für die Audits in entsprechender Ordnerstruktur.</t>
  </si>
  <si>
    <t>entsprechender Ablageort zu def./bereitzustellen</t>
  </si>
  <si>
    <t>AZAV, QMS, Qualitätsmanagement, ZFU</t>
  </si>
  <si>
    <t>MA-AZAV, MA-P</t>
  </si>
  <si>
    <t>Patrick oder Josh, Martin, Chris, Yvonne P. , Franzi, Selina, Mandy, ggf. Saskia und Chantal</t>
  </si>
  <si>
    <t>Effizienz und Transparenz i.V.m. Minimierung der Varianz</t>
  </si>
  <si>
    <t>Finanzmanagement und Controlling</t>
  </si>
  <si>
    <t>Ein weiterer wichtiger Kernprozess ist die Verwaltung und Kontrolle der Finanzen, einschließlich der Budgetierung, Finanzplanung, Buchhaltung und Berichterstattung. Dies beinhaltet auch die Abrechnung von Fördermitteln und die Überwachung der finanziellen Leistung des Instituts.</t>
  </si>
  <si>
    <t>Budgetierung</t>
  </si>
  <si>
    <t>Erstellung des Jahresbudgets</t>
  </si>
  <si>
    <t>Planung der jährlichen Einnahmen und Ausgaben, basierend auf den Zielen und Ressourcen des Bildungsinstituts, sowie den erwarteten Teilnehmerzahlen und Fördermitteln. Hierbei sind Konjunktur, Arbeitslosenzahlen und insbesondere regionale Förderschwerpunkte zu beachten und deren Veröffentlichung. Geeigneter Zeitpunkt, analog der Vö der Bildungszielplanungen 4./1. Quartal. Das (AZAV-)Budget sollte unter Berücksichtigung der Parameter gemeinsam und themen-/zielgruppenspezifisch festgelegt und zu einem geeigneten Zeitpunkt, z.B. nach dem "Sommerloch", reflektiert werden.</t>
  </si>
  <si>
    <t xml:space="preserve">entsprechender Analyseprozess + Indikatoren/Kennzahlen, die AZAV-Spez. berücksichtigen sowie Zuständigkeiten und Gewichtungen und abschließender Entscheidungsprozess sind zu def. </t>
  </si>
  <si>
    <t>GF, MA-AZAV</t>
  </si>
  <si>
    <t>Geschäftsführung; ggf. AZAV-spez. i.V.m. Patrick</t>
  </si>
  <si>
    <t>Mitteleffizienz auf Basis valider Anamnese und marktrelevanten Angebotsportfolios</t>
  </si>
  <si>
    <t>reliable, realistische, marktrelevante  Zielsetzung mit Verbindlichkeit, valide Systematik zu deren Ermittlung</t>
  </si>
  <si>
    <t>Überwachung des Budgets</t>
  </si>
  <si>
    <t>S.o. -&gt; Regelmäßige Kontrolle der Einnahmen und Ausgaben um sicherzustellen, dass diese im Einklang mit dem geplanten Budget stehen. Generell sollte das AZAV-Budget in Absprache Geschäftsführung-Vertrieb-AZAV-Beauftragter  ermittelt werden (SOLL/IST). Daraus könnten auch Mittel für spez. Weiterbildungen der MA abgeleitet werden.</t>
  </si>
  <si>
    <t>Mitteleffizienz auf Basis valider Anamnese zu Aufrechterhaltung/Optimierung eines marktrelevanten Angebotsportfolios</t>
  </si>
  <si>
    <t>Budgetanpassungen</t>
  </si>
  <si>
    <t>Anpassung des Budgets bei Bedarf, zum Beispiel aufgrund von veränderten Teilnehmerzahlen, zusätzlichen Fördermitteln oder unvorhergesehenen Kosten. Parameter/Absprache analog oben.</t>
  </si>
  <si>
    <t>Berichterstattung</t>
  </si>
  <si>
    <t>Management-Reporting</t>
  </si>
  <si>
    <t>Bereitstellung von regelmäßigen Finanzinformationen für die Geschäftsführung und andere Entscheidungsträger, um fundierte Entscheidungen über die strategische Ausrichtung und den Betrieb des Instituts treffen zu können. Managementbewertung entfällt i.R.d. Audits, dafür eindeutiger Prozess Erstellung, Systematik/Kennzahlen sowie Prozess und Verantwortung KPI durch die FKS gefordert. Förderwahrscheinlichkeiten der Kostenträger sind m.E. zwingend zu berücksichtigen.</t>
  </si>
  <si>
    <t>WIKI: Überprüfung und Festlegung der Qualitäts- und Unternehmensziele, Prozess zur detaillierteren Analyse der Daten sollte def. werden</t>
  </si>
  <si>
    <t>GF, TL</t>
  </si>
  <si>
    <t>Geschäftsführung i.V.m. TL</t>
  </si>
  <si>
    <t>Marketing und Kommunikation</t>
  </si>
  <si>
    <t>Strategieentwicklung</t>
  </si>
  <si>
    <t>Marktanalyse</t>
  </si>
  <si>
    <t>Erfassung und Analyse von Marktinformationen, um Trends, Bedürfnisse und Wettbewerbsposition zu identifizieren, (regionale) Zielgruppen i.R.d. Bildungszielplanungen, Messen, Lobbyarbeit, konjunkturelle Daten/Alo-Zahlen usw. Ggf. sollte quartalsweise eine Anamnese der Zahlen des statistische Dienstes der BA erfolgen in i.V. zu eigenen Zahlen gesetzt werden und durch Geschäftsführung, Vertrieb und MA-AZAV eine unterjährige Strategie- und Sollzahlenanpassung erfolgen.
=&gt;Hieraus könnten auch Marketingaktionen, wie regelm. suggestive Whitepaper zu Arbeitsmarktrelevanz und passender Weiterbildungslösungen entstehen, die auch i.R. des QCG an AGs, an Vermittler und an Alumni, versandt werden.
=&gt;Ebenso Konkurrenzanalyse (wer bietet wem, wo, was, in welcher Vermittlungsform unter welchen Voraussetzungen an?)</t>
  </si>
  <si>
    <t xml:space="preserve">Analyseprozess der Arbeitsmarktrelevanz bzw. Förderwahrscheinlichkeit, die im AZAV-Bereich im Zentrum steht ist zu def. sowie daraus abgeleitete Zielsetzungen (Inhalt/Zielgruppe/regionale Schwerpunkte/Niveau) sowie die Konkurrenzsituation </t>
  </si>
  <si>
    <r>
      <t xml:space="preserve">WIKI: Überprüfung und Festlegung der Qualitäts- und Unternehmensziele
</t>
    </r>
    <r>
      <rPr>
        <sz val="11"/>
        <color rgb="FF000000"/>
        <rFont val="Arial"/>
      </rPr>
      <t xml:space="preserve">+
Unternehmenskommunikation </t>
    </r>
    <r>
      <rPr>
        <sz val="11"/>
        <color theme="1"/>
        <rFont val="Calibri"/>
        <family val="2"/>
        <scheme val="minor"/>
      </rPr>
      <t xml:space="preserve">
Prozess zur detaillierteren Analyse der Daten sollte def. werden =&gt; AZAV-spez mit AZAV</t>
    </r>
  </si>
  <si>
    <t>GF, TL, MA-AZAV</t>
  </si>
  <si>
    <t>Geschäftsführung + TL; ggf. i.V.m.Patrick</t>
  </si>
  <si>
    <t>am Markt ausgerichtete Strategie, die Adaptionsmöglichkeiten infolge eines validen Prozess liefert und Marktposition optimiert</t>
  </si>
  <si>
    <t>marktrelevante, valide Systematik zur Ermittlung</t>
  </si>
  <si>
    <t>Zielgruppenanalyse</t>
  </si>
  <si>
    <t>Identifikation und Profilierung der relevanten Zielgruppen für die angebotenen Fernlehrgänge der geförderten Weiterbildung. 
=&gt;Diese lässt sich aus den Förderschwerpunkte und dem anzuvisierenden Niveau der Weiterbildung i.V. mit Förderplänen der Kostenträger (Bildungszielplanungen) und Stellenanalysen/Jobportalen ableiten. 
-&gt;Bei der Produktentwicklung und -anpassung sollte deshalb auch ein Mindestniveau (DQR) und Profiling der pot.TN stattfinden, um Erfolgsquote und IQ möglichst gut zu gewährleisten. 
-&gt;Zudem hilft eine Bewertung der negativen Abbrüche hinsichtlich nicht passgenau (z.B. Überforderung) eingebuchter TN.</t>
  </si>
  <si>
    <t>Analyseprozess der Arbeitsmarktrelevanz bzw. Förderwahrscheinlichkeit, die im AZAV-Bereich im Zentrum steht ist zu def. sowie daraus abgeleitete zielgruppenorientierte Marketingschritte (Medienstrategie zur Publikation/Inhalt//regionale Schwerpunkte/Niveau/Adressaten, d.h. eher passiv oder aktive Akquise) und die Konkurrenzsituation um die spez. Zielgruppe</t>
  </si>
  <si>
    <t>Marketingziele festlegen</t>
  </si>
  <si>
    <t>Definition quantitativer und qualitativer Ziele, wie z.B. Teilnehmerzahlen, Markenbekanntheit und Kundenzufriedenheit. Flyer mit Themen- und somit Zielgruppenschwerpunkten, bedarfsgerechte Sprache, Visualisierung und deren Grad, Informationsgehalt und Menge sowie Perspektivenvermittlung als Alumnus. Diese könnten auch positive Erfolgs- und Eingliederungsquoten, Einkommensreportings und die Zusammenarbeit mit dem Kostenträger umfassen. Z.B. i.R. von § 45 MN fragt das Jobcenter unter den Berichtspflichten/bewertet diese, die Zusammenarbeit mit dem Träger ab. Der Kostenträger ist ebenfalls unser Kunde und sollte, z.B. i.V. mit TN-Kontakten (deren Vermittler), regelm. befragt werden. Somit könnten Kunden-, d.h. TN- und Kostenträgerzufriedenheit (z.B. Kommunikation, Erreichbarkeit, Kooperation bei Problemen etc.) ermittelt und ggf. werbewirksam gg. (weiteren) Kostenträgern dargestellt werden.</t>
  </si>
  <si>
    <t>geeignete Medien i.V. zu o.g. sind zu wählen und inhaltlich zu gestalten</t>
  </si>
  <si>
    <t>GF, TL, MA-AZAV, MA-VB2G</t>
  </si>
  <si>
    <t xml:space="preserve"> Vertrieb/TN-Betreuung i.V.m Patrick .</t>
  </si>
  <si>
    <t>am Markt ausgerichtete Strategie, die Adaptionsmöglichkeiten infolge eines validen Prozess liefert und Marktposition dahingehend optimiert, optimale Ansprache/Medien zu identifizieren u, um Zielgruppen passgenau zu bedienen und Wettbewerbssituation zu verbessern</t>
  </si>
  <si>
    <t>Umsetzung von Marketingmaßnahmen</t>
  </si>
  <si>
    <t>Online-Marketing</t>
  </si>
  <si>
    <t>Online-Präsenz pflegen</t>
  </si>
  <si>
    <t>Aktualisierung und Bereitstellung von Informationen über Bildungsmaßnahmen, Bildungsgutscheine und Antragsverfahren auf der Website, Kursnet und Social-Media-Plattformen. Ticketsystem in ELA, das z.B. auch zur Info über anstehende Aktualisierungsbedarfe im Kursnet genutzt werden kann. Bei einer Vielzahl an Bausteinen absolut sinnvoll.</t>
  </si>
  <si>
    <t>geeignete Medien i.V. zu sind zu wählen und inhaltlich zu gestalten sowie seriöser, aktueller und attraktiver Eindruck zu vermitteln</t>
  </si>
  <si>
    <t>Vertrieb, Allgemeine Marktingaktivitäten On- und offline, SEO und Produktgestaltung, AZAV (Kursnet)</t>
  </si>
  <si>
    <t>MA-M (in Zust.), MA-AZAV</t>
  </si>
  <si>
    <t>Lena, Eleni, Caro, Daniel  i.V.m. Vertrieb und themenbezogen Patrick</t>
  </si>
  <si>
    <t>Marktrelevanz abbilden, Informationsgehalt erhöhen, Umsatz steigern, keine Varianz/Versäumnisse bei relevanten Fristen und dadurch optimale Onlinepräsenz</t>
  </si>
  <si>
    <t>Relevante Inhalte, passendes Wording, strategische Analyse der geeigneten Plattform entsprechend der Zielgruppe und personelle Ressourcen, Ticketsystem in ELA</t>
  </si>
  <si>
    <t>Website-Optimierung</t>
  </si>
  <si>
    <t>Gewährleistung einer ansprechenden, benutzerfreundlichen und informativen Website, die den Anforderungen der Zielgruppen entspricht.</t>
  </si>
  <si>
    <t>Vertrieb, Allgemeine Marktingaktivitäten On- und offline, SEO und Produktgestaltung</t>
  </si>
  <si>
    <t>MA-MON, MA-AZAV</t>
  </si>
  <si>
    <t>Marktrelevanz abbilden, Informationsgehalt erhöhen, Umsatz steigern</t>
  </si>
  <si>
    <t>Relevante Inhalte und personelle Ressourcen</t>
  </si>
  <si>
    <t>Suchmaschinenoptimierung (SEO)</t>
  </si>
  <si>
    <t>Optimierung der Website und ihrer Inhalte, um eine bessere Sichtbarkeit in Suchmaschinenergebnissen zu erzielen.</t>
  </si>
  <si>
    <t>Erreichbarkeit der Zielgruppen (inhaltlich/regional/Alter/Ansprache etc.) sind ideal zu forcieren</t>
  </si>
  <si>
    <t>MA-MSM</t>
  </si>
  <si>
    <t>Julia Kl., Meta</t>
  </si>
  <si>
    <t>Zielgruppen optimal identifizieren, Umsatz erhöhen</t>
  </si>
  <si>
    <t>Relevante Inhalte i.V. mit der Zielgruppe valide identifizieren und personelle Ressourcen</t>
  </si>
  <si>
    <t>Social-Media-Marketing</t>
  </si>
  <si>
    <t>Nutzung von sozialen Medien, um Fernlehrgänge zu bewerben, Informationen zu teilen und Interaktionen mit potenziellen Teilnehmern zu fördern.</t>
  </si>
  <si>
    <t>geeignete Medien/Portale i.V. zu sind zu wählen und inhaltlich zu gestalten sowie seriöser, aktueller und attraktiver Eindruck zu vermitteln</t>
  </si>
  <si>
    <t>Relevante Inhalte, passendes Wording, strategische Analyse der geeigneten Plattform entsprechend der Zielgruppe und personelle Ressourcen</t>
  </si>
  <si>
    <t>Veranstaltungsmanagement</t>
  </si>
  <si>
    <t>Bereits oben geschildert.</t>
  </si>
  <si>
    <t>Planung und Organisation von Informationsveranstaltungen</t>
  </si>
  <si>
    <t>Koordination von Veranstaltungen, um potenzielle Teilnehmer über die angebotenen Fernlehrgänge zu informieren und Fragen zu beantworten.</t>
  </si>
  <si>
    <t>s.o.</t>
  </si>
  <si>
    <t>AZAV, Vertrieb, Allgemeine Marktingaktivitäten On- und offline, SEO und Produktgestaltung</t>
  </si>
  <si>
    <t>MA-M, MA-AZAV, MA-VB2G</t>
  </si>
  <si>
    <t>Jasmin + abh. von Aufgabe, Steffen, Simon, Stefan + Patrick</t>
  </si>
  <si>
    <t>Teilnahme an Bildungsmessen und Branchenevents</t>
  </si>
  <si>
    <t>Präsentation des Instituts und seiner Fernlehrgänge auf relevanten Veranstaltungen, um neue Teilnehmer zu gewinnen und Netzwerke zu pflegen.</t>
  </si>
  <si>
    <t>AZAV, Vertrieb, Allgemeine Marktingaktivitäten On- und offline, SEO und Produktgestaltung, Vertrieb, Kooperationen</t>
  </si>
  <si>
    <t>Monitoring und Erfolgskontrolle</t>
  </si>
  <si>
    <t>Datenerfassung und -analyse</t>
  </si>
  <si>
    <t>Sammlung und Auswertung von Daten zu Marketingaktivitäten, um deren Effektivität und Reichweite zu überprüfen. Clusterung regional, auch i.V.m. mit STO, analysieren. Ggf. auch analog regionaler BA/JC-Zuständigkeit. Abgleich mit Buchungszahlen, Versagungszahlen, erfolgreicher Teilnahme nach Weiterbildung, Zielgruppe u.v.m.</t>
  </si>
  <si>
    <t>Kennzahlenprozess</t>
  </si>
  <si>
    <r>
      <t xml:space="preserve">WIKI: Überprüfung und Festlegung der Qualitäts- und Unternehmensziele
</t>
    </r>
    <r>
      <rPr>
        <sz val="11"/>
        <color rgb="FF000000"/>
        <rFont val="Arial"/>
      </rPr>
      <t>+ 
Unternehmenskommunikation</t>
    </r>
  </si>
  <si>
    <t>MA-M</t>
  </si>
  <si>
    <t>Jasmin</t>
  </si>
  <si>
    <t>marktrelevante, valide Systematik zu deren Ermittlung</t>
  </si>
  <si>
    <t>KPI-Tracking</t>
  </si>
  <si>
    <t>Überwachung von Key Performance Indicators (KPIs) wie Teilnehmerzahlen, Conversion-Rate und Kundenzufriedenheit, um den Erfolg der Marketingstrategie zu messen. Hierzu fordert FKS validen Prozess und eindeutige Zuständigkeit, transpartente Ermittlung und Grundlagen, s.o.</t>
  </si>
  <si>
    <t>Anpassung und Optimierung</t>
  </si>
  <si>
    <t>Regelmäßige Überprüfung und Anpassung der Marketing- und Kommunikationsstrategie auf Basis der gewonnenen Erkenntnisse, um kontinuierliche Verbesserung zu gewährleisten.
=&gt;Analog der Budget-/strategischen Planung und deren Nachjustierung. S.a. vorangegangene Vorschläge.</t>
  </si>
  <si>
    <t>MA-M, GF, TL</t>
  </si>
  <si>
    <t>Jasmin + Tobi, tlw. TL</t>
  </si>
  <si>
    <t>Content-Erstellung und -Management</t>
  </si>
  <si>
    <t>Erstellung von Bildungs- und Marketingmaterialien</t>
  </si>
  <si>
    <t>Redaktionelle Planung und Pflege von Blog- und News-Bereichen</t>
  </si>
  <si>
    <t>Entwicklung einer redaktionellen Strategie und regelmäßige Aktualisierung der Website/Social Media/Infomaterialien mit relevanten Inhalten, um die Zielgruppen über Neuigkeiten, Veranstaltungen und Erfolgsgeschichten zu informieren. Z.B. i.R.d. Eingliederungsbefragung ermittelte, geeignete Alumni für Werbezwecke gewinnen.</t>
  </si>
  <si>
    <t>Allgemeine Verfahrensanweisungen der Marketingabteilung, SEO und Produktgestaltung, Allgemeine Marktingaktivitäten on- und offline</t>
  </si>
  <si>
    <t>Marketing in Zuständigkeit</t>
  </si>
  <si>
    <t>marktrelevante, valide Systematik zur Ermittlung von geeigneten Themen, Zielgruppen und Ihalten inkl. rechtlich. relevanter Aktualität</t>
  </si>
  <si>
    <t>Public Relations und Pressearbeit</t>
  </si>
  <si>
    <t>Erstellung von Pressemitteilungen</t>
  </si>
  <si>
    <t>Verfassen von Pressemitteilungen, um das Institut und geförderte Weiterbildungsangebote in den Medien zu präsentieren und die Bekanntheit zu erhöhen. Flyer, Mailingaktionen, Posts mit Adressat TN, AGs und Kostenträger. Insbesondere Adressat Kostenträger und Arbeitgeber i.R.d. QCG: AZAV-Inhalte bitte mit MA-AZAV absprechen (Wording, pol./rechtl./sozioökon. Ebene/Fachtermin).</t>
  </si>
  <si>
    <t>Anlassbezug sowie Zielgruppenorientierung unter Berücksichtigung des geeigneten Mediums/Formats unter Berücksichtigung des passenden (rechtlich korrekten/Fachtermini) Wordings: Prozesse sind auf Basis Analyse zu def. (wen erreiche ich zu welchem Anlass wo?)</t>
  </si>
  <si>
    <t>MA-M, GF, TL, MA-AZAV</t>
  </si>
  <si>
    <t>MA-M in Zust. i.V.m. Tobi und ggf. zust. TL + MA-AZAV</t>
  </si>
  <si>
    <t>am Markt ausgerichtete Strategie, die Adaptionsmöglichkeiten infolge eines validen Prozess liefert und Marktposition dahingehend optimiert, optimale Ansprache/Medien zu identifizieren u, um Zielgruppen passgenau zu bedienen und Wettbewerbssituation zu verbessern bzw. negative Effekte bestmöglich adressiert um Kooperationspartner, wie Kostenträger, max. Transparenz und Verlässlichkeit auf höchstem Niveau zu suggerieren</t>
  </si>
  <si>
    <r>
      <rPr>
        <b/>
        <sz val="11"/>
        <color rgb="FF000000"/>
        <rFont val="Arial"/>
      </rPr>
      <t>Krisenkommunikation/</t>
    </r>
    <r>
      <rPr>
        <b/>
        <sz val="11"/>
        <color rgb="FFFF0000"/>
        <rFont val="Arial"/>
      </rPr>
      <t>problematische bzw. sensible Kommunikation</t>
    </r>
  </si>
  <si>
    <t>Entwicklung und Umsetzung von Strategien zur Bewältigung von Kommunikationskrisen, um das Image des Instituts zu schützen und möglichen negativen Auswirkungen entgegenzuwirken. 
=&gt;Kursnetbewertung durch TN stets AUS lassen!
=&gt;Fernstudiencheck reflektieren
=&gt;Kununu reflektieren
=&gt;Krisenkommnikation mit Kostenträgern ansonsten m.E.-&gt;Aufgabe der TN-Betreuuung i.V.m. MA_AZAV.-&gt;Ggf. könnten für Schriftverkehr Textbausteine gemeinsam ausgearbeitet werden (Termini etc.).-&gt;
1. Anliegen/Sachverhalt/Anwendungskontext durch Studienbetreuung
2. inhaltliche Konsistenz durch MA-AZAV
3. Texterstellung MA-M ODER MA-AZAV, je nach Sachverhalt, z.B. TN-BESCHWERDE
=&gt;was wird für wen und wie aufbereitet (WORDING/FACHTERMINI)?</t>
  </si>
  <si>
    <t xml:space="preserve">Prozess zu Umgang mit Beschwerden/negativer Publicity sowie geeignetem Wording unter Sicherstellung des Erreichens der relevanten Adressaten, sowohl inhaltlich, fachlich und sprachlich in geeignetem (stand. aber flex. adaptierbarem) Antwortverfahren </t>
  </si>
  <si>
    <t xml:space="preserve">Marketing i.V.m. Tobi und ggf. in Zust. TL + AZAV-bez. Patrick </t>
  </si>
  <si>
    <t>am Markt ausgerichtete Strategie, die Adaptionsmöglichkeiten infolge eines validen Prozess liefert und Marktposition dahingehend optimiert, optimale Ansprache/Medien zu identifizieren u, um Zielgruppen passgenau zu bedienen und Wettbewerbssituation zu verbessern bzw. negative Effekte bestmöglich adressiert um Kooperationspartner, wie Kostenträger, max. Transparenz und Verlässlichkeit auf höchstem Niveau zu suggerieren (z.B. effektiven standardisierten Prozess zum Umgang mit TN-Beschwerden u.a., der Verantwortlichkeiten, Handlungsschritte und Zusammensetzung der "Task Force", je nach Anlass, def.)</t>
  </si>
  <si>
    <t>unter Anlassbezug müssen relevante Beteiligte und geeignete Ansprache/Medien gewählt und Inhalte adressiert werden, d.h. es müssten Fallkonstellationen idealerweise vorausschauend antizipiert werden, z.B. ein def. Beschwerdeprozess, s. Bsp. oben</t>
  </si>
  <si>
    <t>Kooperationen und Partnerschaften</t>
  </si>
  <si>
    <t>Netzwerkbildung mit Unternehmen und Branchenverbänden</t>
  </si>
  <si>
    <t>Etablierung von Beziehungen zu potenziellen Arbeitgebern und Verbänden, um die Bekanntheit der Fernlehrgänge zu erhöhen und Praktika oder Jobangebote für Teilnehmer zu generieren.
=&gt;Geeinetes, Zielgruppenspezifisches Angebot, z.B. QCG-Flyer für AG, Messen/Flyer/Kataloge/Postings für Kostenträger mit regional-/strukturspezifischem Schwerpunkt (z.B. Qualifizierungsportale). Intensiverer Kontakt zu IHK, jeweils mit regionalem Schwerpunkt sowie i.V. AGs und deren Anforderungen (Netzwerkbildung ist z.B. auch wichtig für Umschulungen) sowie i.R. von Qualifizierungsverbünden in den Bundesländern.</t>
  </si>
  <si>
    <t>AZAV, Vertrieb, Kooperationen, Bildungskooperationen, Allgemeine Verfahrensanweisungen der Marketingabteilung</t>
  </si>
  <si>
    <t>MA-AZAV, MA-AZAV, MA-VB2G</t>
  </si>
  <si>
    <t>Vertrieb i.V.m. Patrick und/oder Marketing in. Zust.</t>
  </si>
  <si>
    <t>Beratung und Antragsstellung</t>
  </si>
  <si>
    <t>Dieser Prozess umfasst die Beratung von Interessenten, die Unterstützung bei der Antragsstellung für den Bildungsgutschein und die Klärung von Fragen zur Förderung über einen Bildungsgutschein. Hierzu gehören auch die Beratung über die rechtlichen Parameter, z.B., Leistungsbezug/Finanzierung/Unterstützung /z.B. Fahrtkosten, Kinderbetreuung etc. sowie Rechtskreisspezifika, s. Z. 12).</t>
  </si>
  <si>
    <t>Beratung durchführen</t>
  </si>
  <si>
    <t>-Ermittlung der individuellen Bildungsbedürfnisse und -ziele der Interessenten durch persönliches Telefonat. Hierzu Eignungsfeststellung modifizieren (i.R.d. Audits ist ebenfalls die hohe Abbruchquote angesprochen worden): 
=&gt;neben den allgemeinen Sprachkenntnissen, fallbezogen/themenabhängig, ggf. stärker auf spez. Vokabular oder fachliche Anforderungen eingehen. Z.B. wenn die Weiterbildung anatomische Kenntnisse umfasst, genauer prüfen, ob das Sprachniveau, auch wenn ansonsten i.O., den Lernerfolg verspricht. Z.B. anhand Vokabelliste o.ä. Z.B.: "Wissen Sie, was Patellasehne bedeutet" o.ä.
=&gt;Ggf. Eignungsfeststellung thematisch/zielgruppenorientiert clustern.
=&gt;Ggf. wären hierzu Checklisten/komprimierte Infos sinnvoll, die Erstanrufern vor dem BG-Erhalt i.R. eines automatisch erstellten Beratungsprotokolls automatisch zugesandt werden. Karrieretutor hat eine sehr schöne Liste z.T. BG auf der HP: https://www.karrieretutor.de/weiterbildung-mit-bildungsgutschein/?utm_term=&amp;utm_campaign=Performance+Max-2_Lead-Conv.&amp;utm_source=adwords&amp;utm_medium=ppc&amp;hsa_acc=7340944047&amp;hsa_cam=15238792544&amp;hsa_grp=&amp;hsa_ad=&amp;hsa_src=x&amp;hsa_tgt=&amp;hsa_kw=&amp;hsa_mt=&amp;hsa_net=adwords&amp;hsa_ver=3&amp;gclid=CjwKCAjwge2iBhBBEiwAfXDBRyysFAGWN1NsjNKbIIiK1Pt7a310RmKxXWhzraRMQpHTLUoBlWRT5RoCUG4QAvD_BwE
-Rechtskreisspezifika stärker betonen und Infomaterial dazu: 
=&gt;ALG1-Bezug  sich um die Dauer der Weiterbildung verlängert und 
=&gt;ALG2-Bezüge während der Weiterbildung/Umschulung künftig aufgestockt werden: https://www.meistertask.com/app/task/dQheJ7FT/auskuftspflicht-jc-burgergeld-sowie-weitere-anderungen-im-burgergeld-ab-01-01-2023 und 
=&gt;welche Förderungen i.R. des QCG möglich sind, z.B. analog: https://synology.bildungscampus-backnang.de:50823/?launchApp=SYNO.SDS.Drive.Application#file_id=722341229443988558.</t>
  </si>
  <si>
    <t>Beratung bezüglich der Förderung über einen Bildungsgutschein. Gehört für mich zu Pt. "Beratung und Antragsstellung".</t>
  </si>
  <si>
    <t>Eine Eignungsfeststellung dient dazu, sicherzustellen, dass der potenzielle Teilnehmer oder die potenzielle Teilnehmerin über die notwendigen Fähigkeiten und Kenntnisse verfügt, um von der Maßnahme zu profitieren.</t>
  </si>
  <si>
    <r>
      <t>Empfehlung von geeigneten Bildungsmaßnahmen auf Basis der Bedarfsanalyse und den individuellen Voraussetzungen der Interessenten. Hierzu gehört auch die ggf. Erweiterung der modularen Weiterbildungspakete nach individuellen Zielen</t>
    </r>
    <r>
      <rPr>
        <strike/>
        <sz val="11"/>
        <color rgb="FF000000"/>
        <rFont val="Arial"/>
      </rPr>
      <t xml:space="preserve"> und ggf. unter Hinzuziehung externer Zusatzqualifikationen, wie Scrum und ergänzenden, z.B. EHIP-, Zertifikaten. Außerdem die exakt dokumentierte Prüfung abschlussorientierter Weiterbildungen, z.B. IHK-Voraussetzungen und vollständige Aufnahme der Unterlagen zu unserer Entlastung. Außerdem eine reliablere/detaillierter TN_Doku, wie i.R.d. Audits ebenfalls empfohlen.</t>
    </r>
  </si>
  <si>
    <t>Informationsmaterial erstellen</t>
  </si>
  <si>
    <t>-Allg. Studieninfos, analog der Kategorien auf der HP inkl. Weiterbildungspaketen "von der Stange" + "Bausteinkasten" aller mgl. kombinierbaren Bausteine. Dies setzt i.d.P. individuelle "Abschlussberatung" voraus sowie den  Bausteinkasten als Wahlmenü in ELA (z.B. drag'n'drop) und im Katalog/Flyer, was Themen/Zielgruppenmaterial sinnvoll macht.</t>
  </si>
  <si>
    <t>-Bundesweite Teilnahme an relevanten AZAV-Messen zur TN-Generierung UND Kontaktpflege zu Weiterbildungsverantwortlichen. Entsprechend regionaler Cluster (Arbeitsmarktsituation, interne Buchungssituation, bei Quoten, relative/absolute Zahlen als Argumente zur strategischen Schwerpunktsetzung, als Argumentation vs. Kostenträger, z.B. bei häufiger Regionaller Nichtbuchung, trotz Beratung u.v.m.  
=&gt; viel detaillierter via ELA auswertbar gestalten (Filter/Cluster i.V.)). 
-Eigene hybride Bildungsmesse mit Vertreter von Kostenträgern (FbW-Koordinatoren, AGS, Vermittler) und deren Kunden (Einladungsmailings/Postings/Flyer), Kammern und Arbeitgebern.</t>
  </si>
  <si>
    <t>Antragsformulare und Dokumente bereitstellen</t>
  </si>
  <si>
    <t>Antragsprüfung und -nachverfolgung</t>
  </si>
  <si>
    <t>Prüfung der eingereichten Anträge auf Vollständigkeit und Richtigkeit sowie Nachverfolgung des Antragsstatus bei den zuständigen Stellen und dem Maßnahmenteilnehmenden.</t>
  </si>
  <si>
    <t>Teilnehmerregistrierung und Verwaltung</t>
  </si>
  <si>
    <t>In diesem Prozess werden die Anmeldungen der Teilnehmer verwaltet, ihre persönlichen Daten erfasst und die Förderberechtigung geprüft. Digitale Checkliste im System, die den On-/Offboardingprozess, vom Erstgespräch bis Abschluss, dokumentiert.</t>
  </si>
  <si>
    <t>Anmeldeformulare sollten in verschiedenen Formaten (digital und physisch) bereitgestellt und leicht zugänglich gemacht werden. Ggf. inkl. Tutorial/WBT zur Ausfüllung, wenn in Eigenregie erwünscht.</t>
  </si>
  <si>
    <t>Erfassung von Teilnehmerdaten</t>
  </si>
  <si>
    <t>Die persönlichen Daten der Teilnehmenden, einschließlich Kontaktinformationen, Bildungshintergrund und Förderberechtigung, werden im AI erfasst und gespeichert. Hierbei sollte obligatorsch CV und alle relevanten Zeugnisse vor Antritt der MN angefordert werden.</t>
  </si>
  <si>
    <t>Überprüfung der Förderberechtigung</t>
  </si>
  <si>
    <t>Das Institut bleibt in Kontakt mit dem Arbeitsvermittler bzw. der Agentur für Arbeit, um den Status der Fördermittel zu klären und eventuelle Fragen zu klären. Ergänzende Kontaktpflege, um weitere Bildungsgutscheine von diesem Berater zu erhalten.
=&gt;Zudem sollte abgeklärt werden, ob eine gültige MN-Nr. vorhanden ist (MN-Bogen):
-&gt;Ja: Produktanlageprozess initiieren (Task), m.E. für alle Zeitvarianten Anlage sinnvoll
-&gt;Nein: MN-Nr. Beantragung AZAV-B. anfordern (Task, inkl. BG), jedoch hierzu ALLE relevanten Infos eigenverantwortlich liefern (Weiterbildungsziel, Startdatum, Name, Gutscheinnummer, Kosten, Zeitvariante, ggf. Praxisort) (hierzu sollte i.V. zweite Person sachkundig sein!!!) s.a.u. z.T.</t>
  </si>
  <si>
    <t>Betreuung und Unterstützung der Teilnehmer</t>
  </si>
  <si>
    <t>Kurzbeschreibung: Organisation von Kommunikationskanälen (z. B. Foren, E-Mail, Chat) für den Austausch zwischen Teilnehmern und Tutoren sowie für regelmäßiges Feedback zur Lernfortschritt und -erfahrung. Bsp. Sollten TN eigene (themenbezogene oder personalisierte) Räume zur Lerngruppenbildung oder punktuellem Austausch, auch mit Tutoren/Dozenten, eröffnen und andere TN dazu einladen können. Dozenten/Tutoren sollten dies analog können, Räume könnten ggf. optional zeitlich befristet geöffnet werden.</t>
  </si>
  <si>
    <t>Ggf. könnte ein transparenter Prozess entwickelt werden, wonach den Dozenten/Tutoren bei stufenweiser zunehmender Durchführung von UEs (z.B. alle 500) und Absolvierung bestimmter, von uns geforderter Weiterbildungen, automatisch das Honorar angepasst wird. Quasi vgl. Entgelttabelle im ÖD.</t>
  </si>
  <si>
    <t>Rückgriff auf Alumni: gerade ältere/sehr qualifizierte TN aus „komplexeren“ Weiterbildungen sind oft sehr offen für entsprechende Angebote bzw. forcieren dies proaktiv.
=&gt;Anwerbe- und Einführungsprozess, z.B. Hospitationen, Beratung bei den Schritten in die Selbstständigkeit usw.</t>
  </si>
  <si>
    <t>Festlegung der Qualitätsziele für Fernlehrgänge, die auf die Bedürfnisse der Teilnehmer und die Anforderungen der Fördermittelgeber abgestimmt sind unter Berücksichtigung der Zielgruppe (Abbruchrisiko). Ggf. über DQR der Zielgruppe zugeordnet zur Weiterbildung sowie adaptive TN-Profile, die idealerweise (in Absprache) i.R. de Produktentwicklung herausgearbeitet und bei der Taxonomie/Didaktik berücksichtigt werden.</t>
  </si>
  <si>
    <t>Entwicklung von Richtlinien und Verfahren, die sicherstellen, dass die Qualitätsziele in den Fernlehrgängen erreicht werden.
=&gt;Indikatoren wie Abbruchquoten (differenziert nach Zielgruppen, Rechtskreis, Weiterbildungsthemen- und Niveau) sowie Eingliederungsquoten (Zeitreihenvgl. nach 3 und 6 Monaten), ggf. Zielgruppenspezifisch, Einkommensniveau sowie Nachhaltigkeit der Beschäftigung (dauert an/nicht an) u.v.m. =&gt; s. Vorschlag Alumnusbefragung</t>
  </si>
  <si>
    <t>Sammlung von Feedback der Teilnehmer zu den Fernlehrgängen, um deren Qualität und Wirksamkeit zu beurteilen in jedem Baustein sowie der Gesamtmaßnahme. 
=&gt;Direkt nach Abschluss wird ein Evaluationsbogen mit Fragen, die i.R. einer Lickert-Skala zu beantworten sind, generiert. Ohne AW, eine automatische Erinnerungsmail. Analog zum Abschluss, bei Nichtantwort, erneuter Versand mit Eingliederungsbefragungen nach 3 und 6 Monaten. Ggf. Stimuli setzen.</t>
  </si>
  <si>
    <t>Auswertung der gesammelten Evaluierungsdaten, um Stärken und Schwächen der Fernlehrgänge zu identifizieren. Analyse der Abbrüche, deren Gründe, Clusterung nach Alterskohorten, Sprchniveau, MN_Ziel, Niveau der TN etc.</t>
  </si>
  <si>
    <t>Ermittlung von Bereichen, in denen die Qualität der Fernlehrgänge verbessert werden kann, basierend auf den Ergebnissen der Evaluation.
=&gt;TN-Evaluation, Tutoren/Dozentenbefragungen, Audits, Eingliederungsbefragungen; Gewichtung und Indexbildung</t>
  </si>
  <si>
    <t>-Implementierung von Maßnahmen zur Verbesserung der Qualität der Fernlehrgänge, wie z.B. die Anpassung von Lehrmaterialien, die Schulung von Dozenten und Tutoren oder die Verbesserung der Kommunikation zwischen Teilnehmern und Tutoren (virttuelle Räume, s. oben, Ticketsystem bei Fragen an Tutor, das automatisch in Kopie an Personalref. geht) (Frist). 
-Sowie der ggf. passgenaueren Eignungsfeststellung und der Frage, ob ggf. mehr Präsenzphasen im niederschwelligen Bereich nötig (Unklarheiten klären, Kontrolle etc.). Kontrolle/Synchronität ist hier ein Hauptkritikpunkt, insbesondere der Jobcenter. Hinzu kommt Arbeitsmarktrelevanz
=&gt;ggf. Konzeptanpassungen/Produktschwerpunkte richtig setzen</t>
  </si>
  <si>
    <t>Sicherstellung der Einhaltung von gesetzlichen Anforderungen und Vorgaben für Fernlehrgänge, z.B. das Fernunterrichtsschutzgesetz (FernUSG). 
=&gt;Modulare Angebote aus Quelllehrgängen obligatorisch parallel als Cafeteriaantrag einreichen. Ebenso relevante der EHIP 
=&gt;Prozess zur def. der Relevanz und Kommunikation Päd./EHiP/AZAV</t>
  </si>
  <si>
    <t>Koordination und Zusammenarbeit mit externen Prüfern bei Audits und Akkreditierungen zur Qualitätssicherung der Fernlehrgänge. ggf. regelm. Schulung bzw. obligatorische Auditvorbesprechung. Freiwilliges Angebot des AZAV-B. hat sich vorm letzten Audit sehr bewährt, wenn angenommen.</t>
  </si>
  <si>
    <t>Beantragung und Aufrechterhaltung von Akkreditierungen und Zertifizierungen, die die Qualität der Fernlehrgänge bestätigen und den Ruf des Bildungsinstituts stärken. AZAV/ZFU ist selbstverständlich, ferner sollten Externe Partner (enger an IHK, Scrum, Verlage, wie Beuth (Normen), Klett (Sprachen) gewonnen und ext. Abschlüsse vereinfacht werden. Zudem Darstellung auf HP.</t>
  </si>
  <si>
    <t>-I.R. der IHK-Weiterbildungen sind Firmenkontakte Pflicht. TN sollten bei Suche nach geeigneten Betrieben durch regionale Listen unterstützt werden, ergänzende Analyse der Alumni kann hier helfen. 
-Ggf. sollte die Eignung bei der zuständigen IHK vor Ort unsererseits als Seviceleistung abgefragt werden. 
-WBT z.T. Praktikum, analog Büromanagement allgemein ODER spezifisch zu allen Themenbereichen.</t>
  </si>
  <si>
    <t xml:space="preserve">Unterstützung der Teilnehmer bei der Erstellung und Optimierung von Bewerbungsunterlagen wie Lebenslauf, Anschreiben und Referenzen. 
=&gt;Absolut relevant, Musteruntrlagensätze sollten Zielgruppen- und Branchenorientiert den Weiterbildungen zugordnet werden. Ggf. sollte auf Wusch (z.B. Häkchen im System) dem TN aus seinem CV ein Muster generiert und veröffentlicht werden, vgl. wie es Stepstone ermöglicht. Evtl. hierfür sogar Rubrik auf HP, die nach außen kommuniziert wird. Bewerbungsunterstützung sehen die Kostenträger gerne und fordern dies i.R. von MN nach § 45, also Bewerbungstrainings etc., sogar.
</t>
  </si>
  <si>
    <t>Bereitstellung einer Online-Plattform, z.B. wie BBQ (intern), auf der Praktikums- und Jobangebote von Partnerunternehmen und anderen Arbeitgebern veröffentlicht werden, um den Teilnehmern den Zugang zu passenden Stellen zu erleichtern. Außerdem Hilfestellung bei der Erstellung von Onlineprofilen bzw. deren Optimierung (Xing/LinkedIn/Jobbörsen) und vö der auf Wunsch unterstützten Bewerbungsunterlagen/Teilung von Profilen.</t>
  </si>
  <si>
    <t>Einladung von Branchenexperten und Fachleuten zu virtuellen Vorträgen, Diskussionsrunden oder Q&amp;A-Sessions, um den Teilnehmern Einblicke in aktuelle Branchentrends und Anforderungen zu geben. Hierzu könnten virtuelle Speakerevents organisiert und Gastredner gewonnen werden, ggf. auch, wenn passend, Tutoren/Dozenten selbst bzw. Experten von EHIP. evtl. auch erfolgreiche Alumni ("vom Umschüler zum Betriebswirt", meine Story usw.). Dabei könnten Themenschwerpunkte, ggf. mehrere in verschiedenen virtuellen Räumen parallel gesetzt, z.B. Digitalisierung und Wiedereinstieg o.ä. und Vertreter von Kostenträgern usw. zum virtuellen Teilnahme eingeladen werden.</t>
  </si>
  <si>
    <t>Sicherstellung des Zugangs zu digitalen Lernmaterialien, Fachliteratur, Online-Datenbanken und anderen Ressourcen, die den Teilnehmern bei der Vertiefung ihres Wissens und dem Erreichen ihrer Lernziele helfen. Hierzu könnte auch über eineb vernetzten, übergreifender Online-OPAC für alle Unternehmensteile mit digitaler Fernleihe nachgedacht werden.</t>
  </si>
  <si>
    <t>Überprüfung und Bewertung der Prüfungsleistungen der Teilnehmer durch die zuständigen Prüfer. Hier ist es von Nöten, Prüfungsleistungen der einzelnen Module in Form und Gewichtung sowie kumulierte Abschlussprüfungsleistung zu definieren bzw. Möglichkeiten zur Auswahl zu stellen. Z.B. pro Modul (mit Modulzertifikat) eine MC-Prüfung oder Klausur in Länge/Niveau angemessen und proportionaler Gewichtung im Verhältnis zu den jeweiligen Gesamt-UEs. 
=&gt;Frage der Überwachung? Proctorio? Mitarbeiter?
=&gt;Abschlussprüfung/-arbeit dann eine Synthese aus allen durchlaufenen Modulen und entsprechende Schwerpunktsetzung. Wie erstellen verschiedene Modulprüfer dann eine gemeinsame Abschlussleistung?
=&gt;Z.B. könnte hier eine fiktive Firma dargestellt werden, die bestimmte Anforderungen voraussetzt, die sich aus den Modulen ergeben, die vom TN ausgearbeitet werden. Hierzu müsste zu jedem (neuen) Baustein ein Fragen-/Aufgabenpool erstellt und kontinuierlich erweitert werden. Z.B. auch durch Dozenten (Vorteil für Auftragsvergabe, wenn Bereitschaft hierzu bzw. als Prüfer zu fungieren).
=&gt;Schriftliche Abschlussarbeit und/oder Präsentation? Ggf. am Standort (-&gt; könnte zudem das Vor-Ort-Problem lösen).</t>
  </si>
  <si>
    <t>Vollautomatisierte Erstellung von Zertifikaten und Bereitstellung dieser an den Teilnehmenden über den OC inkl. Benachrichtigung. TN muss gem. ATZAV über alle erbrachten Leistungen in Form und Umfang (s. AGBs) eine Bescheinigung erhalten. Für jedes absolvierte Modul bekommt der TN sowieso ein Zertifikat, ebenso natürlich bei Abschluss des Gesamtlehrgangs. Diese muss die Lernform, die Gesamt-UE, Titel und Inhalte (Module) umfassen. Auf Note sollte verzichtet werden. Ggf. eine Art Transcript of Records ergänzend ausgeben (ggf. analog EHiP), dann kann TN selbst über Bekanntgabe der Noten i.R.d. Bewerbung entscheiden. Modulzertifikate unterstützen den Bewerbungsprozess und dienen gleichzeitig als zusätzlichenr Leistungsnachweis gg. Vermittler.</t>
  </si>
  <si>
    <t>Das Bildungsinstitut stellt den Absolventen Informationen zu Stellenangeboten und Praktikumsmöglichkeiten zur Verfügung, die auf ihre Qualifikationen und Interessen abgestimmt sind. Hierbei kann eine Zusammenarbeit mit Unternehmen und Partnerorganisationen hilfreich sein. S.O.</t>
  </si>
  <si>
    <t>Die Absolventen werden über mögliche Weiterbildungs- und Spezialisierungskurse informiert, die ihnen helfen, ihre beruflichen Kompetenzen weiter auszubauen und sich auf dem Arbeitsmarkt besser zu positionieren. Abschlüsse def., die automatisiert eine „Aufstiegsmöglichkeit“ systemseitig zugeordnet bekommen. 
=&gt;Bspw. Büromamagement=&gt;Fachwirt oder passende kfm. Spezialisierung (z.B. E-Commerce).
=&gt;Bspw. Akademiker mit Abschluss in agilem PM =&gt; EHiP-HS-Zertifikat, dessen ECTS auch angerechnet  werden können empfehlen. Umgekehrt EHIP-Bachelor, wenn ggf. auf Jobsuche, was wir durch frühere Eingliederungsbefragung eher erfahren, passende Weiterbildung oder sogar Betriebswirt anbieten (DQR 6-&gt;7) und Aufstiegsbafögkonkurrenz durch Empfehlung passendes „Umgehungsprodukt“ vermeiden usw.</t>
  </si>
  <si>
    <t>-Das Netzwerk bietet den ehemaligen Teilnehmern eine Plattform, um sich auszutauschen, zu vernetzen und voneinander zu lernen. Angebot an Alumni, TN in ihre Firmen zu empfehlen bzw. auf Basis Profiling, nach Zustimmung des TN, diesen an Alumni/deren Firmen zu empfehlen. Ggf. könnte hier sogar eine Art "Personalvermittlung" gegen Honorar heranwachsen und parallel IQ gepusht werden.
-Ehemaligen-/Aktiventreffen über extern und intern zugängliche virtuelle Räume in ELA ermöglichen. Art "Klassentreffen" mit ggf. interessanten Netzwerkthemen. Analog nachstehend.</t>
  </si>
  <si>
    <t>-Nach 3 UND 6 Monaten eine detaillierte Eingliederungsbefragung wenige offene und geschlossenen Fragen (diese per Lickert-Skala), ggf. unter Nutzung von Stimuli, wie Rabatte oder Preise/Boni. Sehr positive AWs in Kombination mit gutem Ergebnis könnten für Werbezwecke angesprochen werden etc. 
-&gt;Daraus ließen sich, neben der Qualität der MN, auch die des Personals und ggf. weitere Schritte ableiten. Z.B.
-&gt;Zudem macht es Sinn, Alumni i.R. der Eingliederungsbefragung nach Ihrem AG und den Rahmenbedingungen (Zufriedenheit Gehalt, Nachhaltigkeit der Beschäftigung u.v.m.) zu befragen, regional zu clustern und Kontakte ähnlichen TN-Profilen zuzuordnen.</t>
  </si>
  <si>
    <t>Um die Qualität der Nachbetreuung und des Alumni-Managements kontinuierlich zu verbessern, wird regelmäßig Feedback von den ehemaligen Teilnehmern eingeholt. Dies kann in Form von Umfragen, Interviews oder informellen Gesprächen erfolgen. Jedoch nicht überfrachten, eher Stufensystem, zu welchen Themen sie kontaktiert werden wollen, um wertvolle Kontakte, z.B. in Firmen, nicht zu gefährden.</t>
  </si>
  <si>
    <r>
      <rPr>
        <sz val="11"/>
        <color rgb="FF000000"/>
        <rFont val="Arial"/>
      </rPr>
      <t xml:space="preserve">Die fachlichen Anforderungen der Bildungsmaßnahmen, wie die inhaltliche Ausrichtung, die Lehrpläne und die Qualifikation der Lehrkräfte, müssen den Vorgaben der FKS und der ZFU entsprechen. Hierzu sind in puncto der Kostenträger die Förderrelevanz, z.B. aus den Bildungszielplanungen, Stellenangeboten, interne Eingliederungsquoten, die ggf. sogar die Überschreitung des B-DKS erlauben, darzulegen. 
</t>
    </r>
    <r>
      <rPr>
        <sz val="11"/>
        <color theme="1"/>
        <rFont val="Calibri"/>
        <family val="2"/>
        <scheme val="minor"/>
      </rPr>
      <t>=&gt;Prioritätenregelung, welche Produkte vorrangig entwickelt/überarbeitet und wohin, werden</t>
    </r>
  </si>
  <si>
    <t>Die didaktische und methodische Konzeption der Fernlehrgänge muss den Anforderungen für zulassungspflichtige Bildungsmaßnahmen genügen und eine erfolgreiche Wissensvermittlung gewährleisten. Zudem sollten Zielgruppen und Niveaus definiert und besser eingehalten werden, um Abbrüche zu vermeiden. Inhaltlich sollten Befragungen von AGs (Profilanforderungen, hie telefonisch denkbar; ggf. Kontakte über Verbände/Kammern) und Vermittlern (Hemmnisse) stattfinden.</t>
  </si>
  <si>
    <t>Die technischen und organisatorischen Rahmenbedingungen, wie die Bereitstellung von Lernplattformen, Betreuung der Teilnehmer und Prüfungsdurchführung, müssen den Vorgaben der Zulassungsbehörden entsprechen. Hierbei ist seitens der FKS (und der Kostenträger) die Anwesenheit, Krankheits- und sonstige Fehlzeiten, Lernfortschritte, Abbruchgründe, Zugangsvoraussetzungen valide zu dokumentieren, jederzeit lückenlos belegbar und i.R. des Audits und der MN-Zulassung standardisiert ausweisbar.</t>
  </si>
  <si>
    <t>Wenn Audit ansteht, werden vorab seitens FKS/Auditor Unterlagen mit ca. Deadline angefordert, diese sollten natürlich bereitstehen und ggf. auch Prio 1 bei beteiligtem MA haben, wenn angef. Wenn es zu Hauptabweichungen kommt, sind diese innerhalb von 4 Wochen nachweislich zu beheben.</t>
  </si>
  <si>
    <r>
      <rPr>
        <sz val="11"/>
        <color rgb="FF000000"/>
        <rFont val="Arial"/>
      </rPr>
      <t xml:space="preserve">Die Kommunikation mit den Zulassungsbehörden ist wichtig, um eventuelle Rückfragen oder Anforderungen zu klären und eine zeitnahe Bearbeitung des Antrags sicherzustellen. 
-Insbesondere gegenüber der FKS lässt sich vieles im Gespräch lösen, hierzu benötigt es "pragmatische" Lösungen, z.B. eine WBT in LKF umzuwidmen. Systemseitig ggf. sinnvoll, den Fragenpool der LKF/WBTs/aus anderen Lernformaten gezielt geeignete Fragen zu sammeln und zu Clustern entsprechend zu kanalisieren.
</t>
    </r>
    <r>
      <rPr>
        <sz val="11"/>
        <color theme="1"/>
        <rFont val="Calibri"/>
        <family val="2"/>
        <scheme val="minor"/>
      </rPr>
      <t>-Bei der Beantragungen neuer Umschulungen bei der IHK müssen Betriebskontakte vorgehalten werden, dies ist unumgänglich und sollte nicht infrage gestellt werden, da sic der Prozess sonst unnötig verzögern. D.h. geeignete Betriebe müssen dokumentiert werden, sonst keine Zulassung (s. Büromanagement 2022).</t>
    </r>
  </si>
  <si>
    <t>Die erhaltenen Zulassungsbescheide und eventuellen Auflagen müssen ordnungsgemäß dokumentiert und intern kommuniziert werden, um die Einhaltung der Anforderungen sicherzustellen. Ablageort der MN- und Trägerzertifikate analog Backend, sodass effizienterer Zugriff für alle, die Infos benötigen, z.B. zur STO-Anlage im Kursnet.</t>
  </si>
  <si>
    <t>Die Zulassungen müssen regelmäßig aktualisiert und verlängert werden, um die Kontinuität der Bildungsmaßnahmen sicherzustellen. Hierzu gehören das Einreichen von Verlängerungsanträgen und die Bereitstellung aktueller Informationen zu den Bildungsangeboten. Insbesondere Änderungen der Inhalte/Lernmittel und die Erfolgsbemessung/Arbeitsmarktrelevanz. 
=&gt;Es sollte ein System, basierend auf der Vertriebs- (Buchungen/Nachfrage i.R. Beratung etc.)) und TN-Evaluation (Abbrüche/Abschluss/Vermittlung etc.) geschaffen werden, das rechtzeitig valide über Verlängerung, ggf. vorherige Modifikation oder Outsourcing der MN Entscheidung im Konsens ermöglicht.</t>
  </si>
  <si>
    <t>Die Ergebnisse aus internen und externen Evaluationsverfahren sowie Audits sollten zur kontinuierlichen Verbesserung der Bildungsmaßnahmen genutzt werden. Dies umfasst die Anpassung der Lehrpläne, didaktischen Methoden und Materialien, Zielgruppe, neue Kombinationen, neue Angebote, die sich zur Kombination eignen bzw. relevante neue Abschlüsse. 
=&gt; Hierzu ist insbesondere der (in)direkte Kontakt zu den Kostenträgern interessant sowie die Auswertung der Bildungszielplanungen. Marktrelevanz ist ein wesentliches Zulassungskriterium und wird auch i.R.d. Audits abgefragt. Ggf. sollte ein Vorrangregelung geschaffen werden, die sich aus Systemstatistiken in Synthese mit Umsatzmöglichkeiten ableiten lässt, welche Produkte als nächstes neu konzipiert/überarbeitet werden. Evtl. via Punktesystem (interne Nachfrage + Förderschwerpunkte der Kostenträger).</t>
  </si>
  <si>
    <t>Die Lehrinhalte und -materialien der Fernlehrgänge sollten regelmäßig aktualisiert und an die aktuellen Anforderungen und Entwicklungen in den jeweiligen Fachgebieten angepasst werden sowie des Arbeitsmarktes, was den regen Austausch mit Kostenträger (Trägerkonferenzen, Messen, Bildungszielplanungsanamnese) sowie der Kontakte zu Kammern (z.B. IHK) und Arbeitgebern nachhaltig ermöglicht. Diese sind auch i.R. der Träger- und vor allem MN-Zertifizierung förderlich, bzw.  generierte Teilnahme an Messen/Infoveranstaltungen etc.</t>
  </si>
  <si>
    <t>Die Zulassungen erden bei anderen relevanten Partnern, wie Unternehmen und Kooperationspartnern, mitgeteilt, um eine erfolgreiche Zusammenarbeit zu gewährleisten, z.B. AZAV-Flyer i.R. des QCG bei AG bzw. allgemeine sowie Kataloge/Mailings bei den Kostenträgern, um AZAV-Angebot zu verdeutlichen. Zertifikate nur auf Verlangen/wo obligatorisch z.B. Kursnet.</t>
  </si>
  <si>
    <t>Die Zulassungen und Bildungsmaßnahmen sollten im Rahmen der Öffentlichkeitsarbeit und des Marketings kommuniziert werden, um die Bekanntheit des Instituts und seiner Angebote zu erhöhen und neue Teilnehmer zu gewinnen.  Insbesondere Zielgruppen- und themenspezifische Flyer. Bildungsbereichbezogen und anwenderfreundlich im Versand bzw. der Ergänzung/Aktualisierung. Hinzu kommen Leads in Jobbörsen und auf Weiterbildungsportalen. Insbesondere von Relevanz ist die Präsenz im Kursnet. Herfür sind STO als Multiplikatoren wichtig. Regionale Clusteranalysen helfen, ggf. geeignete Regionen zur Aktivitätssteigerung zu identifizieren und auch den Kostenträgern die Präsenz vor Ort zu verdeutlichen, was wiederum Einladungen zu Messen sowie TN, die sich konkret auf STO beziehen, generiert.</t>
  </si>
  <si>
    <t>Bsp. Flyerformat SGB II, so id.R unnd nach m.E. gewünscht, dass Ausgabefähig an pot.TN: https://www.meistertask.com/app/task/s1tlQHbK/bsp-flyer-betreuungskraft</t>
  </si>
  <si>
    <t>Eine regelmäßige Überwachung der Einhaltung der Zulassungsanforderungen ist notwendig, um die Qualität der Bildungsmaßnahmen sicherzustellen und mögliche Probleme frühzeitig zu erkennen. Die Empfehlungen des AZAV-Beirates sind hilfreich, jedoch werden Neuerungen nicht aktiv kommuniziert. Neuerungen treten vor allem i.R. von Zulassungen/vor Audits zutage. Dann sind schnelle Anpassungen notwendig, die entsprechenden MA müssen dann Prioritäten setzen. S. Thema AGBs.</t>
  </si>
  <si>
    <t>Berichte und Statistiken über die Durchführung der Bildungsmaßnahmen, die Teilnehmerzahlen und den Erfolg der Maßnahmen sollten regelmäßig erstellt und den zuständigen Behörden, Fördermittelgebern und der Geschäftsführung zur Verfügung gestellt werden.
-Positive Erfolgsauswertung kann Werbematerial bereichern und Türöffner für Lobbyarbeit bei Kostenträgern sein, wenn regional von Relevanz -&gt; Clusteranalysen.
-Sehr gute Integrationsquote und damit besondere Arbeitsmarktrelevanz kann Argument zur Überschreitung des B-DKS i.R.d. MN-Zulassung sein.</t>
  </si>
  <si>
    <t>Die Prozesse im Zusammenhang mit der Maßnahmenzulassung sollten kontinuierlich überprüft, verbessert und angepasst werden, um eine effektive und effiziente Umsetzung der Bildungsmaßnahmen und die Einhaltung der Zulassungsanforderungen zu gewährleisten. Vor allem sollten vorrangig arbeitsmarktrelevante Produkte entwickelt/zugelassen werden, s. Vorrangregelung.</t>
  </si>
  <si>
    <t>Schulung der Mitarbeiter in Zulassungsverfahren</t>
  </si>
  <si>
    <t>Die Mitarbeiter, die für die Maßnahmenzulassung verantwortlich sind, sollten regelmäßig geschult und auf dem neuesten Stand der Zulassungskriterien und -anforderungen gehalten werden, um eine erfolgreiche Umsetzung der Bildungsmaßnahmen sicherzustellen. Deshalb möchte ich auch regelm. zu QM-Weiterbildungen, wie beantragt. Zudem sollten Beratung/TN-Betreuung hinsichtlich Spezifika und Arbeitsmarktrelevanz geschult werden. Gerne auch extern. Hierzu wäre die Gewinnung weiterer, AZAV-erfahrener Vertriebler/Betreuuer ebenfalls hilfreich.</t>
  </si>
  <si>
    <t>Schulung der Lehrkräfte in Fernunterrichtsmethoden</t>
  </si>
  <si>
    <t>Die Teilnahme an Fachveranstaltungen und der Austausch mit Experten und anderen Bildungseinrichtungen in Netzwerken können dazu beitragen, die Qualität der Bildungsmaßnahmen weiter zu verbessern und neue Impulse für die Maßnahmenzulassung zu erhalten. Der AZAV-Verantwortliche nimmt regelm. an Veranstaltungen der Kostenträger und punktuell Kammern, wie IHK, teil. Kontaktausbau vor allem über Messen und den gezielten Aufbau von Kontakten bei Ansprache mit passgenauen Infomaterialien (regional thematisch passen; flexibel gestaltbare Flyer per Mail o.ä.).</t>
  </si>
  <si>
    <t>Stellen Sie sicher, dass alle relevanten Prozesse und Verfahren im Bildungsinstitut schriftlich festgehalten sind und regelmäßig aktualisiert werden. Dies erleichtert den Auditoren das Verständnis der Abläufe und der Qualitätssicherung. 
=&gt;Prozessmanagement unter Absprache mit dem AZAV-Beauftragten (bzgl. Wording/Formulierung). Hier sollten einige Prozesse validiert/ausgearbeitet werden. Tlw. mussten Prozesse während des Audits nachgeschrieben werden. Klare Zuständigkeiten/Intervalle und Vorgehensregelungen/Indikatoren helfen. Z.B. KPI u.v.m.</t>
  </si>
  <si>
    <t>Bereiten Sie das Personal auf das Audit vor, indem Sie sie über die Anforderungen und Erwartungen des Audits informieren und entsprechende Schulungen anbieten. Dies hilft, mögliche Probleme frühzeitig zu erkennen und zu beheben. 
=&gt;Hierzu habe ich als AZAV-Beauftragter jeder Abteilung eine Vorbesprechung angeboten, die z.T. genutzt wurde. Hier habe ich Dokumente, mgl. Fragen/Prüfgegenstände etc. durchexerziert und bin den Bericht vom Vorjahr durchgegangen. Besonders die aktiven TN haben i.R.d. Audits super mitgearbeitet. Ggf. obligatorisch implementieren.</t>
  </si>
  <si>
    <t>Internes Audit Dozenen/Tutoren</t>
  </si>
  <si>
    <t>Zur Vereinfachung des Systems in RS mit dem Auditor, wurde folgender, einfacherer Prozess, als praktikabel und rechtskonform besprochen (letztes Jahr hatte ich einen Auditbogen eingebracht, den Max M. in den bestehenden eingearbeitet hatte).</t>
  </si>
  <si>
    <t>1.3. Dozenten bei Beschwerden/schlechten Bewertungen (zu def.).</t>
  </si>
  <si>
    <t>WICHTIG ist der Dakks nur, dass "Überprüfungen stattfinden".
D.h. wenn 1.1. - 1.3. nicht der Fall, könnten z.B. auch einfach stichprobenartig Audits in Form von Dokumentenprüfungen stattfinden, z.B. das Nachkommen der Dokumentationspflichten etc. Es sollten nur ein paar im laufenden Jahr dok. überprüft werden.</t>
  </si>
  <si>
    <t>Interne MA nur bei Beschwerden/(groben), AZAV-relevanten Fehhlern (zu def.). 
=&gt; Anlassbezug durch Vorgesetzten; Auditor auch noch zu def. Ggf. Vorgesetzter i.V.m. AZAV-Beauftragtem (z.B. dok. Prozessprüfung, in dem der "Fehler" auftrat + kurzes Verständnis-/Fachgespräch zum "Fehler").</t>
  </si>
  <si>
    <t>Stellen Sie einen reibungslosen Informationsaustausch und eine gute Zusammenarbeit mit den externen Auditoren sicher. Benennen Sie einen Ansprechpartner, der für die Organisation und Koordination des Audits zuständig ist = AZAV-Beauftragter (extern) und Multiplikator intern jeweils TL in sein Team bzgl. der Anforderungen, die AZAV-B. kommuniziert.</t>
  </si>
  <si>
    <t>Fachabteilungen, wie vom AZAV-Beauftragten angefordert (ggf. in Prozess mit Deadlines gießen, sodass nicht stets nachgehalten werden muss);  übergreifende Dokumente AZAV-B.</t>
  </si>
  <si>
    <t>Zeigen Sie während des Audits Offenheit und Transparenz, um das Vertrauen der Auditoren in die Qualität der Bildungsmaßnahmen und die Einhaltung von Standards zu stärken. Kann ich nur unterstreichen! Wichtig ist es, bei Audits die erfahrenen Kollegen, die i.R.d. Stichproben besser Auskunft geben können, in Auditvorbesprechnungen, m.E. obligatorisch, teambezogen, aufzunehmen und Anwesenheit am Audittag zu steuern.</t>
  </si>
  <si>
    <t>Werten Sie die Ergebnisse des Audits aus und identifizieren Sie Bereiche, in denen Verbesserungen erforderlich sind. Berücksichtigen Sie dabei insbesondere die Besonderheiten von Fernlehrgängen, wie die Qualität der Lernmaterialien und die Betreuung der Teilnehmer. 
=&gt;Hierzu müssen Auditberichte, in Haupt- und Nebenabweichungen untergliedert, ausgewertet und To Dos abgeleitet werden. Diese gehen an die jeweiligen Verantwortlichen, ggf. unter Ansetzung der vom Auditor vorgegebenen Deadline, i.d.R: 4 Wochen abzgl. Korrekturphase. Zentrale Überwachung AZAV-Beauftragter. Bearbeitung von Haupt-Abweichung Prio 1!, es sollte jedoch auch eine Deadline zur Umsetzug von Empfehlungen geben, hierzu ggf. TL als Bindeglied zur praktikablen Umsetzung im Alltag.</t>
  </si>
  <si>
    <t>Entwickeln Sie einen Maßnahmenplan, der die erforderlichen Verbesserungsmaßnahmen, verantwortliche Personen und Zeitpläne enthält. Kommunizieren Sie den Plan an alle beteiligten Mitarbeiter und sorgen Sie für eine zügige Umsetzung. Ableitung der To Dos unter Hinzuziehung der Prozessbeauftragten infolge der Auditberichts zur Prozessableitung des KVP/dessen Anpassung in Kooperation mit dem AZAV-Beauftragten und der Abteilung/verantwortlichen Person für die Abweichung. KVP bedeutet auch, aus Fehlern zu lernen, d.h. deren künftige Vermeidung in Prozesse zu gießen. Ggf. ist neben der Prozessableitung auch eine "Fehlersammlung" zum Prozess sowie des Lösungsansatz auf Basis empirischer Erkenntnisse ("Was war das Problem, wie kam es dazu und wie haben wir es gelöst?") hilfreich.</t>
  </si>
  <si>
    <t>Überwachen Sie die Umsetzung der Maßnahmen und prüfen Sie regelmäßig deren Wirksamkeit. Passen Sie bei Bedarf den Maßnahmenplan an und halten Sie den Fortschritt schriftlich fest, um bei zukünftigen Audits den kontinuierlichen Verbesserungsprozess nachzuweisen.
=&gt;Analog interne Audits von internen MA, hat die Verantwortliche Person für die Abweichung proaktiv ein Abnahmegespräch mit AZAV-B. + Vorgesetztem  nach Abgabe (Deadline) anzusetzen, um Optimierung durchzusprechen. Ziel: Abnahme durch AZAV-B. und fristgerechte Abgabe der Nachprüfung durch Auditor, Bewusstsein beim TL + MA. Ggf. kurzer Verbesserungsbericht zur Optimierung nach Abnahme (Fehlersammlung und Nachjustierung, die als Bsp. in Wiki, wie o.g., aufgenommen wird).</t>
  </si>
  <si>
    <t>Überwachen Sie die Gültigkeitsdauer der Zertifizierungen und Akkreditierungen, um sicherzustellen, dass sie rechtzeitig erneuert werden. Führen Sie eine Übersicht mit den entsprechenden Fristen und verantwortlichen Personen. 
=&gt;Hierzu ist ein vorgelagerter Analyseprozess hilfreich, der rechtzeitig MN-Erfolg bewertet und valide Auskunft gibt, die Konsens ermöglicht, welche MN verlängert werden sollen. Hierzu sollte Prozess und ggf. Kennzahlen def. werden, was individuell (respektive Zielgruppe/Inhalt) bedeutet. Diess müssen flexibel auf Konjunktur/Arbeitsmarkt/Fördertöpfe/rechtliche Neuerungen adaptierbar sein.</t>
  </si>
  <si>
    <t>Behalten Sie Änderungen in den Anforderungen und Standards für Zertifizierungen und Akkreditierungen im Blick und passen Sie Ihre Prozesse und Verfahren entsprechend an. Informieren Sie alle beteiligten Mitarbeiter über die Änderungen und bieten Sie gegebenenfalls Schulungen an bzw. lassen externe Schulungen besuchen, z.B. einmal p.a., wie auch vom AZAV-Beauftragte im QM/AZAV-Bereich gewünscht und vorgeschlagen.</t>
  </si>
  <si>
    <t>Führen Sie eine zentrale Dokumentation aller Zertifizierungen, Akkreditierungen und Audit-Ergebnisse. Stellen Sie sicher, dass alle relevanten Informationen und Unterlagen leicht zugänglich sind, um bei zukünftigen Audits oder Anfragen einen schnellen Überblick über den aktuellen Status zu ermöglichen.
=&gt;Geeigneter Ort im System wäre hilfreich, analog führt der AZAV-Beauftragte eine entsprechende Datei für Zertifikate und eine für die Audits.</t>
  </si>
  <si>
    <t>Planung der jährlichen Einnahmen und Ausgaben, basierend auf den Zielen und Ressourcen des Bildungsinstituts, sowie den erwarteten Teilnehmerzahlen und Fördermitteln. Hierbei sind Konjunktur, Arbeitslosenzahlen und insbesondere regionale Förderschwerpunkte zu beachten und deren Veröffentlichung. Geeigneter Zeitpunkt, analog der Vö der Bildungszielplanungen 4./1. Quartal. Das Budget sollte unter Berücksichtigung der Parameter gemeinsam und themen-/zielgruppenspezifisch festgelegt und zu einem geeigneten Zeitpunkt, z.B. nach dem "Sommerloch", reflektiert werden.</t>
  </si>
  <si>
    <t>S.o. -&gt; Regelmäßige Kontrolle der Einnahmen und Ausgaben um sicherzustellen, dass diese im Einklang mit dem geplanten Budget stehen. Generell sollte das AZAV-Budget in Absprache Geschäftsführung-Vertrieb-AZAV-Beauftragter ermittelt werden (SOLL/IST). Daraus könnten auch Mittel für spez. Weiterbildungen der MA abgeleitet werden.</t>
  </si>
  <si>
    <t>Bereitstellung von regelmäßigen Finanzinformationen für die Geschäftsführung und andere Entscheidungsträger, um fundierte Entscheidungen über die strategische Ausrichtung und den Betrieb des Instituts treffen zu können. Managementbewertung entfällt i.R.d. Audits, dafür eindeutiger Prozess Erstellung, Systematik/Kennzahlen sowie Prozess und Verantwortung KPI durch die FKS gefordert.</t>
  </si>
  <si>
    <r>
      <rPr>
        <sz val="11"/>
        <color rgb="FF000000"/>
        <rFont val="Arial"/>
      </rPr>
      <t xml:space="preserve">Erfassung und Analyse von Marktinformationen, um Trends, Bedürfnisse und Wettbewerbsposition zu identifizieren, Alos i.R.d. Bildungszielplanungen, Messen, Lobbyarbeit, konjunkturelle Daten/Alo_Zahlen. Ggf. sollte quartalsweise eine Anamnese der Zahlen des statistische Dienstes der BA erfolgen und durch Geschäftsführung, Vertrieb und AZAV-Beauftragten eine unterjährige Strategie- und Sollzahlenanpassung erfolgen.
</t>
    </r>
    <r>
      <rPr>
        <sz val="11"/>
        <color theme="1"/>
        <rFont val="Calibri"/>
        <family val="2"/>
        <scheme val="minor"/>
      </rPr>
      <t>=&gt;Hieraus könnten auch regelm. suggestive Whitepaper zu Arbeitsmarktrelevanz und passender Weiterbildungslösung entstehen, die auch i.R. des QCG an AGs, nicht nur an Vermittler und an Alumni versandt werden.</t>
    </r>
  </si>
  <si>
    <t>Identifikation und Profilierung der relevanten Zielgruppen für die angebotenen Fernlehrgänge der geförderten Weiterbildung. Diese lässt sich aus den Förderschwerpunkte und dem anzuvisierenden Niveau der Weiterbildung i.V. mit Förderplänen der Kostenträger und Stellenanalyse ableiten. Bei der Produktentwicklung und -anpassung sollte deshalb auch ein Mindestniveau (DQR) und Profiling der pot.TN stattfinden, um Erfolgsquote und IQ möglichst gut zu gewährleisten. Zudem hilft eine Bewertung des negativen Abbrüche hinsichtlich nicht passgenau (z.B. Überforderung) eingebuchter TN.</t>
  </si>
  <si>
    <t>Definition quantitativer und qualitativer Ziele, wie z.B. Teilnehmerzahlen, Markenbekanntheit und Kundenzufriedenheit. Flyer mit Themen- und somit Zielgruppenschwerpunkten, bedarfsgerechte Sprache, Visualisierung, Informationsgehalt und Menge sowie Perspektivenvermittlung als Alumnus.Diese könnten auch Positive Erfolgs- und Eingliederungsquoten, Einkommensreportings und die Zusammenarbeit mit dem KOstenträger umfasseen. I.R. von §45 MN fragt das Jobcenter i.R. der Berichtspflichten/bewertet diese, die Zusammenarbeit mit dem Träger ab. Der Kostenträger ist ebenfalls unser Kunde und sollte i.V. mit TN-Kontakten (deren Vermittler) befragt werden. Somit könnten Kunden-, d.h. TN- und Kostenträgerzufriedenheit /Kommunikation; Erreichbarkeit, Kooperation bei Problemen etc.) abgefragt und dargestellt werden.</t>
  </si>
  <si>
    <t>Aktualisierung und Bereitstellung von Informationen über Bildungsmaßnahmen, Bildungsgutscheine und Antragsverfahren auf der Website, Kursnet und Social-Media-Plattformen.</t>
  </si>
  <si>
    <t>Sammlung und Auswertung von Daten zu Marketingaktivitäten, um deren Effektivität und Reichweite zu überprüfen. Clusterung regional mit STO analysieren. Ggf. auch analog regionaler BA/JC-Zuständigkeit.</t>
  </si>
  <si>
    <t>Regelmäßige Überprüfung und Anpassung der Marketing- und Kommunikationsstrategie auf Basis der gewonnenen Erkenntnisse, um kontinuierliche Verbesserung zu gewährleisten.
=&gt;Analog der Budget-/strategischen Planung und deren Nachjustierung.</t>
  </si>
  <si>
    <t>Verfassen von Pressemitteilungen, um das Institut und geförderte Weiterbildungsangebote in den Medien zu präsentieren und die Bekanntheit zu erhöhen. Flyer, Mailingaktionen, Posts mit Adressat TN und Kostenträger. Insbesondere Adressat Kostenträger und Arbeitgeber: AZAV-Inhalte bitte mit AZAV-Beauftrgten absprechen (Wording, pol./rechtl./sozioökon. Ebene/Fachbegriffe).</t>
  </si>
  <si>
    <t>Krisenkommunikation</t>
  </si>
  <si>
    <t>Entwicklung und Umsetzung von Strategien zur Bewältigung von Kommunikationskrisen, um das Image des Instituts zu schützen und möglichen negativen Auswirkungen entgegenzuwirken. 
=&gt;Kursnetbewertung AUS lassen!</t>
  </si>
  <si>
    <t>Etablierung von Beziehungen zu potenziellen Arbeitgebern und Verbänden, um die Bekanntheit der Fernlehrgänge zu erhöhen und Praktika oder Jobangebote für Teilnehmer zu generieren.</t>
  </si>
  <si>
    <t>Anmeldeprozess</t>
  </si>
  <si>
    <t>nein</t>
  </si>
  <si>
    <t>1.1 Anmeldung geht ein</t>
  </si>
  <si>
    <t xml:space="preserve">TN-B2C tätigt eine Anmeldung (über die Website, per Mail, ein anderes Portal oder telefonisch) </t>
  </si>
  <si>
    <t>TN-B2C</t>
  </si>
  <si>
    <t>Eingangsbestätigung Anmeldung</t>
  </si>
  <si>
    <t>TN-B2C erhält eine automatische Bestätigung, dass seine Anmeldung eingegangen ist</t>
  </si>
  <si>
    <t>Anmeldung wurde korrekt getätigt</t>
  </si>
  <si>
    <t>1.1.1 Zugangsdaten</t>
  </si>
  <si>
    <t>ja</t>
  </si>
  <si>
    <t xml:space="preserve">Zugangsdaten </t>
  </si>
  <si>
    <t xml:space="preserve">TN-B2C erhält die Zugangsdaten zu ela per Mail zugeschickt </t>
  </si>
  <si>
    <t>Zugangsdaten zurücksetzen durch System</t>
  </si>
  <si>
    <t>TN-B2C lässt seine Zugangsdaten durch ela zurücksetzen</t>
  </si>
  <si>
    <t>Zugangsdaten zurücksetzen durch MA,
wenn Zurücksetzen über System nicht funktioniert</t>
  </si>
  <si>
    <r>
      <rPr>
        <sz val="11"/>
        <color rgb="FFFF0000"/>
        <rFont val="Arial"/>
      </rPr>
      <t xml:space="preserve">TN-B2C lässt seine Zugangsdaten durch MA-SB2C zurücksetzen, sofern das Zurücksetzen über
</t>
    </r>
    <r>
      <rPr>
        <sz val="11"/>
        <color theme="1"/>
        <rFont val="Calibri"/>
        <family val="2"/>
        <scheme val="minor"/>
      </rPr>
      <t>ela nicht funktioniert hat</t>
    </r>
  </si>
  <si>
    <t>TN-B2C; MA-SB2C</t>
  </si>
  <si>
    <t>1.1.2 Fernkursbuchung</t>
  </si>
  <si>
    <t>Fernkursbuchung</t>
  </si>
  <si>
    <t>TN-B2C erhält Buchungsbestätigung, ggf. Willkommenspaket bei A- und B-Produkten</t>
  </si>
  <si>
    <t>1.1.3 Zahldaten/Zahlweise</t>
  </si>
  <si>
    <t>Zahlweise Überweisung</t>
  </si>
  <si>
    <t>TN-B2C überweist selbst, Zahl- und Kontodaten in Buchungsbestätigung einsehbar</t>
  </si>
  <si>
    <r>
      <rPr>
        <sz val="11"/>
        <color rgb="FF000000"/>
        <rFont val="Arial"/>
      </rPr>
      <t xml:space="preserve">Zahldaten korrekt
</t>
    </r>
    <r>
      <rPr>
        <sz val="11"/>
        <color theme="1"/>
        <rFont val="Calibri"/>
        <family val="2"/>
        <scheme val="minor"/>
      </rPr>
      <t>angelegt und einsehbar</t>
    </r>
  </si>
  <si>
    <t xml:space="preserve">1.1.4 Anmeldebestätigung </t>
  </si>
  <si>
    <t>TN-B2C kann sich Anmeldebestätigung in ela herunterladen</t>
  </si>
  <si>
    <t>Anmeldebestätigung</t>
  </si>
  <si>
    <t>Kommunikationskanäle</t>
  </si>
  <si>
    <t>2.1 Ticket</t>
  </si>
  <si>
    <t>Ticket TN an MA</t>
  </si>
  <si>
    <t>Allgemeine organisatorische Frage an MA-SB2C</t>
  </si>
  <si>
    <t>Automatische Zuweisen der Tickets an MA-SB2C?
Könnte man die Info über das Ticket mit einer no-reply Mail 
versenden, damit die TN-B2C zwingend über den OC und die 
Tickets gehen?</t>
  </si>
  <si>
    <t>Ticket TN an TU</t>
  </si>
  <si>
    <t>TN-B2C stellt eine fachliche Frage an TU</t>
  </si>
  <si>
    <t>TN-B2C; TU</t>
  </si>
  <si>
    <t>Wünschenswert wäre auch ein Ticket an QM, welches
zunächst an die TU kanalisiert wird</t>
  </si>
  <si>
    <t>Ticket TN an DO</t>
  </si>
  <si>
    <t>TN-B2C hat eine Frage zu einer Präsenzphase an DO</t>
  </si>
  <si>
    <t>TN-B2C; DO</t>
  </si>
  <si>
    <t>2.2 Chat</t>
  </si>
  <si>
    <t>Chat - Nachricht von TN an TN</t>
  </si>
  <si>
    <t>TN-B2C kontaktiert einen anderen TN-B2C über den Chat</t>
  </si>
  <si>
    <t>TN-B2C; TN-B2C</t>
  </si>
  <si>
    <r>
      <rPr>
        <sz val="11"/>
        <color rgb="FF000000"/>
        <rFont val="Arial"/>
      </rPr>
      <t xml:space="preserve">TN-B2C müssen im
selben FK eingebucht
</t>
    </r>
    <r>
      <rPr>
        <sz val="11"/>
        <color theme="1"/>
        <rFont val="Calibri"/>
        <family val="2"/>
        <scheme val="minor"/>
      </rPr>
      <t>sein</t>
    </r>
  </si>
  <si>
    <t>2.3 Telefontermin</t>
  </si>
  <si>
    <t>TN bucht Telefontermin</t>
  </si>
  <si>
    <t>TN-B2C bucht über Website Telefontermin</t>
  </si>
  <si>
    <t>Homepage: https://www.delst.de/de/kalender-studienbetreuung/</t>
  </si>
  <si>
    <t>Verschiebung des Telefontermins durch TN</t>
  </si>
  <si>
    <t xml:space="preserve">TN-B2C verschiebt Telefontermin </t>
  </si>
  <si>
    <t>Stornierung des Telefontermin durch TN</t>
  </si>
  <si>
    <t xml:space="preserve">TN-B2C storniert Telefontermin </t>
  </si>
  <si>
    <t>2.5 WhatsApp</t>
  </si>
  <si>
    <t>TN schreibt MA über WhatsApp an</t>
  </si>
  <si>
    <t>TN-B2C schreibt MA-B2C über WhatsApp an, Übertrag in ela?</t>
  </si>
  <si>
    <t>Lehrunterlagen</t>
  </si>
  <si>
    <t>Postversand - Anforderung nach der Anmeldung</t>
  </si>
  <si>
    <t>TN-B2C fordert nach Buchung des FK nachträglich die Lehrunterlagen in Print bei MA-SB2C an</t>
  </si>
  <si>
    <t>Rabattnachweis</t>
  </si>
  <si>
    <t>Eingang Rabattnachweis nach der Anmeldung</t>
  </si>
  <si>
    <t>TN-B2C lädt Rabattnachweis nach der Anmeldung hoch/sendet diesen an MA-SB2C</t>
  </si>
  <si>
    <t>Präsenzphasen Live-Webinare</t>
  </si>
  <si>
    <t>9.1 Buchung Live-Webinar</t>
  </si>
  <si>
    <t>Buchung/Abrufen der Kick-off Veranstaltung</t>
  </si>
  <si>
    <t>TN-B2C kann sich Kick-off Veranstaltung als Aufzeichnung/WBT herunterladen/ansehen</t>
  </si>
  <si>
    <t>Buchung eines Live-Webinars durch TN</t>
  </si>
  <si>
    <t xml:space="preserve">TN-B2C bucht ein Live-Webinar über seinen Studienverlauf </t>
  </si>
  <si>
    <t>Aufgabe zum Live-Webinar</t>
  </si>
  <si>
    <t>TN-B2C lädt Aufgabe zum Live-Webinar herunter, bearbeitet diese und bringt sie zum 
Live-Webinar mit</t>
  </si>
  <si>
    <t>TN-B2C kann sich erst zum Live-Webinar anmelden, wenn er
bestätigt hat, dass er sich die Aufgabe heruntergeladen
hat und diese bearbeitet zum Live-Webinar mitbringt
Hinweis: Leistungsnachweis beim AFBG</t>
  </si>
  <si>
    <t>9.2 Umbuchung Live-Webinar</t>
  </si>
  <si>
    <r>
      <rPr>
        <sz val="11"/>
        <color rgb="FFFF0000"/>
        <rFont val="Arial"/>
      </rPr>
      <t xml:space="preserve">Umbuchung eines Live-Webinars durch TN
</t>
    </r>
    <r>
      <rPr>
        <sz val="11"/>
        <color theme="1"/>
        <rFont val="Calibri"/>
        <family val="2"/>
        <scheme val="minor"/>
      </rPr>
      <t>mit Nachweis</t>
    </r>
  </si>
  <si>
    <t>TN-B2C bucht sein Live-Webinar eigenständig in ela um und hängt einen Nachweis an</t>
  </si>
  <si>
    <t>Bisher nicht möglich</t>
  </si>
  <si>
    <t xml:space="preserve">Umbuchung durch TN-B2C direkt in ela, Ticket an MA-SB2C,
dass hier ein Nachweis (AU/Arbeitgeberbestätigung) 
angefordert wird und bei Nicht-Einreichen eine 
Stornierungsgebühr angelegt wird </t>
  </si>
  <si>
    <r>
      <rPr>
        <sz val="11"/>
        <color rgb="FFFF0000"/>
        <rFont val="Arial"/>
      </rPr>
      <t xml:space="preserve">Umbuchung eines Live-Webinars durch TN
</t>
    </r>
    <r>
      <rPr>
        <sz val="11"/>
        <color theme="1"/>
        <rFont val="Calibri"/>
        <family val="2"/>
        <scheme val="minor"/>
      </rPr>
      <t>ohne Nachweis</t>
    </r>
  </si>
  <si>
    <t xml:space="preserve">TN-B2C bucht sein Live-Webinar eigenständig in ela um </t>
  </si>
  <si>
    <t>Telefonische Umbuchung eines Live-Webinars 
durch TN</t>
  </si>
  <si>
    <t>TN-B2C lässt sein Live-Webinar durch MA-SB2C umbuchen</t>
  </si>
  <si>
    <t>9.3 Stornierung Live-Webinar</t>
  </si>
  <si>
    <r>
      <rPr>
        <sz val="11"/>
        <color rgb="FFFF0000"/>
        <rFont val="Arial"/>
      </rPr>
      <t xml:space="preserve">Stornierung eines Live-Webinars durch TN
</t>
    </r>
    <r>
      <rPr>
        <sz val="11"/>
        <color theme="1"/>
        <rFont val="Calibri"/>
        <family val="2"/>
        <scheme val="minor"/>
      </rPr>
      <t>mit Nachweis</t>
    </r>
  </si>
  <si>
    <t>TN-B2C storniert sein Live-Webinar eigenständig in ela und hängt einen Nachweis an</t>
  </si>
  <si>
    <t>Stornierung eines Live-Webinars durch TN
ohne Nachweis</t>
  </si>
  <si>
    <t>TN-B2C storniert sein Live-Webinar eigenständig in ela</t>
  </si>
  <si>
    <t>Telefonische Stornierung eines Live-Webinars 
durch TN</t>
  </si>
  <si>
    <t>TN-B2C lässt sein Live-Webinar durch MA-SB2C stornieren</t>
  </si>
  <si>
    <t>9.4 Verpasstes Live-Webinar</t>
  </si>
  <si>
    <t xml:space="preserve">Nachweis für verpasstes Live-Webinar </t>
  </si>
  <si>
    <t>TN-B2C sendet nach einem verpassten Live-Webinar einen Nachweis (AU oder Arbeitgeber-
bestätigung) an bei MA-SB2C zu oder lädt diesen hoch</t>
  </si>
  <si>
    <r>
      <rPr>
        <sz val="11"/>
        <color rgb="FF000000"/>
        <rFont val="Arial"/>
      </rPr>
      <t xml:space="preserve">Upload bisher nicht
</t>
    </r>
    <r>
      <rPr>
        <sz val="11"/>
        <color theme="1"/>
        <rFont val="Calibri"/>
        <family val="2"/>
        <scheme val="minor"/>
      </rPr>
      <t>möglich</t>
    </r>
  </si>
  <si>
    <t>9.5 Aufzeichnung Live-Webinar</t>
  </si>
  <si>
    <t>Aufzeichnung eines Live-Webinars</t>
  </si>
  <si>
    <t>TN-B2C fordert bei MA-SB2C Aufzeichnungslink für Live-Webinar an</t>
  </si>
  <si>
    <t>Aufzeichnungslink muss durch MA-PER hinterlegt sein</t>
  </si>
  <si>
    <t>Wünschenswert wäre, dass die Aufzeichnung in ela nach
dem Live-Webinar hinterlegt wäre und die TN-B2C automatisch
Zugriff haben, allerdings nur, wenn sie auch tatsächlich
daran teilgenommen haben</t>
  </si>
  <si>
    <t>Prüfungsleistungen</t>
  </si>
  <si>
    <t>8.1 Lernkontrollfragen (LKF)</t>
  </si>
  <si>
    <t>Lernkontrollfragen bestanden</t>
  </si>
  <si>
    <t>Sofern der TN-B2C die Lernkontrollfragen bestanden hat, werden automatisch die nächsten 
freigeschalten</t>
  </si>
  <si>
    <t>Lernkontrollfragen nicht bestanden</t>
  </si>
  <si>
    <t xml:space="preserve">TN-B2C bittet MA-SB2C um Freischaltung der Lernkontrollfragen </t>
  </si>
  <si>
    <t>Nicht bestandene LKF sofort wieder freischalten, da aus
Erfahrung ganz selten das Problem des Nichtbestehens
Nichtwissen ist, sondern in 90 % der Fällen technische
Probleme aufgetreten sind</t>
  </si>
  <si>
    <t>8.2 Einsendeprüfung (online)</t>
  </si>
  <si>
    <t>Einsendeprüfung (online) hochgeladen durch TN</t>
  </si>
  <si>
    <t>TN-B2C lädt Einsendeprüfung (online) hoch</t>
  </si>
  <si>
    <r>
      <rPr>
        <sz val="11"/>
        <color rgb="FF000000"/>
        <rFont val="Arial"/>
      </rPr>
      <t xml:space="preserve">Bisher reicht TN-B2C
</t>
    </r>
    <r>
      <rPr>
        <sz val="11"/>
        <color theme="1"/>
        <rFont val="Calibri"/>
        <family val="2"/>
        <scheme val="minor"/>
      </rPr>
      <t>per Mail/Post ein</t>
    </r>
  </si>
  <si>
    <r>
      <rPr>
        <sz val="11"/>
        <color rgb="FF000000"/>
        <rFont val="Arial"/>
      </rPr>
      <t xml:space="preserve">Korrektur der Einsendeprüfung (online) nach
</t>
    </r>
    <r>
      <rPr>
        <sz val="11"/>
        <color theme="1"/>
        <rFont val="Calibri"/>
        <family val="2"/>
        <scheme val="minor"/>
      </rPr>
      <t>14 Tagen nicht eingegangen</t>
    </r>
  </si>
  <si>
    <r>
      <t xml:space="preserve">TN-B2C frägt bei MA-SB2C nach, wann die Korrektur eingeht
</t>
    </r>
    <r>
      <rPr>
        <sz val="11"/>
        <color rgb="FFFF0000"/>
        <rFont val="Arial"/>
      </rPr>
      <t xml:space="preserve">Kann TN Korrekturstatus einsehen? </t>
    </r>
  </si>
  <si>
    <t xml:space="preserve">Ergebnis der Einsendeprüfung (online) </t>
  </si>
  <si>
    <t>TN-B2C kann die Korrektur mit Note herunterladen</t>
  </si>
  <si>
    <r>
      <rPr>
        <sz val="11"/>
        <color rgb="FF000000"/>
        <rFont val="Arial"/>
      </rPr>
      <t xml:space="preserve">MA-SB2C informiert
</t>
    </r>
    <r>
      <rPr>
        <sz val="11"/>
        <color theme="1"/>
        <rFont val="Calibri"/>
        <family val="2"/>
        <scheme val="minor"/>
      </rPr>
      <t>TN-B2C per Mail</t>
    </r>
  </si>
  <si>
    <t xml:space="preserve">8.3 Einsendearbeit (online) </t>
  </si>
  <si>
    <t>Einsendearbeit (online) hochgeladen durch TN</t>
  </si>
  <si>
    <t>TN-B2C lädt Einsendearbeit (online) hoch</t>
  </si>
  <si>
    <t>Upload Einsendeprüfung (online) fehlgeschlagen</t>
  </si>
  <si>
    <t>TN-B2C erhält von ela die Benachrichtigung, dass der Upload nicht funktioniert hat 
(Falsches Dateiformat, Datei übersteigt max. Größe)</t>
  </si>
  <si>
    <t>Korrektur der Einsendearbeit (online) nach
14 Tagen nicht eingegangen</t>
  </si>
  <si>
    <t xml:space="preserve">Ergebnis der Einsendearbeit (online) </t>
  </si>
  <si>
    <t>TN-B2C kann den Bewertungsbogen mit Note herunterladen</t>
  </si>
  <si>
    <t>8.4 Abschlussprüfung (online)</t>
  </si>
  <si>
    <t>Abschlussprüfung (online) hochgeladen durch TN</t>
  </si>
  <si>
    <t>TN-B2C lädt Abschlussprüfung (online) hoch</t>
  </si>
  <si>
    <t>Korrektur der Abschlussprüfung (online) nach
14 Tagen nicht eingegangen</t>
  </si>
  <si>
    <r>
      <rPr>
        <sz val="11"/>
        <color rgb="FF000000"/>
        <rFont val="Arial"/>
      </rPr>
      <t xml:space="preserve">Ergebnis der Abschlussprüfung (online) -
</t>
    </r>
    <r>
      <rPr>
        <sz val="11"/>
        <color theme="1"/>
        <rFont val="Calibri"/>
        <family val="2"/>
        <scheme val="minor"/>
      </rPr>
      <t>bestanden</t>
    </r>
  </si>
  <si>
    <t>Ergebnis der Abschlussprüfung (online) -
nicht bestanden</t>
  </si>
  <si>
    <t>TN-B2C kann die Korrektur mit Note herunterladen, Hinweis zur Wiederholung (Kosten)</t>
  </si>
  <si>
    <t>MA-SB2C informiert
TN-B2C per Mail</t>
  </si>
  <si>
    <t>Wiederholung Abschlussprüfung (online) 
Einreichen eines Zweitversuchs</t>
  </si>
  <si>
    <t>TN-B2C lädt die Abschlussprüfung (online) ein zweites Mal hoch</t>
  </si>
  <si>
    <t>Wiederholung Abschlussprüfung (online) 
Einreichen eines Drittversuchs</t>
  </si>
  <si>
    <t>TN-B2C lädt die Abschlussprüfung (online) ein drittes Mal hoch</t>
  </si>
  <si>
    <t>8.5 Abschlussarbeit (online)</t>
  </si>
  <si>
    <t>Abschlussarbeit (online) hochgeladen durch TN</t>
  </si>
  <si>
    <t>TN-B2C lädt Abschlussarbeit (online) hoch</t>
  </si>
  <si>
    <t>Upload Abschlussarbeit (online) fehlgeschlagen</t>
  </si>
  <si>
    <t>Korrektur der Abschlussarbeit (online) nach
14 Tagen nicht eingegangen</t>
  </si>
  <si>
    <t>Ergebnis der Abschlussarbeit (online) -
bestanden</t>
  </si>
  <si>
    <t>Ergebnis der Abschlussarbeit (online) -
nicht bestanden</t>
  </si>
  <si>
    <t>TN-B2C kann den Bewertungsbogen mit Note herunterladen, Hinweis zur Wiederholung (Kosten)</t>
  </si>
  <si>
    <t>Wiederholung Abschlussarbeit (online) 
Einreichen eines Zweitversuchs</t>
  </si>
  <si>
    <t>TN-B2C lädt die Abschlussarbeit (online) ein zweites Mal hoch</t>
  </si>
  <si>
    <t>Wiederholung Abschlussarbeit (online) 
Einreichen eines Drittversuchs</t>
  </si>
  <si>
    <t>TN-B2C lädt die Abschlussarbeit (online) ein drittes Mal hoch</t>
  </si>
  <si>
    <t>8.6 Theoretische Online-Abschlussprüfung (tAP)</t>
  </si>
  <si>
    <t>8.6.1 Buchungsprozess tAP Proctorio</t>
  </si>
  <si>
    <t>Buchung eines Prüfungstermins</t>
  </si>
  <si>
    <t>TN-B2C bucht einen Termin für die tAP</t>
  </si>
  <si>
    <t>Obsolet</t>
  </si>
  <si>
    <t>Buchung eines Prüfungstermins durch MA</t>
  </si>
  <si>
    <t>TN-B2C lässt Prüfungstermin durch MA-SB2C einbuchen</t>
  </si>
  <si>
    <t>Umbuchung eines Prüfungstermins durch TN
mit Nachweis</t>
  </si>
  <si>
    <r>
      <rPr>
        <sz val="11"/>
        <color rgb="FF000000"/>
        <rFont val="Arial"/>
      </rPr>
      <t xml:space="preserve">TN-B2C bucht den Prüfungstermin eigenständig über das System um und lädt einen Nachweis
</t>
    </r>
    <r>
      <rPr>
        <sz val="11"/>
        <color theme="1"/>
        <rFont val="Calibri"/>
        <family val="2"/>
        <scheme val="minor"/>
      </rPr>
      <t>hoch</t>
    </r>
  </si>
  <si>
    <t>Umbuchung eines Prüfungstermins durch TN
ohne Nachweis</t>
  </si>
  <si>
    <t>TN-B2C bucht den Prüfungstermin eigenständig über das System um</t>
  </si>
  <si>
    <t>Umbuchung eines Prüfungstermins durch MA</t>
  </si>
  <si>
    <t>TN-B2C lässt Prüfungstermin durch MA-SB2C umbuchen</t>
  </si>
  <si>
    <t>Stornierung eines Prüfungstermins durch TN
mit Nachweis</t>
  </si>
  <si>
    <r>
      <rPr>
        <sz val="11"/>
        <color rgb="FF000000"/>
        <rFont val="Arial"/>
      </rPr>
      <t xml:space="preserve">TN-B2C storniert den Prüfungstermin eigenständig über das System und lädt einen Nachweis
</t>
    </r>
    <r>
      <rPr>
        <sz val="11"/>
        <color theme="1"/>
        <rFont val="Calibri"/>
        <family val="2"/>
        <scheme val="minor"/>
      </rPr>
      <t>hoch</t>
    </r>
  </si>
  <si>
    <t>Stornierung eines Prüfungstermins durch TN
ohne Nachweis</t>
  </si>
  <si>
    <t xml:space="preserve">TN-B2C storniert den Prüfungstermin eigenständig über das System </t>
  </si>
  <si>
    <t>Stornierung eines Prüfungstermins durch MA</t>
  </si>
  <si>
    <t>TN-B2C lässt Prüfungstermin durch MA-SB2C stornieren</t>
  </si>
  <si>
    <t>8.6.2 Ablauf tAP Proctorio</t>
  </si>
  <si>
    <t>Durchführung tAP</t>
  </si>
  <si>
    <t>TN-B2C schreibt die tAP über das Programm Proctorio</t>
  </si>
  <si>
    <t>Über Adobe Connect
mit Prüfungsaufsicht</t>
  </si>
  <si>
    <t xml:space="preserve">Hochladen der tAP Teilprüfungen </t>
  </si>
  <si>
    <t>TN-B2C lädt Teilprüfungen hoch?</t>
  </si>
  <si>
    <r>
      <rPr>
        <sz val="11"/>
        <color rgb="FF000000"/>
        <rFont val="Arial"/>
      </rPr>
      <t xml:space="preserve">Werden von MA-SB2C
</t>
    </r>
    <r>
      <rPr>
        <sz val="11"/>
        <color theme="1"/>
        <rFont val="Calibri"/>
        <family val="2"/>
        <scheme val="minor"/>
      </rPr>
      <t>hochgeladen</t>
    </r>
  </si>
  <si>
    <t>8.6.3 Notenbekanntgabe tAP</t>
  </si>
  <si>
    <r>
      <rPr>
        <sz val="11"/>
        <color rgb="FF000000"/>
        <rFont val="Arial"/>
      </rPr>
      <t xml:space="preserve">Notenbekanntgabe tAP - 
</t>
    </r>
    <r>
      <rPr>
        <sz val="11"/>
        <color theme="1"/>
        <rFont val="Calibri"/>
        <family val="2"/>
        <scheme val="minor"/>
      </rPr>
      <t>bestanden</t>
    </r>
  </si>
  <si>
    <t>TN-B2C sieht die Noten und Kommentare des KO ein</t>
  </si>
  <si>
    <t>Notenbekanntgabe tAP - 
nicht bestanden</t>
  </si>
  <si>
    <t>TN-B2C sieht die Noten und Kommentare des KO ein, Hinweis zur Wiederholung (Kosten)</t>
  </si>
  <si>
    <t>8.6.4 Prüfungswiederholung tAP</t>
  </si>
  <si>
    <t>Buchung einer Wiederholung der tAP 
Zweitversuch</t>
  </si>
  <si>
    <t>TN-B2C bucht zweite Prüfungswiederholung</t>
  </si>
  <si>
    <r>
      <rPr>
        <sz val="11"/>
        <color rgb="FF000000"/>
        <rFont val="Arial"/>
      </rPr>
      <t xml:space="preserve">MA-SB2C bucht
</t>
    </r>
    <r>
      <rPr>
        <sz val="11"/>
        <color theme="1"/>
        <rFont val="Calibri"/>
        <family val="2"/>
        <scheme val="minor"/>
      </rPr>
      <t>TN-B2C ein</t>
    </r>
  </si>
  <si>
    <t>Buchung einer Wiederholung der tAP 
Drittversuch</t>
  </si>
  <si>
    <t>TN-B2C bucht dritte Prüfungswiederholung</t>
  </si>
  <si>
    <t>8.6.5 Prüfungseinsicht tAP</t>
  </si>
  <si>
    <t>Antrag auf Prüfungseinsicht durch TN</t>
  </si>
  <si>
    <t>TN-B2C sendet Härtefallantrag für Prüfungseinsicht an MA-SB2C</t>
  </si>
  <si>
    <r>
      <rPr>
        <sz val="11"/>
        <color rgb="FF000000"/>
        <rFont val="Arial"/>
      </rPr>
      <t xml:space="preserve">TN-B2C reicht
Antrag per Mail 
</t>
    </r>
    <r>
      <rPr>
        <sz val="11"/>
        <color theme="1"/>
        <rFont val="Calibri"/>
        <family val="2"/>
        <scheme val="minor"/>
      </rPr>
      <t>ein</t>
    </r>
  </si>
  <si>
    <r>
      <rPr>
        <sz val="11"/>
        <color rgb="FF000000"/>
        <rFont val="Arial"/>
      </rPr>
      <t xml:space="preserve">Beim Versenden der Anfrage, direkt Auswahl mit unter-
schiedlichen Kategorien, Bsp.
- Härtefallantrag auf Prüfungseinsicht
- Härtefallantrag auf Zweitkorrektur
</t>
    </r>
    <r>
      <rPr>
        <sz val="11"/>
        <color theme="1"/>
        <rFont val="Calibri"/>
        <family val="2"/>
        <scheme val="minor"/>
      </rPr>
      <t>usw.</t>
    </r>
  </si>
  <si>
    <t>Prüfungseinsicht</t>
  </si>
  <si>
    <t>TN-B2C kommt nach Backnang zur Prüfungseinsicht (vorab Terminvereinbarung) mit MA-SB2C</t>
  </si>
  <si>
    <t>8.6.6 Zweitkorrektur tAP</t>
  </si>
  <si>
    <t>Antrag Zweitkorrektur durch TN</t>
  </si>
  <si>
    <t>TN-B2C sendet Härtefallantrag für Zweitkorrektur an MA-SB2C</t>
  </si>
  <si>
    <t>TN-B2C reicht
Antrag per Mail 
ein</t>
  </si>
  <si>
    <t>Ergebnis der Zweitkorrektur</t>
  </si>
  <si>
    <t xml:space="preserve">TN-B2C erhält das Ergebnis der Zweitkorrektur </t>
  </si>
  <si>
    <t>8.6 Mündliche Prüfung (KomT Praxisnote)</t>
  </si>
  <si>
    <t>Buchung eines mündlichen Prüfungstermins</t>
  </si>
  <si>
    <t>TN-B2C bucht mündlichen Prüfungstermin als Präsenzphase</t>
  </si>
  <si>
    <t>Umbuchung eines mündlichen Prüfungstermins 
durch TN mit Nachweis</t>
  </si>
  <si>
    <t>TN-B2C bucht mündlichen Prüfungstermin eigenständig über das System um und lädt
Nachweis hoch</t>
  </si>
  <si>
    <t>Umbuchung eines mündlichen Prüfungstermins 
durch TN ohne Nachweis</t>
  </si>
  <si>
    <t xml:space="preserve">TN-B2C bucht mündlichen Prüfungstermin eigenständig über das System um </t>
  </si>
  <si>
    <t>Umbuchung eines mündlichen Prüfungstermins 
durch MA</t>
  </si>
  <si>
    <t>TN-B2C bucht mündlichen Prüfungstermin durch MA-SB2C um</t>
  </si>
  <si>
    <t>Stornierung eines mündlichen Prüfungstermins 
durch TN  mit Nachweis</t>
  </si>
  <si>
    <t>TN-B2C storniert mündlichen Prüfungstermin eigenständig über das System und lädt
Nachweis hoch</t>
  </si>
  <si>
    <t>Stornierung eines mündlichen Prüfungstermins 
durch TN ohne Nachweis</t>
  </si>
  <si>
    <t xml:space="preserve">TN-B2C storniert mündlichen Prüfungstermin eigenständig über das System </t>
  </si>
  <si>
    <t>Stornierung eines mündlichen Prüfungstermins 
durch MA</t>
  </si>
  <si>
    <t xml:space="preserve">TN-B2C storniert mündlichen Prüfungstermin durch MA-SB2C </t>
  </si>
  <si>
    <t xml:space="preserve">Notenbekanntgabe der mündlichen 
Prüfung </t>
  </si>
  <si>
    <t>TN-B2C kann Bewertungsbogen mit Note zur mündlichen Prüfung heunterladen</t>
  </si>
  <si>
    <t>Wiederholung der mündlichen Prüfung
Zweitversuch</t>
  </si>
  <si>
    <t>TN-B2C bucht die mündliche Prüfung als Präsenzphase ein zweites Mal</t>
  </si>
  <si>
    <r>
      <rPr>
        <sz val="11"/>
        <color rgb="FF000000"/>
        <rFont val="Arial"/>
      </rPr>
      <t xml:space="preserve">Bisher nicht 
</t>
    </r>
    <r>
      <rPr>
        <sz val="11"/>
        <color theme="1"/>
        <rFont val="Calibri"/>
        <family val="2"/>
        <scheme val="minor"/>
      </rPr>
      <t>passiert</t>
    </r>
  </si>
  <si>
    <t>Wiederholung der mündlichen Prüfung
Drittversuch</t>
  </si>
  <si>
    <t>TN-B2C bucht die mündliche Prüfung als Präsenzphase ein drittesMal</t>
  </si>
  <si>
    <t>8.8 Anerkennung von Prüfungsleistungen</t>
  </si>
  <si>
    <t>Prüfung von bereits erbrachten Prüfungs-
leistungen</t>
  </si>
  <si>
    <t>TN-B2C reicht Zertifikate/Zeugnisse zur Prüfung einer Anerkennung von Prüfungsleistungen ein.</t>
  </si>
  <si>
    <r>
      <rPr>
        <sz val="11"/>
        <color rgb="FF000000"/>
        <rFont val="Arial"/>
      </rPr>
      <t xml:space="preserve">TN-B2C reicht diese
</t>
    </r>
    <r>
      <rPr>
        <sz val="11"/>
        <color theme="1"/>
        <rFont val="Calibri"/>
        <family val="2"/>
        <scheme val="minor"/>
      </rPr>
      <t>per Mail ein</t>
    </r>
  </si>
  <si>
    <t>Förderung über das AFBG</t>
  </si>
  <si>
    <t>9.1 Anforderung Formblätter</t>
  </si>
  <si>
    <t>Anforderung der Formblätter bei Anmeldung</t>
  </si>
  <si>
    <t>TN-B2C fordert bei MA-SB2C Formblätter AFBG im Rahmen der Anmeldung an</t>
  </si>
  <si>
    <t>Nachträgliche Anforderung der Formblätter</t>
  </si>
  <si>
    <t>TN-B2C erhält nach Start automatisch Infos zum AFBG und fordert die Formblätter daraufhin 
beim MA-SB2C an</t>
  </si>
  <si>
    <t>9.2 Anforderung Formblatt F</t>
  </si>
  <si>
    <t>Formblatt F - individuelle Anfrage durch TN</t>
  </si>
  <si>
    <t>TN-B2C fordert Formblatt F bei MA-SB2C zu einem bestimmten Zeitpunkt an</t>
  </si>
  <si>
    <t>9.3 Aufschlüsselung Formblatt F</t>
  </si>
  <si>
    <t>Aufschlüsselung von Formblatt F</t>
  </si>
  <si>
    <t>TN-B2C fordert Aufschlüsselung von Formblatt F bei MA-SB2C an</t>
  </si>
  <si>
    <t>Förderung über Bildungsscheck/Weiterbildungsbonus</t>
  </si>
  <si>
    <t xml:space="preserve">Bildungsscheck/Weiterbildungsbonus </t>
  </si>
  <si>
    <t>TN-B2C sendet Bildungsscheck vor der Anmeldung im Original per Post zu</t>
  </si>
  <si>
    <t>Förderung über IHK-Stipendium</t>
  </si>
  <si>
    <t>Teilnahmenachweis</t>
  </si>
  <si>
    <t>TN-B2C fordert bei MA-SB2C in der Regel mit einem IHK-Vordruck einen Teilnahmenachweis an</t>
  </si>
  <si>
    <t>Teilnahmebestätigung Selbstzahler</t>
  </si>
  <si>
    <t xml:space="preserve">Teilnahmebestätigung </t>
  </si>
  <si>
    <t>TN-B2C fordert bei MA-SB2C eine Teilnahmebestätigung an</t>
  </si>
  <si>
    <t>Widerruf/Kündigung</t>
  </si>
  <si>
    <t>13.1 Widerruf</t>
  </si>
  <si>
    <t>Widerruf während der 14-tägigen Testphase</t>
  </si>
  <si>
    <t>TN-B2C sendet schriftlich Widerruf innerhalb der 14-tägigen Testphase zu</t>
  </si>
  <si>
    <t>Stornierung des Widerrufs</t>
  </si>
  <si>
    <t>TN-B2C bleibt dabei und zieht Widerruf zurück</t>
  </si>
  <si>
    <t>13.2 Kündigung</t>
  </si>
  <si>
    <t xml:space="preserve">Eingang einer Kündigung </t>
  </si>
  <si>
    <t>TN-B2C sendet Kündigung schriftlich zu</t>
  </si>
  <si>
    <t xml:space="preserve">Stornierung der Kündigung </t>
  </si>
  <si>
    <t>TN-B2C bleibt dabei und zieht Kündigung zurück</t>
  </si>
  <si>
    <t>Abschluss</t>
  </si>
  <si>
    <t>Anforderung Abschlussdokumente</t>
  </si>
  <si>
    <t>TN-B2C fordert Abschlussdokumente an</t>
  </si>
  <si>
    <t>Abschlussdokumente nachträglich per Post</t>
  </si>
  <si>
    <t>TN-B2C fordert Abschlussdokumente nachträglich in Print an</t>
  </si>
  <si>
    <t>Abschlussdokumente in Englisch</t>
  </si>
  <si>
    <t>TN-B2C fordert Abschlussdokumente in Englisch an</t>
  </si>
  <si>
    <t>Bewertung/Feedback</t>
  </si>
  <si>
    <t xml:space="preserve">Bewertung/Feedback </t>
  </si>
  <si>
    <t>TN-B2C erstellt eine Bewertung auf einem der Kanäle (Google, Fernstudiumcheck, Testimonial)</t>
  </si>
  <si>
    <t>Lerngruppen / Community Management</t>
  </si>
  <si>
    <t>16.1 Lerngruppen-Beiträge</t>
  </si>
  <si>
    <t>Wiki: http://wiki.academyofsports.online/tiki-index.php?page=Benutzung+Lerngruppen+im+Online+Campus+f%C3%BCr+TN+%280070%29</t>
  </si>
  <si>
    <t xml:space="preserve">Lerngruppen-Post </t>
  </si>
  <si>
    <t>TN-B2C erstellt einen Post in der Lerngruppe</t>
  </si>
  <si>
    <t>Upload Lerngruppe</t>
  </si>
  <si>
    <t>TN-B2C lädt ein Dokument (Bsp. eine Übung) in der Lerngruppe hoch</t>
  </si>
  <si>
    <r>
      <rPr>
        <sz val="11"/>
        <color rgb="FF000000"/>
        <rFont val="Arial"/>
      </rPr>
      <t xml:space="preserve">Unter Dokumente
</t>
    </r>
    <r>
      <rPr>
        <sz val="11"/>
        <color theme="1"/>
        <rFont val="Calibri"/>
        <family val="2"/>
        <scheme val="minor"/>
      </rPr>
      <t>in Lerngruppe</t>
    </r>
  </si>
  <si>
    <t>16.2 Tutorensprechstunde</t>
  </si>
  <si>
    <t>Wiki: http://wiki.academyofsports.online/tiki-index.php?page=Tutorensprechstunde</t>
  </si>
  <si>
    <t>Anmeldung zur Tutorensprechstunden</t>
  </si>
  <si>
    <t>TN-B2C meldet sich über die Lerngruppe zur Tutorensprechstunde an</t>
  </si>
  <si>
    <t>Ordnungen</t>
  </si>
  <si>
    <t>Allgemeine Prüfungsordnung</t>
  </si>
  <si>
    <t>TN-B2C kann die allgemeine Prüfungsordnung im Studienverlauf herunterladen</t>
  </si>
  <si>
    <t>Gebührenordnung</t>
  </si>
  <si>
    <t>TN-B2C kann die Gebührenordnung über die allgemeine Prüfungsordnung im Studienverlauf abrufen</t>
  </si>
  <si>
    <t>Aus- und Weiterbildunganleitung</t>
  </si>
  <si>
    <t>TN-B2C kann die Aus- und Weiterbildungsanleitung im Studienverlauf herunterladen</t>
  </si>
  <si>
    <t>Qualitätsmanagement</t>
  </si>
  <si>
    <t>Fehlermeldung/QM-Abweichung durch TN</t>
  </si>
  <si>
    <t>TN-B2C meldet bei bei MA-SB2C oder TU eine QM-Abweichung/einen Fehler in den LKF oder 
in den Lehrunterlagen</t>
  </si>
  <si>
    <t>TN-B2C; MA-SB2C /
TN-B2C; TU</t>
  </si>
  <si>
    <t>Zahlungsmanagement</t>
  </si>
  <si>
    <t xml:space="preserve">19.1 Zahl- und Bankdaten </t>
  </si>
  <si>
    <t>Umstellung auf DLS</t>
  </si>
  <si>
    <t>TN-B2C gibt seine Bankverbindung nachträglich an, um auf DLS-Verfahren umzustellen</t>
  </si>
  <si>
    <t>TN-B2C; MA-SB2C / 
TN-B2C; MA-B</t>
  </si>
  <si>
    <r>
      <rPr>
        <sz val="11"/>
        <color rgb="FF000000"/>
        <rFont val="Arial"/>
      </rPr>
      <t xml:space="preserve">TN-B2C hinterlegt
im OC IBAN, 
automatische 
</t>
    </r>
    <r>
      <rPr>
        <sz val="11"/>
        <color theme="1"/>
        <rFont val="Calibri"/>
        <family val="2"/>
        <scheme val="minor"/>
      </rPr>
      <t>Meldung an MA-SB2C</t>
    </r>
  </si>
  <si>
    <t>Neue IBAN durch TN</t>
  </si>
  <si>
    <t>TN-B2C ändert seine bisher angegebene IBAN</t>
  </si>
  <si>
    <t>TN-B2C ändert
im OC IBAN, 
automatische 
Meldung an MA-SB2C</t>
  </si>
  <si>
    <t>19.2 Rechnungsstellung</t>
  </si>
  <si>
    <t xml:space="preserve">Vorab-Rechnung </t>
  </si>
  <si>
    <t>TN-B2C frägt bei MA-SB2C eine Vorab-Rechnung an (falls abweichende Rechnungsanschrift)</t>
  </si>
  <si>
    <t>Originalrechnung</t>
  </si>
  <si>
    <t>TN-B2C lädt sich nach Zahlungseingang die Originalrechnung herunter</t>
  </si>
  <si>
    <t>1.2 Eingang der Anmeldung</t>
  </si>
  <si>
    <t>Wiki: http://wiki.academyofsports.online/tiki-index.php?page=Fernstudienanmeldung-(0226)</t>
  </si>
  <si>
    <t>Anmelde-Voraussetzungen prüfen</t>
  </si>
  <si>
    <t>MA-SB2C prüft, ob Anmeldung angenommen werden kann
(TN-B2C bereits angelegt? Keine offenen Zahlungen/Inkasso?)</t>
  </si>
  <si>
    <t>MA-SB2C</t>
  </si>
  <si>
    <t>s. 1.2</t>
  </si>
  <si>
    <t>TN-Datensatz automatisch im System</t>
  </si>
  <si>
    <t>Lehrgang und Personendaten werden automatisch in ELA übertragen</t>
  </si>
  <si>
    <t>TN-Datensatz manuell anlegen</t>
  </si>
  <si>
    <t>MA-SB2C legt einen TN-B2C an, alle persönlichen Daten des TN-B2C im Datensatz erfassen</t>
  </si>
  <si>
    <t>Wiki: http://wiki.academyofsports.online/tiki-index.php?page=Allgemeiner+Anmeldevorgang+%280041%29</t>
  </si>
  <si>
    <t>Anmeldung in Buchungsstatistik erfassen</t>
  </si>
  <si>
    <t>Anmeldung wird in der Buchungsstatistik des laufenden Jahres erfasst</t>
  </si>
  <si>
    <t>Wiki: http://wiki.academyofsports.online/tiki-index.php?page=Buchungs%C3%BCbersicht</t>
  </si>
  <si>
    <t>1. 3 Zugangsdaten</t>
  </si>
  <si>
    <t>Wiki: http://wiki.academyofsports.online/tiki-index.php?page=Erstellen-von-backend-Zugangsdaten-(0104)</t>
  </si>
  <si>
    <t>Zugangsdaten vergeben</t>
  </si>
  <si>
    <t>MA-SB2C vergibt Zugangsdaten</t>
  </si>
  <si>
    <t>s. 1.3</t>
  </si>
  <si>
    <t>Zugangsdaten an TN versenden</t>
  </si>
  <si>
    <t>Zugangsdaten werden automatisch an den TN-B2C versandt</t>
  </si>
  <si>
    <t>MA-SB2C; TN-B2C</t>
  </si>
  <si>
    <t>Zugangsdaten zurücksetzen</t>
  </si>
  <si>
    <t>MA-SB2C setzt Zugangsdaten auf Wunsch des TN-B2C zurück</t>
  </si>
  <si>
    <t>Mailvorlage "Zugangsdaten soeben zurückgesetzt "
https://synology.bildungscampus-backnang.de:50823/d/f/kjNnPrKHJfHLQQ0iBqpd9Iahe0wOKDvs</t>
  </si>
  <si>
    <t>1.4 Fernkursbuchung</t>
  </si>
  <si>
    <t>Wiki: http://wiki.academyofsports.online/tiki-index.php?page=Anmeldungen-best%C3%A4tigen-(0261)</t>
  </si>
  <si>
    <t>MA-SB2C bucht Fernkurs beim TN-B2C ein</t>
  </si>
  <si>
    <t>Mailvorlage OC: https://admin.delst.de/emailvorlagen.php?show=addVorlage&amp;id=14</t>
  </si>
  <si>
    <t>1.5 Zahldaten/Zahlweise</t>
  </si>
  <si>
    <t>Zahldaten prüfen</t>
  </si>
  <si>
    <t>MA-SB2C prüft die Raten und Übereinstimmung mit Buchungsbestätigung</t>
  </si>
  <si>
    <t>Zahldaten ggf. korrigieren</t>
  </si>
  <si>
    <t>Falls abweichende Zahlungsmodalitäten (Bsp. Gesamtsumme statt Ratenzahlung), 
passt MA-SB2C die Zahlung an</t>
  </si>
  <si>
    <t xml:space="preserve">Zahlweise per Lastschrift </t>
  </si>
  <si>
    <t>MA-SB2C prüft die Richtigkeit der IBAN und hinterlegt diese, damit die Gebühr automatisch vom Konto des TN-B2C abgebucht wird</t>
  </si>
  <si>
    <t>MA-B über Zahlweise per Lastschrift informieren</t>
  </si>
  <si>
    <t>MA-SB2C informiert MA-B, damit MA-B Zahlung bei der Bank anlegt</t>
  </si>
  <si>
    <t>MA-SB2C; MA-B</t>
  </si>
  <si>
    <t>1.6 Anmeldebestätigung</t>
  </si>
  <si>
    <t>Anmeldebestätigung A-Produkte</t>
  </si>
  <si>
    <t>MA-SB2C versendet digitale Buchungsbestätigung an TN-B2C</t>
  </si>
  <si>
    <t>Anmeldebestätigung B-Produkte</t>
  </si>
  <si>
    <t>s.o</t>
  </si>
  <si>
    <t>Anmeldebestätigung C-Produkte</t>
  </si>
  <si>
    <t>1.7 Willkommenspakete</t>
  </si>
  <si>
    <t>Briefvorlage "Deine Fernlehrgangsanmeldung"
https://admin.delst.de/brief.php?type=sendevorlage&amp;id=87</t>
  </si>
  <si>
    <t>Upload Willkommenspaket A-Produkte</t>
  </si>
  <si>
    <t>MA-SB2C lädt Anschreiben, Buchungsbestätigung und Infoschreiben AFBG unter Druckaufträge 
in Synology hoch</t>
  </si>
  <si>
    <t>MA-SB2C; MA-LO</t>
  </si>
  <si>
    <t>Versand Willkommenspaket A-Produkte</t>
  </si>
  <si>
    <t>MA-LO versendet Anschreiben, Buchungsbestätigung und Infoschreiben AFBG mit 
Willkommenspaket  (Kugelschreiber, Notizbuch) per Post an TN-B2C</t>
  </si>
  <si>
    <t xml:space="preserve">MA-LO; TN-B2C </t>
  </si>
  <si>
    <t>Upload Willkommenspaket B-Produkte</t>
  </si>
  <si>
    <t>MA-SB2C lädt Anschreiben und Buchungsbestätigung unter Druckaufträge in Synology hoch</t>
  </si>
  <si>
    <t>Versand Willkommenspaket B-Produkte</t>
  </si>
  <si>
    <t>MA-LO versendet Anschreiben und Buchungsbestätigung mit Willkommenspaket 
(Kugelschreiber, Notizbuch) per Post an TN-B2C</t>
  </si>
  <si>
    <t>1.8 Phasen</t>
  </si>
  <si>
    <t>Wiki: http://wiki.academyofsports.online/tiki-index.php?page=Vertriebsweg-13b---Registrierung-Website-Telefon-(200-%E2%82%AC)-Start-sp%C3%A4terer-Zeitpunkt-(0436)</t>
  </si>
  <si>
    <t>Phaseneintrag - 
Start innerhalb der nächsten 14 Tage</t>
  </si>
  <si>
    <t>MA-SB2C erstellt eine Wiedervorlage für Phaseneintrag - Fälligkeit ist 1 Tag nach Start</t>
  </si>
  <si>
    <t>Vorlage: https://synology.bildungscampus-backnang.de:50823/oo/r/n4aLRvBMSJlqkj8uObKmllR9E7kA4oqo</t>
  </si>
  <si>
    <t>Phaseneintrag - 
Start in der Zukunft (weiter als 14 Tage)</t>
  </si>
  <si>
    <t>MA-SB2C erstellt eine Wiedervorlage für Phaseneintrag - Fälligkeit ist 1 Tag nach Anmeldung</t>
  </si>
  <si>
    <t>Phaseneintrag - C-Produkte (kleine Kurse)</t>
  </si>
  <si>
    <t>1.9 Lehrunterlagen</t>
  </si>
  <si>
    <t>Wiki: http://wiki.academyofsports.online/tiki-index.php?page=Lehrskript-Versand
und
http://wiki.academyofsports.online/tiki-index.php?page=Lehrskripte</t>
  </si>
  <si>
    <t>Lehrunterlagen in Print - 1. Paket 
Start innerhalb der nächsten 14 Tage</t>
  </si>
  <si>
    <t xml:space="preserve">MA-SB2C erstellt Ticket für MA-LO zum Versand des ersten bzw. max. der ersten drei 
Lehrskripte (siehe Vorlage LS-Versand) am Tag der Einbuchung </t>
  </si>
  <si>
    <t>Vorlage: https://synology.bildungscampus-backnang.de:50823/d/f/oBY4OzmyM4799ywoWRZbJfmV3Oofxy8y</t>
  </si>
  <si>
    <t>Versand Lehrunterlagen in Print - 1. Paket 
Start innerhalb der nächsten 14 Tage</t>
  </si>
  <si>
    <t xml:space="preserve">MA-LO versendet an TN-B2C das erste bzw. max. ersten drei Lehrskripte (siehe Vorlage 
LS-Versand) am Tag der Einbuchung </t>
  </si>
  <si>
    <t>MA-LO; TN-B2C</t>
  </si>
  <si>
    <t>Lehrunterlagen in Print - 1. Paket 
Start in der Zukunft länger als 14 Tage</t>
  </si>
  <si>
    <t>MA-SB2C erstellt Ticket für MA-LO zum Versand des ersten bzw. max. der ersten drei 
Lehrskripte (siehe Vorlage LS-Versand) 14 Tage vor dem Start</t>
  </si>
  <si>
    <t>Versand Lehrunterlagen in Print - 1. Paket 
Start in der Zukunft länger als 14 Tage</t>
  </si>
  <si>
    <t>MA-LO versendet an TN-B2C das erste bzw. max. ersten drei Lehrskripte (siehe Vorlage 
LS-Versand) 14 Tage vor dem Start</t>
  </si>
  <si>
    <r>
      <rPr>
        <sz val="11"/>
        <color rgb="FFD30E91"/>
        <rFont val="Arial"/>
      </rPr>
      <t xml:space="preserve">Lehrunterlagen in Print - 2. Paket 
</t>
    </r>
    <r>
      <rPr>
        <sz val="11"/>
        <color theme="1"/>
        <rFont val="Calibri"/>
        <family val="2"/>
        <scheme val="minor"/>
      </rPr>
      <t>Frühestens 14 Tage nach Start</t>
    </r>
  </si>
  <si>
    <t xml:space="preserve">MA-SB2C erstellt Ticket für MA-LO zum Versand des zweiten Pakets (siehe Vorlage 
LS-Versand) frühestens 14 Tage nach Start, sofern erste Rate eingegangen ist </t>
  </si>
  <si>
    <t>Erste Rate ist eingegangen</t>
  </si>
  <si>
    <t>Versand Lehrunterlagen in Print - 2. Paket 
Frühestens 14 Tage nach Start</t>
  </si>
  <si>
    <t>MA-LO versendet an TN-B2C frühestens 14 Tage nach Start bzw. nach Eingang der ersten 
Rate Versand des zweiten Pakets mit weiteren Lehrskripten</t>
  </si>
  <si>
    <t>Lehrunterlagen in Print - 3. Paket 
2 Monate nach Start</t>
  </si>
  <si>
    <t>MA-SB2C erstellt Ticket für MA-LO zum Versand des dritten Pakets (siehe Vorlage 
LS-Versand) ca. 2 Monate nach Start</t>
  </si>
  <si>
    <t>Versand Lehrunterlagen in Print - 3. Paket 
2 Monate nach Start</t>
  </si>
  <si>
    <t>MA-LO versendet an TN-B2C zwei Monate nach Start das dritte Paket mit restlichen 
Lehrskripten, falls vorhanden</t>
  </si>
  <si>
    <t>1.10 Studentenrabatt</t>
  </si>
  <si>
    <t>Wiki: http://wiki.academyofsports.online/tiki-index.php?page=Rabatte-und-Standardrabatte-(0053)</t>
  </si>
  <si>
    <t xml:space="preserve">Studentenrabatt bei Anmeldung </t>
  </si>
  <si>
    <t>MA-SB2C lädt Studentenrabatt hoch, sofern bei Anmeldung vorliegend</t>
  </si>
  <si>
    <t>Wiki: http://wiki.academyofsports.online/tiki-index.php?page=Rabattnachweis</t>
  </si>
  <si>
    <t>Studentenrabatt bei Anmeldung - 
noch nicht vorliegend</t>
  </si>
  <si>
    <t>Siehe Punkt 6 Rabattnachweis</t>
  </si>
  <si>
    <t>1.11 Rechnungsstellung</t>
  </si>
  <si>
    <t>Abweichende Rechnungsanschrift</t>
  </si>
  <si>
    <t>MA-SB2C hinterlegt abweichende Rechnungsanschrift, die in Anmeldung ggf. angegeben wurde</t>
  </si>
  <si>
    <t>Wiki: http://wiki.academyofsports.online/tiki-index.php?page=%C3%84nderung+des+Rechnungsempf%C3%A4ngers+%280038%29</t>
  </si>
  <si>
    <t>Erstellung Vorab-Rechnung nach Anmeldung</t>
  </si>
  <si>
    <t xml:space="preserve">MA-SB2C erstellt auf Wunsch des TN-B2C eine Vorab-Rechnung </t>
  </si>
  <si>
    <t>Versand Vorab-Rechnung nach Anmeldung</t>
  </si>
  <si>
    <t>MA-SB2C versendet Vorab-Rechnung an TN-B2C oder Rechnungsempfänger digital</t>
  </si>
  <si>
    <t>Mailvorlage "Vorab-Rechnung"
https://synology.bildungscampus-backnang.de:50823/d/f/sjivFliSGExcT84m1Mzb9eLPg9zB21ua</t>
  </si>
  <si>
    <r>
      <rPr>
        <sz val="11"/>
        <color rgb="FFD30E91"/>
        <rFont val="Arial"/>
      </rPr>
      <t xml:space="preserve">Versand Vorab-Rechnung nach Anmeldung
</t>
    </r>
    <r>
      <rPr>
        <sz val="11"/>
        <color theme="1"/>
        <rFont val="Calibri"/>
        <family val="2"/>
        <scheme val="minor"/>
      </rPr>
      <t>per Post</t>
    </r>
  </si>
  <si>
    <t>MA-LO versendet Vorab-Rechnung per Post an TN-B2C</t>
  </si>
  <si>
    <t>1.12 Förderung</t>
  </si>
  <si>
    <t>Erstellung Formblätter AFBG</t>
  </si>
  <si>
    <r>
      <t xml:space="preserve">MA-SB2C erstellt auf Wunsch des TN-B2C Formblätter, </t>
    </r>
    <r>
      <rPr>
        <sz val="11"/>
        <color rgb="FF0078FF"/>
        <rFont val="Arial"/>
      </rPr>
      <t>siehe Punkt 9 Förderung über das AFBG</t>
    </r>
  </si>
  <si>
    <t>1.13 Verlängerte Testphase</t>
  </si>
  <si>
    <t>Wiki: http://wiki.academyofsports.online/tiki-index.php?page=Verl%C3%A4ngerte+Testphase+%280296%29</t>
  </si>
  <si>
    <t>Verlängerung der Testphase</t>
  </si>
  <si>
    <t>MA-SB2C kann die Testphase in Ausnahmefällen um 14 Tage verlängern.</t>
  </si>
  <si>
    <t>Änderung der Zahldaten nach Verlängerung der Testphase</t>
  </si>
  <si>
    <t>MA-SB2C verschiebt die Zahldaten um 14 Tage bei einer Verlängerung der Testphase</t>
  </si>
  <si>
    <t>Ticket MA an TN</t>
  </si>
  <si>
    <t>MA-SB2C erstellt ein Ticket an TN-B2C</t>
  </si>
  <si>
    <t>2.2 Wiedervorlage</t>
  </si>
  <si>
    <t>Wiedervorlage MA</t>
  </si>
  <si>
    <t>MA-SB2C erstellt Wiedervorlage bei einem TN-B2C</t>
  </si>
  <si>
    <t xml:space="preserve">2.3 Chat innerhalb eines FK </t>
  </si>
  <si>
    <t>Chatnachricht von MA an TN</t>
  </si>
  <si>
    <t>Nachricht von MA-SB2C per Chat an TN-B2C</t>
  </si>
  <si>
    <t>2.4 Telefontermin</t>
  </si>
  <si>
    <t>MA verteilt Telefontermin an MA</t>
  </si>
  <si>
    <t>MA-SB2C ordnet Telefontermin dem zuständigen MA-SB2C (persönlicher Ansprechpartner) zu 
und hinterlegt diesen im Synology-Kalender</t>
  </si>
  <si>
    <t>MA-SB2C; MA-SB2C</t>
  </si>
  <si>
    <r>
      <rPr>
        <sz val="11"/>
        <color rgb="FF000000"/>
        <rFont val="Arial"/>
      </rPr>
      <t xml:space="preserve">MA-SB2C aktualisiert Telefontermin nach Verschiebung durch TN-B2C, ändert die Daten im
</t>
    </r>
    <r>
      <rPr>
        <sz val="11"/>
        <color theme="1"/>
        <rFont val="Calibri"/>
        <family val="2"/>
        <scheme val="minor"/>
      </rPr>
      <t>Synology, Kalender</t>
    </r>
  </si>
  <si>
    <t>MA-SB2C storniert Telefontermin nach Absage durch TN-B2C, löscht diesen aus dem Synology-
Kalender</t>
  </si>
  <si>
    <t>TN zum Telefontermin nicht erreichbar</t>
  </si>
  <si>
    <t>MA-SB2C erreicht TN-B2C zur gebuchten Zeit nicht und erstellt ein Ticket an TN-B2C</t>
  </si>
  <si>
    <t>Mailvorlage "Telefontermin heute (TN war nicht erreichbar)"
https://synology.bildungscampus-backnang.de:50823/d/f/lqNhv4h7u1rtOw3MrPJyr7kS2uw7ZvVt</t>
  </si>
  <si>
    <t>MA schreibt TN über WhatsApp an</t>
  </si>
  <si>
    <r>
      <rPr>
        <sz val="11"/>
        <color rgb="FF000000"/>
        <rFont val="Arial"/>
      </rPr>
      <t xml:space="preserve">MA-SB2C speichert Kontakt des TN-B2C im MyPhoneExplorer und kann diesen so anschreiben,
</t>
    </r>
    <r>
      <rPr>
        <sz val="11"/>
        <color rgb="FFFF0000"/>
        <rFont val="Arial"/>
      </rPr>
      <t>Übertrag in ela?</t>
    </r>
  </si>
  <si>
    <t>Betreuung während des FK (Phaseneintrag)</t>
  </si>
  <si>
    <t>3.1 Innerhalb der Testphase</t>
  </si>
  <si>
    <t>Erfolgreicher Erstanruf 1 Tag nach Anmeldung - 
Start länger als 14 Tage in der Zukunft</t>
  </si>
  <si>
    <t>MA-SB2C ruft nach der Anmeldung beim TN-B2C an und stellt sich als persönlicher Ansprechpartner 
vor, klärt ggf. offene Fragen (Studienablauf, Zugangsdaten, Förderungen)</t>
  </si>
  <si>
    <t>Erfolgloser Erstanruf 1 Tag nach Anmeldung - 
Start länger als 14 Tage in der Zukunft</t>
  </si>
  <si>
    <t>MA-SB2C erreicht TN-B2C beim Erstanruf vor dem Start telefonisch nicht</t>
  </si>
  <si>
    <t>Mailvorlage "Phase 1 vor Beginn Zum Start optimal vorbereitet NICHT ERREICHT"
https://synology.bildungscampus-backnang.de:50823/d/f/nfut6vYjMEef6BB8K3gnUZWe08nUQyYo</t>
  </si>
  <si>
    <t>Erfolgreicher Erstanruf 1 Tag nach Start - 
Start innerhalb der nächsten 14 Tage</t>
  </si>
  <si>
    <t>MA-SB2C ruft 1 Tag nach Start beim TN-B2C an, stellt sich als persönliche Ansprechpartner vor,
klärt ggf. offene Fragen (Studienablauf, Zugangsdaten, Förderungen)</t>
  </si>
  <si>
    <t>Mailvorlage "Phase 2 a Tag 1 Endlich kann es losgehen NACH TELEFONAT"
https://synology.bildungscampus-backnang.de:50823/d/f/nfut79tTQWp5iv2DjVVLxM6GAIR1uJ0D</t>
  </si>
  <si>
    <t>Erfolgloser Erstanruf 1 Tag nach Start - 
Start innerhalb der nächsten 14 Tage</t>
  </si>
  <si>
    <t>MA-SB2C erreicht TN-B2C beim Erstanruf nach dem Start telefonisch nicht</t>
  </si>
  <si>
    <t>Mailvorlage "Phase 2 b Tag 1 Endlich kann es losgehen NICHT ERREICHT"
https://synology.bildungscampus-backnang.de:50823/d/f/nfutC2lTDQAMkvKT2jR8FH5GOe2ZXb6i</t>
  </si>
  <si>
    <r>
      <rPr>
        <sz val="11"/>
        <color rgb="FF000000"/>
        <rFont val="Arial"/>
      </rPr>
      <t xml:space="preserve">Mail 1 Tag nach Start -
</t>
    </r>
    <r>
      <rPr>
        <sz val="11"/>
        <color theme="1"/>
        <rFont val="Calibri"/>
        <family val="2"/>
        <scheme val="minor"/>
      </rPr>
      <t>C-Produkte (kleine Kurse ohne Erstanruf)</t>
    </r>
  </si>
  <si>
    <t>MA-SB2C heißt den TN-B2C 1 Tag nach Start willkommen (ohne Anruf)</t>
  </si>
  <si>
    <t>Mailvorlage "Endlich kann es losgehen - ohne Anruf"
https://synology.bildungscampus-backnang.de:50823/d/f/nfuswYLgc0UjwdSi4IPH8xIctp7AHR33</t>
  </si>
  <si>
    <t>Effizientes Lernen 
A- und B-Produkte</t>
  </si>
  <si>
    <t>MA-SB2C versendet WBT Effizientes Lernen (Lerntypologie) an den TN-B2C</t>
  </si>
  <si>
    <t>Mailvorlage "Phase 3 Effizientes Lernen"
https://synology.bildungscampus-backnang.de:50823/d/f/nfutGlhVS29S4Yb7hHDsN0P2qBJlyKl3</t>
  </si>
  <si>
    <t>3.2 Im Verlauf</t>
  </si>
  <si>
    <t>Wahlmodule ausschließlich bei ExBM</t>
  </si>
  <si>
    <t>MA-SB2C sendet dem TN-B2C 1 Monat nach dem Start, Infos zu Wahlmodulen zu</t>
  </si>
  <si>
    <t>Mailvorlage "Phase 5 Deine Wahlmodule Wähle jetzt ExKM"
https://synology.bildungscampus-backnang.de:50823/d/f/pYzAXTGIpe6AVLCQyp9Xsbn9gRBDKklD</t>
  </si>
  <si>
    <t xml:space="preserve">Entscheidung Wahlmodul ExBM </t>
  </si>
  <si>
    <t>MA-SB2C bucht dem TN-B2C zwei Wahlmodule ein</t>
  </si>
  <si>
    <t>Wahlmodule ausschließlich bei HFW</t>
  </si>
  <si>
    <t>Mailvorlage "Wahlmodul HFW"
https://synology.bildungscampus-backnang.de:50823/d/f/lelkDndOaxh7n3qWX948lifTf2y0oGX3</t>
  </si>
  <si>
    <t>Entscheidung Wahlmodul HFW</t>
  </si>
  <si>
    <t>MA-SB2C bucht dem TN-B2C ein Wahlmodul ein</t>
  </si>
  <si>
    <t>3.3. Ca. 3 Monate vor Enddatum</t>
  </si>
  <si>
    <r>
      <rPr>
        <sz val="11"/>
        <color rgb="FF000000"/>
        <rFont val="Arial"/>
      </rPr>
      <t xml:space="preserve">Lernstand erfragen (Lernfortschritt erkennbar) - 
3 Monate vor offiziellem Enddatum
</t>
    </r>
    <r>
      <rPr>
        <sz val="11"/>
        <color theme="1"/>
        <rFont val="Calibri"/>
        <family val="2"/>
        <scheme val="minor"/>
      </rPr>
      <t>TN erreicht</t>
    </r>
  </si>
  <si>
    <t>MA-SB2C ruft den TN-B2C an und erkundigt sich, wie der TN-B2C zurechtkommt.
Bei positiver Rückmeldung um Bewertung bitten</t>
  </si>
  <si>
    <t>Mailvorlage "Link für deine Bewertung"
https://synology.bildungscampus-backnang.de:50823/d/f/kjNSPrr0sb57mkBTXGt1tEoBSImqRpAf</t>
  </si>
  <si>
    <t>Lernstand erfragen (Lernfortschritt erkennbar) - 
3 Monate vor offiziellem Enddatum 
TN nicht erreicht</t>
  </si>
  <si>
    <t>MA-SB2C erreicht den TN-B2C nicht, um nach dem positivem Lernfortschritt zu fragen</t>
  </si>
  <si>
    <t>Mailvorlage "Phase 9 Wie kommst du voran"
https://synology.bildungscampus-backnang.de:50823/d/f/nfutVdedviXxI9RRyP6VyJfFyuvOSnEM</t>
  </si>
  <si>
    <r>
      <rPr>
        <sz val="11"/>
        <color rgb="FF000000"/>
        <rFont val="Arial"/>
      </rPr>
      <t xml:space="preserve">Lernstand erfragen (Lernfortschritt nicht 
vorhanden) - 3 Monate vor offiziellem Enddatum
</t>
    </r>
    <r>
      <rPr>
        <sz val="11"/>
        <color theme="1"/>
        <rFont val="Calibri"/>
        <family val="2"/>
        <scheme val="minor"/>
      </rPr>
      <t>TN erreicht</t>
    </r>
  </si>
  <si>
    <t>MA-SB2C ruft den TN-B2C an und erkundigt sich, wie der TN zurechtkommt, da nicht weitergemacht 
und ob TN-B2C Unterstützung benötigt</t>
  </si>
  <si>
    <r>
      <rPr>
        <sz val="11"/>
        <color rgb="FF000000"/>
        <rFont val="Arial"/>
      </rPr>
      <t xml:space="preserve">Lernstand erfragen (Lernfortschritt nicht 
vorhanden) - 3 Monate vor offiziellem Enddatum
</t>
    </r>
    <r>
      <rPr>
        <sz val="11"/>
        <color theme="1"/>
        <rFont val="Calibri"/>
        <family val="2"/>
        <scheme val="minor"/>
      </rPr>
      <t>TN nicht erreicht</t>
    </r>
  </si>
  <si>
    <t>MA-SB2C erreicht den TN-B2C nicht, um nach fehlendem Lernfortschritt zu fragen</t>
  </si>
  <si>
    <t>Mailvorlage "Phase 9 Wie kommst du voran - kein Lernfortschritt"
https://synology.bildungscampus-backnang.de:50823/d/f/nfutQcGgEs3qLQQO9HEN539ANckFj2Bg</t>
  </si>
  <si>
    <t>4.1 Printunterlagen</t>
  </si>
  <si>
    <t>Umstellung Digital auf Print</t>
  </si>
  <si>
    <r>
      <t xml:space="preserve">Umstellung der Lehrunterlagen von Digital auf Print - </t>
    </r>
    <r>
      <rPr>
        <sz val="11"/>
        <color rgb="FFFF0000"/>
        <rFont val="Arial"/>
      </rPr>
      <t>Neu einbuchen?</t>
    </r>
  </si>
  <si>
    <t xml:space="preserve">Nachträgliche Printunterlagen </t>
  </si>
  <si>
    <t xml:space="preserve">MA-SB2C veranlasst Postversand der Printunterlagen </t>
  </si>
  <si>
    <r>
      <rPr>
        <sz val="11"/>
        <color rgb="FFD30E91"/>
        <rFont val="Arial"/>
      </rPr>
      <t xml:space="preserve">MA-SB2C; MA-LO /
</t>
    </r>
    <r>
      <rPr>
        <sz val="11"/>
        <color theme="1"/>
        <rFont val="Calibri"/>
        <family val="2"/>
        <scheme val="minor"/>
      </rPr>
      <t>MA-LO; TN-B2C</t>
    </r>
  </si>
  <si>
    <t>Mailvorlage "Printvariante angefragt"
https://synology.bildungscampus-backnang.de:50823/d/f/n8tAOZfcXaODg1mMXLF4tNHcxp3ksLu9</t>
  </si>
  <si>
    <t>Nachberechnung Printunterlagen</t>
  </si>
  <si>
    <t>MA-SB2C legt Gebühr (5 % vom Original-Printpreis) als neue Rate mit einer Frist von 14 Tage an</t>
  </si>
  <si>
    <t>4.2 Paketzustellung</t>
  </si>
  <si>
    <t xml:space="preserve">Erfolglose Paketzustellung </t>
  </si>
  <si>
    <t xml:space="preserve">MA-LO informiert MA-SB2C über zurückgeschicktes Paket, MA-SB2C prüft Adresse und korrigiert 
diese ggf. nach Rücksprache mit dem TN-B2C </t>
  </si>
  <si>
    <t>Mailvorlage "Paket konnte nicht zugestellt werden"
https://synology.bildungscampus-backnang.de:50823/d/f/kjNZyeFX6ZqzxvyXFE8vMxGI9OF0Pt7E</t>
  </si>
  <si>
    <t>Erneute Paketzustellung</t>
  </si>
  <si>
    <t xml:space="preserve">MA-SB2C veranlasst erneuten Postversand der Printunterlagen </t>
  </si>
  <si>
    <t>Kein Rabattnachweis eingegangen - Nachfrage</t>
  </si>
  <si>
    <t>MA-SB2C fordert 14 Tage nach Start beim TN-B2C einen Rabattnachweis an
Wiedervorlage in weiteren 14 Tagen</t>
  </si>
  <si>
    <t>Mailvorlage "Nachfrage - Rabattnachweis"
https://synology.bildungscampus-backnang.de:50823/d/f/kjNYYN8sXpJxFIpsjMBlDPImFglUGSle</t>
  </si>
  <si>
    <t>Eingangsbstätigung Rabattnachweis</t>
  </si>
  <si>
    <t>MA-SB2C bestätigt den Eingang des Rabattnachweises</t>
  </si>
  <si>
    <t>Mailvorlage "Rabattnachweis eingegangen"
https://synology.bildungscampus-backnang.de:50823/d/f/kjNbANhMxWf5siT9z9ZAQXsBOTayHbij</t>
  </si>
  <si>
    <t>Kein Eingang des Rabattnachweises</t>
  </si>
  <si>
    <t>MA-SB2C nimmt eine Zahlungskorrektur vor, indem eine neue Rate angelegt wird 
(Nachberechnung von 5 % des Original-Printpreises)</t>
  </si>
  <si>
    <t>Korrektur der Zahlungsvereinbarung</t>
  </si>
  <si>
    <t xml:space="preserve">MA-SB2C informiert TN-B2C über die Zahlungskorrektur </t>
  </si>
  <si>
    <t>Mailvorlage "Korrektur der Zahlungsvereinbarung"
https://synology.bildungscampus-backnang.de:50823/d/f/kjNOO6Y8maMSMNxxlBU66ynxMJB4fyg0</t>
  </si>
  <si>
    <t>7.1. Buchung Live-Webinar</t>
  </si>
  <si>
    <t>Wiki: http://wiki.academyofsports.online/tiki-index.php?page=Live+Online+Seminare+%28LOS%29</t>
  </si>
  <si>
    <t>Bestätigung der Live-Webinar-Buchung</t>
  </si>
  <si>
    <t>MA-SB2C bestätigt die Buchung des Live-Webinars</t>
  </si>
  <si>
    <t>Mailvorlage OC: https://admin.delst.de/emailvorlagen.php?show=addVorlage&amp;id=15</t>
  </si>
  <si>
    <t>Buchung eines Live-Webinars durch MA</t>
  </si>
  <si>
    <t>MA-SB2C bucht TN-B2C in ein Live-Webinar ein</t>
  </si>
  <si>
    <t>Durchführung der Kick-off Veranstaltung</t>
  </si>
  <si>
    <t>MA-SB2C hält Kick-off Veranstaltung über Adobe Connect</t>
  </si>
  <si>
    <t>Mailvorlage "Link zur Kick-off Veranstaltung (Aufzeichnung)":
https://synology.bildungscampus-backnang.de:50823/d/f/kjNV8UrTMQKmCtQb10pjGSKn1nRD9Hiq
Wiki: http://wiki.academyofsports.online/tiki-index.php?page=Adobe+Connect+-+Kick+Off+Veranstaltung
Kio wird zwei Mal pro Monat von MA-SB2C live abgehalten</t>
  </si>
  <si>
    <t>7.2 Einladung Live-Webinar</t>
  </si>
  <si>
    <t>Einladung Live-Webinar - 7 Tage vorher</t>
  </si>
  <si>
    <t>MA-SB2C versendet an TN-B2C 7 Tage vor dem Live-Webinar die Einladung mit der Aufgabe, 
die erledigt werden muss</t>
  </si>
  <si>
    <t>Mailvorlage "Einladung zum Live-Webinar (7 Tage vorher)"
https://synology.bildungscampus-backnang.de:50823/d/f/noKunFI2LVjNuR5IYhS9r53v7QwoPMIq</t>
  </si>
  <si>
    <r>
      <rPr>
        <sz val="11"/>
        <color rgb="FF000000"/>
        <rFont val="Arial"/>
      </rPr>
      <t xml:space="preserve">Aufgabe muss vorab heruntergeladen werden und bestätigt
werden, dass TN diese bearbeiten wird, bevor TN ein
</t>
    </r>
    <r>
      <rPr>
        <sz val="11"/>
        <color theme="1"/>
        <rFont val="Calibri"/>
        <family val="2"/>
        <scheme val="minor"/>
      </rPr>
      <t>Live-Webinar buchen kann</t>
    </r>
  </si>
  <si>
    <t>Einladung Live-Webinar - 1 Tag vorher</t>
  </si>
  <si>
    <t xml:space="preserve">MA-SB2C versendet an TN-B2C 1 Tag vor dem Live-Webinar eine weitere Einladung als Erinnerung </t>
  </si>
  <si>
    <t>Mailvorlage "Morgen startet dein Live-Webinar - bist du bereit (1 Tag vorher)"
https://synology.bildungscampus-backnang.de:50823/d/f/noKwtCjch6gtqXYnHPb9CryPmsN8fy4U</t>
  </si>
  <si>
    <t>7.3 Umbuchung Live-Webinar</t>
  </si>
  <si>
    <t>Umbuchung eines Live-Webinars durch MA</t>
  </si>
  <si>
    <t xml:space="preserve">MA-SB2C informiert TN-B2C über Terminverschiebung des Live-Webinars, TN-B2C ist automatisch
im neuen Termin eingebucht </t>
  </si>
  <si>
    <t>Wiki: http://wiki.academyofsports.online/tiki-index.php?page=Terminverschiebung+Live-Webinar</t>
  </si>
  <si>
    <t>Veranstaltungstag des Live-Webinars muss bereits angepasst worden sein</t>
  </si>
  <si>
    <t>Wünschenswert wäre, dass eine Verschiebung eines Termins
durch den MA-SB2C ersichtlich ist, damit man im Falle der 
Abwesenheit eines TN keine Gebühren berechnet</t>
  </si>
  <si>
    <r>
      <rPr>
        <sz val="11"/>
        <color rgb="FF000000"/>
        <rFont val="Arial"/>
      </rPr>
      <t xml:space="preserve">Umbuchung eines Live-Webinars durch TN
</t>
    </r>
    <r>
      <rPr>
        <sz val="11"/>
        <color theme="1"/>
        <rFont val="Calibri"/>
        <family val="2"/>
        <scheme val="minor"/>
      </rPr>
      <t>mit Nachweis</t>
    </r>
  </si>
  <si>
    <t>MA-SB2C bucht das Live-Webinar um</t>
  </si>
  <si>
    <t>Wiki: http://wiki.academyofsports.online/tiki-index.php?page=Umbuchung+Live+Online+Seminar+-+Live+Webinar+durch+TN</t>
  </si>
  <si>
    <t>Umbuchung eines Live-Webinars durch TN
ohne Nachweis</t>
  </si>
  <si>
    <t>MA-SB2C bucht das Live-Webinar um und berechnet Umbuchungsgebühr</t>
  </si>
  <si>
    <t>7.4 Stornierung Live-Webinar</t>
  </si>
  <si>
    <t>Absage eines Live-Webinars durch MA</t>
  </si>
  <si>
    <t>MA-SB2C informiert TN-B2C über Absage eines Live-Webinars, storniert dieses und schaltet
die Buchungsfunktion wieder freischalten</t>
  </si>
  <si>
    <t>Wiki: http://wiki.academyofsports.online/tiki-index.php?page=Mindestteilnehmerzahl+nicht+erreicht+%280162%29</t>
  </si>
  <si>
    <t>Automatische Freischalten der Buchungsfunktion</t>
  </si>
  <si>
    <r>
      <rPr>
        <sz val="11"/>
        <color rgb="FF000000"/>
        <rFont val="Arial"/>
      </rPr>
      <t xml:space="preserve">Stornierung eines Live-Webinars durch TN
</t>
    </r>
    <r>
      <rPr>
        <sz val="11"/>
        <color theme="1"/>
        <rFont val="Calibri"/>
        <family val="2"/>
        <scheme val="minor"/>
      </rPr>
      <t>mit Nachweis</t>
    </r>
  </si>
  <si>
    <t>MA-SB2C storniert das Live-Webinar und schaltet die Buchungsfunktion wieder frei</t>
  </si>
  <si>
    <t>Mailvorlage "Live-Webinar storniert"
https://synology.bildungscampus-backnang.de:50823/d/f/oGRR6RtAoeIHnqQt5tWO4eSEmHAAmdWU</t>
  </si>
  <si>
    <r>
      <rPr>
        <sz val="11"/>
        <color rgb="FF000000"/>
        <rFont val="Arial"/>
      </rPr>
      <t xml:space="preserve">Stornierung eines Live-Webinars durch TN
</t>
    </r>
    <r>
      <rPr>
        <sz val="11"/>
        <color theme="1"/>
        <rFont val="Calibri"/>
        <family val="2"/>
        <scheme val="minor"/>
      </rPr>
      <t>ohne Nachweis</t>
    </r>
  </si>
  <si>
    <t>MA-SB2C storniert das Live-Webinar, berechnet Stornierungsgebühren und schaltet die 
Buchungsfunktion wieder frei</t>
  </si>
  <si>
    <t>7.5 Teilnehmerliste</t>
  </si>
  <si>
    <t xml:space="preserve">Teilnehmerliste Live-Webinar </t>
  </si>
  <si>
    <t xml:space="preserve">MA-SB2C erhält die Teilnehmerliste von MA-PER und prüft diese </t>
  </si>
  <si>
    <t>MA-PER; MA-SB2C</t>
  </si>
  <si>
    <t>Dozent hinterlegt das Fehlen des TN-B2C direkt in ela und es
wird ein Ticket an den MA-SB2C erzeugt</t>
  </si>
  <si>
    <t>Verpasstes Live-Webinar (unentschuldigt)</t>
  </si>
  <si>
    <t>MA-SB2C informiert TN-B2C per Telefon über verpasstes Live-Webinar und storniert dieses</t>
  </si>
  <si>
    <t>Wiedervorlage Verpasstes Live-Webinar 
(unentschuldigt) - Erfolgreicher Anruf</t>
  </si>
  <si>
    <t>MA-SB2C fordert Nachweis an oder berechnet Gebühren - 
Wiedervorlage "Nachweis eingegangen?" in 7 Tagen</t>
  </si>
  <si>
    <t>Wiedervorlage Verpasstes Live-Webinar 
(unentschuldigt) - Erfolgloser Anruf</t>
  </si>
  <si>
    <t>MA-SB2C fordert Nachweis an und berechnet Gebühren - 
Wiedervorlage "Nachweis eingegangen?" in 7 Tagen</t>
  </si>
  <si>
    <t>Mailvorlage "Live-Webinar verpasst"
https://synology.bildungscampus-backnang.de:50823/d/f/mP9rKR8BcFpldRnn3fgZ9e5WHVilZUfN</t>
  </si>
  <si>
    <t>Nachweis für verpasstes Live-Webinar 
eingegangen</t>
  </si>
  <si>
    <t>MA-SB2C hinterlegt Nachweis (AU oder Arbeitgeberbestätigung) beim TN-B2C und schaltet 
Neubuchung frei</t>
  </si>
  <si>
    <t>Kein Nachweis für verpasstes Live-Webinar
eingegangen</t>
  </si>
  <si>
    <t>MA-SB2C informiert TN-B2C darüber, dass kein Nachweis eingegangen ist, verweist auf Gebühr,
Neubuchung freischalten</t>
  </si>
  <si>
    <t>Mailvorlage "Kein Nachweis eingegangen  verpasstes Live-Webinar"
https://synology.bildungscampus-backnang.de:50823/d/f/nALaQ8Re1Cxe7KXZNE3ByBrFJN0JQzJ6</t>
  </si>
  <si>
    <t>TN-B2C kann Nachweis selbst in ela hochladen und MA-SB2C
erhält daraufhin ein Ticket, um ggf. Stornierungsgebühr zu
löschen</t>
  </si>
  <si>
    <t>7.6 Aufzeichnung Live-Webinar</t>
  </si>
  <si>
    <t>MA-SB2C versendet Aufzeichnungslink an TN-B2C, sofern TN-B2C daran teilgenommen hat</t>
  </si>
  <si>
    <t>Mailvorlage "Link zum Live-Webinar (Aufzeichnung)"
https://synology.bildungscampus-backnang.de:50823/d/f/kjNTkjJ06ZvpT7JciUraRA8FCqqK8jtF</t>
  </si>
  <si>
    <t>7.7 Neue Termine</t>
  </si>
  <si>
    <t>Neuer Termin Live-Webinar - PER</t>
  </si>
  <si>
    <t>MA-SB2C erhält von MA-PER über MeisterTask eine Info zu neuem Termin für Live-Webinar</t>
  </si>
  <si>
    <t xml:space="preserve">Hinweis auf neuen Termin Live-Webinar </t>
  </si>
  <si>
    <t xml:space="preserve">MA-SB2C informiert TN-B2C auf Warteliste in MeisterTask über neuen Live-Webinar-Termin </t>
  </si>
  <si>
    <t>Mailvorlage "Neuer Live-Webinar Termin verfügbar"
https://synology.bildungscampus-backnang.de:50823/d/f/leljKyDIoN6KdDAQgiAsFkFK615CuToe</t>
  </si>
  <si>
    <t>Sobald ein neuer Termin veröffentlicht wird, alle TN-B2C auf einer
Warteliste darüber informieren, generell Wartelisten einführen,
wo sich die TN-B2C eintragen können</t>
  </si>
  <si>
    <t>MA-SB2C schaltet die LKF frei und informiert den TN-B2C</t>
  </si>
  <si>
    <t>Mailvorlage "Lernkontrollfragen soeben zurückgesetzt"
https://synology.bildungscampus-backnang.de:50823/d/f/kjNQl6LveuBa8fW4mGvTESFNpqHPICzQ</t>
  </si>
  <si>
    <t xml:space="preserve">Eingangsbestätigung Einsendeprüfung (online) </t>
  </si>
  <si>
    <t>MA-SB2C bestätigt den Eingang der Einsendeprüfung (online)</t>
  </si>
  <si>
    <t>Mailvorlage "Eingangsbestätigung Einsendeprüfung_Abschlussprüfung"
https://synology.bildungscampus-backnang.de:50823/d/f/kjNG2H67bdvR38saRWWvlpoOJavRgIv2</t>
  </si>
  <si>
    <r>
      <rPr>
        <sz val="11"/>
        <color rgb="FFD30E91"/>
        <rFont val="Arial"/>
      </rPr>
      <t xml:space="preserve">Korrektur Einsendeprüfung (online) nach 14 Tagen 
</t>
    </r>
    <r>
      <rPr>
        <sz val="11"/>
        <color theme="1"/>
        <rFont val="Calibri"/>
        <family val="2"/>
        <scheme val="minor"/>
      </rPr>
      <t>ausstehend</t>
    </r>
  </si>
  <si>
    <t>MA-SB2C frägt bei MA-PER nach aktuellem Stand?!</t>
  </si>
  <si>
    <t>MA-SB2C; MA-PER</t>
  </si>
  <si>
    <t xml:space="preserve">Bestätigung der Korrektur der Einsendeprüfung (online) </t>
  </si>
  <si>
    <t>MA-SB2C prüft die Korrektur der Einsendeprüfung (online) und bestätigt diese</t>
  </si>
  <si>
    <t>Mailvorlage "Deine Korrektur Einsendeprüfung_Abschlussprüfung (online)"
https://synology.bildungscampus-backnang.de:50823/d/f/n8t6vo8Woyt3gFsETkWnVdAPPWuxcUDz</t>
  </si>
  <si>
    <r>
      <rPr>
        <sz val="11"/>
        <color rgb="FFD30E91"/>
        <rFont val="Arial"/>
      </rPr>
      <t xml:space="preserve">Bestätigung der Korrektur der Einsendeprüfung (online) -
</t>
    </r>
    <r>
      <rPr>
        <sz val="11"/>
        <color theme="1"/>
        <rFont val="Calibri"/>
        <family val="2"/>
        <scheme val="minor"/>
      </rPr>
      <t>Abweichung festgestellt</t>
    </r>
  </si>
  <si>
    <t>MA-SB2C stellt fest, dass Note oder Punktezahl fehlerhaft und erstellt Ticket an MA-PER?</t>
  </si>
  <si>
    <t xml:space="preserve">Eingangsbestätigung Einsendearbeit (online) </t>
  </si>
  <si>
    <t>MA-SB2C bestätigt den Eingang der Einsendearbeit (online)</t>
  </si>
  <si>
    <t>Eingangsbestätigung Einsendearbeit (online) 
Fehlerhafte Einreichung</t>
  </si>
  <si>
    <t>MA-SB2C weist auf falsche Formatierung, leeres Dokument o.ä. hin und fordert erneute 
Einreichung der Einsendearbeit (online)?</t>
  </si>
  <si>
    <t>Korrektur Einsendearbeit (online) nach 14 Tagen 
ausstehend</t>
  </si>
  <si>
    <t xml:space="preserve">Bestätigung der Korrektur der Einsendearbeit (online) </t>
  </si>
  <si>
    <t>MA-SB2C prüft den Bewertungsbogen der Einsendearbeit (online) und bestätigt diesen</t>
  </si>
  <si>
    <t>Bestätigung der Korrektur der Einsendearbeit (online) -
Abweichung festgestellt</t>
  </si>
  <si>
    <t xml:space="preserve">Eingangsbestätigung Abschlussprüfung (online) </t>
  </si>
  <si>
    <t>MA-SB2C bestätigt den Eingang der Abschlussprüfung (online)</t>
  </si>
  <si>
    <t>Eilige Korrektur tAP</t>
  </si>
  <si>
    <t>MA-SB2C informiert KO über eine verkürzte Frist zur Korrektur (z.B. aufgrund von dringend 
benötigtem Zertifikat)</t>
  </si>
  <si>
    <t>MA-SB2C; KO</t>
  </si>
  <si>
    <t>Korrektur Abschlussprüfung (online) nach 14 Tagen 
ausstehend</t>
  </si>
  <si>
    <t xml:space="preserve">Bestätigung der Korrektur der Abschlussprüfung (online) </t>
  </si>
  <si>
    <t>MA-SB2C prüft die Korrektur der Abschlussprüfung (online) und bestätigt diese</t>
  </si>
  <si>
    <t>Bestätigung der Korrektur der Abschlussprüfung (online) -
Abweichung festgestellt</t>
  </si>
  <si>
    <t>Abschlussprüfung (online) bestanden -
Alle Prüfungsleistungen absolviert</t>
  </si>
  <si>
    <r>
      <rPr>
        <sz val="11"/>
        <color rgb="FF000000"/>
        <rFont val="Arial"/>
      </rPr>
      <t>Sofern alle Prüfungsleistungen erbracht wurden, erstellt MA-SB2C die Abschlussdokumente,</t>
    </r>
    <r>
      <rPr>
        <sz val="11"/>
        <color rgb="FF0078FF"/>
        <rFont val="Arial"/>
      </rPr>
      <t xml:space="preserve"> 
siehe Punkt 14 Abschluss</t>
    </r>
  </si>
  <si>
    <t>Abschlussprüfung (online) nicht bestanden</t>
  </si>
  <si>
    <t>MA-SB2C prüft die Korrektur der Abschlussprüfung (online) und informiert den TN-B2C über die 
Note (nicht bestanden) und die Wiederholungsmöglichkeiten</t>
  </si>
  <si>
    <t>Mailvorlage "Ergebnis deiner Abschlussprüfung (online) - nicht bestanden"
https://synology.bildungscampus-backnang.de:50823/d/f/ng04YYF4AKnuCvzk0M7gytRcK36Vw4Sa</t>
  </si>
  <si>
    <t>Prüfungsordnung und Gebührenordnung direkt verlinken</t>
  </si>
  <si>
    <t>Wiederholung Abschlussprüfung (online) 
Eingangsbestätigung Zweitversuch</t>
  </si>
  <si>
    <t xml:space="preserve">MA-SB2C bestätigt den Eingang des Zweitversuchs der Abschlussprüfung (online) </t>
  </si>
  <si>
    <t>Wiki: http://wiki.academyofsports.online/tiki-index.php?page=Neukorrektur+Abschlussarbeit+%280153%29</t>
  </si>
  <si>
    <t>Wiederholung Abschlussprüfung (online) 
Gebühren Zweitversuch</t>
  </si>
  <si>
    <t>MA-SB2C legt Zusatzgebühr (50,00 €) für Wiederholung (Zweitversuch) an und informiert TN-B2C</t>
  </si>
  <si>
    <t>Wiederholung Abschlussprüfung (online) 
Eingangsbestätigung Drittversuchs</t>
  </si>
  <si>
    <t xml:space="preserve">MA-SB2C bestätigt den Eingang des Drittversuchs der Abschlussprüfung (online) </t>
  </si>
  <si>
    <t>Wiederholung Abschlussprüfung (online) 
Gebühren Drittversuch</t>
  </si>
  <si>
    <t>MA-SB2C legt Zusatzgebühr (50,00 €) für Wiederholung (Drittversuch) an und informiert TN-B2C</t>
  </si>
  <si>
    <t xml:space="preserve">Eingangsbestätigung Abschlussarbeit (online) </t>
  </si>
  <si>
    <t>MA-SB2C bestätigt den Eingang der Abschlussarbeit (online)</t>
  </si>
  <si>
    <t>Eingangsbestätigung Abschlussarbeit (online) 
Fehlerhafte Einreichung</t>
  </si>
  <si>
    <t>MA-SB2C weist auf falsche Formatierung, leeres Dokument o.ä. hin und fordert erneute 
Einreichung der Abschlussarbeit (online)?</t>
  </si>
  <si>
    <t>Korrektur Abschlussarbeit (online) nach 14 Tagen 
ausstehend</t>
  </si>
  <si>
    <t>Bestätigung der Korrektur der Abschlussarbeit (online)</t>
  </si>
  <si>
    <t>MA-SB2C prüft den Bewertungsbogen der Abschlussarbeit (online) und bestätigt diesen</t>
  </si>
  <si>
    <t>Bestätigung der Korrektur der Abschlussarbeit (online) -
Abweichung festgestellt</t>
  </si>
  <si>
    <t>Abschlussarbeit (online) bestanden -
Alle Prüfungsleistungen absolviert</t>
  </si>
  <si>
    <t>Abschlussarbeit (online) nicht bestanden</t>
  </si>
  <si>
    <t>MA-SB2C prüft den Bewertungsbogen der Abschlussprüfung (online) und informiert den TN-B2C 
über die Note (nicht bestanden) und die Wiederholungsmöglichkeiten</t>
  </si>
  <si>
    <t>Wiederholung Abschlussarbeit (online) 
Eingangsbestätigung Zweitversuch</t>
  </si>
  <si>
    <t xml:space="preserve">MA-SB2C bestätigt den Eingang des Zweitversuchs der Abschlussarbeit (online) </t>
  </si>
  <si>
    <t>Wiederholung Abschlussarbeit (online) 
Gebühren Zweitversuch</t>
  </si>
  <si>
    <t>Wiederholung Abschlussarbeit (online) 
Eingangsbestätigung Drittversuchs</t>
  </si>
  <si>
    <t xml:space="preserve">MA-SB2C bestätigt den Eingang des Drittversuchs der Abschlussarbeit (online) </t>
  </si>
  <si>
    <t>Wiederholung Abschlussarbeit (online) 
Gebühren Drittversuch</t>
  </si>
  <si>
    <t>8.6.1 Buchungsprozess tAP</t>
  </si>
  <si>
    <t>Bestätigung des Prüfungstermins</t>
  </si>
  <si>
    <t>MA-SB2C bestätigt die Buchung des Prüfungstermins</t>
  </si>
  <si>
    <t>Bestätigung der Umbuchung durch TN eines 
Prüfungstermins</t>
  </si>
  <si>
    <t>MA-SB2C bestätigt die Terminumbuchung und legt ggf. Gebühren an</t>
  </si>
  <si>
    <t>Verschiebung eines Prüfungstermins durch MA</t>
  </si>
  <si>
    <t xml:space="preserve">MA-SB2C informiert TN-B2C über Verschiebung eines Prüfungstermins </t>
  </si>
  <si>
    <t>Bestätigung der Stornierung durch TN eines 
Prüfungstermins</t>
  </si>
  <si>
    <t>MA-SB2C bestätigt die Stornierung eines Prüfungstermins und schaltet die Neubuchung frei</t>
  </si>
  <si>
    <t xml:space="preserve">MA-SB2C informiert TN-B2C über Stornierung eines Prüfungstermins </t>
  </si>
  <si>
    <t>8.6.2 Einladung tAP</t>
  </si>
  <si>
    <t>Einladung zur tAP - 7 Tage vorher</t>
  </si>
  <si>
    <t>MA-SB2C versendet an TN-B2C 7 Tage vor der tAP die Einladung und alle wichtigen Infos zur tAP</t>
  </si>
  <si>
    <t>Mailvorlage "Einladung zur Online-Prüfung (7 Tage vorher)"
https://synology.bildungscampus-backnang.de:50823/d/f/noKuoPxLeNsco4XPtIA6h6jUA7RSRrm1</t>
  </si>
  <si>
    <t>Einladung zur tAP - 1 Tag vorher</t>
  </si>
  <si>
    <t>MA-SB2C versendet an TN-B2C 1 Tag vor der tAP eine weitere Einladung</t>
  </si>
  <si>
    <t>Mailvorlage "Morgen startet deine Online-Prüfung - bist du bereit (1 Tag vorher)"
https://synology.bildungscampus-backnang.de:50823/d/f/noKuqs6LNQZnL7mQXw1XkZK1zsSJrBMY</t>
  </si>
  <si>
    <t>8.6.3 Ablauf tAP</t>
  </si>
  <si>
    <t>Vorbereitung der tAP</t>
  </si>
  <si>
    <t>MA-SB2C prüft, welchen Versuch der TN-B2C schreibt und dass die richtige tAP hinterlegt ist</t>
  </si>
  <si>
    <t>Wiki: http://wiki.academyofsports.online/tiki-index.php?page=Durchf%C3%BChrung-der-theoretischen-Online-Abschlusspr%C3%BCfung</t>
  </si>
  <si>
    <t>Proctorio</t>
  </si>
  <si>
    <t>Durchführung der tAP</t>
  </si>
  <si>
    <t>Einführung und Aufsicht durch MA-SB2C, Arbeitsgruppenzuteilung, Kontrolle des Personalausweises,
Abgabezeit festlegen -&gt; Proctorio?</t>
  </si>
  <si>
    <t>Wiki: http://wiki.academyofsports.online/tiki-index.php?page=Durchf%C3%BChrung+der+theoretischen+Online-Abschlusspr%C3%BCfung</t>
  </si>
  <si>
    <t>MA-SB2C informiert KO über eine verkürzte Frist zur Korrektur (z.B. aufgrund von IHK-Prüfung 
oder dringend benötigtem Zertifikat)</t>
  </si>
  <si>
    <t>8.6.4 Notenbekanntgabe tAP</t>
  </si>
  <si>
    <t xml:space="preserve">Bestehen der tAP </t>
  </si>
  <si>
    <t>MA-SB2C prüft die Korrektur der tAP und bestätigt die Note(n)</t>
  </si>
  <si>
    <t>Mailvorlagen unter:
https://synology.bildungscampus-backnang.de:50823/drive/#file_id=632420763999189183</t>
  </si>
  <si>
    <t>Korrektur tAP nach 14 Tagen ausstehend</t>
  </si>
  <si>
    <t xml:space="preserve">Nichtbestehen der tAP </t>
  </si>
  <si>
    <t>MA-SB2C prüft die Korrektur der tAP und informiert den TN-B2C über die Note (nicht bestanden) 
und die Wiederholungsmöglichkeiten</t>
  </si>
  <si>
    <t>8.6.5 Prüfungswiederholung tAP</t>
  </si>
  <si>
    <t>Prüfungswiederholung tAP 
Zweitversuch</t>
  </si>
  <si>
    <t>MA-SB2C bestätigt die Buchung des Zweitversuchs mit Infos zu Zahlungsmodalitäten</t>
  </si>
  <si>
    <t>Prüfungswiederholung tAP 
Gebühren Zweitversuch</t>
  </si>
  <si>
    <t>MA-SB2C legt Zusatzgebühr (richtet sich nach Anzahl und Länge der tAP) für Wiederholung 
(Zweitversuch) an und informiert TN-B2C</t>
  </si>
  <si>
    <t>Prüfungswiederholung tAP 
Drittversuch</t>
  </si>
  <si>
    <t>MA-SB2C bestätigt die Buchung des Drittversuchs mit Infos zu Zahlungsmodalitäten</t>
  </si>
  <si>
    <t>Prüfungswiederholung tAP 
Gebühren Drittversuch</t>
  </si>
  <si>
    <t>MA-SB2C legt Zusatzgebühr (richtet sich nach Anzahl und Länge der tAP) für Wiederholung 
(Drittversuch) an und informiert TN-B2C</t>
  </si>
  <si>
    <t>8.6.6 Prüfungseinsicht tAP</t>
  </si>
  <si>
    <t>Wiki: http://wiki.academyofsports.online/tiki-index.php?page=Pr%C3%BCfungseinsicht</t>
  </si>
  <si>
    <t>Eingangsbestätigung Härtefallantrag 
Prüfungseinsicht</t>
  </si>
  <si>
    <t xml:space="preserve">MA-SB2C bestätigt Eingang des Härtefallantrags zur Prüfungseinsicht </t>
  </si>
  <si>
    <t>Bearbeitung Härtefallantrag Prüfungseinsicht</t>
  </si>
  <si>
    <t>MA-SB2C erstellt in der Arbeitsgruppe "Prüfungsamt AoS - DeLSt" in MeisterTask einen Task mit
der Bitte um Feedback und Abstimmung zur Prüfungseinsicht</t>
  </si>
  <si>
    <t>Bewilligung Prüfungseinsicht durch Prüfungsamt</t>
  </si>
  <si>
    <t>MA-SB2C informiert TN-B2C über Zustimmung zur Prüfungseinsicht vor Ort</t>
  </si>
  <si>
    <t>Durchführung einer Prüfungseinsicht</t>
  </si>
  <si>
    <t>MA-SB2C vereinbart mit TN-B2C einen Termin zur Prüfungseinsicht in Backnang</t>
  </si>
  <si>
    <t>Ablehnung Prüfungseinsicht durch Prüfungsamt</t>
  </si>
  <si>
    <t>MA-SB2C informiert TN-B2C mit einer Stellungnahme darüber, warum eine Prüfungseinsicht 
abgelehnt wurde</t>
  </si>
  <si>
    <t>8.6.7 Zweitkorrektur tAP</t>
  </si>
  <si>
    <t>Wiki: http://wiki.academyofsports.online/tiki-index.php?page=Zweitkorrektur+einer+Pr%C3%BCfungsleistung</t>
  </si>
  <si>
    <t>Eingangsbestätigung Härtefallantrag 
Zweitkorrektur</t>
  </si>
  <si>
    <t>MA-SB2C bestätigt Eingang des Härtefallantrags zur Zweitkorrektur</t>
  </si>
  <si>
    <t>Bearbeitung Härtefallantrag Zweitkorrektur</t>
  </si>
  <si>
    <t>MA-SB2C erstellt in der Arbeitsgruppe "Prüfungsamt AoS - DeLSt" in MeisterTask einen Task mit
der Bitte um Feedback und Abstimmung zur Zweitkorrektur</t>
  </si>
  <si>
    <t xml:space="preserve">Gebühren Zweitkorrektur </t>
  </si>
  <si>
    <t>MA-SB2C legt eine Zahlung in Höhe von 75,00 € für den Antrag auf Zweitkorrektur an</t>
  </si>
  <si>
    <t>Ablehnung Zweitkorrektur durch Prüfungsamt</t>
  </si>
  <si>
    <t>MA-SB2C informiert TN-B2C mit einer Stellungnahme darüber, warum eine Zweitkorrektur
abgelehnt wurde</t>
  </si>
  <si>
    <t>Mailvorlage "Entscheid Antrag auf Zweitkorrektur"
https://synology.bildungscampus-backnang.de:50823/d/f/tEVjNOmAGG4nLPXxyKrbyQw5FMnUbvLX</t>
  </si>
  <si>
    <t>Bewilligung Zweitkorrektur durch Prüfungsamt</t>
  </si>
  <si>
    <t>MA-SB2C informiert TN-B2C darüber, dass eine Zweitkorrektur stattfindet</t>
  </si>
  <si>
    <t>Auswahl Zweitkorrektor durch MA-PER</t>
  </si>
  <si>
    <t>MA-SB2C versendet Prüfungsleistung zur Zweitkorrektur an KO, der von MA-PER ausgewählt wurde</t>
  </si>
  <si>
    <t>MA-PER; MA-SB2C /
MA-SB2C; KO</t>
  </si>
  <si>
    <t>Ergebnismitteilung der Zweitkorrektur</t>
  </si>
  <si>
    <t>MA-SB2C prüft die Zweitkorrektur der tAP und bestätigt die Note(n)</t>
  </si>
  <si>
    <t>8.7 Mündliche Prüfung (KomT Praxisnote)</t>
  </si>
  <si>
    <t>Buchungsbestätigung des mündlichen 
Prüfungstermins</t>
  </si>
  <si>
    <t xml:space="preserve">MA-SB2C bestätigt die Buchung der mündlichen Prüfung </t>
  </si>
  <si>
    <t>Bestätigung der Umbuchung durch TN des 
mündlichen Prüfungstermins</t>
  </si>
  <si>
    <t>Verschiebung eines mündlichen Prüfungstermins 
durch MA</t>
  </si>
  <si>
    <t>MA-SB2C informiert TN-B2C über Verschiebung eines mündlichen Prüfungstermins</t>
  </si>
  <si>
    <t>Bestätigung der Stornierung durch TN des 
mündlichen Prüfungstermins</t>
  </si>
  <si>
    <t>MA-SB2C bestätigt die Stornierung und legt ggf. Gebühren an</t>
  </si>
  <si>
    <t>MA-SB2C informiert TN-B2C über Stornierung eines mündlichen Prüfungstermins</t>
  </si>
  <si>
    <t>Mündliches Prüfungsergebnis nach 14 Tagen 
ausstehend</t>
  </si>
  <si>
    <t>Notenbekanntgabe nach mündlichem 
Prüfungstermin - bestanden</t>
  </si>
  <si>
    <t>MA-SB2C prüft die Korrektur der mündlichen Prüfung und bestätigt die Note</t>
  </si>
  <si>
    <t>Mailvorlage "Bewertungsbogen Praxisnote KomT"
https://synology.bildungscampus-backnang.de:50823/d/f/n8t6QPBreOg3HWNiklS7b6dKMYWKeOXu</t>
  </si>
  <si>
    <t>Notenbekanntgabe nach mündlichem 
Prüfungstermin - nicht bestanden</t>
  </si>
  <si>
    <r>
      <rPr>
        <sz val="11"/>
        <color rgb="FF000000"/>
        <rFont val="Arial"/>
      </rPr>
      <t xml:space="preserve">MA-SB2C prüft die Korrektur der mündlichen Prüfung und informiert den TN-B2C über die Note 
(nicht bestanden) und die </t>
    </r>
    <r>
      <rPr>
        <sz val="11"/>
        <color rgb="FFFF0000"/>
        <rFont val="Arial"/>
      </rPr>
      <t>Wiederholungsmöglichkeiten??</t>
    </r>
  </si>
  <si>
    <t>Prüfung von bereits erbrachten Prüfungsleistungen</t>
  </si>
  <si>
    <r>
      <rPr>
        <sz val="11"/>
        <color rgb="FF000000"/>
        <rFont val="Arial"/>
      </rPr>
      <t xml:space="preserve">MA-SB2C prüft auf Grundlage von den eingereichten Zertifikaten des TN-B2C, ob Prüfungs-
leistungen anerkannt werden können. Sollten Themen bereits behandelt worden sein, kann
</t>
    </r>
    <r>
      <rPr>
        <sz val="11"/>
        <color theme="1"/>
        <rFont val="Calibri"/>
        <family val="2"/>
        <scheme val="minor"/>
      </rPr>
      <t>beispielsweise ein Live-Webinar ausgelassen werden</t>
    </r>
  </si>
  <si>
    <t>Wiki: http://wiki.academyofsports.online/tiki-index.php?page=Anerkennung+von+Studien-+und+Pr%C3%BCfungsleistungen+%280259%29</t>
  </si>
  <si>
    <t xml:space="preserve">9.1 Anforderung der Formblätter bei Anmeldung </t>
  </si>
  <si>
    <t>Wiki: http://wiki.academyofsports.online/tiki-index.php?page=Aufstiegs-BAf%C3%B6G+%280009%29
Ausfüllhilfe: https://synology.bildungscampus-backnang.de:50823/drive/oo/r/qLBhVPvYQqN3UJGxdncZKpZaoM72A4Ig</t>
  </si>
  <si>
    <t>Phaseneintrag "Formblätter AFBG Phaseneintrag -
Anforderung BEI ANMELDUNG"</t>
  </si>
  <si>
    <t>MA-VB2C legt Phaseneintrag "Formblätter AFBG Phaseneintrag - Anforderung BEI ANMELDUNG" 
auf 1 Tag nach der Anmeldung (unabhängig vom Start), sofern der TN-B2C diese zum Start
angefordert hat</t>
  </si>
  <si>
    <t>Vorlage: https://synology.bildungscampus-backnang.de:50823/drive/oo/r/n4aLRvBMSJlqkj8uObKmllR9E7kA4oqo</t>
  </si>
  <si>
    <t xml:space="preserve">Phaseneintrag AFBG - Anforderung BEI ANMELDUNG
Hinweis auf Verpflichtungen 
1 Tag nach Anmeldung </t>
  </si>
  <si>
    <t>MA-SB2C sendet dem TN-B2C 1 Tag nach der Anmeldung weitere Infos zu seinen 
Verpflichtungen im Rahmen des AFBG mit der Bitte um Bestätigung dieser Hinweise zu</t>
  </si>
  <si>
    <t>Mailvorlage "2. Mail_Das gilt es beim Aufstiegs-BAföG zu beachten!" 
https://synology.bildungscampus-backnang.de:50823/d/f/u38eP3tBPkebzbxrxq4g3HzQEVeyvSkI</t>
  </si>
  <si>
    <t>Phaseneintrag AFBG - Anforderung BEI ANMELDUNG
Erstellung der Formblätter
7 Tage nach Anmeldung</t>
  </si>
  <si>
    <t xml:space="preserve">Sofern der TN-B2C den Verpflichtungen zustimmt, erstellt MA-SB2C Formblatt A, B und Z, lädt 
diese beim TN-B2C hoch </t>
  </si>
  <si>
    <t>Phaseneintrag AFBG - Anforderung BEI ANMELDUNG
Versand der Formblätter
7 Tage nach Anmeldung</t>
  </si>
  <si>
    <r>
      <rPr>
        <sz val="11"/>
        <color rgb="FF000000"/>
        <rFont val="Arial"/>
      </rPr>
      <t xml:space="preserve">MA-SB2C versendet die Formblätter digital an TN-B2C und gibt ihm weitere Hinweise zur 
</t>
    </r>
    <r>
      <rPr>
        <sz val="11"/>
        <color theme="1"/>
        <rFont val="Calibri"/>
        <family val="2"/>
        <scheme val="minor"/>
      </rPr>
      <t>Antragstellung</t>
    </r>
  </si>
  <si>
    <t>Mailvorlage "3. Mail_Formblätter für das Aufstiegs-BAföG"
https://synology.bildungscampus-backnang.de:50823/d/f/lYkLf4Ye88ODI6QOaHTzGFCSmMVbgtAH</t>
  </si>
  <si>
    <t>Phaseneintrag AFBG - Anforderung BEI ANMELDUNG
Hinweis zu Leistungskontrollen
7 Tage nach Start</t>
  </si>
  <si>
    <t>MA-SB2C versendet 7 Tage nach Start Hinweise zu den Leistungskontrollen (fernkursspezifisch) 
an TN-B2C</t>
  </si>
  <si>
    <t>Mailvorlage "4. Mail_Leistungskontrollen AFBG nach FK"
https://synology.bildungscampus-backnang.de:50823/d/f/tjE1CRlTA0OSEF8fD6rMdDosoffEE6Ir</t>
  </si>
  <si>
    <t>9.2 Formblätter Phaseneintrag ohne Anforderung</t>
  </si>
  <si>
    <t>Phaseneintrag "Formblätter AFBG Phaseneintrag - 
NACH START"</t>
  </si>
  <si>
    <t>MA-VB2C legt Phaseneintrag "Formblätter AFBG Phaseneintrag" auf 2 Tage nach Start</t>
  </si>
  <si>
    <t>Phaseneintrag AFBG - NACH START
Info zur Förderungsmöglichkeit
2 Tage nach Start</t>
  </si>
  <si>
    <t>MA-SB2C versendet Infos zu den Fördermöglichkeiten 2 Tage nach Start an TN-B2C</t>
  </si>
  <si>
    <t>Mailvorlage "1.Mail_Schon gewusst 75 % deiner Weiterbildungskosten kannst du fördern lassen!"
https://synology.bildungscampus-backnang.de:50823/d/f/u38XGLbqV4JxbRIZpVQAVP12TB5RF94h</t>
  </si>
  <si>
    <t>Phaseneintrag AFBG - NACH START
Hinweis auf Verpflichtungen
7 Tage nach Start</t>
  </si>
  <si>
    <t>Wenn TN-B2C auf die erste Mail mit den Infos zum AFBG reagiert und diese anfordern möchte,
sendet MA-SB2C dem TN-B2C weitere Infos zu seinen Verpflichtungen im Rahmen des AFBG</t>
  </si>
  <si>
    <t>Phaseneintrag AFBG - NACH START
Erstellung der Formblätter
15 Tage nach Start (nach Testphase)</t>
  </si>
  <si>
    <t>Phaseneintrag AFBG - NACH START
Versand der Formblätter
15 Tage nach Start (nach Testphase)</t>
  </si>
  <si>
    <t>Phaseneintrag AFBG - NACH START
Hinweis zu Leistungskontrollen
7 Tage nach Versand der Formblätter</t>
  </si>
  <si>
    <t>MA-SB2C versendet Hinweise zu den Leistungskontrollen (fernkursspezifisch) an TN-B2C</t>
  </si>
  <si>
    <t>9.3 Formblatt F</t>
  </si>
  <si>
    <t>Wiki: http://wiki.academyofsports.online/tiki-index.php?page=Aufstiegs-BAf%C3%B6G+%280009%29</t>
  </si>
  <si>
    <t>9.3.1 Formblatt F nach 6 Monaten</t>
  </si>
  <si>
    <t>Formblatt F - 6 Monate nach Start</t>
  </si>
  <si>
    <r>
      <rPr>
        <sz val="11"/>
        <color rgb="FF000000"/>
        <rFont val="Arial"/>
      </rPr>
      <t xml:space="preserve">MA-SB2C erstellt exakt einen Tag vor Ablauf der 6 Monate nach Start Formblatt F und lädt
</t>
    </r>
    <r>
      <rPr>
        <sz val="11"/>
        <color theme="1"/>
        <rFont val="Calibri"/>
        <family val="2"/>
        <scheme val="minor"/>
      </rPr>
      <t>dieses beim TN-B2C hoch</t>
    </r>
  </si>
  <si>
    <t>Wiki: http://wiki.academyofsports.online/tiki-index.php?page=Aufstiegs-BAf%C3%B6G-(0009)</t>
  </si>
  <si>
    <t>Digitaler Versand Formblatt F an TN - 
6 Monate nach Start</t>
  </si>
  <si>
    <t xml:space="preserve">MA-SB2C versendet Formblatt F digital nach 6 Monaten an TN-B2C </t>
  </si>
  <si>
    <t xml:space="preserve">MA-SB2C; TN-B2C </t>
  </si>
  <si>
    <t>Mailvorlage "Formblatt F"
https://synology.bildungscampus-backnang.de:50823/d/f/n8t7gh4Ztkd5wplLt8UUTwbW3DJYSop3</t>
  </si>
  <si>
    <t>Digitaler Versand Formblatt F an Förderstelle - 
6 Monate nach Start</t>
  </si>
  <si>
    <t xml:space="preserve">MA-SB2C versendet Formblatt F digital nach 6 Monaten an Förderstelle </t>
  </si>
  <si>
    <t>MA-SB2C; UN-K</t>
  </si>
  <si>
    <t>Postalischer Versand Formblatt F an Förderstelle - 
6 Monate nach Start</t>
  </si>
  <si>
    <t>MA-SB2C versendet Formblatt F postalisch nach 6 Monaten an Förderstelle per Post
(sofern keine Mailadresse vorliegt)</t>
  </si>
  <si>
    <t>MA-LO; UN-K</t>
  </si>
  <si>
    <t>Briefvorlage "Formblatt F Anschreiben Förderstelle"
https://admin.delst.de/brief.php?type=sendevorlage&amp;id=382</t>
  </si>
  <si>
    <t>9.3.2 Formblatt F nach Enddatum</t>
  </si>
  <si>
    <t>Formblatt F - Offizielles Enddatum</t>
  </si>
  <si>
    <r>
      <rPr>
        <sz val="11"/>
        <color rgb="FF000000"/>
        <rFont val="Arial"/>
      </rPr>
      <t xml:space="preserve">MA-SB2C erstellt zum offiziellen Enddatum (siehe Buchungsbestätigung) Formblatt F und lädt
</t>
    </r>
    <r>
      <rPr>
        <sz val="11"/>
        <color theme="1"/>
        <rFont val="Calibri"/>
        <family val="2"/>
        <scheme val="minor"/>
      </rPr>
      <t>dieses beim TN-B2C hoch</t>
    </r>
  </si>
  <si>
    <t>Digitaler Versand Formblatt F an TN - 
nach offiziellem Enddatum</t>
  </si>
  <si>
    <t xml:space="preserve">MA-SB2C versendet Formblatt F digital nach offiziellem Enddatum an TN-B2C </t>
  </si>
  <si>
    <t>Digitaler Versand Formblatt F an Förderstelle - 
nach offiziellem Enddatum</t>
  </si>
  <si>
    <t>MA-SB2C versendet Formblatt F digital nach offiziellem Enddatum an Förderstelle</t>
  </si>
  <si>
    <t>Postalischer Versand Formblatt F an Förderstelle - 
nach offiziellem Enddatum</t>
  </si>
  <si>
    <t>MA-SB2C versendet Formblatt F postalisch nach offiziellem Enddatum an Förderstelle
(sofern keine Mailadresse vorliegt)</t>
  </si>
  <si>
    <t>9.3.3 Formblatt F nach Widerruf</t>
  </si>
  <si>
    <t>Formblatt F - nach Widerruf</t>
  </si>
  <si>
    <r>
      <rPr>
        <sz val="11"/>
        <color rgb="FF000000"/>
        <rFont val="Arial"/>
      </rPr>
      <t xml:space="preserve">MA-SB2C erstellt zum Tag, an dem der Widerruf eingegangen ist, Formblatt F und lädt dieses
</t>
    </r>
    <r>
      <rPr>
        <sz val="11"/>
        <color theme="1"/>
        <rFont val="Calibri"/>
        <family val="2"/>
        <scheme val="minor"/>
      </rPr>
      <t>beim TN-B2C hoch</t>
    </r>
  </si>
  <si>
    <t>Digitaler Versand Formblatt F an TN - 
nach Widerruf</t>
  </si>
  <si>
    <t xml:space="preserve">MA-SB2C versendet Formblatt F digital nach Widerruf an TN-B2C </t>
  </si>
  <si>
    <t>Digitaler Versand Formblatt F an Förderstelle - 
nach Widerruf</t>
  </si>
  <si>
    <t>MA-SB2C versendet Formblatt F digital nach Widerruf an Förderstelle</t>
  </si>
  <si>
    <t>Postalischer Versand Formblatt F an Förderstelle - 
nach Widerruf</t>
  </si>
  <si>
    <t>MA-SB2C versendet Formblatt F postalisch nach Widerruf an Förderstelle
(sofern keine Mailadresse vorliegt)</t>
  </si>
  <si>
    <t>9.3.4 Formblatt F nach Kündigung</t>
  </si>
  <si>
    <t>Formblatt F - nach Kündigung</t>
  </si>
  <si>
    <r>
      <rPr>
        <sz val="11"/>
        <color rgb="FF000000"/>
        <rFont val="Arial"/>
      </rPr>
      <t xml:space="preserve">MA-SB2C erstellt zum Tag, an dem die Kündigung eingegangen ist, Formblatt F und lädt dieses
</t>
    </r>
    <r>
      <rPr>
        <sz val="11"/>
        <color theme="1"/>
        <rFont val="Calibri"/>
        <family val="2"/>
        <scheme val="minor"/>
      </rPr>
      <t>beim TN-B2C hoch</t>
    </r>
  </si>
  <si>
    <t>Digitaler Versand Formblatt F an TN - 
nach Kündigung</t>
  </si>
  <si>
    <t xml:space="preserve">MA-SB2C versendet Formblatt F digital nach Kündigung an TN-B2C </t>
  </si>
  <si>
    <t>Digitaler Versand Formblatt F an Förderstelle - 
nach Kündigung</t>
  </si>
  <si>
    <t>MA-SB2C versendet Formblatt F digital nach Kündigung an Förderstelle</t>
  </si>
  <si>
    <t>Postalischer Versand Formblatt F an Förderstelle - 
nach Kündigung</t>
  </si>
  <si>
    <t>MA-SB2C versendet Formblatt F postalisch nach Kündigung an Förderstelle
(sofern keine Mailadresse vorliegt)</t>
  </si>
  <si>
    <t>9.3.5 Formblatt F nach Abschluss</t>
  </si>
  <si>
    <t>Formblatt F - 
nach Erstellung der Abschlussdokumente</t>
  </si>
  <si>
    <t>MA-SB2C erstellt zum Ausstellungstag der Abschlussdokumente Formblatt F und lädt dieses
beim TN-B2C hoch</t>
  </si>
  <si>
    <t>Digitaler Versand Formblatt F an TN - 
nach Erstellung der Abschlussdokumente</t>
  </si>
  <si>
    <t xml:space="preserve">MA-SB2C versendet Formblatt F digital nach Erstellung der Abschlussdokumente an TN-B2C </t>
  </si>
  <si>
    <t>Digitaler Versand Formblatt F an Förderstelle - 
nach Erstellung der Abschlussdokumente</t>
  </si>
  <si>
    <t>MA-SB2C versendet Formblatt F digital nach Erstellung der Abschlussdokumente an Förderstelle</t>
  </si>
  <si>
    <t>Postalischer Versand Formblatt F an Förderstelle - 
nach Erstellung der Abschlussdokumente</t>
  </si>
  <si>
    <t>MA-SB2C versendet Formblatt F postalisch nach Erstellung der Abschlussdokumente an 
Förderstelle (sofern keine Mailadresse vorliegt)</t>
  </si>
  <si>
    <t>9.3.6 Formblatt F auf Anfrage durch TN</t>
  </si>
  <si>
    <t>MA-SB2C erstellt zum Anforderungstag Formblatt F und lädt dieses beim TN-B2C hoch</t>
  </si>
  <si>
    <t>Versand Formblatt F - 
individuelle Anfrage durch TN</t>
  </si>
  <si>
    <t xml:space="preserve">MA-SB2C versendet Formblatt F digital nach individueller Anfrage an TN-B2C </t>
  </si>
  <si>
    <t>9.3.7 Formblatt F auf Anfrage durch Förderstelle</t>
  </si>
  <si>
    <t>Formblatt F - individuelle Anfrage durch 
Förderstelle</t>
  </si>
  <si>
    <t>Digitaler Versand Formblatt F - 
individuelle Anfrage durch Förderstelle</t>
  </si>
  <si>
    <t xml:space="preserve">MA-SB2C versendet Formblatt F digital nach individueller Anfrage an Förderstelle </t>
  </si>
  <si>
    <t>Mailvorlage "Formblatt F Förderstelle"
https://synology.bildungscampus-backnang.de:50823/d/f/qt6BS9aojOmyjlbUHh9NZrjfHHhXqu32</t>
  </si>
  <si>
    <t>Postalischer Versand Formblatt F - 
individuelle Anfrage durch Förderstelle</t>
  </si>
  <si>
    <t>MA-SB2C versendet Formblatt F postalisch nach individueller Anfrage an Förderstelle 
(sofern keine Mailadresse vorliegt)</t>
  </si>
  <si>
    <t>9.3.8 Aufschlüsselung Formblatt F</t>
  </si>
  <si>
    <t>Aufschlüsselung des ausgefüllten Formblatt F</t>
  </si>
  <si>
    <t xml:space="preserve">MA-SB2C schlüsselt die Angaben im ausgefüllten Formblatt F gegenüber dem TN-B2C auf </t>
  </si>
  <si>
    <t>Mailvorlage "Aufschlüsselung Formblatt F"
https://synology.bildungscampus-backnang.de:50823/d/f/pJEK3DktXOCyVvhWRPcFqXGTivPNgykq</t>
  </si>
  <si>
    <t xml:space="preserve">10.1 Anlage Bildungsscheck/Weiterbildungsbonus </t>
  </si>
  <si>
    <r>
      <t>MA-SB2C legt TN-B2C an, sobald der Original Bildungsscheck/Weiterbildungsbonus vorliegt, 
(</t>
    </r>
    <r>
      <rPr>
        <sz val="11"/>
        <color rgb="FF0078FF"/>
        <rFont val="Arial"/>
      </rPr>
      <t>siehe Punkt 1 Anmeldeprozess</t>
    </r>
    <r>
      <rPr>
        <sz val="11"/>
        <color theme="1"/>
        <rFont val="Calibri"/>
        <family val="2"/>
        <scheme val="minor"/>
      </rPr>
      <t>)</t>
    </r>
  </si>
  <si>
    <t>Wiki: http://wiki.academyofsports.online/tiki-index.php?page=Bildungsscheck-NRW-(0114) und
http://wiki.academyofsports.online/tiki-index.php?page=Bildungsscheck-Brandenburg-(0007)</t>
  </si>
  <si>
    <t xml:space="preserve">Zahldaten Bildungsscheck/Weiterbildungsbonus </t>
  </si>
  <si>
    <t>MA-SB2C legt die Zahldaten entsprechend nach Eigenanteil und Förderanteil getrennt an</t>
  </si>
  <si>
    <t xml:space="preserve">10.2 Abrechnung Bildungsscheck/Weiterbildungsbonus </t>
  </si>
  <si>
    <t xml:space="preserve">Abrechnung des Bildungsscheck/
Weiterbildungsbonus </t>
  </si>
  <si>
    <t>MA-SB2C rechnet nach offiziellem Enddatum (sofern Eigenanteil durch TN-B2C bezahlt), bei der 
jeweiligen Förderstelle ab</t>
  </si>
  <si>
    <t xml:space="preserve">Erstellung Teilnahmenachweis </t>
  </si>
  <si>
    <t xml:space="preserve">MA-SB2C füllt IHK-Vordruck für Teilnahmenachweis aus </t>
  </si>
  <si>
    <t>Wiki: http://wiki.academyofsports.online/tiki-index.php?page=Teilnahmebest%C3%A4tigung+und+Leistungsnachweis</t>
  </si>
  <si>
    <t xml:space="preserve">Versand Teilnahmenachweis </t>
  </si>
  <si>
    <t xml:space="preserve">MA-SB2C sendet Teilnahmenachweis an den TN-B2C </t>
  </si>
  <si>
    <t xml:space="preserve">Erstellung Teilnahmebestätigung </t>
  </si>
  <si>
    <t>MA-SB2C erstellt Teilnahmebestätigung</t>
  </si>
  <si>
    <t>Wiki: http://wiki.academyofsports.online/tiki-index.php?page=Teilnahmebest%C3%A4tigung+und+Leistungsnachweis
Brief "Teilnahmebestätigung"
https://admin.delst.de/brief.php?type=sendevorlage&amp;id=171</t>
  </si>
  <si>
    <t xml:space="preserve">Versand Teilnahmebestätigung </t>
  </si>
  <si>
    <t xml:space="preserve">MA-SB2C sendet Teilnahmebestätigung an den TN-B2C </t>
  </si>
  <si>
    <t>Mailvorlage "Teilnahmebestätigung"
https://synology.bildungscampus-backnang.de:50823/d/f/n8tBH4wC3i8knIYjXGxYipvAbnfdjRRK</t>
  </si>
  <si>
    <t>Wiki: http://wiki.academyofsports.online/tiki-index.php?page=Widerruf+und+K%C3%BCndigung+eines+Lehrgang</t>
  </si>
  <si>
    <t>Widerruf geht schriftlich ein</t>
  </si>
  <si>
    <t>MA-SB2C erstellt Phaseneintrag zum Widerruf</t>
  </si>
  <si>
    <t>Vorlage: https://synology.bildungscampus-backnang.de:50823/drive/oo/r/o4qwZhOB8zW1LlIiuLkPC7z1A2cxS8Q4</t>
  </si>
  <si>
    <t>Erfolgreicher Anruf nach Widerruf</t>
  </si>
  <si>
    <t>MA-SB2C ruft TN-B2C an, frägt nach den Gründen für Widerruf, macht Angebote, versucht TN-B2C 
zurückzuholen</t>
  </si>
  <si>
    <t>Stornierung des Widerrufs durch TN</t>
  </si>
  <si>
    <t xml:space="preserve">MA-SB2C bestätigt die Rücknahme des Widerrufs </t>
  </si>
  <si>
    <t>Erfolgloser Erstanruf nach Widerruf</t>
  </si>
  <si>
    <r>
      <t xml:space="preserve">MA-SB2C ruft 1 Tag später ein zweites Mal beim TN-B2C an
Falls erfolgreich, </t>
    </r>
    <r>
      <rPr>
        <sz val="11"/>
        <color rgb="FF0078FF"/>
        <rFont val="Arial"/>
      </rPr>
      <t>siehe "Erfolgreicher Anruf nach Widerruf" und ggf. "Stornierung des Widerrufs"</t>
    </r>
  </si>
  <si>
    <t>Erfolgloser Zweitanruf nach Widerruf</t>
  </si>
  <si>
    <t>MA-SB2C erreicht TN-B2C nicht, schriftlich über Möglichkeiten informieren und Rabatt anbieten</t>
  </si>
  <si>
    <t>Mailvorlage "Dein Widerruf - letzter Schritt erforderlich!"
https://synology.bildungscampus-backnang.de:50823/d/f/o4qweqiuUnRyd2yAaCSovllQhRgQPMkB</t>
  </si>
  <si>
    <t>Widerrufsbestätigung</t>
  </si>
  <si>
    <t>Sofern TN-B2C beim Widerruf bleibt/keine Rückmeldung gibt, dann bestätigt MA-SB2C den 
Widerruf nach 7 Tagen schriftlich</t>
  </si>
  <si>
    <t>Mailvorlage "Widerrufsbestätigung"
https://synology.bildungscampus-backnang.de:50823/d/f/o4qwZTTpld4aiMvuhJ0fPolkeVRHi0nQ</t>
  </si>
  <si>
    <t>Widerruf in Buchungsstatistik eintragen</t>
  </si>
  <si>
    <t>MA-SB2C trägt Widerruf mit Grund und Summe in Buchungsstatistik in Synology ein</t>
  </si>
  <si>
    <t>Statistik: https://synology.bildungscampus-backnang.de:50823/drive/oo/r/rnUkEZveuS8QUn0OMmKGjmH3K4WL0o8G#tid=157</t>
  </si>
  <si>
    <t>Widerruf nach Ablauf der Testphase</t>
  </si>
  <si>
    <t>MA-SB2C verweist auf Kündigungsfristen</t>
  </si>
  <si>
    <t>Mailvorlage "Rücktritt Fernstudium nach Ablauf der Testphase"
https://synology.bildungscampus-backnang.de:50823/d/f/oN7RdGvzMIiaGHZDoRjuN0gC8ThxkkDi</t>
  </si>
  <si>
    <t>Kündigung geht schriftlich ein</t>
  </si>
  <si>
    <t>MA-SB2C erstellt Phaseneintrag zur Kündigung</t>
  </si>
  <si>
    <t>Erfolgreicher Anruf nach Kündigung</t>
  </si>
  <si>
    <t>MA-SB2C ruft TN-B2C an, frägt nach den Gründen für Kündigung, macht Angebote, versucht 
TN-B2C zurückzuholen</t>
  </si>
  <si>
    <t>Stornierung der Kündigung durch TN</t>
  </si>
  <si>
    <t xml:space="preserve">MA-SB2C bestätigt die Rücknahme der Kündigung </t>
  </si>
  <si>
    <t xml:space="preserve">Erfolgloser Erstanruf nach Kündigung </t>
  </si>
  <si>
    <r>
      <rPr>
        <sz val="11"/>
        <color rgb="FF000000"/>
        <rFont val="Arial"/>
      </rPr>
      <t xml:space="preserve">MA-SB2C ruft 1 Tag später ein zweites Mal beim TN-B2C an
Falls erfolgreich, </t>
    </r>
    <r>
      <rPr>
        <sz val="11"/>
        <color rgb="FF0078FF"/>
        <rFont val="Arial"/>
      </rPr>
      <t>siehe "Erfolgreicher Anruf nach Kündigung" und ggf. "Stornierung der Kündigung"</t>
    </r>
  </si>
  <si>
    <t xml:space="preserve">Erfolgloser Zweitanruf nach Kündigung </t>
  </si>
  <si>
    <t>Mailvorlage "Deine Kündigung - letzter Schritt erforderlich!"
https://synology.bildungscampus-backnang.de:50823/d/f/o4qwei491awEddCit9XHT3MWGEV3MpvX</t>
  </si>
  <si>
    <t xml:space="preserve">Kündigungsbestätigung </t>
  </si>
  <si>
    <t>Sofern TN-B2C bei der Kündigung bleibt/keine Rückmeldung gibt, dann bestätigt MA-SB2C die 
Kündigung nach 7 Tagen schriftlich</t>
  </si>
  <si>
    <t>Briefvorlage "Kündigungsbestätigung | Fernstudium"
https://admin.delst.de/brief.php?type=sendevorlage&amp;id=191
und
Mailvorlage "Kündigungsbestätigung"
https://synology.bildungscampus-backnang.de:50823/d/f/o4qwed6AFDbyPCfhaAS1a3DLTsFRiYUM</t>
  </si>
  <si>
    <t>Kündigung in Buchungsstatistik eintragen</t>
  </si>
  <si>
    <t>MA-SB2C trägt Kündigung mit Grund und Summe in Buchungsstatistik in Synology ein</t>
  </si>
  <si>
    <t>Kündigung - weniger als vier Raten offen</t>
  </si>
  <si>
    <t>MA-SB2C verweist darauf, dass eine Kündigung nicht mehr möglich und nötig ist</t>
  </si>
  <si>
    <t>14.1 Erstellung/Freischaltung Abschlussdokumente</t>
  </si>
  <si>
    <t>Wiki: http://wiki.academyofsports.online/tiki-index.php?page=Lehrgangsabschluss+%280219%29
und
http://wiki.academyofsports.online/tiki-index.php?page=Zertifikat+erstellen</t>
  </si>
  <si>
    <t>Pixel Printer</t>
  </si>
  <si>
    <t>Abschlussdokumente erstellen</t>
  </si>
  <si>
    <t>MA-SB2C erstellt Abschlussdokumente (Zertifikat und ggf. Zeugnis)</t>
  </si>
  <si>
    <t>Vorlagen: https://synology.bildungscampus-backnang.de:50823/drive/#file_id=558501012971765675</t>
  </si>
  <si>
    <t xml:space="preserve">Erfassung Abschlussdokumente in Buchungsstatistik </t>
  </si>
  <si>
    <t>MA-SB2C trägt Erstellung der Abschlussdokumente (pro TN-B2C) unter Alumni in 
Buchungsstatistik in Synology ein</t>
  </si>
  <si>
    <t>Abschlussdokumente hochladen</t>
  </si>
  <si>
    <t>MA-SB2C lädt Abschlussdokumente beim TN-B2C hoch</t>
  </si>
  <si>
    <r>
      <rPr>
        <sz val="11"/>
        <color rgb="FF000000"/>
        <rFont val="Arial"/>
      </rPr>
      <t xml:space="preserve">Abschlussdokumente freischalten -
Alle Prüfungsleistungen bestanden
</t>
    </r>
    <r>
      <rPr>
        <sz val="11"/>
        <color theme="1"/>
        <rFont val="Calibri"/>
        <family val="2"/>
        <scheme val="minor"/>
      </rPr>
      <t>Min. 2 Raten beglichen/ kein Zahlungsverzug</t>
    </r>
  </si>
  <si>
    <t>MA-SB2C schaltet die Abschlussdokumente zum Download für TN-B2C frei</t>
  </si>
  <si>
    <t>Mailvorlage "Herzlichen Glückwunsch Abschlussdokumente"
https://synology.bildungscampus-backnang.de:50823/d/f/kjNLl4h6Oasvp2ACBIpJdFIRBzwQgSQL</t>
  </si>
  <si>
    <r>
      <rPr>
        <sz val="11"/>
        <color rgb="FF000000"/>
        <rFont val="Arial"/>
      </rPr>
      <t xml:space="preserve">Abschlussdokumente noch nicht freischalten -
</t>
    </r>
    <r>
      <rPr>
        <sz val="11"/>
        <color theme="1"/>
        <rFont val="Calibri"/>
        <family val="2"/>
        <scheme val="minor"/>
      </rPr>
      <t>Bei Zahlungsunregelmäßigkeiten</t>
    </r>
  </si>
  <si>
    <t>MA-SB2 informiert TN-B2C über ausstehende Zahlungen</t>
  </si>
  <si>
    <t>Mailvorlage "Herzlichen Glückwunsch Abschlussdokumente - Begleichung der 
Lehrgangsgebühren"
https://synology.bildungscampus-backnang.de:50823/d/f/kjNJCPLo1hDAIRZ4q60MJ1RuEm6rIpXL</t>
  </si>
  <si>
    <t>14.2 Versand Abschlussdokumente</t>
  </si>
  <si>
    <r>
      <rPr>
        <sz val="11"/>
        <color rgb="FFD30E91"/>
        <rFont val="Arial"/>
      </rPr>
      <t xml:space="preserve">Abschlussdokumente per Post -
</t>
    </r>
    <r>
      <rPr>
        <sz val="11"/>
        <color theme="1"/>
        <rFont val="Calibri"/>
        <family val="2"/>
        <scheme val="minor"/>
      </rPr>
      <t>Bei Print-Variante</t>
    </r>
  </si>
  <si>
    <t>MA-LO versendet Abschlussdokumente per Post</t>
  </si>
  <si>
    <t>MA-SB2C; MA-LO/
MA-LO; TN-B2C</t>
  </si>
  <si>
    <t xml:space="preserve">MA-SB2C legt Zusatzgebühr für Abschlussdokumente per Post an und informiert TN-B2C über 
Zahldaten </t>
  </si>
  <si>
    <r>
      <rPr>
        <sz val="11"/>
        <color rgb="FFD30E91"/>
        <rFont val="Arial"/>
      </rPr>
      <t xml:space="preserve">Abschlussdokumente nachträglich per Post -
</t>
    </r>
    <r>
      <rPr>
        <sz val="11"/>
        <color theme="1"/>
        <rFont val="Calibri"/>
        <family val="2"/>
        <scheme val="minor"/>
      </rPr>
      <t>Gebühren</t>
    </r>
  </si>
  <si>
    <r>
      <rPr>
        <sz val="11"/>
        <color rgb="FFD30E91"/>
        <rFont val="Arial"/>
      </rPr>
      <t xml:space="preserve">MA-LO versendet Abschlussdokumente per Post 
</t>
    </r>
    <r>
      <rPr>
        <sz val="11"/>
        <color rgb="FFFF0000"/>
        <rFont val="Arial"/>
      </rPr>
      <t>(sobald Gebühr eingegangen?)</t>
    </r>
  </si>
  <si>
    <t>MA-SB2C; TN-B2C /
MA-SB2C; MA-LO</t>
  </si>
  <si>
    <t>14.3 Englische Abschlussdokumente</t>
  </si>
  <si>
    <t>Erstellung Abschlussdokumente in Englisch</t>
  </si>
  <si>
    <t>MA-SB2C erstellt englische Abschlussdokumente, sofern Vorlage vorhanden</t>
  </si>
  <si>
    <r>
      <rPr>
        <sz val="11"/>
        <color rgb="FF000000"/>
        <rFont val="Arial"/>
      </rPr>
      <t xml:space="preserve">Abschlussdokumente in Englisch -
</t>
    </r>
    <r>
      <rPr>
        <sz val="11"/>
        <color theme="1"/>
        <rFont val="Calibri"/>
        <family val="2"/>
        <scheme val="minor"/>
      </rPr>
      <t>Gebühren</t>
    </r>
  </si>
  <si>
    <t xml:space="preserve">MA-SB2C legt Zusatzgebühr für englische Abschlussdokumente an und informiert TN-B2C über 
Zahldaten </t>
  </si>
  <si>
    <t>14.4 Neue Vorlagen Abschlussdokumente</t>
  </si>
  <si>
    <t>Wiki: http://wiki.academyofsports.online/tiki-index.php?page=Neue+Zertifikat-Vorlage+erstellen</t>
  </si>
  <si>
    <t>Englisches Abschlussdokument
Neue Vorlage - Auftrag an translated</t>
  </si>
  <si>
    <t>MA-SB2C gibt englische Übersetzung bei translated in Auftrag, sofern keine Vorlage vorhanden</t>
  </si>
  <si>
    <t>Wiki: http://wiki.academyofsports.online/tiki-index.php?page=%C3%9Cbersetzungen-(0425)</t>
  </si>
  <si>
    <t>Neue Vorlage für Abschlussdokument</t>
  </si>
  <si>
    <t>MA-SB2C erstellt neue Vorlage für Abschlussdokument und lädt diese in Synology hoch</t>
  </si>
  <si>
    <t>Synology: https://synology.bildungscampus-backnang.de:50823/drive/#file_id=558501012971765675</t>
  </si>
  <si>
    <t>Abschlussdokumente direkt nach Anlegen eines neuen FK 
erstellen?</t>
  </si>
  <si>
    <t>15.1 Bewertung Plattform</t>
  </si>
  <si>
    <t>Wiki: http://wiki.academyofsports.online/tiki-index.php?page=Abschluss+%280344%29</t>
  </si>
  <si>
    <t>Bewertung erfragen (Fernstudiumcheck oder
Google Bewertung) - digitale Variante</t>
  </si>
  <si>
    <t xml:space="preserve">MA-SB2C bittet TN-B2C 4 Tage nach Versand der Abschlussdokumente um Feedback </t>
  </si>
  <si>
    <t>Wiki: http://wiki.academyofsports.online/tiki-index.php?page=FernstudiumCheck
Mailvorlage "Verteile deine Sterne!"
https://synology.bildungscampus-backnang.de:50823/d/f/lXvHRhw5kw3TvmSNTgae5oHazyJbqwTM</t>
  </si>
  <si>
    <t>Bewertung erfragen (Fernstudiumcheck oder
Google Bewertung) - Print-Variante</t>
  </si>
  <si>
    <t xml:space="preserve">MA-SB2C bittet TN-B2C 7 Tage nach Versand der Abschlussdokumente um Feedback </t>
  </si>
  <si>
    <t>Mailvorlage "Verteile deine Sterne!"
https://synology.bildungscampus-backnang.de:50823/d/f/lXvHRhw5kw3TvmSNTgae5oHazyJbqwTM</t>
  </si>
  <si>
    <t>15.2 Testimonial</t>
  </si>
  <si>
    <t xml:space="preserve">Feedback als Testimonial </t>
  </si>
  <si>
    <t>MA-SB2C frägt TN-B2C nach Versand der Abschlussdokumente als Testimonial an</t>
  </si>
  <si>
    <t>Mailvorlage "Wir brauchen dich - Videobewertung abgeben und Belohnung abholen"
https://synology.bildungscampus-backnang.de:50823/d/f/q8mvt4PC6O7vtn6hnpUkTbalAOQEFY2y</t>
  </si>
  <si>
    <t>Post in Lerngruppe</t>
  </si>
  <si>
    <t>MA-SB2C informiert TN-B2C in der Lerngruppe über XY (Bsp. Hinweis auf IHK-Prüfungen</t>
  </si>
  <si>
    <t>Wiki: http://wiki.academyofsports.online/tiki-index.php?page=Lerngruppen-Betreuung+%280239%29</t>
  </si>
  <si>
    <t>Neues Lehrskript verfügbar</t>
  </si>
  <si>
    <t>MA-SB2C informiert TN-B2C über die Lerngruppe über aktualisierte Lehrunterlagen und die
wesentlichen Änderungen</t>
  </si>
  <si>
    <t>Wiki: http://wiki.academyofsports.online/tiki-index.php?page=Lerngruppenver%C3%B6ffentlichungen+Vorlagen+%280103%29</t>
  </si>
  <si>
    <t>17.1 Fehlermeldung</t>
  </si>
  <si>
    <t>Fehlermeldung durch TN -
Prüfung durch TU bereits erfolgt</t>
  </si>
  <si>
    <t>MA-SB2C verweist TN-B2C an TU mit seiner Anfrage</t>
  </si>
  <si>
    <t>Mailvorlage "Fachliche Hinweise - QM"
https://synology.bildungscampus-backnang.de:50823/d/f/s65GDGFchqEKnYIvVoXLnQvzVSjhnGXd</t>
  </si>
  <si>
    <t>MA-SB2C meldet einen Fehler an MA-QM mit der Bitte um Korrektur</t>
  </si>
  <si>
    <t>MA-SB2C; MA-QM</t>
  </si>
  <si>
    <t>17.2 QM-Abweichung</t>
  </si>
  <si>
    <t>Wiki: http://wiki.academyofsports.online/tiki-index.php?page=Meistertask-(0363)</t>
  </si>
  <si>
    <t>QM-Abweichung durch TN -
Prüfung durch TU bereits erfolgt</t>
  </si>
  <si>
    <t>MA-SB2C erstellt einen Task in MeisterTask unter QM-Abweichungen</t>
  </si>
  <si>
    <t>QM-Abweichung durch TN -
Prüfung durch TU noch nicht erfolgt</t>
  </si>
  <si>
    <t>MA-SB2C verweist den TN-B2C an den TU zur Prüfung des Sachverhalts</t>
  </si>
  <si>
    <t>QM-Abweichung durch MA</t>
  </si>
  <si>
    <t xml:space="preserve">MA-SB2C stellt eine QM-Abweichung fest und erstellt einen Task in MeisterTask unter 
QM-Abweichungen </t>
  </si>
  <si>
    <t>MeisterTask: https://www.meistertask.com/app/project/mTlIA4PC/ubergreifende-themen</t>
  </si>
  <si>
    <t>18.1 Zahlungen</t>
  </si>
  <si>
    <t>Wiki: http://wiki.academyofsports.online/tiki-index.php?page=Zahlungen+%280225%29</t>
  </si>
  <si>
    <t>Neue Zahlung anlegen</t>
  </si>
  <si>
    <t>MA-SB2C legt eine neue Rate an oder passt bestehende Raten an</t>
  </si>
  <si>
    <t>Ratenpause</t>
  </si>
  <si>
    <t>MA-SB2C löscht individuell ein bis max. sechs Raten raus und hängt diese hinten dran</t>
  </si>
  <si>
    <t>18.2 Ablauf Erste Rate/Mahnwesen</t>
  </si>
  <si>
    <t>Wiki: http://wiki.academyofsports.online/tiki-index.php?page=Mahnwesen</t>
  </si>
  <si>
    <t>Erste Rate eingegangen</t>
  </si>
  <si>
    <t>Zahlung wird zugeordnet und Rechnung erzeugt</t>
  </si>
  <si>
    <t>MA-B; MA-SB2C</t>
  </si>
  <si>
    <t>Wiki: http://wiki.academyofsports.online/tiki-index.php?page=Zahlungseing%C3%A4nge+%280376%29</t>
  </si>
  <si>
    <t>Erste Rate nicht eingegangen - Anruf</t>
  </si>
  <si>
    <t>MA-SB2C ruft TN-B2C an und erinnert an Fälligkeit der ersten Rate</t>
  </si>
  <si>
    <t>1. Schriftliche Erinnerung - Erste Rate
Digital - 7 Tage nach Zahldatum</t>
  </si>
  <si>
    <t>MA-SB2C erreicht TN-B2C nicht und verschickt schriftliche Erinnerung,
Wiedervorlage an Tag 15 nach Fälligkeit der ersten Rate</t>
  </si>
  <si>
    <t>Mailvorlage "1. Erinnerung  1. Rate digital"
https://synology.bildungscampus-backnang.de:50823/d/f/oMFLb928beIWDZbaevwomrreVPKVhtRv</t>
  </si>
  <si>
    <t>1. Schriftliche Erinnerung für erste Rate -
Print - 7 Tage nach Zahldatum</t>
  </si>
  <si>
    <t>Mailvorlage "1. Erinnerung  1. Rate digital"
https://synology.bildungscampus-backnang.de:50823/d/f/oMFLbegPbsoN7Tdwu3p1BO08eFLJlEIl</t>
  </si>
  <si>
    <t>1. Zahlungserinnerung für erste Rate</t>
  </si>
  <si>
    <t>MA-SB2C verschickt 1. Zahlungserinnerung digital an TN-B2C,
Wiedervorlage an Tag 30 nach Fälligkeit der ersten Rate</t>
  </si>
  <si>
    <t>Mailvorlage "1. Zahlungserinnerung  "
https://synology.bildungscampus-backnang.de:50823/d/f/sjivFvE17QnB7GENJtshMfVnkD2hxs5o</t>
  </si>
  <si>
    <t>2. Mahnung - Erste Rate</t>
  </si>
  <si>
    <t>MA-SB2C verschickt 2. Mahnung digital an TN-B2C,
Wiedervorlage an Tag 45 nach Fälligkeit der ersten Rate</t>
  </si>
  <si>
    <t>Mailvorlage "2. Mahnung - Ratenzahlung"
https://synology.bildungscampus-backnang.de:50823/d/f/sjivG7QliEsJu5tThpF8JK6Y0StVJYbJ</t>
  </si>
  <si>
    <r>
      <rPr>
        <sz val="11"/>
        <color rgb="FF000000"/>
        <rFont val="Arial"/>
      </rPr>
      <t xml:space="preserve">2. Mahnung - Erste Rate
</t>
    </r>
    <r>
      <rPr>
        <sz val="11"/>
        <color rgb="FFFF0000"/>
        <rFont val="Arial"/>
      </rPr>
      <t>Sperrung des TN-Datensatzes</t>
    </r>
  </si>
  <si>
    <t>MA-SB2C sperrt den TN-B2C</t>
  </si>
  <si>
    <t>3. Mahnung -  Erste Rate</t>
  </si>
  <si>
    <t>MA-B verschickt 3. Mahnung digital und zusätzlich per Post
Wiedervorlage 15 Tage nach Versand der 3. Mahnung</t>
  </si>
  <si>
    <t>MA-B; TN-B2C /
MA-LO; TN-B2C</t>
  </si>
  <si>
    <t>Mailvorlage "3. Mahnung - Ratenzahlung"
https://synology.bildungscampus-backnang.de:50823/d/f/t1wDyaw03mMJbpihKxHCH6X6VooiprJt</t>
  </si>
  <si>
    <t>18.3 Inkasso</t>
  </si>
  <si>
    <t>Androhung Inkasso</t>
  </si>
  <si>
    <t>MA-SB2C droht mit Übergabe der gesamten Zahlung an Inkassounternehmen,
Wiedervorlage an Tag 15 nach Versand der Androhung</t>
  </si>
  <si>
    <t>Mailvorlage "Ausstehende Zahlungen  Androhung zur Übergabe an Inkassounternehmen"
https://synology.bildungscampus-backnang.de:50823/d/f/sjivGxNMW6ouDLQjt9tVJntmhvGstUnY</t>
  </si>
  <si>
    <t>Übergabe an Inkasso</t>
  </si>
  <si>
    <t>MA-SB2C erstellt Phaseneintrag "Inkasso" und löscht die Zahlungen beim TN-B2C raus
Fälligkeit: letzter Dienstag eines Monats</t>
  </si>
  <si>
    <t>18.4 Zahl- und Bankdaten</t>
  </si>
  <si>
    <t xml:space="preserve">MA-SB2C informiert MA-B über Umstellung auf DLS-Verfahren </t>
  </si>
  <si>
    <t>Fehlerhafte IBAN</t>
  </si>
  <si>
    <t>MA-SB2C informiert TN-B2C über fehlerhafte IBAN und stellt auf Überweisung um</t>
  </si>
  <si>
    <t>Mailvorlage "Fehlerhafte IBAN"
https://synology.bildungscampus-backnang.de:50823/d/f/sjivGD6kJYDoUj4USxQALolF3JdHkWWt</t>
  </si>
  <si>
    <t>Ratenanpassung bei DLS</t>
  </si>
  <si>
    <t>MA-SB2C informiert MA-B über Anpassung der Raten</t>
  </si>
  <si>
    <t>Doppelt eingezogene Lehrgangsgebühr -
Info an TN</t>
  </si>
  <si>
    <t>MA-SB2C informiert TN-B2C über doppelt eingezogene Lehrgangsgebühr und bittet um Widerspruch bei 
Bank</t>
  </si>
  <si>
    <t>Mailvorlage "Doppelt eingezogene Lehrgangsgebühren"
https://synology.bildungscampus-backnang.de:50823/d/f/sjiv7T5hRCzvVrdhcujWnd9Ae9gFdKs5</t>
  </si>
  <si>
    <t>Außerplanmäßige eingezogene Rate</t>
  </si>
  <si>
    <t xml:space="preserve">MA-SB2C informiert TN-B2C über außerplanmäßig abgebuchte Lastschrift und bittet um Widerspruch bei 
Bank </t>
  </si>
  <si>
    <t>Mailvorlage "Außerplanmäßige eingezogene Rate"
https://synology.bildungscampus-backnang.de:50823/d/f/sjivJOx9ya8PoYreHvQJGJQswIqFuK7A</t>
  </si>
  <si>
    <r>
      <rPr>
        <sz val="11"/>
        <color rgb="FF000000"/>
        <rFont val="Arial"/>
      </rPr>
      <t xml:space="preserve">Rücklastschrift -
</t>
    </r>
    <r>
      <rPr>
        <sz val="11"/>
        <color theme="1"/>
        <rFont val="Calibri"/>
        <family val="2"/>
        <scheme val="minor"/>
      </rPr>
      <t>Neue Rate anlegen</t>
    </r>
  </si>
  <si>
    <t>MA-SB2C legt neue Rate inkl. RLS-Gebühr (8,00 €) an</t>
  </si>
  <si>
    <t>Wiki: http://wiki.academyofsports.online/tiki-index.php?page=R%C3%BCcklastschriften++%280377%29</t>
  </si>
  <si>
    <r>
      <rPr>
        <sz val="11"/>
        <color rgb="FF000000"/>
        <rFont val="Arial"/>
      </rPr>
      <t xml:space="preserve">Rücklastschrift -
</t>
    </r>
    <r>
      <rPr>
        <sz val="11"/>
        <color theme="1"/>
        <rFont val="Calibri"/>
        <family val="2"/>
        <scheme val="minor"/>
      </rPr>
      <t>Info an TN</t>
    </r>
  </si>
  <si>
    <t>MA-SB2C informiert TN-B2C über Rücklastschrift und bittet um manuelle Überweisung durch TN-B2C</t>
  </si>
  <si>
    <t>Mailvorlage "Rate konnte nicht eingezogen werden"
https://synology.bildungscampus-backnang.de:50823/d/f/sjivLro9WM0iIXSEpOaxb7wEujPS5Jt5</t>
  </si>
  <si>
    <t>18.5 Rechnungsstellung</t>
  </si>
  <si>
    <t>Vorab-Rechnung erstellen</t>
  </si>
  <si>
    <t>MA-SB2C erstellt Vorab-Rechnung und sendet diese an den TN-B2C</t>
  </si>
  <si>
    <t xml:space="preserve">Gutschrift </t>
  </si>
  <si>
    <t>MA-SB2C erstellt Gutschrift, indem ein Minus vor die Gebühr gesetzt wird bei der Vorab-Rechnung</t>
  </si>
  <si>
    <t>Mails/Post</t>
  </si>
  <si>
    <t>Übertrag Mails</t>
  </si>
  <si>
    <t>Mails aus Outlook in ela übertragen</t>
  </si>
  <si>
    <t>Wiki: http://wiki.academyofsports.online/tiki-index.php?page=E-Mails+%C3%BCbertragen+%280227%29</t>
  </si>
  <si>
    <t>Ansprechpartner/in zuteilen</t>
  </si>
  <si>
    <t>Tickets an MA-SB2C verteilen?</t>
  </si>
  <si>
    <t>Post zuordnen</t>
  </si>
  <si>
    <t>MA-SB2C lädt Post aus Synology beim TN-B2C hoch und erstellt Ticket an zuständigen MA-SB2C</t>
  </si>
  <si>
    <t>Post: https://synology.bildungscampus-backnang.de:50823/drive/#file_id=671822499878584999</t>
  </si>
  <si>
    <t>ANMERKUNG (Sabine): Es handelt sich hier um Dopplungen zu Reiter MA-SB2C, da es sich bei dieser Rolle um eine MA-SA handelt, die es bis dato so noch nicht gibt.</t>
  </si>
  <si>
    <t>1.1 Buchungsbestätigung Live-Webinare</t>
  </si>
  <si>
    <t xml:space="preserve">siehe 7.1. Buchung Live-Webinar unter dem Reiter MA-SB2C </t>
  </si>
  <si>
    <t>Terminbestätigung durch MA-SA</t>
  </si>
  <si>
    <t>MA-SA; TN-B2C</t>
  </si>
  <si>
    <t>1.2 Einladung Live-Webinar</t>
  </si>
  <si>
    <t xml:space="preserve">siehe 7.2 Einladung Live-Webinar unter dem Reiter MA-SB2C </t>
  </si>
  <si>
    <t>MA-SA verschickt an TN-B2C 7 Tage vor dem Live-Webinar die Einladung mit der Aufgabe, 
die erledigt werden muss</t>
  </si>
  <si>
    <t>Aufgabe muss vorab heruntergeladen werden und bestätigt
werden, dass TN-B2C diese bearbeiten wird, bevor TN-B2C 
ein Live-Webinar buchen kann</t>
  </si>
  <si>
    <t xml:space="preserve">MA-SA verschickt an TN-B2C einen Tag vor dem Live-Webinar eine weitere Einladung 
als Erinnerung </t>
  </si>
  <si>
    <t>1.3 Teilnehmerliste</t>
  </si>
  <si>
    <t xml:space="preserve">siehe 7.5 Teilnehmerliste unter dem Reiter MA-SB2C </t>
  </si>
  <si>
    <t>MA-SA erhält die Teilnehmerliste von MA-PER und erstellt eine Wiedervorlage beim TN-B2C</t>
  </si>
  <si>
    <t>MA-PER; MA-SA /
MA-SA; TN-B2C</t>
  </si>
  <si>
    <t>2.1 Einsendeprüfung (online)</t>
  </si>
  <si>
    <t xml:space="preserve">siehe 8.2 Einsendeprüfung (online) unter dem Reiter MA-SB2C </t>
  </si>
  <si>
    <t>MA-SA versendet eine Eingangsbestätigung für Einsendeprüfung (online) an TN-B2C</t>
  </si>
  <si>
    <t xml:space="preserve">2.2 Einsendearbeit (online) </t>
  </si>
  <si>
    <t xml:space="preserve">siehe 8.3 Einsendearbeit (online) unter dem Reiter MA-SB2C </t>
  </si>
  <si>
    <t>MA-SA versendet eine Eingangsbestätigung für Einsendearbeit (online) an TN-B2C</t>
  </si>
  <si>
    <t>2.3 Abschlussprüfung (online)</t>
  </si>
  <si>
    <t xml:space="preserve">siehe 8.4 Abschlussprüfung (online) unter dem Reiter MA-SB2C </t>
  </si>
  <si>
    <t>MA-SA versendet eine Eingangsbestätigung für Abschlussprüfung (online) an TN-B2C</t>
  </si>
  <si>
    <t>MA-SA bestätigt den Eingang der Abschlussprüfung (online) und informiert den TN-B2C über
Zahlungsdaten</t>
  </si>
  <si>
    <t>2.4 Abschlussarbeit (online)</t>
  </si>
  <si>
    <t xml:space="preserve">siehe 8.5 Abschlussarbeit (online) unter dem Reiter MA-SB2C </t>
  </si>
  <si>
    <t>MA-SA versendet eine Eingangsbestätigung für Abschlussarbeit (online) an TN-B2C</t>
  </si>
  <si>
    <t>MA-SA bestätigt den Eingang der Abschlussarbeit (online) und informiert den TN-B2C über
Zahlungsdaten</t>
  </si>
  <si>
    <t>2.5 Theoretische Online-Abschlussprüfung (tAP)</t>
  </si>
  <si>
    <t xml:space="preserve">siehe 8.6 Theoretische Online-Abschlussprüfung (tAP) unter dem Reiter MA-SB2C </t>
  </si>
  <si>
    <t>2.5.1 Buchungsprozess tAP</t>
  </si>
  <si>
    <t>Bestätigung eines Prüfungstermins</t>
  </si>
  <si>
    <t>MA-SA versendet eine Eingangsbestätigung für Prüfungstermin an TN-B2C</t>
  </si>
  <si>
    <t>2.5.2 Einladung tAP</t>
  </si>
  <si>
    <t>MA-SA versendet an TN-B2C 7 Tage vor der tAP die Einladung und alle wichtigen Infos zur 
tAP (Ablauf)</t>
  </si>
  <si>
    <t>MA-SA versendet an TN-B2C 1 Tag vor der tAP die Erinnerung</t>
  </si>
  <si>
    <t>2.5.3 Ablauf tAP</t>
  </si>
  <si>
    <t>MA-SA prüft, welchen Versuch der TN-B2C schreibt und dass die richtige tAP ausgewählt wird.</t>
  </si>
  <si>
    <t>MA-SA</t>
  </si>
  <si>
    <t>Einführung durch MA-SA, Arbeitsgruppenzuteilung, Kontrolle des Personalausweises,
Abgabezeit festlegen -&gt; Proctorio?</t>
  </si>
  <si>
    <t>2.6 Mündliche Prüfung (KomT Praxisnote)</t>
  </si>
  <si>
    <t xml:space="preserve">siehe 8.7 Mündliche Prüfung (KomT Praxisnote) unter dem Reiter MA-SB2C </t>
  </si>
  <si>
    <t>MA-SA versendet eine Eingangsbestätigung für mündlichen Prüfungstermin an TN-B2C</t>
  </si>
  <si>
    <t xml:space="preserve">Formblätter erstellen </t>
  </si>
  <si>
    <t xml:space="preserve">siehe 9.1 Erstellung Formblätter unter dem Reiter MA-SB2C </t>
  </si>
  <si>
    <t>Wiki: http://wiki.academyofsports.online/tiki-index.php?page=Aufstiegs-BAf%C3%B6G+%280009%29
Ausfüllhilfe: https://synology.bildungscampus-backnang.de:50823/drive/oo/r/qLBhVPvYQqN3UJGxdncZKpZaoM72A4Ig
Mailvorlage "Formblätter für das Aufstiegs-BAföG"
https://synology.bildungscampus-backnang.de:50823/d/f/lYkLf4Ye88ODI6QOaHTzGFCSmMVbgtAH</t>
  </si>
  <si>
    <t>4.1 Erstellung/Freischaltung Abschlussdokumente</t>
  </si>
  <si>
    <t xml:space="preserve">siehe 14.1 Erstellung/Freischaltung Abschlussdokumente unter dem Reiter MA-SB2C </t>
  </si>
  <si>
    <t>MA-SA erstellt Zertifikat und ggf. Zeugnis und lädt diese beim TN-B2C hoch</t>
  </si>
  <si>
    <t>Abschlussdokumente freischalten</t>
  </si>
  <si>
    <t>Abschlussdokumente beim TN-B2C hochladen und TN-B2C informieren</t>
  </si>
  <si>
    <t>Alle Prüfungsleistungen sind bestanden und alle Raten beglichen</t>
  </si>
  <si>
    <t>Abschlussdokumente noch nicht freischalten</t>
  </si>
  <si>
    <t>MA-SA informiert TN-B2C über offene Raten oder Prüfungsleistungen als Voraussetzung, um
Abschlussdokumente zu erstellen</t>
  </si>
  <si>
    <t>4.2 Englische Abschlussdokumente</t>
  </si>
  <si>
    <t xml:space="preserve">siehe 14.2 Versand Abschlussdokumente unter dem Reiter MA-SB2C </t>
  </si>
  <si>
    <t>Abschlussdokumente per Post</t>
  </si>
  <si>
    <t>Bei Print Abschlussdokumente zusätzlich per Post versenden</t>
  </si>
  <si>
    <t>MA-SA; MA-LO</t>
  </si>
  <si>
    <t xml:space="preserve">siehe 19 Mails/Post unter dem Reiter MA-SB2C </t>
  </si>
  <si>
    <t xml:space="preserve">Post </t>
  </si>
  <si>
    <t>Anmeldeprozess AZAV</t>
  </si>
  <si>
    <t>Wiki: http://wiki.academyofsports.online/tiki-index.php?page=Bearbeitung-Bildungsgutschein</t>
  </si>
  <si>
    <t>MA-SB2G prüft, ob Bildungsgutschein im Original und ggf. IHK-Zulassung vorliegen</t>
  </si>
  <si>
    <t>MA-VB2G (AZAV)</t>
  </si>
  <si>
    <t>MA-SB2G legt einen TN-B2G an, alle persönlichen Daten des TN-B2G im Datensatz erfassen</t>
  </si>
  <si>
    <t>Anmeldung wird in der Buchungsstatistik des laufenden Jahres als AZAV erfasst.</t>
  </si>
  <si>
    <t xml:space="preserve">1.3 Zugangsdaten </t>
  </si>
  <si>
    <t>siehe 1.3 Zugangsdaten unter dem Reiter MA-SB2C</t>
  </si>
  <si>
    <t>siehe 1.4 Fernkursbuchung unter dem Reiter MA-SB2C</t>
  </si>
  <si>
    <t>Zahldaten anpassen</t>
  </si>
  <si>
    <t>MA-SB2G legt die Zahlungen, wie mit der Förderstelle vereinbart, neu an</t>
  </si>
  <si>
    <t>MA-SB2G hinterlegt unter Rechnungsanschrift den Kontakt der Förderstelle</t>
  </si>
  <si>
    <t>1.5 Eignungsfeststellung/Zulassung</t>
  </si>
  <si>
    <t>Eignungsfeststellung</t>
  </si>
  <si>
    <t>MA-SB2G erstellt eine Eignungsfeststellung und lädt diese beim TN-B2G hoch</t>
  </si>
  <si>
    <t>IHK-Zulassung - vorliegend</t>
  </si>
  <si>
    <t>MA-SB2G lädt IHK-Zulassung beim TN-B2G hoch</t>
  </si>
  <si>
    <t>IHK-Zulassung - nicht vorliegend</t>
  </si>
  <si>
    <t xml:space="preserve">MA-SB2G setzt Wiedervorlage für Anforderung der IHK-Zulassung </t>
  </si>
  <si>
    <t>Briefvorlage "Erinnerung | Prüfungszulassung IHK"
https://admin.delst.de/brief.php?type=sendevorlage&amp;id=271</t>
  </si>
  <si>
    <t xml:space="preserve">1.6 Anmeldebestätigung </t>
  </si>
  <si>
    <t>Anmeldebestätigung an TN</t>
  </si>
  <si>
    <t xml:space="preserve">MA-SB2G versendet digital Anschreiben, Buchungsbestätigung, Bildungsgutschein + Anmelde-
formular an TN-B2G </t>
  </si>
  <si>
    <t>MA-SB2G; TN-B2G</t>
  </si>
  <si>
    <t>Anmeldebestätigung an Förderstelle</t>
  </si>
  <si>
    <t>MA-SB2G versendet Anschreiben, Buchungsbestätigung und Bildungsgutschein + Anmelde-
formular an Förderstelle per Post</t>
  </si>
  <si>
    <t>MA-SB2G; UN-K</t>
  </si>
  <si>
    <t>Briefvorlage "Bildungsgutschein | Versand an ARGE"
https://admin.delst.de/brief.php?type=sendevorlage&amp;id=265</t>
  </si>
  <si>
    <t xml:space="preserve">1.7 Willkommenspakete </t>
  </si>
  <si>
    <t xml:space="preserve">Upload Willkommenspaket </t>
  </si>
  <si>
    <t xml:space="preserve">MA-SB2G lädt Anschreiben, Buchungsbestätigung, Anmeldeformular und Bildungsgutschein
unter Druckaufträge in Synology hoch </t>
  </si>
  <si>
    <t>MA-SB2G; MA-LO</t>
  </si>
  <si>
    <t xml:space="preserve">Versand Willkommenspaket </t>
  </si>
  <si>
    <t>MA-LO versendet Anschreiben, Buchungsbestätigung, Anmeldeformular und Bildungsgutschein
an TN-B2G</t>
  </si>
  <si>
    <t>MA-LO; TNB2G</t>
  </si>
  <si>
    <t>Wiki: http://wiki.academyofsports.online/tiki-index.php?page=Vertriebsweg-17---Registrierung-Website-Telefon-(AZAV-Teilnehmer)</t>
  </si>
  <si>
    <t>Übertrag in AZAV-Excel-Liste</t>
  </si>
  <si>
    <t>MA-SB2G fügt TN-B2G in der AZAV Excel-Liste unter Teilnehmerliste ein</t>
  </si>
  <si>
    <t>Wiki: http://wiki.academyofsports.online/tiki-index.php?page=Dokumentation+bei+AZAV-Teilnehmern+%280188%29</t>
  </si>
  <si>
    <t>Phaseneintrag AZAV</t>
  </si>
  <si>
    <t>MA-SB2G erstellt eine Wiedervorlage für Phaseneintrag AZAV - Fälligkeit 1 Tag nach Anmeldung</t>
  </si>
  <si>
    <t>Vorlage: https://synology.bildungscampus-backnang.de:50823/oo/r/m1EnKc90WISJaaf2lkBkwtNEjyWzX3Pl</t>
  </si>
  <si>
    <t>Lehrunterlagen freischalten</t>
  </si>
  <si>
    <t>MA-SB2G schaltet dem TN-B2G alle Lehrunterlagen ab Start frei</t>
  </si>
  <si>
    <t xml:space="preserve">Lehrunterlagen in Print </t>
  </si>
  <si>
    <t xml:space="preserve">MA-SB2G erstellt Ticket für MA-LO zum Versand der Lehrskripte (siehe Vorlage LS-Versand) 
am Tag der Einbuchung </t>
  </si>
  <si>
    <t xml:space="preserve">Versand Lehrunterlagen in Print </t>
  </si>
  <si>
    <t xml:space="preserve">MA-LO versendet an TN-B2G alle Lehrskripte (siehe Vorlage LS-Versand) am Tag der Einbuchung </t>
  </si>
  <si>
    <t>MA-LO; TN-B2G</t>
  </si>
  <si>
    <t>1.10 Hilfsmittelversand</t>
  </si>
  <si>
    <t>Wiki: http://wiki.academyofsports.online/tiki-index.php?page=Hilfsmittel-f%C3%BCr-IHK-Pr%C3%BCfungen-(AZAV)</t>
  </si>
  <si>
    <t>Veranlassung Hilfsmittelversand
(Gesetzestexte und Formelsammlung)</t>
  </si>
  <si>
    <t>MA-SB2G erstellt Eintrag für MA-SA, um Gesetzestexte über Amazon und Formelsammlung 
per Post zu versenden</t>
  </si>
  <si>
    <t>MA-SB2G; MA-LO/MA-SA</t>
  </si>
  <si>
    <t>Wiki: http://wiki.academyofsports.online/tiki-index.php?page=Hilfsmittel+f%C3%BCr+IHK-Pr%C3%BCfungen+%28AZAV%29</t>
  </si>
  <si>
    <t>Hilfsmittelversand
(Gesetzestexte und Formelsammlung)</t>
  </si>
  <si>
    <t>MA-SA bzw. MA-LO versendet Gesetzestexte über Amazon und Formelsammlung 
per Post an TN-B2G</t>
  </si>
  <si>
    <t>MA-LO/MA-SA; TN-B2G</t>
  </si>
  <si>
    <t>1.11 Leihgerät</t>
  </si>
  <si>
    <t>Wiki: http://wiki.academyofsports.online/tiki-index.php?page=Leih-Laptop+-+AZAV</t>
  </si>
  <si>
    <t xml:space="preserve">Erfassung Leihgerät </t>
  </si>
  <si>
    <t>MA-SB2G setzt Leihgerät auf und veranlasst den Versand durch MA-LO</t>
  </si>
  <si>
    <t>Erfassung unter: https://synology.bildungscampus-backnang.de:50823/drive/oo/r/m1vsJhjZ72LZ3pwD3VijoR1t4w4Rvzls</t>
  </si>
  <si>
    <t>Versand Leihgerät</t>
  </si>
  <si>
    <t>MA-LO versendet das Leihgerät per Post und trägt den TN-B2G in die AZAV Excel Liste unter 
dem Reiter "Leihgerät" ein</t>
  </si>
  <si>
    <t>Briefvorlage "Versand PC-Leihgerät"
https://admin.delst.de/brief.php?type=sendevorlage&amp;id=345</t>
  </si>
  <si>
    <t>siehe 2.1 Ticket unter dem Reiter MA-SB2C</t>
  </si>
  <si>
    <t>siehe 2.2 Wiedervorlage unter dem Reiter MA-SB2C</t>
  </si>
  <si>
    <t>siehe 2.3 Chat innerhalb eines FK unter dem Reiter MA-SB2C</t>
  </si>
  <si>
    <t>siehe 2.4 Telefontermin unter dem Reiter MA-SB2C</t>
  </si>
  <si>
    <t>siehe 2.5 WhatsApp unter dem Reiter MA-SB2C</t>
  </si>
  <si>
    <t>Betreuung während des FK (Phaseneintrag AZAV)</t>
  </si>
  <si>
    <t>Wiki: http://wiki.academyofsports.online/tiki-index.php?page=Betreuung-der-AZAV-Teilnehmer</t>
  </si>
  <si>
    <t>Erfolgreicher Erstanruf 1 Tag nach Anmeldung - 
Start in der Zukunft</t>
  </si>
  <si>
    <t>MA-SB2G ruft nach der Anmeldung beim TN-B2G an und stellt sich als persönlicher Ansprech-
partner vor, klärt ggf. offene Fragen (Studienablauf, Zugangsdaten, Verpflichtungen bei 
Förderung)</t>
  </si>
  <si>
    <t>Erfolgloser Erstanruf 1 Tag nach Anmeldung - 
Start in der Zukunft</t>
  </si>
  <si>
    <t>MA-SB2G erreicht TN-B2G beim Erstanruf vor dem Start telefonisch nicht</t>
  </si>
  <si>
    <t>Mailvorlage "Phase 1 vor Beginn Zum Start optimal vorbereitet NICHT ERREICHT"</t>
  </si>
  <si>
    <t>Erfolgreicher Erstanruf am Startdatum</t>
  </si>
  <si>
    <t>MA-SB2G ruft 1 Tag nach Start beim TN-B2G an, stellt sich als persönliche Ansprechpartner vor,
klärt ggf. offene Fragen (Studienablauf, Zugangsdaten, Verpflichtungen bei Förderung)</t>
  </si>
  <si>
    <t>Mailvorlage "Phase 2 a Tag 1 Endlich kann es losgehen NACH TELEFONAT AZAV"
https://synology.bildungscampus-backnang.de:50823/d/f/psw4TXMUzyNDMKOGJogq6Qyqp6Mri8lO</t>
  </si>
  <si>
    <t>Buchung der Live-Webinare -
nach Telefonat</t>
  </si>
  <si>
    <t>MA-SB2G bucht TN-B2G alle Live-Webinare und Prüfungstermine (zeitlich an der Buchungs-
bestätigung orientiert) ein und sendet diese digital zu</t>
  </si>
  <si>
    <t>Mailvorlage "Phase 2.1 Tag 1 Deine Live-Webinar Termine - nach Telefonat"
https://synology.bildungscampus-backnang.de:50823/d/f/psw4YP66Gcusk7x2SXWzddMGbvCKvwWn
Briefvorlage "Deine Webinar-Termine - nach Telefonat "
https://admin.delst.de/brief.php?type=sendevorlage&amp;id=373</t>
  </si>
  <si>
    <t>Versand Übersicht Live-Webinare
nachTelefonat</t>
  </si>
  <si>
    <t>MA-LO versendet Brief mit Übersicht der Live-Webinare und Prüfungstermine an TN-B2G</t>
  </si>
  <si>
    <t>Erfolgloser Erstanruf am Startdatum</t>
  </si>
  <si>
    <t>MA-SB2G erreicht TN-B2G beim Erstanruf nach dem Start telefonisch nicht</t>
  </si>
  <si>
    <t>Mailvorlage "Phase 2 b Tag 1 Endlich kann es losgehen NICHT ERREICHT AZAV"
https://synology.bildungscampus-backnang.de:50823/d/f/psw4VhCMpQzH7OTdiPaT9uM88sScLRlb</t>
  </si>
  <si>
    <r>
      <rPr>
        <sz val="11"/>
        <color rgb="FF000000"/>
        <rFont val="Arial"/>
      </rPr>
      <t xml:space="preserve">Buchung der Live-Webinare -
</t>
    </r>
    <r>
      <rPr>
        <sz val="11"/>
        <color theme="1"/>
        <rFont val="Calibri"/>
        <family val="2"/>
        <scheme val="minor"/>
      </rPr>
      <t>ohne Telefonat</t>
    </r>
  </si>
  <si>
    <t>Mailvorlage "Phase 2.1 Tag 1 Deine Live-Webinar Termine - nicht erreicht"
https://synology.bildungscampus-backnang.de:50823/d/f/psw45CXh5wLU4kuTZSWlMddfr5W2JPuQ
Briefvorlage "Deine Webinar-Termine - nicht erreicht "
https://admin.delst.de/brief.php?type=sendevorlage&amp;id=374</t>
  </si>
  <si>
    <r>
      <rPr>
        <sz val="11"/>
        <color rgb="FFD30E91"/>
        <rFont val="Arial"/>
      </rPr>
      <t xml:space="preserve">Versand Übersicht Live-Webinare
</t>
    </r>
    <r>
      <rPr>
        <sz val="11"/>
        <color theme="1"/>
        <rFont val="Calibri"/>
        <family val="2"/>
        <scheme val="minor"/>
      </rPr>
      <t>ohne Telefonat</t>
    </r>
  </si>
  <si>
    <t xml:space="preserve">Effizientes Lernen </t>
  </si>
  <si>
    <r>
      <rPr>
        <sz val="11"/>
        <color rgb="FF000000"/>
        <rFont val="Arial"/>
      </rPr>
      <t xml:space="preserve">MA-SB2G versendet WBT Effizientes Lernen (Lerntypologie) an den TN-B2G,
</t>
    </r>
    <r>
      <rPr>
        <sz val="11"/>
        <color rgb="FF0078FF"/>
        <rFont val="Arial"/>
      </rPr>
      <t>siehe 3.1 Effizientes Lernen unter dem Reiter MA-SB2C</t>
    </r>
  </si>
  <si>
    <t>Kostenübernahmeerklärung IHK-Prüfung</t>
  </si>
  <si>
    <t>Sofern es sich um eine IHK-Weiterbildung handelt, erstellt MA-SB2G eine Kostenübernahme-
erklärung und sendet diese dem TN-B2G digital zu</t>
  </si>
  <si>
    <t>Briefvorlage "Kostenübernahmebestätigung IHK"
https://admin.delst.de/brief.php?type=sendevorlage&amp;id=335
und
Mailvorlage "Kostenübernahmeerklärung IHK"
https://synology.bildungscampus-backnang.de:50823/d/f/oLQnBPBTKYDnYvA4AuhCzXGa4gFSdO2U</t>
  </si>
  <si>
    <t>MA-SB2G versendet ca. einen Monat nach dem Start Infos zu den Wahlmodulen an den 
TN-B2G</t>
  </si>
  <si>
    <t xml:space="preserve">Einbuchung Wahlmodul ExBM </t>
  </si>
  <si>
    <t>MA-SB2G bucht zwei Wahlmodule, für die sich der TN-B2G entschieden hat, als Fernkurs ein</t>
  </si>
  <si>
    <t>Versand Lehrunterlagen Wahlmodul ExBM</t>
  </si>
  <si>
    <t>MA-LO versendet Lehrunterlagen zu den beiden Wahlmodulen ExBM</t>
  </si>
  <si>
    <t>Buchung Live-Webinar Wahlmodul ExBM</t>
  </si>
  <si>
    <t>MA-SB2G bucht Live-Webinare zu den Wahlmodulen ein und informiert TN-B2G über die 
Termine</t>
  </si>
  <si>
    <t>Einbuchung Wahlmodul HFW</t>
  </si>
  <si>
    <t>MA-SB2G bucht ein Wahlmodul, für das sich der TN-B2G entschieden hat, als Fernkurs ein</t>
  </si>
  <si>
    <t>Versand Lehrunterlagen Wahlmodul HFW</t>
  </si>
  <si>
    <t>MA-LO versendet Lehrunterlagen zum Wahlmodul HFW</t>
  </si>
  <si>
    <t>Buchung Live-Webinar Wahlmodul HFW</t>
  </si>
  <si>
    <t>MA-SB2G bucht Live-Webinare zum Wahlmodul ein und informiert TN-B2G über den Termin</t>
  </si>
  <si>
    <t>Wöchentliche Kontrolle des Lernfortschritts</t>
  </si>
  <si>
    <t>MA-SB2G kontrolliert ein Mal pro Woche, ob der TN-B2G im Zeitplan ist und dokumentiert dies
in ela und in der AZAV Excel Liste</t>
  </si>
  <si>
    <t>Kein Lernfortschritt - telefonisch erreicht</t>
  </si>
  <si>
    <t>MA-SB2G ruft TN-B2G an und weist ihn auf den Zeitplan und seine Verpflichtungen hin</t>
  </si>
  <si>
    <t>Kein Lernfortschritt - telefonisch nicht erreicht</t>
  </si>
  <si>
    <t>MA-SB2G erreicht TN-B2G telefonisch nicht, setzt TN-B2G eine Frist, bis wann er weiter 
gemacht haben muss oder sich melden muss</t>
  </si>
  <si>
    <t>Mailvorlage "Kein Lernfortschritt festgestellt AZAV"
https://synology.bildungscampus-backnang.de:50823/d/f/m1nLZr0Ztv1pHC4dfeaqLhBvUIPW6zN6</t>
  </si>
  <si>
    <t>Nach Drohung wieder Lernfortschritt</t>
  </si>
  <si>
    <t>Sofern der TN-B2G weitergemacht hat, dokumentiert dies MA-SB2G in ela und in der AZAV
Excel Liste</t>
  </si>
  <si>
    <r>
      <rPr>
        <sz val="11"/>
        <color rgb="FF000000"/>
        <rFont val="Arial"/>
      </rPr>
      <t xml:space="preserve">Nach Drohung weiterhin kein Lernfortschritt
</t>
    </r>
    <r>
      <rPr>
        <sz val="11"/>
        <color theme="1"/>
        <rFont val="Calibri"/>
        <family val="2"/>
        <scheme val="minor"/>
      </rPr>
      <t>Erfolgreicher Anruf</t>
    </r>
  </si>
  <si>
    <t>MA-SB2G ruft TN-B2G erneut an und bespricht den weiteren Verlauf</t>
  </si>
  <si>
    <t>Nach Drohung weiterhin kein Lernfortschritt
Erfolgloser Anruf - Meldung an BA</t>
  </si>
  <si>
    <t>Wenn MA-SB2G den TN-B2G nicht erreicht, informiert MA-SB2G die Förderstelle über den
Rückstand und bittet um Kontaktaufnahme</t>
  </si>
  <si>
    <t>Mailvorlage "Kein Lernfortschritt - Meldung an BA"
https://synology.bildungscampus-backnang.de:50823/d/f/m8YE32Q2FRjS7n8CxQZ0yGh7BeUuebLA
und
Briefvorlage "Meldung an BA - Kein Lernfortschritt"
https://admin.delst.de/brief.php?type=sendevorlage&amp;id=289</t>
  </si>
  <si>
    <t>3.3 Maßnahmenende</t>
  </si>
  <si>
    <t>Maßnahmenende wird nicht eingehalten</t>
  </si>
  <si>
    <t>MA-SB2G bittet Förderstelle schriftlich um eine kostenfreie Verlängerung mit Angabe eines
neuen Enddatums</t>
  </si>
  <si>
    <t>Mailvorlage "Maßnahmenende - Meldung an BA"
https://synology.bildungscampus-backnang.de:50823/d/f/psvug82vy8wIzOmQ75sEzJgYTfE7pLcp</t>
  </si>
  <si>
    <t>4.1 Paketzustellung</t>
  </si>
  <si>
    <t>siehe 4.2 Paketzustellung unter dem Reiter MA-SB2C</t>
  </si>
  <si>
    <t>5.1 Buchung Live-Webinar</t>
  </si>
  <si>
    <t>siehe 3.1 Innerhalb der Testphase unter dem Reiter MA-SB2G</t>
  </si>
  <si>
    <t>5.2 Einladung Live-Webinar</t>
  </si>
  <si>
    <t>siehe 7.2 Einladung Live-Webinar unter dem Reiter MA-SB2C</t>
  </si>
  <si>
    <t>5.3 Umbuchung Live-Webinar</t>
  </si>
  <si>
    <t>siehe 7.3 Umbuchung Live-Webinar unter dem Reiter MA-SB2C</t>
  </si>
  <si>
    <t>Wünschenswert wäre, dass eine Verschiebung eines Termins
durch den MA-SB2C ersichtlich ist, damit man im Falle der 
Abwesenheit eines TN-B2C keine Gebühren berechnet</t>
  </si>
  <si>
    <t>Umbuchung eines Live-Webinars durch TN</t>
  </si>
  <si>
    <t>MA-SB2G bucht das Live-Webinar um ohne Zusatzgebühren</t>
  </si>
  <si>
    <t>5.4 Stornierung Live-Webinar</t>
  </si>
  <si>
    <t xml:space="preserve">MA-SB2G informiert TN-B2G über Absage eines Live-Webinars, storniert dieses und bucht
direkt den nächstmöglichen Termin ein </t>
  </si>
  <si>
    <t>Stornierung eines Live-Webinars durch TN</t>
  </si>
  <si>
    <t>MA-SB2G storniert das Live-Webinar ohne Zusatzgebühren und bucht einen neuen Termin ein</t>
  </si>
  <si>
    <t>5.5 Teilnehmerliste</t>
  </si>
  <si>
    <t>siehe 7.5 Teilnehmerliste unter dem Reiter MA-SB2C</t>
  </si>
  <si>
    <t>MA-SB2G informiert TN-B2G über verpasstes Live-Webinar, fordert Nachweis an und bucht 
direkt den nächstmöglichen Termin ein</t>
  </si>
  <si>
    <t>5.6 Aufzeichnung Live-Webinar</t>
  </si>
  <si>
    <t xml:space="preserve">siehe 7.6 Aufzeichnung Live-Webinar unter dem Reiter MA-SB2C </t>
  </si>
  <si>
    <t>6.1 Lernkontrollfragen (LKF)</t>
  </si>
  <si>
    <t xml:space="preserve">siehe 8.1 Lernkontrollfragen (LKF) unter dem Reiter MA-SB2C </t>
  </si>
  <si>
    <t>6.2 Einsendeprüfung (online)</t>
  </si>
  <si>
    <t xml:space="preserve">6.3 Einsendearbeit (online) </t>
  </si>
  <si>
    <t>6.4 Abschlussprüfung (online)</t>
  </si>
  <si>
    <t>MA-SB2C prüft die Korrektur der Abschlussprüfung (online) und informiert den TN-B2G über die 
Note (nicht bestanden) und fordert diesen zur Wiederholung auf (verpflichtend ohne Zusatz-
gebühren)</t>
  </si>
  <si>
    <t>Wiederholung Abschlussprüfung (online) 
Gebührenanlage Zweitversuch</t>
  </si>
  <si>
    <t>Es werden keine Zusatzgebühren berechnet</t>
  </si>
  <si>
    <t>Wiederholung Abschlussprüfung (online) 
Gebührenanlage Drittversuchs</t>
  </si>
  <si>
    <t>6.5 Abschlussarbeit (online)</t>
  </si>
  <si>
    <t>MA-SB2C prüft die Korrektur der Abschlussarbeit (online) und informiert den TN-B2G über die 
Note (nicht bestanden) und fordert diesen zur Wiederholung auf (verpflichtend ohne Zusatz-
gebühren)</t>
  </si>
  <si>
    <t>Wiederholung Abschlussarbeit (online) 
Gebührenanlage Zweitversuch</t>
  </si>
  <si>
    <t>Wiederholung Abschlussarbeit (online) 
Gebührenanlage Drittversuchs</t>
  </si>
  <si>
    <t>6.6 Theoretische Online-Abschlussprüfung (tAP)</t>
  </si>
  <si>
    <t>6.6.1 Buchungsprozess tAP</t>
  </si>
  <si>
    <t xml:space="preserve">MA-SB2G bucht den Prüfungstermin ohne Zusatzgebühren um </t>
  </si>
  <si>
    <t>MA-SB2G storniert den Prüfungstermin ohne Zusatzgebühren und vereinbart einen neuen 
Termin mit dem TN-B2G</t>
  </si>
  <si>
    <t>6.6.2 Einladung tAP</t>
  </si>
  <si>
    <t xml:space="preserve">siehe 8.6.2 Einladung tAP unter dem Reiter MA-SB2C </t>
  </si>
  <si>
    <t>6.6.3 Ablauf tAP</t>
  </si>
  <si>
    <t xml:space="preserve">siehe 8.6.3 Ablauf tAP unter dem Reiter MA-SB2C </t>
  </si>
  <si>
    <t>6.6.4 Notenbekanntgabe tAP</t>
  </si>
  <si>
    <t xml:space="preserve">siehe 8.6.4 Notenbekanntgabe tAP unter dem Reiter MA-SB2C </t>
  </si>
  <si>
    <t>MA-SB2G prüft die Korrektur der tAP und informiert den TN-B2G über die Note (nicht bestanden) 
und bucht Wiederholungstermin direkt ein</t>
  </si>
  <si>
    <t>6.6.5 Prüfungswiederholung tAP</t>
  </si>
  <si>
    <t>MA-SB2G bestätigt die Buchung des Zweitversuchs ohne Zusatzkosten</t>
  </si>
  <si>
    <t>MA-SB2G bestätigt die Buchung des Drittversuchs ohne Zusatzkosten</t>
  </si>
  <si>
    <t>6.6.6 Prüfungseinsicht tAP</t>
  </si>
  <si>
    <t xml:space="preserve">siehe 8.6.6 Prüfungseinsicht tAP unter dem Reiter MA-SB2C </t>
  </si>
  <si>
    <t>6.6.7 Zweitkorrektur tAP</t>
  </si>
  <si>
    <t>6.7 Mündliche Prüfung (KomT Praxisnote)</t>
  </si>
  <si>
    <t>MA-SB2G bestätigt die Umbuchung des mündlichen Prüfungstermins ohne Zusatzkosten</t>
  </si>
  <si>
    <t>MA-SB2G storniert den mündlichen Prüfungstermin ohne Zusatzgebühren und vereinbart einen 
neuen Termin mit dem TN-B2G</t>
  </si>
  <si>
    <t>MA-SB2G prüft die Bewertung der mündlichen Prüfungsleistung und informiert den TN-B2G 
über die Note (nicht bestanden) und bucht Wiederholungstermin direkt ein</t>
  </si>
  <si>
    <t>6.8 Anerkennung von Prüfungsleistungen</t>
  </si>
  <si>
    <t xml:space="preserve">siehe 8.8 Anerkennung von Prüfungsleistungen unter dem Reiter MA-SB2C </t>
  </si>
  <si>
    <t>Rücktritt/Abbruch der Maßnahme</t>
  </si>
  <si>
    <t>7.1 Rücktritt der Maßnahme (innerhalb der Testphase)</t>
  </si>
  <si>
    <t>Rücktritt durch TN</t>
  </si>
  <si>
    <t>MA-SB2G bestätigt dem TN-B2G und der Förderstelle Rücktritt innerhalb der Testphase 
schriftlich</t>
  </si>
  <si>
    <t>MA-SB2G; TN-B2G /
MA-SB2G; UN-K</t>
  </si>
  <si>
    <t>Mailvorlagen "Rücktrittsbestätigung Fernlehrgang - TN AZAV" https://synology.bildungscampus-backnang.de:50823/d/f/m1nM0yPUw9MBUUMLdjALthg9mOiizGTV
und 
"Rücktrittsbestätigung - Meldung an BA"
https://synology.bildungscampus-backnang.de:50823/d/f/m1nM0JxetcARI8X80TCaaDtkDXj8GRex</t>
  </si>
  <si>
    <t>Rücktritt in AZAV Excel-Liste eintragen</t>
  </si>
  <si>
    <t>MA-SB2G verschiebt TN-B2G in der AZAV Excel Liste unter "Maßnahme abgeschlossen" mit
Vermerk, was der Grund für den Rücktritt ist</t>
  </si>
  <si>
    <t>Buchungsstatistik anpassen</t>
  </si>
  <si>
    <t>MA-SB2G trägt Rücktritt mit Grund und Summe in Buchungsstatistik in Synology ein</t>
  </si>
  <si>
    <t>Rückforderung Leihgerät und Gesetzestexte</t>
  </si>
  <si>
    <t>MA-SB2G fordert schriftlich bei TN-B2G das Leihgerät und die Gesetztestexte zurück</t>
  </si>
  <si>
    <t>Brief "Rückgabe Leihgerät - Maßnahme nicht abgeschlossen"
https://admin.delst.de/brief.php?type=sendevorlage&amp;id=390</t>
  </si>
  <si>
    <t>Versand Retoureschein</t>
  </si>
  <si>
    <t>MA-LO versendet den Retoureschein an den TN-B2G</t>
  </si>
  <si>
    <t>Leihgerät wieder eingegangen</t>
  </si>
  <si>
    <t>Leihgerät geht ein, MA-LO trägt dies in AZAV Excel-Liste ein und informiert MA-SB2G</t>
  </si>
  <si>
    <t>MA-LO; MA-SB2G</t>
  </si>
  <si>
    <t>Leihgerät nicht eingegangen - Erinnerung</t>
  </si>
  <si>
    <r>
      <rPr>
        <sz val="11"/>
        <color rgb="FF000000"/>
        <rFont val="Arial"/>
      </rPr>
      <t xml:space="preserve">MA-SB2G erinnert den TN-B2G und fordert diesen auf, das Leihgerät zurückzuschicken,
</t>
    </r>
    <r>
      <rPr>
        <sz val="11"/>
        <color theme="1"/>
        <rFont val="Calibri"/>
        <family val="2"/>
        <scheme val="minor"/>
      </rPr>
      <t>ansonsten wird dieses in Rechnung gestellt</t>
    </r>
  </si>
  <si>
    <t>Mailvorlage "Letzte Aufforderung Rückgabe Leihgerät "
https://synology.bildungscampus-backnang.de:50823/d/f/ngmEdaa8hUj7qiJGyZcYGEKRKF3d6qLj
und Briefvorlage "Letzte Aufforderung Rückgabe Leihgerät"
https://admin.delst.de/brief.php?type=sendevorlage&amp;id=386</t>
  </si>
  <si>
    <r>
      <rPr>
        <sz val="11"/>
        <color rgb="FF000000"/>
        <rFont val="Arial"/>
      </rPr>
      <t xml:space="preserve">Leihgerät nicht eingegangen - 
</t>
    </r>
    <r>
      <rPr>
        <sz val="11"/>
        <color theme="1"/>
        <rFont val="Calibri"/>
        <family val="2"/>
        <scheme val="minor"/>
      </rPr>
      <t xml:space="preserve">Anlage der Gebühr </t>
    </r>
  </si>
  <si>
    <t>MA-SB2G legt eine Zahlung über 499,00 € für das Leihgerät an</t>
  </si>
  <si>
    <t>Leihgerät nicht eingegangen - 
Erstellung der Rechnung</t>
  </si>
  <si>
    <t>MA-SB2G erstellt Vorab-Rechnung für Leihgerät und versendet diese digital an TN-B2C mit der 
Bitte um Begleichung</t>
  </si>
  <si>
    <t>Mailvorlage "Gebühr für Leihgerät"
https://synology.bildungscampus-backnang.de:50823/d/f/u3AMpWgqoGW7UprH1MB5FGmqpdCk0PkA</t>
  </si>
  <si>
    <t>Leihgerät nicht eingegangen - 
Versand der Rechnung</t>
  </si>
  <si>
    <t>MA-LO versendet die Vorab-Rechnung für Leihgerät per Post an TN-B2C</t>
  </si>
  <si>
    <t>Leihgerät nicht eingegangen - 
Rechnung beglichen durch TN</t>
  </si>
  <si>
    <t>MA-SB2G überträgt die Bezahlung des Leihgeräts in die AZAV Excel-Liste</t>
  </si>
  <si>
    <t>Leihgerät nicht eingegangen - 
Rechnung nicht beglichen durch TN</t>
  </si>
  <si>
    <t>MA-SB2G schließt Ticket und vermerkt in der AZAV Excel Liste den aktuellen Stand</t>
  </si>
  <si>
    <t>7.2 Abbruch der Maßnahme</t>
  </si>
  <si>
    <t>Wiki: http://wiki.academyofsports.online/tiki-index.php?page=Abbr%C3%BCche+bei+AZAV+Teilnehmer</t>
  </si>
  <si>
    <t>Abbruch aufgrund von Jobaufnahme, mangelnder
Leistung, Krankheit, sonstiger Gründe</t>
  </si>
  <si>
    <t>MA-SB2G vereinbart mit TN-B2G, ob dieser das Fernstudium noch fertigstellt (ggf. neue
Ratenvereinbarung mit TN-B2G treffen)</t>
  </si>
  <si>
    <t>Erstellung Austrittsmeldung an Förderstelle</t>
  </si>
  <si>
    <t>MA-SB2G erstellt Austrittsmeldung und lädt diese beim TN-B2G hoch</t>
  </si>
  <si>
    <t>Versand Austrittsmeldung an Förderstelle</t>
  </si>
  <si>
    <t xml:space="preserve">MA-SB2G sendet schriftlich ausgefüllte Austrittsmeldung an Förderstelle </t>
  </si>
  <si>
    <t>Mailvorlage "Austrittsmeldung"
https://synology.bildungscampus-backnang.de:50823/d/f/pYrfjILf9IvWchyuSItOk4ND1P5zyqdl</t>
  </si>
  <si>
    <t>Bestätigung des Abbruchs</t>
  </si>
  <si>
    <t>MA-SB2G bestätigt TN-B2G den Abbruch und informiert über Konsequenzen (ggf. neue 
Ratenvereinbarung treffen, falls Förderstelle nicht alle Kosten begleicht)</t>
  </si>
  <si>
    <t>Briefvorlage "Maßnahmenabbruch"
https://admin.delst.de/brief.php?type=sendevorlage&amp;id=297</t>
  </si>
  <si>
    <t>Abbruch in AZAV Excel-Liste eintragen</t>
  </si>
  <si>
    <t>MA-SB2G verschiebt TN-B2G in der AZAV Excel Liste unter "Maßnahme abgeschlossen" mit
Vermerk, was der Grund für den Abbruch ist</t>
  </si>
  <si>
    <t>MA-SB2G trägt Abbruch mit Grund und Summe in Buchungsstatistik in Synology ein</t>
  </si>
  <si>
    <t>Rückforderung Leihgerät</t>
  </si>
  <si>
    <t>MA-SB2G fordert schriftlich bei TN-B2G das Leihgerät zurück</t>
  </si>
  <si>
    <t>Briefvorlage "Rückgabe Leihgerät"
https://admin.delst.de/brief.php?type=sendevorlage&amp;id=390</t>
  </si>
  <si>
    <t>siehe 7.1 Rücktritt der Maßnahme (innerhalb der Testphase) unter dem Reiter MA-SB2G</t>
  </si>
  <si>
    <t>Leihgerät nicht eingegangen - Rechnungstellung</t>
  </si>
  <si>
    <t>8.1 Erstellung/Freischaltung Abschlussdokumente</t>
  </si>
  <si>
    <t>MA-SB2G schaltet die Abschlussdokumente frei, sofern der TN-B2G alle Prüfungsleistungen 
bestanden hat und offizielles Enddatum bereits erreicht ist, unabhängig von Zahlung</t>
  </si>
  <si>
    <r>
      <rPr>
        <sz val="11"/>
        <color rgb="FF000000"/>
        <rFont val="Arial"/>
      </rPr>
      <t xml:space="preserve">Sofern das offizielle Enddatum in der Zukunft, schaltet MA-SB2G die Abschlussdokumente
</t>
    </r>
    <r>
      <rPr>
        <sz val="11"/>
        <color theme="1"/>
        <rFont val="Calibri"/>
        <family val="2"/>
        <scheme val="minor"/>
      </rPr>
      <t>erst zum Enddatum frei</t>
    </r>
  </si>
  <si>
    <t>Mailvorlage "Herzlichen Glückwunsch Abschlussdokumente"</t>
  </si>
  <si>
    <t>8.2 Versand Abschlussdokumente</t>
  </si>
  <si>
    <t>MA-LO versendet Abschlussdokumente zusätzlich immer per Post</t>
  </si>
  <si>
    <t>8.3 Englische Abschlussdokumente</t>
  </si>
  <si>
    <t>MA-SB2G versendet auch englische Abschlussdokumente auf Wunsch des TN-B2G,
ohne Zusatzgebühren</t>
  </si>
  <si>
    <t>8.4 Neue Vorlagen Abschlussdokumente</t>
  </si>
  <si>
    <t xml:space="preserve">siehe 14.4 Neue Vorlagen Abschlussdokumente unter dem Reiter MA-SB2C </t>
  </si>
  <si>
    <t>8.5 Rückforderung Leihgerät</t>
  </si>
  <si>
    <t>MA-SB2G fordert nach Abschluss das Leihgerät zurück</t>
  </si>
  <si>
    <t>Briefvorlage "Rückgabe Leihgerät"
https://admin.delst.de/brief.php?type=sendevorlage&amp;id=372</t>
  </si>
  <si>
    <t>Retoure-Schein per Post an TN-B2G versenden, um Leihgerät zurück zu senden</t>
  </si>
  <si>
    <t>MA-SB2G; MA-LO /
MA-LO; TN-B2G</t>
  </si>
  <si>
    <t>Nacherfassung/Evaluation</t>
  </si>
  <si>
    <t>9.1 Nacherfassung</t>
  </si>
  <si>
    <t>Bewertung erfragen (Fernstudiumcheck oder
Google Bewertung)</t>
  </si>
  <si>
    <t xml:space="preserve">siehe 15.1 Bewertung Plattform unter dem Reiter MA-SB2C </t>
  </si>
  <si>
    <t>Alumni</t>
  </si>
  <si>
    <t>MA-SB2G ruft ca. 14 Tage nach Abschluss TN-B2G an und frägt nach der beruflichen Situation
und ggf. nach der IHK-Prüfung (wird dokumentiert in AZAV Excel Liste und in ela)</t>
  </si>
  <si>
    <t>9.2 Evaluation</t>
  </si>
  <si>
    <t>Nacherfassung/Evaluation - 
6 Monate nach erfolgreichem Abschluss
Erfolgreicher Anruf</t>
  </si>
  <si>
    <t>MA-SB2G ruft TN-B2G ca. 6 Monate nach Abschluss an und frägt nach Arbeitsaufnahme und
ggf. IHK-Prüfungen (wird in AZAV Excel Liste und in ela dokumentiert)</t>
  </si>
  <si>
    <t>Nacherfassung/Evaluation - 
6 Monate nach erfolgreichem Abschluss
Erfolgloser Anruf</t>
  </si>
  <si>
    <t>MA-SB2G frägt TN-B2G ca. 6 Monate nach Abschluss schriftlich nach Arbeitsaufnahme und 
ggf. IHK-Prüfungen (wird in AZAV Excel Liste und in ela dokumentiert)</t>
  </si>
  <si>
    <t>Mailvorlage "Phase 4 Wie sieht deine berufliche Situation aus - nicht erreicht"
https://synology.bildungscampus-backnang.de:50823/d/f/psw4TPq83ER0Z6ZVR246bF7nH2yVWq5q</t>
  </si>
  <si>
    <t>Lerngruppe</t>
  </si>
  <si>
    <t xml:space="preserve">siehe 16 Lerngruppen / Community Management unter dem Reiter MA-SB2C </t>
  </si>
  <si>
    <t>11.1 Fehlermeldung</t>
  </si>
  <si>
    <t xml:space="preserve">siehe 17.1 Fehlermeldung unter dem Reiter MA-SB2C </t>
  </si>
  <si>
    <t>11.2 QM-Abweichung</t>
  </si>
  <si>
    <t xml:space="preserve">siehe 17.2 QM-Abweichung unter dem Reiter MA-SB2C </t>
  </si>
  <si>
    <t>Kostenübernahme IHK-Prüfung (bei IHK-Weiterbildungen)</t>
  </si>
  <si>
    <t>IHK-Gebührenbescheid -
Kostenübernahme vorgesehen</t>
  </si>
  <si>
    <t>MA-SB2G prüft IHK-Gebührenbescheid, unterschreibt diesen und lädt ihn beim TN-B2G hoch</t>
  </si>
  <si>
    <t>Wiki: http://wiki.academyofsports.online/tiki-index.php?page=Geb%C3%BChrenbescheid+IHK+AZAV</t>
  </si>
  <si>
    <t>IHK-Gebührenbescheid -
Begleichung der Gebühren</t>
  </si>
  <si>
    <t>MA-SB2G bittet MA-B um Anweisung des Gebührenbescheides</t>
  </si>
  <si>
    <t>MA-SB2G; MA-B</t>
  </si>
  <si>
    <t>IHK-Gebührenbescheid -
Kostenübernahme nicht vorgesehen</t>
  </si>
  <si>
    <t>Sofern es sich nicht um Erstgebühren oder die Zulassungsgebühren handelt, informiert MA-SB2G
die IHK, dass der TN-B2G die Kosten selbst tragen muss</t>
  </si>
  <si>
    <t>Mailvorlage "Gebührenbescheid Keine Kostenübernahme "
https://synology.bildungscampus-backnang.de:50823/d/f/p65TukjnxQKecPJlfD3Mer4avThviqDQ</t>
  </si>
  <si>
    <r>
      <rPr>
        <sz val="11"/>
        <color rgb="FF000000"/>
        <rFont val="Arial"/>
      </rPr>
      <t xml:space="preserve">IHK-Gebührenbescheid -
</t>
    </r>
    <r>
      <rPr>
        <sz val="11"/>
        <color theme="1"/>
        <rFont val="Calibri"/>
        <family val="2"/>
        <scheme val="minor"/>
      </rPr>
      <t>Falsche Rechnungsanschrift</t>
    </r>
  </si>
  <si>
    <t>Falls auf dem Gebührenbescheid die Adresse des TN-B2G steht,, bittet MA-SB2C den TN-B2G,
bei der IHK einen neuen Gebührenbescheid mit der richtigen Rechnungsanschrift anzufordern</t>
  </si>
  <si>
    <t>Förderung über Deutsche Rentenversicherung (DRV)</t>
  </si>
  <si>
    <t>Teilnahme über DRV</t>
  </si>
  <si>
    <t>TN-B2G werden wie AZAV-TN-B2G behandelt
(Keine Eignungsfeststellung und IHK-Zulassung vorgesehen)</t>
  </si>
  <si>
    <t>Wiki: http://wiki.academyofsports.online/tiki-index.php?page=Teilnahme+%C3%BCber+Deutsche+Rentenversicherung+%28DRV%29</t>
  </si>
  <si>
    <t>Förderung nach §16i SGB II Soziale Teilhabe am Arbeitsmarkt</t>
  </si>
  <si>
    <t>Teilnahme über §16i SGB II Soziale Teilhabe am 
Arbeitsmarkt</t>
  </si>
  <si>
    <t>TN-B2G werden wie AZAV-TN-B2G behandelt
(Kein Bildungsgutschein vorliegend, wird über Rechnung übernommen, AZAV Preis)</t>
  </si>
  <si>
    <t>Beschreibung</t>
  </si>
  <si>
    <t>Bedingungen (ex-ante)</t>
  </si>
  <si>
    <t>Bedingungen (ex-post)</t>
  </si>
  <si>
    <t>Allgemeine Verfahrensanweisungen der Studienbetreuung, Bildungsberatung, Fördermöglichkeiten, Interessenten-anfragen, Online Campus, Teilnehmerbetreuung</t>
  </si>
  <si>
    <r>
      <t xml:space="preserve">Allgemeine Verfahrensanweisungen der Studienbetreuung, Bildungsberatung, Fördermöglichkeiten, Interessenten-anfragen
</t>
    </r>
    <r>
      <rPr>
        <sz val="11"/>
        <color rgb="FFFF0000"/>
        <rFont val="Arial"/>
      </rPr>
      <t>=&gt;ggf. i.V.m. Patrick &amp; Steffen Bogen erarbeiten</t>
    </r>
  </si>
  <si>
    <t xml:space="preserve">3.2. MA-AZAV beantragt MN-Nr. beim zust. (prüft dies) OS der BA </t>
  </si>
  <si>
    <t>unklar</t>
  </si>
  <si>
    <r>
      <rPr>
        <sz val="11"/>
        <color rgb="FF000000"/>
        <rFont val="Arial"/>
      </rPr>
      <t xml:space="preserve">Zugangsdaten werden vom zuständigen MA-VB2G angelegt und versendet, um den Zugriff auf den OC zu ermöglichen. Sie sind wichtig, um die Sicherheit des Systems zu gewährleisten, die Identität des TN zu überprüfen, den Zugriff auf Informationen und Funktionen zu verwalten, die Compliance-Anforderungen einzuhalten und Benutzeraktivitäten zu überwachen.
</t>
    </r>
    <r>
      <rPr>
        <sz val="11"/>
        <color rgb="FF0078FF"/>
        <rFont val="Arial"/>
      </rPr>
      <t>siehe 1.3 Zugangsdaten unter dem Reiter MA-SB2C</t>
    </r>
  </si>
  <si>
    <r>
      <rPr>
        <sz val="11"/>
        <color rgb="FF000000"/>
        <rFont val="Arial"/>
      </rPr>
      <t xml:space="preserve">Die Bildungsmaßnahme muss vom zuständigen MA-VB2G eingebucht werden, um sicherzustellen, dass der TN offiziell für die Maßnahme angemeldet ist und Zugang zu allen relevanten Informationen und Ressourcen hat. 
</t>
    </r>
    <r>
      <rPr>
        <sz val="11"/>
        <color rgb="FF0078FF"/>
        <rFont val="Arial"/>
      </rPr>
      <t>siehe 1.4 Fernkursbuchung unter dem Reiter MA-SB2C</t>
    </r>
  </si>
  <si>
    <t>MA-P, MA-AZAV, MA-SA, MA-VB2G</t>
  </si>
  <si>
    <t>Der Prozess stellt sicher, dass der TN das Gerät vor Beginn der Bildungsmaßnahme erhält und sich rechtzeitig damit vertraut machen kann. MA-LO versendet das Leihgerät per Post und trägt den TN-B2G in die AZAV-Excel-Liste unter dem Reiter "Leihgerät" ein.</t>
  </si>
  <si>
    <t>Erfassung unter: https://synology.bildungscampus-backnang.de:50823/drive/oo/r/m1vsJhjZ72LZ3pwD3VijoR1t4w4Rvzls
und
Briefvorlage "Versand PC-Leihgerät"
https://admin.delst.de/brief.php?type=sendevorlage&amp;id=345</t>
  </si>
  <si>
    <t>Durch die Erinnerung an den fehlenden Eingang der IHK-Prüfungszulassung stellt der MA-VB2G sicher, dass der TN-B2C aktiv wird, um den erforderlichen Antrag einzureichen und die Teilnahme an der Prüfung nicht zu gefährden.</t>
  </si>
  <si>
    <t>MA-VB2G; MA-SB2G</t>
  </si>
  <si>
    <t>2.6 Kommunikation mit Fördermittelgebern</t>
  </si>
  <si>
    <t>Das Institut bleibt in Kontakt mit dem Arbeitsvermittler bzw. der Agentur für Arbeit, um den Status der Fördermittel und eventuelle Fragen zu klären. Ergänzende Kontaktpflege, um weitere Bildungsgutscheine von diesem Berater zu erhalten. Beim Krisenintervention/komplexen Fragen/Sachverhalten, ggf. MA-AZAV konsultieren/hinzuziehen. Ebenso sollte Prozess zur Kommunikation/Interaktion/der Beteiligten bei Beschwerden/leistungsschwachen/undiszipl. TN entlang Schnittstellen erdacht werden.</t>
  </si>
  <si>
    <t>Betreuung während des Fernkurses (Phaseneintrag AZAV)</t>
  </si>
  <si>
    <t>2.1 Innerhalb der Testphase</t>
  </si>
  <si>
    <t>2.2 Im Verlauf</t>
  </si>
  <si>
    <t>Paketzustellung</t>
  </si>
  <si>
    <t>4.1 Buchung Live-Webinar</t>
  </si>
  <si>
    <t>siehe 2.1 Innerhalb der Testphase unter dem Reiter MA-SB2G</t>
  </si>
  <si>
    <t>4.2 Einladung Live-Webinar</t>
  </si>
  <si>
    <t>4.3 Umbuchung Live-Webinar</t>
  </si>
  <si>
    <t>4.4 Stornierung Live-Webinar</t>
  </si>
  <si>
    <t>4.5 Teilnehmerliste</t>
  </si>
  <si>
    <t>4.6 Aufzeichnung Live-Webinar</t>
  </si>
  <si>
    <t>5.1 Lernkontrollfragen (LKF)</t>
  </si>
  <si>
    <t>5.2 Einsendeprüfung (online)</t>
  </si>
  <si>
    <t xml:space="preserve">5.3 Einsendearbeit (online) </t>
  </si>
  <si>
    <t>5.4 Abschlussprüfung (online)</t>
  </si>
  <si>
    <t>5.5 Abschlussarbeit (online)</t>
  </si>
  <si>
    <t>5.6 Theoretische Online-Abschlussprüfung (tAP)</t>
  </si>
  <si>
    <t>5.6.1 Buchungsprozess tAP</t>
  </si>
  <si>
    <t>5.6.2 Einladung tAP</t>
  </si>
  <si>
    <t>5.6.3 Ablauf tAP</t>
  </si>
  <si>
    <t>5.6.4 Notenbekanntgabe tAP</t>
  </si>
  <si>
    <t>5.6.5 Prüfungswiederholung tAP</t>
  </si>
  <si>
    <t>5.6.6 Prüfungseinsicht tAP</t>
  </si>
  <si>
    <t>5.6.7 Zweitkorrektur tAP</t>
  </si>
  <si>
    <t>5.7 Mündliche Prüfung (KomT Praxisnote)</t>
  </si>
  <si>
    <t>5.8 Anerkennung von Prüfungsleistungen</t>
  </si>
  <si>
    <t>6.1 Rücktritt der Maßnahme (innerhalb der Testphase)</t>
  </si>
  <si>
    <t>6.2 Abbruch der Maßnahme</t>
  </si>
  <si>
    <t>siehe 6.1 Rücktritt der Maßnahme (innerhalb der Testphase) unter dem Reiter MA-SB2G</t>
  </si>
  <si>
    <t>7.1 Erstellung/Freischaltung Abschlussdokumente</t>
  </si>
  <si>
    <t>7.2 Versand Abschlussdokumente</t>
  </si>
  <si>
    <t>7.3 Englische Abschlussdokumente</t>
  </si>
  <si>
    <t>7.4 Neue Vorlagen Abschlussdokumente</t>
  </si>
  <si>
    <t>7.5 Rückforderung Leihgerät</t>
  </si>
  <si>
    <t>8.1 Nacherfassung</t>
  </si>
  <si>
    <t>8.2 Evaluation</t>
  </si>
  <si>
    <t>10.1 Fehlermeldung</t>
  </si>
  <si>
    <t>10.2 QM-Abweichung</t>
  </si>
  <si>
    <t>Teilnahme über §16i SGB II (Soziale Teilhabe am 
Arbeitsmarkt)</t>
  </si>
  <si>
    <t>TN-B2G werden wie AZAV-TN-B2G behandelt
(Kein Bildungsgutschein vorliegend, wird über Rechnung übernommen, AZAV Preis)
=&gt;Thematik bestätigt die von MA-AZAV angeregte, regelm. Schulungen der MA, unternehmerische Fokussiereung und einschlägige personelle Ergänzungsbedarfe</t>
  </si>
  <si>
    <t>Ein Prozess, der transparent Erfahrung/Leistung und Qualifikation der ext. MA honoriert und fördert sowie zum Institut passende bindet bzw. ebd. neue akquiriert ist zu def.</t>
  </si>
  <si>
    <t>Ein Prozess, der transparent Erfahrung/Leistung und Qualifikationsprofile der Alumni systematisch und bedarfsorientiert analysiert und passende Profile akquiriert ist zu def.</t>
  </si>
  <si>
    <t>Virtuelle Räume anbieten / stehen zur Verfügung, Partner werden strategisch gesucht</t>
  </si>
  <si>
    <t>Virtuelle Räume anbieten / stehen zur Verfügung, Alumni werden strategisch gesucht</t>
  </si>
  <si>
    <t>Coaching i. d. R. Betreuung ausbauen, entsprechende MA einstellen/weiterbilden und Verfahrensanweisunge für Fallstrukturen schaffen</t>
  </si>
  <si>
    <r>
      <rPr>
        <sz val="11"/>
        <color rgb="FF000000"/>
        <rFont val="Arial"/>
      </rPr>
      <t xml:space="preserve">Das Bildungsinstitut stellt den Absolventen Informationen zu Stellenangeboten und Praktikumsmöglichkeiten (vor allem Umschulungen erfordern ein Netzwerk an Kontakten!)zur Verfügung, die auf ihre Qualifikationen und Interessen abgestimmt sind. Hierbei kann eine Zusammenarbeit mit Unternehmen und Partnerorganisationen hilfreich sein. 
=&gt;AG könnten z.B. i.R. einer Kooperation (z.B. Fitnessstudios) gegen Honorar TN vermittelt bekommen und sich evtl. Eingliederungszuschüsse (EGZ; https://www.arbeitsagentur.de/unternehmen/finanziell/eingliederungszuschuss-zur-foerderung-arbeitsaufnahme) vom Kostenträger erstatten lassen (individuelle Entscheidung, i.d.R. nur bei TN mit "Hemmnissen"; max. 12 Monate, max. 50% des Entgelts), um Honorare ggf. auszugleichen.-&gt;Hierzu wäre ebenfalls ein Prozess, der auch die Vorgehensweise bei Koperation/Vertragsschluss inkl. Information bzgl. Förderoptionen umfasst, nötig.
</t>
    </r>
    <r>
      <rPr>
        <sz val="11"/>
        <color theme="1"/>
        <rFont val="Calibri"/>
        <family val="2"/>
        <scheme val="minor"/>
      </rPr>
      <t>Mehr zu den Zuständigkeiten der Träger: https://synology.bildungscampus-backnang.de:50823/?launchApp=SYNO.SDS.Drive.Application#file_id=759446429801429220</t>
    </r>
  </si>
  <si>
    <t>Um die Alumni auf dem Laufenden zu halten, wird ein regelmäßiger Informationsaustausch über Neuigkeiten, Erfolgsgeschichten und Aktivitäten des Instituts sowie relevante berufliche Entwicklungen organisiert. Dies kann über verschiedene Kanäle erfolgen, wie Newsletter, Social-Media-Gruppen oder eine dedizierte Alumni-Webseite. 
=&gt;Ggf. I.R. der Eingliederungsbefragungen sehr "erfolgreiche" Alumni als Testinmonials und ggf. weitere Rollen gewinnen und entsprechende Anreize setzen. =&gt; Mailingsystem.
Mehr zu den Zuständigkeiten der Träger: https://synology.bildungscampus-backnang.de:50823/?launchApp=SYNO.SDS.Drive.Application#file_id=759446429801429220</t>
  </si>
  <si>
    <t>Produktentwicklung mit Relevanz</t>
  </si>
  <si>
    <t>Produktentwicklunng</t>
  </si>
  <si>
    <t xml:space="preserve">Priorisierung, welche  Produkte und damit welcher Arbeitsbereich (SZ oder AZAV) vorrangig entwickelt werden soll. Die Dekra hat klipp und klar mitgeteilt, dass ZFU und AZAV-Zulassung sich in Zukunft nicht großartig unterscheiden dürfen, sonst lassen sie die MN nicht zu oder fordern korrigierte ZFU-Bescheide an.
</t>
  </si>
  <si>
    <t>Geschäftsführung, MA-AZAV</t>
  </si>
  <si>
    <t>sgtrategische Ausrichtung auf Basis der Erfolgsaussichten (Zielgruppen-, Umsatz- und Realisierungspotenzial/-möglichkeiten)</t>
  </si>
  <si>
    <t>neuer Prozess</t>
  </si>
  <si>
    <t>Valide Priorisierung und entsprechend abgeleiteter Prozess, der klare Zuständigkeiten und Verantwortung regelt</t>
  </si>
  <si>
    <t>1. Bei der ZFU-Zulassung muss künftig bereits analog die AZAV-Kalk./Umfang feststehen.</t>
  </si>
  <si>
    <t>2. Beides muss somit von Anfang an parallel laufen =&gt; es muss also umso mehr eine Entscheidung fallen, welche Weiterbildung mit welcher Prio neu entwickelt wird.</t>
  </si>
  <si>
    <t xml:space="preserve">3. AZAV-Relevanzbemessung, s. entspr. Reiter </t>
  </si>
  <si>
    <t>4. Zudem, muss def. werden, wer dabei, schon wegen den Kosten und des Umfangs, den Hut auf hat.</t>
  </si>
  <si>
    <t>5. AZAV-Bereich verspricht höhere Kosten/Umsätze, denn:
-Wer hat die Zeit, eine Weiterbildung zu absolvieren und sollte vakante Zeiten sinnvoll nutzen?
-Wer hat das Geld, da er gefördert wird bzw. die (höheren vgl. Selbstzahler) Kosten nicht zu tragen hat (zudem sind die Kalkulationsgrundlagen/-parameter aufgrund des B-DKS bekannt)?
-Wer hat den finanziellen Anreiz, nämlich die Verlängerung des Anspruchs (SGB III) bzw. Boni bei Weiterbildung (SGB II)?
-Wer hat den Druck, Qualifikationen anzupassen, aus- oder aufzubauen um (wieder) wettbewerbsfähig(er) zu sein?
=&gt;Dies ist (i.d.R.) immer der Arbeitslose.</t>
  </si>
  <si>
    <t>MA-AZAV mit ggf. Fachabteilung</t>
  </si>
  <si>
    <t>Klärung</t>
  </si>
  <si>
    <t>Die Zulassungen müssen regelmäßig aktualisiert und verlängert werden, um die Kontinuität der Bildungsmaßnahmen sicherzustellen. Hierzu gehören das Einreichen von Verlängerungsanträgen und die Bereitstellung aktueller Informationen zu den Bildungsangeboten. Insbesondere Änderungen der Inhalte/Lernmittel und die Erfolgsbemessung/Arbeitsmarktrelevanz. 
=&gt;Es sollte ein System, basierend auf der Vertriebs- (Buchungen/Nachfrage i.R. Beratung etc.)) und TN-Evaluation (Abbrüche/Abschluss/Eingliederungsquote etc.) geschaffen werden, das rechtzeitig einen validen Konsens über Verlängerung, ggf. vorherige Modifikation, oder Outsourcing der MN ermöglicht, die auch die Förderziele der Kostenträger berücksichtigt (ggf. Punktesystem).
Zudem ggf. eine Art Ticketsystem, das zu einem def. Zeitpunkt informiert, wenn die Zertifizierung eines (MN-)Bausteins ausläuft. Analog könnte das Ticket auch zur TN-Überwachung und zur Aktualisierungsnotwendigkeit der MN im Kursnet genutzt werden.
=&gt;Wichtig ist eine Kohärenz der Unterlagen. So sollten ZFU-Bescheid und AZAV-Zulassung inhaltlich/bzgl. Umfang etc. sich nicht widersprechen, da z.B. FKS ZFU-Bescheide anfordert.</t>
  </si>
  <si>
    <t>Die Zulassungen werden bei anderen relevanten Partnern, wie Unternehmen und Kooperationspartnern, mitgeteilt, um eine erfolgreiche Zusammenarbeit zu gewährleisten, z.B. AZAV-Flyer i.R. des QCG bei AG bzw. allgemeine sowie Kataloge/Mailings bei den Kostenträgern, um AZAV-Angebot zu verdeutlichen. Zertifikate nur auf Verlangen/wo obligatorisch z.B. Kursnet/Kostenträger Qualischecks vorlegen. 
Mehr zu den Zuständigkeiten der Träger: https://synology.bildungscampus-backnang.de:50823/?launchApp=SYNO.SDS.Drive.Application#file_id=759446429801429220</t>
  </si>
  <si>
    <t>Schulung der Mitarbeiter in Zulassungsverfahren + AZAV-Spezifika</t>
  </si>
  <si>
    <t>MA, die AZAV-&gt;Relevanz. besitzen, müssen geeignete Weiterbildungen erhalten (ext. und int.), in Auditprozess obligatorisch und bevorzugt einbezogen und bei Bedarf auditiert werden.</t>
  </si>
  <si>
    <t>WICHTIG ist der Dakks nur, dass "Überprüfungen stattfinden" (DOKUMENTIERT).
D.h. wenn 1.1. - 1.3. nicht der Fall, könnten z.B. auch einfach stichprobenartig Audits in Form von Dokumentenprüfungen stattfinden, z.B. das Nachkommen der Dokumentationspflichten etc. Es sollten nur einige im laufenden Jahr dok. überprüft werden.
=&gt;Auditdokumentation und Kommunikation zwischen Auditor und MA-AZAV bzw. auch gemeinsame Veranlassungsentscheidung (Indikatoren)?</t>
  </si>
  <si>
    <t>Werten Sie die Ergebnisse des Audits aus und identifizieren Sie Bereiche, in denen Verbesserungen erforderlich sind. Berücksichtigen Sie dabei insbesondere die Besonderheiten von Fernlehrgängen, wie die Qualität der Lernmaterialien und die Betreuung der Teilnehmer. 
=&gt;Hierzu müssen Auditberichte, in Haupt- und Nebenabweichungen untergliedert, ausgewertet und To Dos abgeleitet werden. Diese gehen an die jeweiligen Verantwortlichen, ggf. unter Ansetzung der vom Auditor vorgegebenen Deadline, i.d.R. 4 Wochen. Zentrale Überwachung MA-AZAV. Bearbeitung von Haupt-Abweichung Prio 1! Es sollte jedoch auch eine Deadline zur Umsetzung von Empfehlungen geben, hierzu ggf. TL als Bindeglied zur praktikablen Umsetzung im Alltag.</t>
  </si>
  <si>
    <t xml:space="preserve"> MA-AZAV, Ggf. Prozessm.</t>
  </si>
  <si>
    <t>Ggf. Prozessm., TL, MA-AZAV</t>
  </si>
  <si>
    <t>Sammlung und Auswertung von Daten zu Marketingaktivitäten, um deren Effektivität und Reichweite zu überprüfen. Clusterung regional, auch i.V.m. STO, analysieren. Ggf. auch analog regionaler BA/JC-Zuständigkeit. Abgleich mit Buchungszahlen, Versagungszahlen, erfolgreicher Teilnahme nach Weiterbildung, Zielgruppe u.v.m.</t>
  </si>
  <si>
    <t>MA-M, MA-AZAV</t>
  </si>
  <si>
    <t>AZAV-relevante Themen ermitteln und zielgruppenorientiert (Inhalt, Medium, Sprache) kommunizieren</t>
  </si>
  <si>
    <t>Krisenkommunikation/problematische bzw. sensible Kommunikation</t>
  </si>
  <si>
    <t>Entwicklung und Umsetzung von Strategien zur Bewältigung von Kommunikationskrisen, um das Image des Instituts zu schützen und möglichen negativen Auswirkungen entgegenzuwirken. 
=&gt;Kursnetbewertung durch TN stets AUS lassen!
=&gt;Fernstudiencheck reflektieren
=&gt;Kununu reflektieren
=&gt;Krisenkommnikation mit Kostenträgern ansonsten m.E.-&gt;Aufgabe der TN-Betreuuung i.V.m. MA-AZAV.-&gt;Ggf. könnten für Schriftverkehr Textbausteine gemeinsam ausgearbeitet werden (Termini etc.).-&gt;
1. Anliegen/Sachverhalt/Anwendungskontext durch Studienbetreuung
2. inhaltliche Konsistenz durch MA-AZAV
3. Texterstellung MA-M ODER MA-AZAV, je nach Sachverhalt, z.B. TN-BESCHWERDE
=&gt;was wird für wen und wie aufbereitet (WORDING/FACHTERMINI)?</t>
  </si>
  <si>
    <t>Schritt 1: Erfassen aller Kern- , Teilprozesse und Use-Cases.</t>
  </si>
  <si>
    <t>Schritt 2: Use-Cases, welche für die Funktionalität von elaAdministration und elaCampus essentiell sind, Zeile markieren.</t>
  </si>
  <si>
    <t>#7</t>
  </si>
  <si>
    <t>IN-A1</t>
  </si>
  <si>
    <r>
      <t>Interessent im System erfassen (B2C+B2B+</t>
    </r>
    <r>
      <rPr>
        <b/>
        <sz val="11"/>
        <color rgb="FFD30E91"/>
        <rFont val="Arial"/>
      </rPr>
      <t>B2G</t>
    </r>
    <r>
      <rPr>
        <sz val="11"/>
        <color theme="1"/>
        <rFont val="Calibri"/>
        <family val="2"/>
        <scheme val="minor"/>
      </rPr>
      <t>)</t>
    </r>
  </si>
  <si>
    <t>IN-A2</t>
  </si>
  <si>
    <t>Automatisches importieren aller relevanten Daten des Interessenten</t>
  </si>
  <si>
    <t>IN-A3</t>
  </si>
  <si>
    <t>Automatische Anlage eines IN Datensatz / Person Anlegen</t>
  </si>
  <si>
    <r>
      <t xml:space="preserve">Interessent wird im System erfasst, Mindestvoraussetzung (Anrede, Vorname + Nachname + E-Mail + TAG setzen für LeadB2C,LeadB2B oder </t>
    </r>
    <r>
      <rPr>
        <sz val="11"/>
        <color rgb="FFD30E91"/>
        <rFont val="Arial"/>
      </rPr>
      <t>LeadB2G</t>
    </r>
    <r>
      <rPr>
        <sz val="11"/>
        <color theme="1"/>
        <rFont val="Calibri"/>
        <family val="2"/>
        <scheme val="minor"/>
      </rPr>
      <t>)</t>
    </r>
  </si>
  <si>
    <t>IN wird bei ELA als IN erfasst</t>
  </si>
  <si>
    <t>Interessent wird im System erfasst</t>
  </si>
  <si>
    <t>Import durch Marketing</t>
  </si>
  <si>
    <t>IN-A4</t>
  </si>
  <si>
    <t>Ticket am Interessentendatensatz mit allen relevanten Informationen</t>
  </si>
  <si>
    <t xml:space="preserve">Ein sofort fälliges Ticket wird erzeugt, welches über die Herkunft/Quelle des Interessenten informiert. Für welchen Lehrgang sich der Interessent interessiert, welche Informationen der Interessent bereits erhalten hat und an welchem Datum. </t>
  </si>
  <si>
    <t>Ein Ticket kann bei ELA erstellt werden</t>
  </si>
  <si>
    <t>Kontakteintrag wird erzeugt</t>
  </si>
  <si>
    <t>IN-A5</t>
  </si>
  <si>
    <t>Bei Angabe Telefonnummer: Zweites Ticket eröffnen</t>
  </si>
  <si>
    <t>Ein Interessent hinterlässt seine Telefonnummer. In diesem Fall wird ein Ticket erstellt mit "Telefonnummer vorhanden" und entsprechend des Tags, dem passenden Ticketpool zugewiesen. Fälligkeit am nächsten Tag.</t>
  </si>
  <si>
    <t>manueller Prozess</t>
  </si>
  <si>
    <t>IN-A6</t>
  </si>
  <si>
    <t>Manuelles übertragen aller relevanten Daten des Interessenten über Externe Quellen oder Inbound Kontaktaufnahme</t>
  </si>
  <si>
    <t>IN-A7</t>
  </si>
  <si>
    <t>Anlage eines IN Datensatz / Person Anlegen</t>
  </si>
  <si>
    <r>
      <t xml:space="preserve">Interessent wird im System erfasst, Mindestvoraussetzung (Anrede, Vorname + Nachname + TAG setzen für LeadB2C,LeadB2B oder </t>
    </r>
    <r>
      <rPr>
        <sz val="11"/>
        <color rgb="FFD30E91"/>
        <rFont val="Arial"/>
      </rPr>
      <t>LeadB2G</t>
    </r>
    <r>
      <rPr>
        <sz val="11"/>
        <color theme="1"/>
        <rFont val="Calibri"/>
        <family val="2"/>
        <scheme val="minor"/>
      </rPr>
      <t>)</t>
    </r>
  </si>
  <si>
    <t>IN, MA-VA</t>
  </si>
  <si>
    <t>ähnlich</t>
  </si>
  <si>
    <t>Automation via Schnittstellen</t>
  </si>
  <si>
    <t>manuelle Erfassung der eingehenden Leads per E-Mail durch einen MA-B2C</t>
  </si>
  <si>
    <t>IN-A8</t>
  </si>
  <si>
    <t xml:space="preserve">Ein sofort fälliges Ticket wird erstellt, welches über die Herkunft/Quelle des Interessenten informiert. Für welchen Lehrgang sich der Interessent interessiert, welche Informationen der Interessent bereits erhalten hat und an welchem Datum. </t>
  </si>
  <si>
    <t>identisch</t>
  </si>
  <si>
    <t>IN-A9</t>
  </si>
  <si>
    <t>abweichend durch Alpha &amp; Beta</t>
  </si>
  <si>
    <t>IN-B1</t>
  </si>
  <si>
    <t>Leads über Vergleichs-/ Bewertungs- / Vermittlungsportale &amp; Social Media (B2C)</t>
  </si>
  <si>
    <t>Übergabe durch Marketing</t>
  </si>
  <si>
    <t>IN-B2</t>
  </si>
  <si>
    <r>
      <rPr>
        <sz val="11"/>
        <color rgb="FF000000"/>
        <rFont val="Arial"/>
      </rPr>
      <t xml:space="preserve">Manuelle Anlage eines IN Datensatz / Person Anlegen </t>
    </r>
    <r>
      <rPr>
        <b/>
        <sz val="11"/>
        <color rgb="FF0078FF"/>
        <rFont val="Arial"/>
      </rPr>
      <t>(Ablauf aus Zeile 17-19 vgl. IN-A961)</t>
    </r>
  </si>
  <si>
    <t>Interessent wird im System erfasst, Mindestvoraussetzung (Anrede, Vorname + Nachname + TAG setzen für LeadB2C,LeadB2B oder LeadB2G)</t>
  </si>
  <si>
    <t>Der IN-Datensatz wird über E-Mailmarketing bespielt (bis zur Kontaktaufnahme des IN oder das Mailing ausgelaufen ist)</t>
  </si>
  <si>
    <t>Clever-Reach IN E-Mailmarketing</t>
  </si>
  <si>
    <t>Der IN-Datensatz wird über Follow-Up E-Mails via Clever-Reach bespielt und ein Kommentar beim IN gesetzt</t>
  </si>
  <si>
    <t>Kommentar taucht beim Interessenten auf</t>
  </si>
  <si>
    <t>Erstellung aller Relevanten Mailings in Clever-Reach</t>
  </si>
  <si>
    <t>Import des Interessenten bei Clever-Reach</t>
  </si>
  <si>
    <t>Jeder neue Interessent, wird automatisch durch einen Mitarbeitenden des Vertriebs (Assistenz) bei Clever-Reach angelegt und das entsprechende Mailing über Tag´s ausgelöst.</t>
  </si>
  <si>
    <t>Reibungsloser Import bei Clever-Reach, anhand der vorgebenen CSV Datei</t>
  </si>
  <si>
    <t>IN ist bei Clever-Reach angelegt</t>
  </si>
  <si>
    <t>manuelle Erfassung der eingehenden Leads per E-Mail durch einen MA-B2C bei Clever Reach</t>
  </si>
  <si>
    <t>Deaktivierung des Interessenten bei Clever-Reach</t>
  </si>
  <si>
    <t>Inaktiv stellen eines Interessenten der TN geworden ist, durch einen MA-VA. Der MA-VA gleicht anhand einer Interessententabelle und via ELA-Personensuche ab, ob ein Interessent zu einem TN geworden ist.</t>
  </si>
  <si>
    <t>IN, TN, MA-VA</t>
  </si>
  <si>
    <t>Deaktivierung von Datensätzen bei Clever-Reach funktioniert reibungslos</t>
  </si>
  <si>
    <t>manuelle Deaktivierung des konvertierten IN durch einen MA-B2C bei Clever Reach</t>
  </si>
  <si>
    <t>Newsletter an IN via Clever-Reach</t>
  </si>
  <si>
    <t>Der IN-Datensatz wird über ein Rabattaktions-"Newsletter" bespielt</t>
  </si>
  <si>
    <r>
      <t xml:space="preserve">IN, MA-B2C, </t>
    </r>
    <r>
      <rPr>
        <b/>
        <sz val="11"/>
        <color rgb="FFD30E91"/>
        <rFont val="Arial"/>
      </rPr>
      <t>MA-M</t>
    </r>
  </si>
  <si>
    <t>Newsletterfunktion bei Clever-Reach funktioniert</t>
  </si>
  <si>
    <r>
      <t xml:space="preserve">Erstellung des Newsletters: Inhalte: </t>
    </r>
    <r>
      <rPr>
        <b/>
        <sz val="11"/>
        <color rgb="FFD30E91"/>
        <rFont val="Arial"/>
      </rPr>
      <t>MA-M</t>
    </r>
    <r>
      <rPr>
        <sz val="11"/>
        <color theme="1"/>
        <rFont val="Calibri"/>
        <family val="2"/>
        <scheme val="minor"/>
      </rPr>
      <t xml:space="preserve"> und MA-B2C in Clever-Reach</t>
    </r>
  </si>
  <si>
    <t>Leads über Studieninformationen, (Kataloge) (B2C)</t>
  </si>
  <si>
    <r>
      <t xml:space="preserve">Automatische Anlage eines IN Datensatz / Person Anlegen </t>
    </r>
    <r>
      <rPr>
        <b/>
        <sz val="11"/>
        <color rgb="FF0078FF"/>
        <rFont val="Arial"/>
      </rPr>
      <t>(Ablauf aus Zeile 13-15)</t>
    </r>
  </si>
  <si>
    <r>
      <rPr>
        <sz val="11"/>
        <color rgb="FF000000"/>
        <rFont val="Arial"/>
      </rPr>
      <t xml:space="preserve">Manuelle Anlage eines IN Datensatz / Person Anlegen </t>
    </r>
    <r>
      <rPr>
        <b/>
        <sz val="11"/>
        <color rgb="FF0078FF"/>
        <rFont val="Arial"/>
      </rPr>
      <t>(Ablauf aus Zeile 17-19)</t>
    </r>
  </si>
  <si>
    <r>
      <t xml:space="preserve">Clever-Reach IN E-Mailmarketing </t>
    </r>
    <r>
      <rPr>
        <b/>
        <sz val="11"/>
        <color rgb="FF0078FF"/>
        <rFont val="Arial"/>
      </rPr>
      <t>(Ablauf aus Zeile 26-29)</t>
    </r>
  </si>
  <si>
    <t>Schritt 4: Übergreifende Aufgabenverteilung - SCHRIFTfarbe dient zur schnelleren visuellen Erfassung, das an dieser Stelle ein Link zu einem anderen Prozess verknüpft werden muss oder ein Übergreifender Use-Case abgestimmt werden muss</t>
  </si>
  <si>
    <t>Schritt 5: Ein identischer Prozess wurde im Detail bereits beschrieben, ist aber die Vorbedingung an verschiedenen Stellen. Hier wird auf die ursprüngliche Verfahrensanweisung verwiesen.</t>
  </si>
  <si>
    <t>Beratungsprozesse</t>
  </si>
  <si>
    <t>1.1 Proaktive Kontaktaufnahme eines IN-B2C</t>
  </si>
  <si>
    <t>1.1.2 Telefonische Kontaktaufnahme eines IN-B2C</t>
  </si>
  <si>
    <t>Interessent im System vorhanden ? ja/nein</t>
  </si>
  <si>
    <t>Prüfung eines vorhandenen Datensatzes</t>
  </si>
  <si>
    <t>MA-VB2C</t>
  </si>
  <si>
    <t>Datensatz ja oder nein</t>
  </si>
  <si>
    <t>Wenn nein: Interessent im System anlegen</t>
  </si>
  <si>
    <t>Siehe IN - 1.2 Interessent im System anlegen</t>
  </si>
  <si>
    <t>neuer IN wird angelegt</t>
  </si>
  <si>
    <t>Telefonische Beratung</t>
  </si>
  <si>
    <t>Beratung nach Leitfaden Vertrieb</t>
  </si>
  <si>
    <t>IN, MA-VB2C</t>
  </si>
  <si>
    <t>Positive Beratung mit Abschluss</t>
  </si>
  <si>
    <t>Telefonischer Abschluss</t>
  </si>
  <si>
    <r>
      <t xml:space="preserve">Interessent wird zum TN. </t>
    </r>
    <r>
      <rPr>
        <sz val="11"/>
        <color rgb="FF0078FF"/>
        <rFont val="Arial"/>
      </rPr>
      <t>Siehe TN-B2C Punkt 1</t>
    </r>
  </si>
  <si>
    <t>IN,TN</t>
  </si>
  <si>
    <t>Rolle IN wird zu Rolle TN</t>
  </si>
  <si>
    <t>Lehrgang wird eingebucht, Datensatz vervollständig, IN Datensatz wird zu TN Datensatz</t>
  </si>
  <si>
    <t>Anlage eines TN Datensatzes</t>
  </si>
  <si>
    <t>KPI &amp; Controlling ermöglichen</t>
  </si>
  <si>
    <t>Kein Telefonischer Abschluss</t>
  </si>
  <si>
    <t>Nachverfolgung IN wird gestartet. Ticket auf in 7 Tagen</t>
  </si>
  <si>
    <t>Nachverfolgung des Kontaktes</t>
  </si>
  <si>
    <t>Erneute telefonische Kontaktaufnahme durch MA-VB2C</t>
  </si>
  <si>
    <t>Solange nicht anders vereinbart, ruft MA-VB2C am 7 Tag erneut beim IN an</t>
  </si>
  <si>
    <t>MA-VB2C, IN</t>
  </si>
  <si>
    <t>Reaktion auf Anruf</t>
  </si>
  <si>
    <t>Beratungsprozess wird fortgeführt. Zeitliche Fixierung des Abschlusses.</t>
  </si>
  <si>
    <t>Erneut kein Telefonischer Abschluss</t>
  </si>
  <si>
    <t>Nachverfolgung IN wird gestartet</t>
  </si>
  <si>
    <t>Keine Reaktion auf Anruf</t>
  </si>
  <si>
    <t>MA-VB2C schickt dem IN eine WhatsApp mit Nachfrage des Standes</t>
  </si>
  <si>
    <t>Reaktion auf WhatsApp Kontaktaufnahme</t>
  </si>
  <si>
    <t>Beratungsprozess wird fortgeführt. Zeitliche Fixierung des Abschlusses oder Abschluss. Ticket auf in 7 Tagen.</t>
  </si>
  <si>
    <t>Nachfassen via WhatsApp bei ausbleibendem Abschluss</t>
  </si>
  <si>
    <t>Nach 7 Tagen ohne Reaktion</t>
  </si>
  <si>
    <t>Keine Reaktion auf WhatsApp Kontaktaufnahme</t>
  </si>
  <si>
    <t xml:space="preserve">WhatsApp Kontakt ist Erfolgslos. Ticket wird geschlossen. </t>
  </si>
  <si>
    <t>IN wird kein TN</t>
  </si>
  <si>
    <t>1.1.3 WhatsApp Kontaktaufnahme eines IN-B2C</t>
  </si>
  <si>
    <t xml:space="preserve">Siehe IN - 1.2 Interessent im System anlegen </t>
  </si>
  <si>
    <t>Kontakteintrag/Kommentar beim IN anlegen</t>
  </si>
  <si>
    <t>Hinweis Beratungsprozess via WhatsApp hinterlegen</t>
  </si>
  <si>
    <t>Kontakteintrag anlegbar</t>
  </si>
  <si>
    <t>Start - WhatsApp Beratungsprozess</t>
  </si>
  <si>
    <t>schnellstmögliche Reaktion auf eine Erstkontaktaufnahme - spätestens nach 48 Stunden (WE)</t>
  </si>
  <si>
    <t>WhatsApp funktioniert</t>
  </si>
  <si>
    <t>Beratungsprozess WhatsApp</t>
  </si>
  <si>
    <t>Vorstellung Mitarbeiter und Beantwortung der Anfrage</t>
  </si>
  <si>
    <t>IN erhält angefragte Informationen</t>
  </si>
  <si>
    <t>Label bei WhatsApp Kontakt setzen</t>
  </si>
  <si>
    <t>Die erneute Kontaktaufnahme wird durch ein Label terminiert</t>
  </si>
  <si>
    <t>Label wird beim WhatsApp Datensatz gesetzt</t>
  </si>
  <si>
    <t>Chat archivieren</t>
  </si>
  <si>
    <t>Innerhalb von WhatsApp wird der Chat archiviert, damit der WhatsApp Eingang stets aufgeräumt bleibt</t>
  </si>
  <si>
    <t>Archivierungsfunktion bei WhatsApp</t>
  </si>
  <si>
    <t>Rückmeldung IN</t>
  </si>
  <si>
    <t>Beratungsprozess fortführen</t>
  </si>
  <si>
    <t>Begeisterter WhatsApp Interessent</t>
  </si>
  <si>
    <t>Frage nach Buchung</t>
  </si>
  <si>
    <t>Nachfragen des Mitarbeiters mit Zielsetzung Buchung</t>
  </si>
  <si>
    <t>IN wird TN</t>
  </si>
  <si>
    <r>
      <t xml:space="preserve">Alle Angaben des Interessenten in WhatsApp aufnehmen + </t>
    </r>
    <r>
      <rPr>
        <sz val="11"/>
        <color rgb="FF0078FF"/>
        <rFont val="Arial"/>
      </rPr>
      <t>Anmeldeprozess TN-B2C</t>
    </r>
  </si>
  <si>
    <t>Keine Rückmeldung IN</t>
  </si>
  <si>
    <t>Entsprechend der Tageslabels, taucht der Kontakt erneut auf und es kann nachgefragt werden</t>
  </si>
  <si>
    <t>Rückmeldung Interessent</t>
  </si>
  <si>
    <t>Erneute keine Rückmeldung</t>
  </si>
  <si>
    <t>Nach Verstreichen der Frist von nunmehr 14 Tagen, wird der IN bei Whatsapp archiviert</t>
  </si>
  <si>
    <t>Archivierung des Chatverlaufs</t>
  </si>
  <si>
    <t>Kommentar beim IN in ELA anlegen</t>
  </si>
  <si>
    <t>Hinweis im Datensatz des IN bei ELA hinterlegen, dass kein Beratungserfolg zu verbuchen war</t>
  </si>
  <si>
    <t>1.1.4 E-Mail Kontaktaufnahme eines IN mit Telefon</t>
  </si>
  <si>
    <t xml:space="preserve">E-Mail in IN Datensatz kopieren </t>
  </si>
  <si>
    <t>Telefonische Kontaktaufnahme</t>
  </si>
  <si>
    <r>
      <t xml:space="preserve">Es wird versucht die Anfrage des IN telefonisch zu beantworten. Ablauf </t>
    </r>
    <r>
      <rPr>
        <sz val="11"/>
        <color rgb="FF0078FF"/>
        <rFont val="Arial"/>
      </rPr>
      <t>"Telefonische Kontaktaufnahme durch MA-VB2C"</t>
    </r>
  </si>
  <si>
    <t>Telefonische Kontaktaufnahme ohne Erfolg -&gt; E-Mail beantworten</t>
  </si>
  <si>
    <t>Beantwortung der E-Mail via Outlook</t>
  </si>
  <si>
    <t>Antwort in Datensatz kopieren</t>
  </si>
  <si>
    <t>Die beantwortete Fassung der E-Mail des MA-VB2C in den Datensatz übertragen</t>
  </si>
  <si>
    <t>Ticket als Wiedervorlage erstellen</t>
  </si>
  <si>
    <t>Eine Wiedervorlage im IN Datensatz erstellen, dass man auf eine Antwort warten. 7 Tage in die Zukunft</t>
  </si>
  <si>
    <t>Antwort auf E-Mail von MA-VB2C</t>
  </si>
  <si>
    <r>
      <t xml:space="preserve">Der IN schickt eine Antwort zurück und es kommt zur Fortführung der Beratung. Es geht wieder weiter mit </t>
    </r>
    <r>
      <rPr>
        <sz val="11"/>
        <color rgb="FF0078FF"/>
        <rFont val="Arial"/>
      </rPr>
      <t>"E-Mail beantworten" aus 1.1.4</t>
    </r>
  </si>
  <si>
    <t>Keine Antwort auf E-Mail</t>
  </si>
  <si>
    <t>7 Tage sind verstrichen, es erfolgte keine Reaktion auf die E-Mail vom Erstkontakt</t>
  </si>
  <si>
    <t>Anrufversuch</t>
  </si>
  <si>
    <r>
      <rPr>
        <sz val="11"/>
        <color rgb="FF000000"/>
        <rFont val="Arial"/>
      </rPr>
      <t xml:space="preserve">MA-VB2C versucht einen telefonischen Kontakt herzustellen </t>
    </r>
    <r>
      <rPr>
        <sz val="11"/>
        <color rgb="FF0078FF"/>
        <rFont val="Arial"/>
      </rPr>
      <t>"Telefonische Kontaktaufnahme durch MA-VB2C"</t>
    </r>
  </si>
  <si>
    <t>Anruf wird angenommen</t>
  </si>
  <si>
    <t>Beratungsprozess fortführen nach Leitfaden</t>
  </si>
  <si>
    <t>Keine Rückmeldung E-Mail</t>
  </si>
  <si>
    <t>Sollte der Anruf scheitern, wird die E-Mailvorlage "Keine Rückmeldung" versendet + dokumentiert wird die gescheiterte Kontaktaufnahme</t>
  </si>
  <si>
    <t>Wiedervorlage bei IN mit 3 Tage hinterlegen</t>
  </si>
  <si>
    <t xml:space="preserve">Es wird ein Ticket beim IN für den MA-VB2C in 3 Tagen hinterlegt. </t>
  </si>
  <si>
    <t>Keine Reaktion --) WhatsApp Nachricht</t>
  </si>
  <si>
    <t xml:space="preserve">Dem IN wird via WhatsAPP eine Nachricht mit bitte um Rückmeldung geschickt. </t>
  </si>
  <si>
    <t>Rückmeldung auf WhatsApp</t>
  </si>
  <si>
    <t>Beratungsprozess fortführen "WhatsApp Kontaktaufnahme"</t>
  </si>
  <si>
    <t>Keine Reaktion auf WhatsApp</t>
  </si>
  <si>
    <t>Beratungsprozess abschließen und Gesprächsverlauf schließen</t>
  </si>
  <si>
    <t>1.1.5 E-Mail Kontaktaufnahme eines IN ohne Telefon</t>
  </si>
  <si>
    <t>E-Mail beantworten</t>
  </si>
  <si>
    <t>E-Mailvorlage "Keine Rückmeldung" versenden</t>
  </si>
  <si>
    <t>Keine Reaktion auf "Keine Rückmeldung" E-Mail</t>
  </si>
  <si>
    <t>1.1.6 Kontaktformular eines IN mit Telefon</t>
  </si>
  <si>
    <t>Telefonische Kontaktaufnahme ohne Erfolg -&gt; Nachricht beantworten</t>
  </si>
  <si>
    <t>Beantwortung der Kontaktanfrage via E-Mail in Outlook</t>
  </si>
  <si>
    <t>1.1.7 Kontaktformular eines IN ohne Telefon</t>
  </si>
  <si>
    <t>Nachricht beantworten</t>
  </si>
  <si>
    <t>Beantwortung der Nachricht via E-Mail in Outlook</t>
  </si>
  <si>
    <t>1.1.8 Kontaktaufnahme über den Website-Chat</t>
  </si>
  <si>
    <t>Eingehende Nachricht über den Chat</t>
  </si>
  <si>
    <t>Ein Interessent stellt eine Frage zu einem Lehrgang</t>
  </si>
  <si>
    <t>Startphase</t>
  </si>
  <si>
    <t>Bevor wir starten, fragen wir nach, ob wir direkt die ausführlichen Studieninformationen zukommen lassen dürfen</t>
  </si>
  <si>
    <t>Bei Ja, Kontaktdaten erfassen</t>
  </si>
  <si>
    <t>Vorname, Nachname und E-Mailadresse abfragen</t>
  </si>
  <si>
    <t>Bei Ja, Interessent im System vorhanden? ja/nein</t>
  </si>
  <si>
    <t>Bei Ja, wenn nein: Interessent im System anlegen</t>
  </si>
  <si>
    <t>Bei Ja, Kontakteintrag/Kommentar beim IN anlegen</t>
  </si>
  <si>
    <t xml:space="preserve">Chatverlauf abschließend in IN Datensatz kopieren </t>
  </si>
  <si>
    <t>Beratungsphase Option A)</t>
  </si>
  <si>
    <t>Alle Fragen werden im Chat beantwortet</t>
  </si>
  <si>
    <t>Beratungsphase Option B)</t>
  </si>
  <si>
    <t>Bei sehr komplexen Anfragen, wird ein Telefonat angeboten</t>
  </si>
  <si>
    <t>Abschlussphase</t>
  </si>
  <si>
    <t>Alles Fragen geklärt? Angebot zur 14-tägigen Testphase (wenn sinnvoll)</t>
  </si>
  <si>
    <t>1.1.8 Rückruftermin</t>
  </si>
  <si>
    <t>Eingehender Rückruftermin per Mail</t>
  </si>
  <si>
    <t>Ein Interessent (noch nicht sicher Rolle IN) bucht einen Rückruftermin über die Website</t>
  </si>
  <si>
    <t>Zuweisung Termin an MA-VB2C nach Aufgabenverteilung</t>
  </si>
  <si>
    <t>Die eingehende E-Mail mit dem anstehenden Termin wird einem MA-VB2C zugewiesen</t>
  </si>
  <si>
    <t xml:space="preserve">Telefontermin in IN Datensatz kopieren </t>
  </si>
  <si>
    <t>Rückruftermin in Kalender eintragen</t>
  </si>
  <si>
    <t>Zuständige MA-VB2C trägt den Termin in seinen Kalender ein</t>
  </si>
  <si>
    <r>
      <rPr>
        <sz val="11"/>
        <color rgb="FF000000"/>
        <rFont val="Arial"/>
      </rPr>
      <t xml:space="preserve">MA-VB2C versucht einen telefonischen Kontakt zur angegebenen Uhrzeit herzustellen </t>
    </r>
    <r>
      <rPr>
        <sz val="11"/>
        <color rgb="FF0078FF"/>
        <rFont val="Arial"/>
      </rPr>
      <t>"Telefonische Kontaktaufnahme durch MA-VB2C"</t>
    </r>
  </si>
  <si>
    <r>
      <t xml:space="preserve">Beratungsprozess fortführen nach Leitfaden inkl. aller Folgeabläufe aus </t>
    </r>
    <r>
      <rPr>
        <sz val="11"/>
        <color rgb="FF0078FF"/>
        <rFont val="Arial"/>
      </rPr>
      <t>1.1.2</t>
    </r>
  </si>
  <si>
    <t>Gescheiterter Anrufversuch</t>
  </si>
  <si>
    <t xml:space="preserve">Der Interessent nimmt das Gespräch nicht an </t>
  </si>
  <si>
    <t>Option A) WhatsApp (Handynummer &amp; WhatsApp vorhanden)</t>
  </si>
  <si>
    <t>Persönliche Sprachnachricht, dass man jederzeit auch alle Punkte flexibel in WhatsApp besprechen kann</t>
  </si>
  <si>
    <t>Option B) E-Mail (keine Kontaktaufnahme via WhatsApp möglich)</t>
  </si>
  <si>
    <t>Nach E-Mailvorlage, um die Buchung eines neuen Termines bitten</t>
  </si>
  <si>
    <t>Bei Reaktion entsprechend des Kanals weiterverfahren</t>
  </si>
  <si>
    <t>Fortführender Beratungsprozess nach Abläufen 1.1.3 und 1.1.4</t>
  </si>
  <si>
    <t>1.1.9 Live-Demo vereinbaren</t>
  </si>
  <si>
    <t>Eingehender Live-Demo Termin per Mail</t>
  </si>
  <si>
    <t>Ein Interessent (noch nicht sicher Rolle IN) bucht einen Video-Call Termin über die Website</t>
  </si>
  <si>
    <t xml:space="preserve">Live-Demo Termin in IN Datensatz kopieren </t>
  </si>
  <si>
    <t>Prüfung des Live-Demo Termins (alles vorhanden Link etc)</t>
  </si>
  <si>
    <t>Im Outlook Kalender "easytobook" den Termin einsehen und auf Vollständigkeit prüfen</t>
  </si>
  <si>
    <t>Termin wahrgenommen</t>
  </si>
  <si>
    <r>
      <t xml:space="preserve">Beratungsprozess fortführen nach Leitfaden inkl. aller Folgeabläufe aus </t>
    </r>
    <r>
      <rPr>
        <sz val="11"/>
        <color rgb="FF0078FF"/>
        <rFont val="Arial"/>
      </rPr>
      <t xml:space="preserve">1.1.2 </t>
    </r>
    <r>
      <rPr>
        <sz val="11"/>
        <color theme="1"/>
        <rFont val="Calibri"/>
        <family val="2"/>
        <scheme val="minor"/>
      </rPr>
      <t>+ ggfls. Campus zeigen</t>
    </r>
  </si>
  <si>
    <t>Termin nicht wahrgenommen durch Interessent</t>
  </si>
  <si>
    <t>Interessent nimmt den Beratungstermin nicht wahr, eine Folgekontaktaufnahme nach Option A + B findet statt</t>
  </si>
  <si>
    <t>1.2 Proaktive Kontaktaufnahme eines TN-B2C</t>
  </si>
  <si>
    <t>TN-B2C Upselling</t>
  </si>
  <si>
    <t>Ein TN-B2C möchte ein Angebot erhalten, für einen neuen Lehrgang</t>
  </si>
  <si>
    <t>MA-VB2C, TN-B2C</t>
  </si>
  <si>
    <t>Beratungsprozess</t>
  </si>
  <si>
    <t>Ein TN-B2C bekommt einen Beratungsprozess entsprechend der Abläufe aus 1.1.X, je nach Quelle der Kontaktaufnahme</t>
  </si>
  <si>
    <t>Angebot erstellen nach Leitfaden</t>
  </si>
  <si>
    <t>Es wird ein Angebot erstellt, entsprechende Rabatte berücksichtigt</t>
  </si>
  <si>
    <t>Kontakteintrag im Datensatz</t>
  </si>
  <si>
    <t>Der MA-VB2C setzt ein Kontakteintrag in 7 Tagen zur Kontrolle, ob Angebot angenommen wurde</t>
  </si>
  <si>
    <t>Angebot wird angenommen</t>
  </si>
  <si>
    <r>
      <t>TN-B2C bekommt nach Angebot den  neuen Lehrgang eingebucht (</t>
    </r>
    <r>
      <rPr>
        <sz val="11"/>
        <color rgb="FF0078FF"/>
        <rFont val="Arial"/>
      </rPr>
      <t>siehe MA-2B2C 1.0 ff.</t>
    </r>
    <r>
      <rPr>
        <sz val="11"/>
        <color theme="1"/>
        <rFont val="Calibri"/>
        <family val="2"/>
        <scheme val="minor"/>
      </rPr>
      <t>)</t>
    </r>
  </si>
  <si>
    <t>Keine Rückmeldung 1</t>
  </si>
  <si>
    <t>Erinnerung E-Mail 1 versenden zwecks Rückmeldung mit E-Mailvorlage + Eintrag in Kontakterfassung</t>
  </si>
  <si>
    <t>Keine Rückmeldung 2</t>
  </si>
  <si>
    <t>Nachricht nach Möglichkeit via WhatsApp bei ausbleibender Reaktion + Eintrag in Kontakterfassung</t>
  </si>
  <si>
    <t>Erneute Terminierung der Nachfrage</t>
  </si>
  <si>
    <t>Der Kontakteintrag wird 3 Monate in die Zukunft gelegt und dann erneut nachgefragt</t>
  </si>
  <si>
    <t>1.3 Leadverarbeitung</t>
  </si>
  <si>
    <t>1.3.1 Lead über "Ausführliche Studieninformationen" ohne Telefon</t>
  </si>
  <si>
    <t>Eingehender Lead über Website per E-Mail</t>
  </si>
  <si>
    <t>Es kommt eine E-Mail mit allen Kontaktinformationen + Lehrgangsinteresse auf der lead@Unternehmen.de an</t>
  </si>
  <si>
    <r>
      <rPr>
        <sz val="11"/>
        <color rgb="FF000000"/>
        <rFont val="Arial"/>
      </rPr>
      <t xml:space="preserve">MA-VA, </t>
    </r>
    <r>
      <rPr>
        <sz val="11"/>
        <color rgb="FFD30E91"/>
        <rFont val="Arial"/>
      </rPr>
      <t>MON</t>
    </r>
  </si>
  <si>
    <t>MA-VA</t>
  </si>
  <si>
    <t>Kurze Info in Datensatz um welchen Lead es geht</t>
  </si>
  <si>
    <t>MA-VA, IN</t>
  </si>
  <si>
    <t>Eintragung Excel für Import CleverReach</t>
  </si>
  <si>
    <t>Ausfüllen aller Informationen in der CleverReach Exel in Synology</t>
  </si>
  <si>
    <t>Import Excel in Clever Reach</t>
  </si>
  <si>
    <t>Ein Datenimport wird bei CR durchgeführt</t>
  </si>
  <si>
    <t>Automatisches Mailing an IN startet</t>
  </si>
  <si>
    <t>Cleverreach verschickt automatisiert nach entsprechenden Zeitabständen passende Mailings zum Lehrgang</t>
  </si>
  <si>
    <t>Reaktion eines IN auf Vertriebsmailing</t>
  </si>
  <si>
    <r>
      <rPr>
        <sz val="11"/>
        <color rgb="FF000000"/>
        <rFont val="Arial"/>
      </rPr>
      <t xml:space="preserve">Sollte eine Kontaktaufnahme jeglicher Art aus </t>
    </r>
    <r>
      <rPr>
        <sz val="11"/>
        <color rgb="FF0078FF"/>
        <rFont val="Arial"/>
      </rPr>
      <t>1.1.X</t>
    </r>
    <r>
      <rPr>
        <sz val="11"/>
        <color rgb="FF000000"/>
        <rFont val="Arial"/>
      </rPr>
      <t xml:space="preserve"> erfolgen, wird weiter nach diesem Prozess verfahren. (Ohne Datensatz anlegen)</t>
    </r>
  </si>
  <si>
    <t>@Start</t>
  </si>
  <si>
    <t>Der MA-VB2C setz ein Kontakteintrag mit @Start wenn: Ein IN sich proaktiv Informationen geholt hat, aber keine Reaktion im Beratungsprozess mehr erfolgt ist</t>
  </si>
  <si>
    <t>MA-VB2C, MA-VA</t>
  </si>
  <si>
    <t>@Stop</t>
  </si>
  <si>
    <t>Der MA-VB2C setz ein Kontakteintrag mit @Stop wenn: Ein IN sich aktiv gemeldet hat, unterbrechen wir zunächst das Mailing</t>
  </si>
  <si>
    <t>@Fortsetzen</t>
  </si>
  <si>
    <t>Der MA-VB2C setz ein Kontakteintrag mit @Weiter wenn: Ein IN sich nicht mehr meldet, wird das unterbrochene Mailing an der entsprechenden Stelle fortgeführt</t>
  </si>
  <si>
    <t>1.3.1 Lead über "Ausführliche Studieninformationen" mit Telefon</t>
  </si>
  <si>
    <r>
      <t xml:space="preserve">MA-VA, </t>
    </r>
    <r>
      <rPr>
        <sz val="11"/>
        <color rgb="FFD30E91"/>
        <rFont val="Arial"/>
      </rPr>
      <t>MON</t>
    </r>
  </si>
  <si>
    <t>Kontakteintrag 1/Kommentar beim IN anlegen</t>
  </si>
  <si>
    <t>Kontakteintrag 2 / Kommentar bei IN anlegen</t>
  </si>
  <si>
    <t>@Alpha &amp; @Beta bei entsprechender Wertigkeit des Lehrgangshinterlegen und 2 Tage in die Zukunft legen</t>
  </si>
  <si>
    <t>@Alpha , @Beta</t>
  </si>
  <si>
    <t>Kontaktaufnahme durch MA-VB2C bei IN-B2C über WhatsApp. Vorstellung als Ansprechpartner</t>
  </si>
  <si>
    <t>Folgeprozess @Alpha + @Beta</t>
  </si>
  <si>
    <r>
      <rPr>
        <sz val="11"/>
        <color rgb="FF000000"/>
        <rFont val="Arial"/>
      </rPr>
      <t xml:space="preserve">Vertriebsablauf wie bei </t>
    </r>
    <r>
      <rPr>
        <sz val="11"/>
        <color rgb="FF0078FF"/>
        <rFont val="Arial"/>
      </rPr>
      <t xml:space="preserve">1.1.3 WhatsApp </t>
    </r>
    <r>
      <rPr>
        <sz val="11"/>
        <color rgb="FF000000"/>
        <rFont val="Arial"/>
      </rPr>
      <t>mit entsprechenden Labels</t>
    </r>
  </si>
  <si>
    <t>1.3.2 Lead über "Portale" ohne Telefon</t>
  </si>
  <si>
    <t>Eingehender Lead über Portal per E-Mail</t>
  </si>
  <si>
    <r>
      <t xml:space="preserve">MA-VA, </t>
    </r>
    <r>
      <rPr>
        <sz val="11"/>
        <color rgb="FFD30E91"/>
        <rFont val="Arial"/>
      </rPr>
      <t>MOF</t>
    </r>
  </si>
  <si>
    <t>1.3.3 Lead über "Portale" mit Telefon</t>
  </si>
  <si>
    <t>Eingehender Lead über Portale per E-Mail</t>
  </si>
  <si>
    <t>Crossselling</t>
  </si>
  <si>
    <t>Upselling</t>
  </si>
  <si>
    <t>PHASE 1 I LEADGENERIERUNG</t>
  </si>
  <si>
    <t>Leadgenerierung über B2C Landingpage</t>
  </si>
  <si>
    <t>IN Informationsbeschaffung und Ausbildungsinformationen</t>
  </si>
  <si>
    <t>Der Interessent hinterlässt seine Kontaktdaten und fordert die ausführlichen Ausbildungsinformationen an. Der Interessent stimmt auf der B2C Landingpage der Datenschutzerklärung zu.</t>
  </si>
  <si>
    <t>IN-B2B</t>
  </si>
  <si>
    <t>Bewerbungseingang</t>
  </si>
  <si>
    <t>Automatische Versendung/ oder direktes Herunterladen der Ausbildungsinformationen</t>
  </si>
  <si>
    <t>IN-Datensatz anlegen</t>
  </si>
  <si>
    <t xml:space="preserve">Der IN-Datensatz wird als Interessent im System manuell angelegt. Ein vollständiges Lead besteht aus dem vollständigen Namen, E-Mail-Adresse und der Telefonnr. </t>
  </si>
  <si>
    <t>Sobald der Interessent das Kontaktformular vollständig ausfüllt, werden die Daten im System automatisch hinterlegt</t>
  </si>
  <si>
    <t>Addi/ Sabrina</t>
  </si>
  <si>
    <t>Ausbildungsinformationen versenden</t>
  </si>
  <si>
    <t xml:space="preserve">Der Interessent erhält manuell per E-Mail die ausführlichen Ausbildungsinformationen. Zusätzlich beinhaltet die E-Mailansprache die Kontaktdaten des jeweiligen B2B Ansprechpartners. Der </t>
  </si>
  <si>
    <t>MA-VB2B</t>
  </si>
  <si>
    <t>Interessent erhält vom System generiert eine automatische E-Mail mit Kontaktdaten des jeweiligen B2B Mitarbeiters als auch die entsprechenden Produktinformationen</t>
  </si>
  <si>
    <t>Beratungsgespräch per Telefon</t>
  </si>
  <si>
    <t>Der Interessent hat die Möglichkeit einen Termin vorab zu organisieren über die allgemeine Website. Der Interessent ruft an und beschafft sich alle für ihn wichtigen Informationen am Telefon.</t>
  </si>
  <si>
    <t>Informationsbeschaffung kann direkt über FAQ's auf der B2C Landingpage abgedeckt werden.</t>
  </si>
  <si>
    <t>Beratung per E-Mail</t>
  </si>
  <si>
    <t xml:space="preserve">Der Interessent schreibt uns an und beschafft sich alle für ihn wichtigen Informationen per E-Mail. </t>
  </si>
  <si>
    <t>Autoresponder einbinden</t>
  </si>
  <si>
    <t>Beratungsgespräch per Whatsapp</t>
  </si>
  <si>
    <t>Der Interessent schreibt uns an und beschafft sich alle für ihn wichtigen Informationen per Whatsapp.</t>
  </si>
  <si>
    <t>Leadgenerierung über externe Ausbildungsplattform</t>
  </si>
  <si>
    <t>Stellenanzeige veröffentlichen</t>
  </si>
  <si>
    <t>Die vorher definierte Stellenanzeige über externe Ausbildungsplattform wird veröffentlicht</t>
  </si>
  <si>
    <t>Leadgenerierung über Stellenanzeige</t>
  </si>
  <si>
    <t>Bewerber wird auf die Stellenanzeige aufmerksam und landet auf der B2C Landingpage und füllt das Kontaktformular auf der B2C Landingpage aus und hinterlässt hier alle Bewerbungsunterlagen inklusive eines Leads</t>
  </si>
  <si>
    <t xml:space="preserve">Automatischer E-Maileingang auf ausbildung@academyofsports.de der Bewerbung  </t>
  </si>
  <si>
    <t>Vollständigkeit der Bewerberunterlagen</t>
  </si>
  <si>
    <t>Automatisierter Lead-Datensatz im System</t>
  </si>
  <si>
    <t>Leadgenerierung und Akquise von potenziellen B2B Unternehmen</t>
  </si>
  <si>
    <t>Leadgenerierung und Akquise B2B</t>
  </si>
  <si>
    <t>Manuelle Recherche im Internet und Google Maps nach bestimmten Kriterien wie z.B. Ausbildungsbetrieb</t>
  </si>
  <si>
    <t>Neuer Geschäftspartner</t>
  </si>
  <si>
    <t>KI Kann das Netzwerk der Ausbildungsbetriebe auffinden</t>
  </si>
  <si>
    <t>Kontakt einpflegen</t>
  </si>
  <si>
    <t>Datensatz einpflegen in der B2B Excel-Liste inkl. Lead (wenn auf der Website sichtbar)</t>
  </si>
  <si>
    <t>KI Kann das Netzwerk der Ausbildungsbetriebe auffinden und automatisch im System einpflegen</t>
  </si>
  <si>
    <t>Erstkontakt/ Kaltakquise per Telefon</t>
  </si>
  <si>
    <t>Kontaktaufnahme per Telefon, um den entsprechenden Stakeholder/ Entscheider zu einem Termin (persönlich vor Ort oder per Video-Call - je nach Wunsch des Kunden) festzulegen und Bedarfsermittlung durchführen</t>
  </si>
  <si>
    <t>Zweitkontakt per Telefon</t>
  </si>
  <si>
    <t>Direkter Ansprechpartner und Entscheider wird erreicht und das Unternehmen sowie das Produktportfolio vorgestellt, sowie gezielte Fragestellung zur individuellen Bedarfsermittlung gestellt</t>
  </si>
  <si>
    <t>Angebotserstellung</t>
  </si>
  <si>
    <t xml:space="preserve">Manuelle Erstellung und Versenden eines individuellen Angebots per E-Mail </t>
  </si>
  <si>
    <t>Nutzung einer Angebots-Vorlage, bei der  ausgewählten Produkte auf Klick erscheinen, sowie die Preisanpassung individuell möglich ist und das automatisiert der Kundendatensatz ins Angebot übernommen wird</t>
  </si>
  <si>
    <t>Follow Up</t>
  </si>
  <si>
    <t xml:space="preserve">Manueller Follow Up nach E-Mail oder Telefonat erfolgt durch den jeweiligen B2B Mitarbeiter </t>
  </si>
  <si>
    <t>automatisierter Follow-Up Prozess mit geplanter Fälligkeit als E-Mail Vorlage zum Versenden</t>
  </si>
  <si>
    <t>Kaltakquise per Telefon</t>
  </si>
  <si>
    <t>Kontaktaufnahme per E-Mail erfolgt mit entsprechendem Text, sowie Vorstellung des Unternehmens und Weiterleitung der entsprechenden Lehrgänge in pdf-Format (für den Ausbildungsbetrieb relevante Informationen)</t>
  </si>
  <si>
    <t>Kaltakquise per LinkedIn</t>
  </si>
  <si>
    <t xml:space="preserve">Direkt-Mailing und Vernetzung mit den Stakeholdern und Entscheidern </t>
  </si>
  <si>
    <t>Salesnavigator von LinkedIn nutzen</t>
  </si>
  <si>
    <t>Kaltakquise auf Messen, Kongressen oder (Sport- &amp; Fitness, Recruiting) Events</t>
  </si>
  <si>
    <t>tbd</t>
  </si>
  <si>
    <t>PHASE 2 I SEGMENTIERUNG</t>
  </si>
  <si>
    <t>Bewerbungsprozedere</t>
  </si>
  <si>
    <t>Datenpflege Bewerber</t>
  </si>
  <si>
    <t>Anlegen des Bewerberprofils im System</t>
  </si>
  <si>
    <t>fällt weg, wenn Lead-Datensatz im System automatisch angelegt wird</t>
  </si>
  <si>
    <t>Sichtung und Bewertung Bewerbung</t>
  </si>
  <si>
    <t xml:space="preserve">Unterlagen Screening der Bewerbungsunterlagen und Vorauswahl </t>
  </si>
  <si>
    <t>KI selektiert nach vorgegebenen und ausgewählten Kriterien aus wie z.B. vermittelbar der Bewerber ist - Motivationsschreiben mit Rechtschreibfehlern oder Fehlen bestimmter Keywords</t>
  </si>
  <si>
    <t>Ablage Bewerbungsunterlagen</t>
  </si>
  <si>
    <t xml:space="preserve">Speichern aller Bewerbungsunterlagen in Synology B2B Ordner (jeder Bewerber erhält einen eigenen Ordner) </t>
  </si>
  <si>
    <t>automatisches Speichern aller Bewerbungsunterlagen im System</t>
  </si>
  <si>
    <t>Unvollständige Bewerbung</t>
  </si>
  <si>
    <t xml:space="preserve">E-Mailbestätigung bei (Nicht-) Eignung und Einladung Videobewerbung (optional) und fehlende Unterlagen (Mind. Lebenslauf, Motivationsschreiben) </t>
  </si>
  <si>
    <t>Durch KI-Selektierung wird bei „vollständiger oder unvollständiger Bewerbung“ der entsprechende Workflow aktiviert und direkt eine zeitabhängige E-Mail an das Lead verfasst</t>
  </si>
  <si>
    <t>Nachtrag fehlender Unterlagen</t>
  </si>
  <si>
    <t>Bei Nachreichen fehlender Unterlagen erhält der Bewerber eine manuelle Eingangsbestätigung</t>
  </si>
  <si>
    <t>automatische Vervollständigung des Datensatzes erfolgt, sowie automatische E-Mailbestätigung wird versendet und die automatische Zusendung zu passenden Ausbildungsbetrieben erfolgt</t>
  </si>
  <si>
    <t>Dokumentation Bewerbungsphasen</t>
  </si>
  <si>
    <t xml:space="preserve">Bewerber-Lead wird in einer separaten B2B Excel Liste angelegt, in der alle Schritte übersichtlich dokumentiert werden (z.B. Vorauswahl oder Absage) </t>
  </si>
  <si>
    <t>Datensätze und individuelle Informationen werden automatische hinter jedem Lead hinterlegt</t>
  </si>
  <si>
    <t>Google my Maps Ausbildungsbetriebe</t>
  </si>
  <si>
    <t xml:space="preserve">B2B Excel Liste mit allen Daten der Ausbildungsbetriebe wird exportiert und in Google My Maps importiert </t>
  </si>
  <si>
    <t>Integrierung von Google Maps im System und Verknüpfung aller Datensätze von Leads und allen Ausbildungsbetrieben in mit Filtersuche wie z.B. Km-Radius, Segmentierung, Einwohnerzahl</t>
  </si>
  <si>
    <t>Google my Maps Bewerberprofile</t>
  </si>
  <si>
    <t xml:space="preserve">B2B Excel Liste mit allen Daten der Bewerberprofilen wird exportiert und in Google My Maps importiert </t>
  </si>
  <si>
    <t>Zuweisung Bewerber zum Ausbildungsbetrieb</t>
  </si>
  <si>
    <t xml:space="preserve">Manuelle Zuweisung erfolgt durch individuelle Routenplanung in der Google My Maps Übersicht zwischen Bewerberprofil und Ausbildungsbetrieb (Umkreissuche) </t>
  </si>
  <si>
    <t>Vermittlungsverfahren</t>
  </si>
  <si>
    <t>Nach manueller Zuweisung wird Bewerberprofil an Ausbildungsbetrieb durch B2B Mitarbeiter manuell verschickt</t>
  </si>
  <si>
    <t>nach automatischer Zuweisung wird Bewerberprofil manuell vom B2B Mitarbeiter verschickt</t>
  </si>
  <si>
    <t xml:space="preserve">Positive Rückmeldung Ausbildungsbetrieb </t>
  </si>
  <si>
    <t>Bei positiver Rückmeldung Ausbildungsbetrieb erfolgen folgende Schritte: siehe Phase 3 Onboarding</t>
  </si>
  <si>
    <t>Keine Rückmeldung Ausbildungsbetrieb</t>
  </si>
  <si>
    <t xml:space="preserve">Wenn keine Rückmeldung vom Ausbildungsbetrieb erfolgt, manuelles Follow Up per E-Mail oder Telefon </t>
  </si>
  <si>
    <t>automatisiertes Follow Up per E-Mail</t>
  </si>
  <si>
    <t>Negative Rückmeldung Ausbildungsbetrieb</t>
  </si>
  <si>
    <t xml:space="preserve">Bei negativer Rückmeldung (Absage durch Ausbildungsbetrieb) - erfolgt manueller Eintrag im Datensatz und manuelle Weitervermittlung an einen anderen Ausbildungsbetrieb oder direkte Absage, wenn kein weiterer Ausbildungsbetrieb in der umliegenden Umgebung vorhanden ist </t>
  </si>
  <si>
    <t>automatisierte Absage, dass keine Vermittlung stattfinden konnte</t>
  </si>
  <si>
    <t>Absage Bewerber</t>
  </si>
  <si>
    <t xml:space="preserve">Bei negativer Rückmeldung (Absage durch Bewerber) - erfolgt Eintrag im Datensatz und der Bewerberdatensatz wird geschlossen oder auf erledigt gestellt
</t>
  </si>
  <si>
    <t>PHASE 3 I ONBOARDING &amp; OFFBOARDING</t>
  </si>
  <si>
    <t>Anmeldeprozedere</t>
  </si>
  <si>
    <t>Anmeldung Azubis bei Bestandsausbildungsbetrieben</t>
  </si>
  <si>
    <t>Direkte Anmeldung erfolgt über das Zusenden des ausgefüllten Anmeldeformulars an den B2B Vertriebsmitarbeiter</t>
  </si>
  <si>
    <t>Interessentendatensatz</t>
  </si>
  <si>
    <t>Interessentendatensatz vervollständigen</t>
  </si>
  <si>
    <t>Verlinkung zu Wiki?</t>
  </si>
  <si>
    <t>Anmeldung Lehrgang</t>
  </si>
  <si>
    <t>Interessent als Teilnehmerdatensatz anlegen und Anmeldung zu dem jeweiligen Lehrgang</t>
  </si>
  <si>
    <t>Prüfung Datensatz Ausbildungsbetrieb</t>
  </si>
  <si>
    <t>Prüfen, ob Datensätze u.a. Ansprechpartner noch aktuell sind und ggf. aktualisieren</t>
  </si>
  <si>
    <t>Buchungsbestätigung</t>
  </si>
  <si>
    <t>manuelle Buchungsbestätigung per E-Mail erfolgt an den Bestandsausbildungsbetriebs</t>
  </si>
  <si>
    <t>Ausbildungsbetrieb nimmt das vorab gesendete Angebot an, unterzeichnet es digital, bei Eingang wird eine individuelle automatisierte Buchungsbestätigung erstellt)</t>
  </si>
  <si>
    <t>Anmeldung Azubis neuer Ausbildungsbetriebe</t>
  </si>
  <si>
    <t>Erfassen neuer Geschäftspartner</t>
  </si>
  <si>
    <t>Neuer Ausbildungsbetrieb wird als B2B Firmenkunde in der Geschäftspartnerliste erfasst</t>
  </si>
  <si>
    <t>Rahmenvereinbarung</t>
  </si>
  <si>
    <t>optional kann eine individuelle Rahmenvereinbarung abgeschlossen werden (Ausbildungsbetrieb nimmt das vorab gesendete Angebot zur Rahmenvereinbarung an, unterzeichnet es digital, bei Eingang wird eine individuelle automatisierte Bestätigung erstellt)</t>
  </si>
  <si>
    <t>Onboarding Ausbildungsbetrieb</t>
  </si>
  <si>
    <t>Ausbildungsbetrieb erhält einen Ausbildungsvertragsentwurf für seine Bewerber, die einen Vertrag abschließen werden</t>
  </si>
  <si>
    <t>Ausbildungsbetrieb erhält eine manuelle Buchungsbestätigung, sowie den Zugang zum Online-Campus</t>
  </si>
  <si>
    <t>Ausbildungsbetrieb nimmt das vorab gesendete Angebot an, unterzeichnet es digital, bei Eingang wird eine individuelle automatisierte Buchungsbestätigung erstellt</t>
  </si>
  <si>
    <t>Absage Bewerbung</t>
  </si>
  <si>
    <t>Absage des Ausbildungsplatzes vom Ausbildungsbetrieb, vom Bewerber selbst oder durch die BCB per E-Mail, Telefon oder Whatsapp</t>
  </si>
  <si>
    <t>Prozessoptimierung</t>
  </si>
  <si>
    <t xml:space="preserve">Nachfragen des Grundes, um den Recruituingprozess zu optimieren
</t>
  </si>
  <si>
    <t>Onboarding Teilnehmer</t>
  </si>
  <si>
    <t>Einführung Azubis</t>
  </si>
  <si>
    <t>Vorstellung der Ansprechpartner und Einführung in den Ausbildungsablauf mit Azubi und Ausbildungsbetrieb</t>
  </si>
  <si>
    <t>MA-SB2B</t>
  </si>
  <si>
    <t>Addi/ Sabrina/ Marleen</t>
  </si>
  <si>
    <t xml:space="preserve">Mail 1 </t>
  </si>
  <si>
    <t xml:space="preserve">Herzlich Willkommen E-Mail wird manuell verschickt </t>
  </si>
  <si>
    <t>E-Mail wird automatisch verschickt nach Buchungsbestätigung</t>
  </si>
  <si>
    <t xml:space="preserve">Kick-Off Veranstaltung </t>
  </si>
  <si>
    <t>Bei Nicht-Buchung der Kick-Off Veranstaltung wird manuell eine E-Mail mit einem Aufzeichnungslink verschickt</t>
  </si>
  <si>
    <t>das System erkennt automatisch, ob der Teilnehmer die Kick-Off Veranstaltung gebucht und an ihr teilgenommen hat und bei Nicht-Teilnahme wird eine automatisierte E-Mail verschickt</t>
  </si>
  <si>
    <t>Mail: Lerntipps</t>
  </si>
  <si>
    <t xml:space="preserve">Lerntipps werden nach 1 Woche manuell verschickt </t>
  </si>
  <si>
    <t>E-Mail wird automatisch nach 1 Woche verschickt</t>
  </si>
  <si>
    <t xml:space="preserve">Anruf 1 </t>
  </si>
  <si>
    <t xml:space="preserve">nach 14 Tagen Review erfolgt ein Anruf, ob alles passt - wenn der Teilnehmer nicht erreicht wird, dann wird manuell eine E-Mail verschickt </t>
  </si>
  <si>
    <t>sobald das System erkennt, dass ein nicht erfolgreicher Anruf stattgefunden hat, wird automatisch eine E-Mail verschickt</t>
  </si>
  <si>
    <t>Lernfortschritt Kontrolle</t>
  </si>
  <si>
    <t xml:space="preserve">alle 14 Tage Lernfortschritte werden manuell nachgefasst </t>
  </si>
  <si>
    <t>abhängig vom Lernfortschritt sollte von der KI oder dem System automatisch erkannt werden, ob sich der Lernfortschritt im Soll befindet und wenn der Teilnehmer hinterher hinkt, wird automatisch eine E-Mail versendet mit der Aufforderung weitere Unterstützung zu bieten, ist der Teilnehmer im Rhythmus oder schneller, wird er belohnt mit sympathischen Worten, sollte der Teilnehmer mehrfach nicht reagieren und den Lernfortschritt anpassen, wird das Ausbildungsstudio automatisch informiert</t>
  </si>
  <si>
    <t>Zusendung Zertifikate</t>
  </si>
  <si>
    <t xml:space="preserve">Zertifikate werden nach jedem Bestehen eines Moduls manuell verschickt </t>
  </si>
  <si>
    <t>Zertifikate werden automatisch erstellt und verschickt</t>
  </si>
  <si>
    <t>B2B UNTERNEHMENSBETREUUNG</t>
  </si>
  <si>
    <t>Nachbetreuung</t>
  </si>
  <si>
    <t xml:space="preserve">manuelle Betreuung durch Anrufe oder E-Mails, die alle 3 Monate vom B2B Mitarbeiter durchgeführt werden </t>
  </si>
  <si>
    <t>personalisierter After-Sales Service</t>
  </si>
  <si>
    <t xml:space="preserve">personalisierte manuelle Kundenbetreuung über mehrere Kanäle - wenig Gesamtübersicht </t>
  </si>
  <si>
    <t>Personalisierte Kundenbetreuung: Alle Kanäle in einer Plattform. Jederzeit Kontakt mit Ausbildungsbetrieben aufzunehmen über diverse Kanäle wie z.B. Chatbot, E-Mail, WhatsApp, Telefon oder in den sozialen Netzwerken.Das ermöglicht zentrale Sicht auf den Ausbildungsbetrieb für einen personalisierten Kundenservice</t>
  </si>
  <si>
    <t>Optimierung im Recruitingprozess</t>
  </si>
  <si>
    <t xml:space="preserve">Nach Feedback zu EInstellungskriterien, wird manuell das Bewerberprofil angepasst </t>
  </si>
  <si>
    <t xml:space="preserve">KI optimiert den Recruiting-Prozess für den Kunden siehe Zukunftswunsch
</t>
  </si>
  <si>
    <t xml:space="preserve">Offboarding/ Kündigung </t>
  </si>
  <si>
    <t>Kündigungen</t>
  </si>
  <si>
    <t>(muss mit Marleen besprochen werden, haben wir aktuell noch keinen Fall gehabt, den wir gemeinsam durchgegangen sind)</t>
  </si>
  <si>
    <t>Feedback</t>
  </si>
  <si>
    <t>Manueller Feedback-Prozess per E-Mail oder Telefon erfolgt durch den jeweiligen B2B Mitarbeiter</t>
  </si>
  <si>
    <t>nach Abschluss und einer bestimmten Zeit erfolgt eine automatisierte E-Mail mit Aufforderung zum Feedback geben und ggf. Google Rezension I Zukunftswunsch: KI ermittelt anhand des Feedbacks der Ausbildungsbetriebe, welche Bewerber für welchem Ausbildungsbetrieb vermittelbar sind (z.B. Altersbegrenzung oder andere Voraussetzungen, die vom Ausbildungsbetrieb vorausgesetzt werden). KI berücksichtigt hierbei die Vermittlungsquote anhand der Bewerbungsinhalte.</t>
  </si>
  <si>
    <t>PHASE 4 I PERFORMANCE MANAGEMENT</t>
  </si>
  <si>
    <t>Akquise</t>
  </si>
  <si>
    <t>Stellenausschreibung erstellen</t>
  </si>
  <si>
    <t>Xing/LinkedIn</t>
  </si>
  <si>
    <t>Social Media</t>
  </si>
  <si>
    <t>Empfehlung</t>
  </si>
  <si>
    <t>Initiativbewerbung</t>
  </si>
  <si>
    <t>Bewerberpool</t>
  </si>
  <si>
    <t>2 Bewerbermanagement</t>
  </si>
  <si>
    <t>Mailvorlagen aus Synology</t>
  </si>
  <si>
    <t>Meeting</t>
  </si>
  <si>
    <t>3 Onboarding</t>
  </si>
  <si>
    <t>Onboarding 1 | Vorbereitung 1</t>
  </si>
  <si>
    <t>Verträge und Mitarbeiter anlegen / Marketing</t>
  </si>
  <si>
    <t>Onboarding 2 | Vorbereitung 2</t>
  </si>
  <si>
    <t>Vollständige Verträge und Dokumentation / Marketing</t>
  </si>
  <si>
    <t>Onboarding 3 | Dozent</t>
  </si>
  <si>
    <t>Einarbeitung</t>
  </si>
  <si>
    <t>Onboarding 3 | Tutor</t>
  </si>
  <si>
    <t>Onboarding 4 | Dozent</t>
  </si>
  <si>
    <t>Kontrolle Einarbeitung / Marketing</t>
  </si>
  <si>
    <t>Onboarding 4 | Tutor</t>
  </si>
  <si>
    <t>4 Qualitätssicherung</t>
  </si>
  <si>
    <t>Überfällige Korrekturen</t>
  </si>
  <si>
    <t>Unbeantwortete Teilnehmerfragen</t>
  </si>
  <si>
    <t>Campusbtreuung</t>
  </si>
  <si>
    <t>Feedback aus Webinaren</t>
  </si>
  <si>
    <t>Sichten</t>
  </si>
  <si>
    <t>Hochladen</t>
  </si>
  <si>
    <t>Aktualisierung von Lehrmaterial</t>
  </si>
  <si>
    <t>EMA darüber informieren</t>
  </si>
  <si>
    <t>Evaluationsbögen</t>
  </si>
  <si>
    <t>erinnern und prüfen</t>
  </si>
  <si>
    <t>QM Meldungen aus Kommunikationskanälen</t>
  </si>
  <si>
    <t>Hospitation von Webinaren</t>
  </si>
  <si>
    <t>Notfalltelefon</t>
  </si>
  <si>
    <t>Bereitstellen von Leitfäden</t>
  </si>
  <si>
    <t>EMA Gespräche</t>
  </si>
  <si>
    <t>Regelmäßige Kontaktpflege</t>
  </si>
  <si>
    <t>Konfliktsituation</t>
  </si>
  <si>
    <t>Monatsauswertung</t>
  </si>
  <si>
    <t>Expertenfeedback einholen</t>
  </si>
  <si>
    <t>Newsletterversand</t>
  </si>
  <si>
    <t>Weiterbildung EMAs</t>
  </si>
  <si>
    <t>Weiterentwicklung der Connect Nutzung</t>
  </si>
  <si>
    <t>Weiterentwicklung eigener Controlling-Tools</t>
  </si>
  <si>
    <t>Seminarfeedbackbögen der TN sichten</t>
  </si>
  <si>
    <t>Aktiv</t>
  </si>
  <si>
    <t>reaktiv</t>
  </si>
  <si>
    <t xml:space="preserve">Urlaubsvertretung </t>
  </si>
  <si>
    <t>einrichten</t>
  </si>
  <si>
    <t>beenden</t>
  </si>
  <si>
    <t>Krankheit Tutor / Korrektur</t>
  </si>
  <si>
    <t>5 Terminmanagement</t>
  </si>
  <si>
    <t>Auswertung aktuelles Jahr</t>
  </si>
  <si>
    <t>Planung nächstes Jahr</t>
  </si>
  <si>
    <t>Dozenten Anfragen</t>
  </si>
  <si>
    <t>Dokumetation der Planung</t>
  </si>
  <si>
    <t>Übertragen ins Backend</t>
  </si>
  <si>
    <t>Bildungsaufträge</t>
  </si>
  <si>
    <t>erstellen</t>
  </si>
  <si>
    <t>versenden</t>
  </si>
  <si>
    <t>erinner</t>
  </si>
  <si>
    <t>hochladen</t>
  </si>
  <si>
    <t>Verschiebungen</t>
  </si>
  <si>
    <t>Krankheitsausfall</t>
  </si>
  <si>
    <t>Stornierung wegen geringer TN Zahl</t>
  </si>
  <si>
    <t>Nachbuchungen</t>
  </si>
  <si>
    <t>Dokumentation Monatsauswertung</t>
  </si>
  <si>
    <t>Dokumentation Mitarbeiterakte</t>
  </si>
  <si>
    <t>Dozentenwechsel</t>
  </si>
  <si>
    <t>Tutorensprechstunde</t>
  </si>
  <si>
    <t>6 Connect</t>
  </si>
  <si>
    <t>Benutzer anlegen</t>
  </si>
  <si>
    <t>Termine anlegen</t>
  </si>
  <si>
    <t>Webinar</t>
  </si>
  <si>
    <t>Prüfung</t>
  </si>
  <si>
    <t>Vorlagen verwalten</t>
  </si>
  <si>
    <t>Aufzeichnungen in Backen übertragen</t>
  </si>
  <si>
    <t>Benutzer löschen</t>
  </si>
  <si>
    <t>Rechteverwaltung</t>
  </si>
  <si>
    <t>Termin</t>
  </si>
  <si>
    <t>Admingruppe</t>
  </si>
  <si>
    <t>Updates prüfen</t>
  </si>
  <si>
    <t>7 Rechnungen</t>
  </si>
  <si>
    <t>Sonderfälle</t>
  </si>
  <si>
    <t>Gehalt</t>
  </si>
  <si>
    <t>Offboarding</t>
  </si>
  <si>
    <t>Checkliste</t>
  </si>
  <si>
    <t>ARbeitszeugnis</t>
  </si>
  <si>
    <t>Buttons</t>
  </si>
  <si>
    <t>ela Workflow</t>
  </si>
  <si>
    <t>Onboarding</t>
  </si>
  <si>
    <t>Eigene Dokumente bereitstellen</t>
  </si>
  <si>
    <t>Articulate</t>
  </si>
  <si>
    <t>Leitfaden lesen/Einarbeitungslehrgang buchen</t>
  </si>
  <si>
    <t>Meet zur persönlichen Einbarbeitung</t>
  </si>
  <si>
    <t>Lehrmaterial kennen</t>
  </si>
  <si>
    <t>Kommunkationskanäle kennen</t>
  </si>
  <si>
    <t>QM Prozess kennen</t>
  </si>
  <si>
    <t>Philosophie verstehen</t>
  </si>
  <si>
    <t>Prüfungen korrigieren</t>
  </si>
  <si>
    <t>2. Kommunikation</t>
  </si>
  <si>
    <t>Eingehende Kanäle</t>
  </si>
  <si>
    <t>KO-B</t>
  </si>
  <si>
    <t>Benachrichtigungen</t>
  </si>
  <si>
    <t>Aufrufen der Benachrichtigung</t>
  </si>
  <si>
    <r>
      <t xml:space="preserve">Klick auf die </t>
    </r>
    <r>
      <rPr>
        <b/>
        <sz val="11"/>
        <color rgb="FF7E5CE5"/>
        <rFont val="Arial"/>
      </rPr>
      <t>Glocke</t>
    </r>
    <r>
      <rPr>
        <sz val="11"/>
        <color theme="1"/>
        <rFont val="Calibri"/>
        <family val="2"/>
        <scheme val="minor"/>
      </rPr>
      <t>.</t>
    </r>
  </si>
  <si>
    <t>KO</t>
  </si>
  <si>
    <t>KO sieht Dropdownmenu.</t>
  </si>
  <si>
    <t>ela Administration hat Benachrichtigung erstellt.</t>
  </si>
  <si>
    <t>Aufrufen des verknüpften Objekts</t>
  </si>
  <si>
    <r>
      <t xml:space="preserve">Klick auf die </t>
    </r>
    <r>
      <rPr>
        <b/>
        <sz val="11"/>
        <color rgb="FF7E5CE5"/>
        <rFont val="Arial"/>
      </rPr>
      <t>Benachrichtigung im Dropdownmenu</t>
    </r>
    <r>
      <rPr>
        <sz val="11"/>
        <color theme="1"/>
        <rFont val="Calibri"/>
        <family val="2"/>
        <scheme val="minor"/>
      </rPr>
      <t>. Bei den verknüfpten Objekten kann es sich um Tickets und Prüfungen handeln.</t>
    </r>
  </si>
  <si>
    <t>Benachrichtigung führt verlinkten Objekt.</t>
  </si>
  <si>
    <t>Dropdownmenu hat sich geöffnet.</t>
  </si>
  <si>
    <t>Das Klicken auf die Benachrichtigung öffnet das verknüpfte Objekt.</t>
  </si>
  <si>
    <t>KO-EM</t>
  </si>
  <si>
    <t>E-Mail</t>
  </si>
  <si>
    <t xml:space="preserve">Öffnen der Mail </t>
  </si>
  <si>
    <t>Jeder KO individuell in seinem Mailprogramm/Postfach</t>
  </si>
  <si>
    <t>Lesen der Mail</t>
  </si>
  <si>
    <t>Inhalt der E-Mail erfassen</t>
  </si>
  <si>
    <t>Aufrufen der Prüfung</t>
  </si>
  <si>
    <r>
      <t xml:space="preserve">Klick auf </t>
    </r>
    <r>
      <rPr>
        <b/>
        <sz val="11"/>
        <color rgb="FF7E5CE5"/>
        <rFont val="Arial"/>
      </rPr>
      <t>CTA</t>
    </r>
    <r>
      <rPr>
        <sz val="11"/>
        <color theme="1"/>
        <rFont val="Calibri"/>
        <family val="2"/>
        <scheme val="minor"/>
      </rPr>
      <t>.</t>
    </r>
  </si>
  <si>
    <t>KO-P</t>
  </si>
  <si>
    <t>Push -Nachrichten</t>
  </si>
  <si>
    <t>KO-T1</t>
  </si>
  <si>
    <t>Tickets</t>
  </si>
  <si>
    <t>Telefon</t>
  </si>
  <si>
    <t>Ausgehenende Kanäle</t>
  </si>
  <si>
    <t>KO-T2</t>
  </si>
  <si>
    <t>Rechnungen</t>
  </si>
  <si>
    <t>Mail</t>
  </si>
  <si>
    <t>Korrigieren von Prüfungsleistungen</t>
  </si>
  <si>
    <t>1.1 Eingang einer Prüfungsleistung</t>
  </si>
  <si>
    <t>TN lädt Prüfungsleistung hoch</t>
  </si>
  <si>
    <t>Eine hochgeladene Prüfungsleistung landet im Korrekturenpool. Alle der Prüfungsleistung zugeordneten KO haben darauf Zugriff im Campus unter Dashboard -&gt; Prüfungen -&gt; Neue.</t>
  </si>
  <si>
    <t>Prüfung wird dem KO im Korrekturenpool angezeigt.</t>
  </si>
  <si>
    <t>TN hat eine Prüfungsleistung bearbeitet</t>
  </si>
  <si>
    <t>Upload ist abgeschlossen</t>
  </si>
  <si>
    <t xml:space="preserve">Korrektor wird benachrichtigt. </t>
  </si>
  <si>
    <r>
      <t xml:space="preserve">Über den ela-Prozess </t>
    </r>
    <r>
      <rPr>
        <b/>
        <sz val="11"/>
        <color rgb="FF4176CC"/>
        <rFont val="Arial"/>
      </rPr>
      <t xml:space="preserve">CUS_EXA_001 </t>
    </r>
    <r>
      <rPr>
        <sz val="11"/>
        <color theme="1"/>
        <rFont val="Calibri"/>
        <family val="2"/>
        <scheme val="minor"/>
      </rPr>
      <t>wird eine Benachrichtigung an alle der Prüfungsleistung zugeordneten KO verschickt.</t>
    </r>
  </si>
  <si>
    <t>Ela</t>
  </si>
  <si>
    <t>KO ist über den Eingang einer neuen Prüfungsleistung informiert.</t>
  </si>
  <si>
    <r>
      <t xml:space="preserve">Prüfung ist im Korrekturenpool eingegangen. </t>
    </r>
    <r>
      <rPr>
        <b/>
        <sz val="11"/>
        <color rgb="FF4176CC"/>
        <rFont val="Arial"/>
      </rPr>
      <t>CUS_EXA_001</t>
    </r>
    <r>
      <rPr>
        <sz val="11"/>
        <color theme="1"/>
        <rFont val="Calibri"/>
        <family val="2"/>
        <scheme val="minor"/>
      </rPr>
      <t xml:space="preserve"> wurde ausgeführt.</t>
    </r>
  </si>
  <si>
    <r>
      <t xml:space="preserve">KO hat Benachrichtung erhalten. </t>
    </r>
    <r>
      <rPr>
        <b/>
        <sz val="11"/>
        <color rgb="FF4176CC"/>
        <rFont val="Arial"/>
      </rPr>
      <t>CUS_EXA_006</t>
    </r>
    <r>
      <rPr>
        <sz val="11"/>
        <color theme="1"/>
        <rFont val="Calibri"/>
        <family val="2"/>
        <scheme val="minor"/>
      </rPr>
      <t xml:space="preserve"> wird gestartet.</t>
    </r>
  </si>
  <si>
    <t>2.2 Sichten der Prüfungsleistung</t>
  </si>
  <si>
    <t>Ohne das die Korrektur aus dem Pool entfernt wird, kann der KO sich alle benötigten Rahmeninformation anschauen.</t>
  </si>
  <si>
    <t>Der KO weiß wer die Prüfung eingereicht hat und über welchen Kenntnisstand der TN verfügt. Er ist bereit die Korrektur zu übernehmen.</t>
  </si>
  <si>
    <t>Keine, das Sichten ist prinzipiell zu jedem Zeitpunkt des Korrekturprozesses möglich.</t>
  </si>
  <si>
    <t>Aus Benachrichtigung heraus</t>
  </si>
  <si>
    <r>
      <rPr>
        <b/>
        <sz val="11"/>
        <color rgb="FF4176CC"/>
        <rFont val="Arial"/>
      </rPr>
      <t>CUS_EXA_001</t>
    </r>
    <r>
      <rPr>
        <sz val="11"/>
        <color theme="1"/>
        <rFont val="Calibri"/>
        <family val="2"/>
        <scheme val="minor"/>
      </rPr>
      <t xml:space="preserve"> hat Benachrichtigung erstellt.</t>
    </r>
  </si>
  <si>
    <t>Aufrufen der Prüfungsleistung</t>
  </si>
  <si>
    <r>
      <t xml:space="preserve">Klick auf die </t>
    </r>
    <r>
      <rPr>
        <b/>
        <sz val="11"/>
        <color rgb="FF7E5CE5"/>
        <rFont val="Arial"/>
      </rPr>
      <t>Benachrichtigung im Dropdownmenu</t>
    </r>
    <r>
      <rPr>
        <sz val="11"/>
        <color theme="1"/>
        <rFont val="Calibri"/>
        <family val="2"/>
        <scheme val="minor"/>
      </rPr>
      <t>.</t>
    </r>
  </si>
  <si>
    <t>Benachrichtigung führt verlinkten Prüfungsleistung.</t>
  </si>
  <si>
    <t>Überblickt verschaffen</t>
  </si>
  <si>
    <t>Der KO sieht sofort aus welchem Lehrgang die Prüfungsleistung kommt, wer der Absolvent ist, wie viel Zeit seit Upload verstrichen ist  und wie der Satus der Korrektur ist.</t>
  </si>
  <si>
    <t>Schneller Überblick zur Einordnung der Prüfungsleistung.</t>
  </si>
  <si>
    <t>In elaAdminstration alles richtig eingepflegt.</t>
  </si>
  <si>
    <t>Fernlehrgang anschauen</t>
  </si>
  <si>
    <r>
      <rPr>
        <sz val="11"/>
        <color rgb="FF000000"/>
        <rFont val="Arial"/>
      </rPr>
      <t xml:space="preserve">Durch Klicken auf den </t>
    </r>
    <r>
      <rPr>
        <b/>
        <sz val="11"/>
        <color rgb="FF7E5CE5"/>
        <rFont val="Arial"/>
      </rPr>
      <t>Fernlehrgang</t>
    </r>
    <r>
      <rPr>
        <sz val="11"/>
        <color rgb="FF000000"/>
        <rFont val="Arial"/>
      </rPr>
      <t xml:space="preserve"> kann der KO die aktuelle Revision des Lehrgangs mit allen Inhalten inklusive Aufgabenstellung begutachten. Ebenso finden sich hier eventuell benötigte Zusatzdokumente und die Option zum Erstellen eines QM-Eintrags.</t>
    </r>
  </si>
  <si>
    <t>Ggf. offene Fragen zur Prüfungsleistung sind geklärt.</t>
  </si>
  <si>
    <t>Das Klicken auf den Lehrgnag hat diesen inklusive Dokumente, Revisionen und QM geöffnet.</t>
  </si>
  <si>
    <t>Zur Prüfungsleistung zurückkehren</t>
  </si>
  <si>
    <r>
      <rPr>
        <sz val="11"/>
        <color rgb="FF000000"/>
        <rFont val="Arial"/>
      </rPr>
      <t xml:space="preserve">Klick auf </t>
    </r>
    <r>
      <rPr>
        <b/>
        <sz val="11"/>
        <color rgb="FF7E5CE5"/>
        <rFont val="Arial"/>
      </rPr>
      <t>Zurück.</t>
    </r>
  </si>
  <si>
    <t>Rückkehr in die zuletzt betrachtete Prüfungsleistung.</t>
  </si>
  <si>
    <t>Rückkehr in die zuletzt betrachtete Prüfungsleistung .</t>
  </si>
  <si>
    <t>Aus dem Dashboard heraus</t>
  </si>
  <si>
    <t>Aufrufen des Dashboards</t>
  </si>
  <si>
    <r>
      <t xml:space="preserve">Klick auf </t>
    </r>
    <r>
      <rPr>
        <b/>
        <sz val="11"/>
        <color rgb="FF7E5CE5"/>
        <rFont val="Arial"/>
      </rPr>
      <t>Dashboard</t>
    </r>
    <r>
      <rPr>
        <sz val="11"/>
        <color theme="1"/>
        <rFont val="Calibri"/>
        <family val="2"/>
        <scheme val="minor"/>
      </rPr>
      <t>.</t>
    </r>
  </si>
  <si>
    <t>KO sieht Dashboard mit dem Bereich Prüfungen.</t>
  </si>
  <si>
    <t>Aufrufen des Prüfungsbereichs</t>
  </si>
  <si>
    <r>
      <t xml:space="preserve">Klick auf </t>
    </r>
    <r>
      <rPr>
        <b/>
        <sz val="11"/>
        <color rgb="FF7E5CE5"/>
        <rFont val="Arial"/>
      </rPr>
      <t>Prüfungen</t>
    </r>
    <r>
      <rPr>
        <sz val="11"/>
        <color theme="1"/>
        <rFont val="Calibri"/>
        <family val="2"/>
        <scheme val="minor"/>
      </rPr>
      <t>.</t>
    </r>
  </si>
  <si>
    <t>Der Prüfungsbereich mit "Neue", Offene" und "Abgeschlossene" ist sichtbar.</t>
  </si>
  <si>
    <t>Aufrufen der neuen Prüfungen</t>
  </si>
  <si>
    <r>
      <t xml:space="preserve">Klick auf </t>
    </r>
    <r>
      <rPr>
        <sz val="11"/>
        <color rgb="FF7E5CE5"/>
        <rFont val="Arial"/>
      </rPr>
      <t>Neue</t>
    </r>
    <r>
      <rPr>
        <sz val="11"/>
        <color theme="1"/>
        <rFont val="Calibri"/>
        <family val="2"/>
        <scheme val="minor"/>
      </rPr>
      <t>.</t>
    </r>
  </si>
  <si>
    <t>Die neu eingegangene Prüfungleistung wird angezeigt.</t>
  </si>
  <si>
    <t>Prüfungsleistung aufrufen</t>
  </si>
  <si>
    <t>Klick auf die zuletzt eingegangen Prüfungsleistung.</t>
  </si>
  <si>
    <t>Die Prüfungsleistung wird geöffnet.</t>
  </si>
  <si>
    <t>Die Prüfungsleistung ist geöffnet</t>
  </si>
  <si>
    <t xml:space="preserve">Rückkehr in die zuletzt betrachtete Prüfungsleistung </t>
  </si>
  <si>
    <t>2.3 Übernehmen der Korrektur</t>
  </si>
  <si>
    <t>Der KO nimmt die Prüfungsleistung aus dem Pool zu sich zur weiteren Bearbeitung</t>
  </si>
  <si>
    <t>KO ist nun für die Prüfungleistung verantwortlich</t>
  </si>
  <si>
    <t>Die Verantwortlichkeit endet in der Regel mit dem Einreichen der korrigierten Prüfungsleistung</t>
  </si>
  <si>
    <t>KO übernimmt Korrektur direkt</t>
  </si>
  <si>
    <t>Der KO übernimmt die Prüfungsleistung direkt bzw. innerhalb von 48h nach dem Eingang eben jener</t>
  </si>
  <si>
    <t>Der KO nutz den Weg über die Benachrichtungsfunktion.</t>
  </si>
  <si>
    <t>KO findet die nicht zugewiesene Prüfungsleistung</t>
  </si>
  <si>
    <t>KO sieht Dropdownmenu</t>
  </si>
  <si>
    <r>
      <rPr>
        <b/>
        <sz val="11"/>
        <color rgb="FF4176CC"/>
        <rFont val="Arial"/>
      </rPr>
      <t>CUS_EXA_001</t>
    </r>
    <r>
      <rPr>
        <sz val="11"/>
        <color theme="1"/>
        <rFont val="Calibri"/>
        <family val="2"/>
        <scheme val="minor"/>
      </rPr>
      <t xml:space="preserve"> hat Benachrichtigung erstellt</t>
    </r>
  </si>
  <si>
    <t>Benachrichtigung führt verlinkten Prüfungsleistung</t>
  </si>
  <si>
    <t>Dropdownmenu hat sich geöffnet</t>
  </si>
  <si>
    <t>Übernehmen der Prüfungleistung</t>
  </si>
  <si>
    <t>Klick auf Button "Prüfung übernehmen"</t>
  </si>
  <si>
    <t>KO klickt auf "Prüfung übernehmen"</t>
  </si>
  <si>
    <t>Button "Prüfung übernehmen" wird angezeigt.</t>
  </si>
  <si>
    <r>
      <t xml:space="preserve">KO ist nun für die Korrektur der Prüfungsleistung zuständig. </t>
    </r>
    <r>
      <rPr>
        <b/>
        <sz val="11"/>
        <color rgb="FF4176CC"/>
        <rFont val="Arial"/>
      </rPr>
      <t>CUS_EXA_005</t>
    </r>
    <r>
      <rPr>
        <sz val="11"/>
        <color theme="1"/>
        <rFont val="Calibri"/>
        <family val="2"/>
        <scheme val="minor"/>
      </rPr>
      <t xml:space="preserve"> startet.</t>
    </r>
  </si>
  <si>
    <t>Über das Dashboard</t>
  </si>
  <si>
    <t>Der KO nutzt den Weg über das Dashboard</t>
  </si>
  <si>
    <t>Klick auf Dashboard</t>
  </si>
  <si>
    <t>KO sieht Dashboard mit dem Bereich Prüfungen</t>
  </si>
  <si>
    <t>Klick auf Prüfung</t>
  </si>
  <si>
    <t>Der Prüfungsbereich mit "Neue", Eoffene" und "Abgeschlossene" ist sichtbar</t>
  </si>
  <si>
    <t>Klick auf Neue</t>
  </si>
  <si>
    <t>Die neu eingegangene Prüfungleistung wird angezeigt</t>
  </si>
  <si>
    <t>Klick auf die zuletzt eingegangen Prüfungsleistung</t>
  </si>
  <si>
    <t>Die Prüfungsleistung wird geöffnet</t>
  </si>
  <si>
    <t>Klick auf Button Prüfung übernehmen</t>
  </si>
  <si>
    <t>KO übernimmt die Korrektur nicht direkt</t>
  </si>
  <si>
    <t>Die Prüfungsleistung wurde keinem KO zugewiesen</t>
  </si>
  <si>
    <r>
      <rPr>
        <b/>
        <sz val="11"/>
        <color rgb="FF4176CC"/>
        <rFont val="Arial"/>
      </rPr>
      <t>CUS_EXA_006</t>
    </r>
    <r>
      <rPr>
        <sz val="11"/>
        <color theme="1"/>
        <rFont val="Calibri"/>
        <family val="2"/>
        <scheme val="minor"/>
      </rPr>
      <t xml:space="preserve"> erinnert den KO und MA-PER bis Prüfung zugewiesen wurde.</t>
    </r>
  </si>
  <si>
    <t>KO übernimmt Prüfungsleistung</t>
  </si>
  <si>
    <t>Erinnerung nach 2 Tagen</t>
  </si>
  <si>
    <r>
      <t xml:space="preserve">KO erhält eine weitere Banchrichtung entprechend </t>
    </r>
    <r>
      <rPr>
        <b/>
        <sz val="11"/>
        <color rgb="FF4176CC"/>
        <rFont val="Arial"/>
      </rPr>
      <t>CUS_EXA_006</t>
    </r>
    <r>
      <rPr>
        <sz val="11"/>
        <color theme="1"/>
        <rFont val="Calibri"/>
        <family val="2"/>
        <scheme val="minor"/>
      </rPr>
      <t>.</t>
    </r>
  </si>
  <si>
    <r>
      <t xml:space="preserve">Im </t>
    </r>
    <r>
      <rPr>
        <b/>
        <sz val="11"/>
        <color rgb="FF4176CC"/>
        <rFont val="Arial"/>
      </rPr>
      <t>CUS_EXA_006</t>
    </r>
    <r>
      <rPr>
        <sz val="11"/>
        <color theme="1"/>
        <rFont val="Calibri"/>
        <family val="2"/>
        <scheme val="minor"/>
      </rPr>
      <t xml:space="preserve"> sind 2 Tage verstrichen.</t>
    </r>
  </si>
  <si>
    <t>KO übernimmt Korrektur nach 2 Tagen</t>
  </si>
  <si>
    <t>Nach Erhalt der 1. Erinnerung weißt der KO sich die Prüfung zu</t>
  </si>
  <si>
    <t>Prüfung wird einem KO zugewiesen</t>
  </si>
  <si>
    <t>Klick auf die Glocke</t>
  </si>
  <si>
    <r>
      <rPr>
        <b/>
        <sz val="11"/>
        <color rgb="FF4176CC"/>
        <rFont val="Arial"/>
      </rPr>
      <t xml:space="preserve">CUS_EXA_006 </t>
    </r>
    <r>
      <rPr>
        <sz val="11"/>
        <color theme="1"/>
        <rFont val="Calibri"/>
        <family val="2"/>
        <scheme val="minor"/>
      </rPr>
      <t>hat Benachrichtigung erstellt.</t>
    </r>
  </si>
  <si>
    <t>Klick auf die  Benachrichtigung im Dropdownmenu</t>
  </si>
  <si>
    <t>Klick auf Prüfungen</t>
  </si>
  <si>
    <t>Zuweisen der Prüfungsleistung</t>
  </si>
  <si>
    <r>
      <t xml:space="preserve">KO ist nun für die Korrektur der Prüfungsleistung zuständig. </t>
    </r>
    <r>
      <rPr>
        <b/>
        <sz val="11"/>
        <color rgb="FF4176CC"/>
        <rFont val="Arial"/>
      </rPr>
      <t xml:space="preserve">CUS_EXA_005 </t>
    </r>
    <r>
      <rPr>
        <sz val="11"/>
        <color theme="1"/>
        <rFont val="Calibri"/>
        <family val="2"/>
        <scheme val="minor"/>
      </rPr>
      <t>startet.</t>
    </r>
  </si>
  <si>
    <t>Erinnerung nach 4 Tagen</t>
  </si>
  <si>
    <t>KO erhält eine weitere Benachrichtigung und eine E-Mail entsprechend CUS_EXA_006.</t>
  </si>
  <si>
    <r>
      <t xml:space="preserve">Im  </t>
    </r>
    <r>
      <rPr>
        <b/>
        <sz val="11"/>
        <color rgb="FF4176CC"/>
        <rFont val="Arial"/>
      </rPr>
      <t>CUS_EXA_006</t>
    </r>
    <r>
      <rPr>
        <sz val="11"/>
        <color theme="1"/>
        <rFont val="Calibri"/>
        <family val="2"/>
        <scheme val="minor"/>
      </rPr>
      <t xml:space="preserve"> sind 4 Tage verstrichen.</t>
    </r>
  </si>
  <si>
    <t>KO übernimmt Korrektur nach 4 Tagen</t>
  </si>
  <si>
    <t>Nach Erhalt der 2. Erinnerung weißt der KO sich die Prüfung zu</t>
  </si>
  <si>
    <t>Aus E-Mail heraus</t>
  </si>
  <si>
    <t>Erzwungene Zuweisung nach 6 Tagen</t>
  </si>
  <si>
    <r>
      <rPr>
        <b/>
        <sz val="11"/>
        <color rgb="FF4176CC"/>
        <rFont val="Arial"/>
      </rPr>
      <t>CUS_EXA_006</t>
    </r>
    <r>
      <rPr>
        <sz val="11"/>
        <color theme="1"/>
        <rFont val="Calibri"/>
        <family val="2"/>
        <scheme val="minor"/>
      </rPr>
      <t xml:space="preserve"> entsprechend wurde der MA-PER über die nicht zugewiesene Prüfungsleistung informiert und hat diese dann manuel dem KO zugeorndet.</t>
    </r>
  </si>
  <si>
    <t>MA-PER</t>
  </si>
  <si>
    <t>Nicht zugewiesenen Prüfungsleistung ist nun zugewiesen</t>
  </si>
  <si>
    <r>
      <t xml:space="preserve">Im </t>
    </r>
    <r>
      <rPr>
        <b/>
        <sz val="11"/>
        <color rgb="FF4176CC"/>
        <rFont val="Arial"/>
      </rPr>
      <t>CUS_EXA_006</t>
    </r>
    <r>
      <rPr>
        <sz val="11"/>
        <color theme="1"/>
        <rFont val="Calibri"/>
        <family val="2"/>
        <scheme val="minor"/>
      </rPr>
      <t xml:space="preserve"> sind 6 Tage verstrichen.</t>
    </r>
  </si>
  <si>
    <t>KO ruft ihm zugewiesen Prüfung auf.</t>
  </si>
  <si>
    <t>Der KO will die ihm vom MA-PER zugeweisen Prüfung betrachten.</t>
  </si>
  <si>
    <r>
      <rPr>
        <b/>
        <sz val="11"/>
        <color rgb="FF4176CC"/>
        <rFont val="Arial"/>
      </rPr>
      <t>CUS_EXA_007</t>
    </r>
    <r>
      <rPr>
        <sz val="11"/>
        <color theme="1"/>
        <rFont val="Calibri"/>
        <family val="2"/>
        <scheme val="minor"/>
      </rPr>
      <t xml:space="preserve"> hat Benachrichtigung erstellt</t>
    </r>
  </si>
  <si>
    <t>Klick auf die Benachrichtigung im Dropdownmenu</t>
  </si>
  <si>
    <r>
      <t xml:space="preserve">Die Prüfungsleistung ist geöffnet. </t>
    </r>
    <r>
      <rPr>
        <b/>
        <sz val="11"/>
        <color rgb="FF4176CC"/>
        <rFont val="Arial"/>
      </rPr>
      <t>CUS_EXA_005</t>
    </r>
    <r>
      <rPr>
        <sz val="11"/>
        <color theme="1"/>
        <rFont val="Calibri"/>
        <family val="2"/>
        <scheme val="minor"/>
      </rPr>
      <t xml:space="preserve"> startet.</t>
    </r>
  </si>
  <si>
    <t>Klick auf Offen</t>
  </si>
  <si>
    <t>2.4 Beginnen der Korrektur</t>
  </si>
  <si>
    <t>Direkt nach selbständiger Zuweisung an KO</t>
  </si>
  <si>
    <t>Der KO beginnt direkt nach dem er sich die Prüfung zugewiesen hat mit der Korrektur der Prüfungsleistung.</t>
  </si>
  <si>
    <t>KO beginnt mit der Korrektur</t>
  </si>
  <si>
    <t>Die Prüfung wurde dem KO aus dem Korrekturenpool zugewiesen.</t>
  </si>
  <si>
    <t>Korrektur beginnen</t>
  </si>
  <si>
    <t>Der Button zum Prüfung übernehmen verwandelt sich in den Button "Korrektur beginnen". Klick auf diesen Button.</t>
  </si>
  <si>
    <t>KO beginnt direkt mit der Korrektur</t>
  </si>
  <si>
    <t>KO übernimmt die Prüfungsleistung direkt nach Ende von CUS_EXA_001</t>
  </si>
  <si>
    <t>KO reicht Korrektur bei MA-SB2C ein</t>
  </si>
  <si>
    <t>Zeitversetzt nach Zuweisung an KO</t>
  </si>
  <si>
    <r>
      <t xml:space="preserve">Innerhalb der Frist von 14 Tagen ab Upload der Prüfungsleistung durch den TN, kann der KO die Korrektur jederzeit durchführen. Um eine fristgerechte Korrektur sicherzustellen wird der KO entsprechend </t>
    </r>
    <r>
      <rPr>
        <b/>
        <sz val="11"/>
        <color rgb="FF4176CC"/>
        <rFont val="Arial"/>
      </rPr>
      <t>CUS_EXA_005</t>
    </r>
    <r>
      <rPr>
        <sz val="11"/>
        <color theme="1"/>
        <rFont val="Calibri"/>
        <family val="2"/>
        <scheme val="minor"/>
      </rPr>
      <t xml:space="preserve"> regelmäßig an die offene Korrektur erinnert.</t>
    </r>
  </si>
  <si>
    <t>Ela/KO</t>
  </si>
  <si>
    <r>
      <rPr>
        <b/>
        <sz val="11"/>
        <color rgb="FF4176CC"/>
        <rFont val="Arial"/>
      </rPr>
      <t>CUS_EXA_005</t>
    </r>
    <r>
      <rPr>
        <sz val="11"/>
        <color theme="1"/>
        <rFont val="Calibri"/>
        <family val="2"/>
        <scheme val="minor"/>
      </rPr>
      <t xml:space="preserve"> hat Benachrichtigung erstellt.</t>
    </r>
  </si>
  <si>
    <t>Prüfungsbereich wird angezeigt.</t>
  </si>
  <si>
    <t>Klick auf "Offene"</t>
  </si>
  <si>
    <t>Die offene Prüfungsleistung wird angezeigt</t>
  </si>
  <si>
    <t>Offene Prüfungsleistung ist sichtbar.</t>
  </si>
  <si>
    <t>Klick auf die Prüfungsleistung, die nun korrigiert werden soll.</t>
  </si>
  <si>
    <t>Die Prüfungsleistung ist offen.</t>
  </si>
  <si>
    <t>Klick auf "Korrektur beginnen"</t>
  </si>
  <si>
    <t>KO beginnt mit der Durchführung der Korrektur</t>
  </si>
  <si>
    <r>
      <t xml:space="preserve">KO schließt Korrektur ab. Sonst läuft </t>
    </r>
    <r>
      <rPr>
        <b/>
        <sz val="11"/>
        <color rgb="FF4176CC"/>
        <rFont val="Arial"/>
      </rPr>
      <t>CUS_EXA_005</t>
    </r>
    <r>
      <rPr>
        <sz val="11"/>
        <color theme="1"/>
        <rFont val="Calibri"/>
        <family val="2"/>
        <scheme val="minor"/>
      </rPr>
      <t xml:space="preserve"> weiter.</t>
    </r>
  </si>
  <si>
    <t>Erinnerung nach  7 Tagen nach Upload der Prüfungsleistung</t>
  </si>
  <si>
    <r>
      <t xml:space="preserve">KO erhält eine weitere Banchrichtung entprechend </t>
    </r>
    <r>
      <rPr>
        <b/>
        <sz val="11"/>
        <color rgb="FF4176CC"/>
        <rFont val="Arial"/>
      </rPr>
      <t>CUS_EXA_005</t>
    </r>
    <r>
      <rPr>
        <sz val="11"/>
        <color theme="1"/>
        <rFont val="Calibri"/>
        <family val="2"/>
        <scheme val="minor"/>
      </rPr>
      <t>.</t>
    </r>
  </si>
  <si>
    <t>KO schließt Bearbeitung der Prüfungsleistung ab.</t>
  </si>
  <si>
    <r>
      <t xml:space="preserve">Im </t>
    </r>
    <r>
      <rPr>
        <b/>
        <sz val="11"/>
        <color rgb="FF4176CC"/>
        <rFont val="Arial"/>
      </rPr>
      <t>CUS_EXA_005</t>
    </r>
    <r>
      <rPr>
        <sz val="11"/>
        <color theme="1"/>
        <rFont val="Calibri"/>
        <family val="2"/>
        <scheme val="minor"/>
      </rPr>
      <t xml:space="preserve"> sind 7 Tage vergangen.</t>
    </r>
  </si>
  <si>
    <t>KO ruft unbearbeitete Prüfungsleistung auf</t>
  </si>
  <si>
    <t>KO will die erinnerte Prüfungsleistung nun korrigieren.</t>
  </si>
  <si>
    <t>Button funktioniert</t>
  </si>
  <si>
    <t>Erinnerung nach  12 Tagen nach Upload der Prüfungsleistung</t>
  </si>
  <si>
    <r>
      <t xml:space="preserve">Im </t>
    </r>
    <r>
      <rPr>
        <b/>
        <sz val="11"/>
        <color rgb="FF4176CC"/>
        <rFont val="Arial"/>
      </rPr>
      <t>CUS_EXA_005</t>
    </r>
    <r>
      <rPr>
        <sz val="11"/>
        <color theme="1"/>
        <rFont val="Calibri"/>
        <family val="2"/>
        <scheme val="minor"/>
      </rPr>
      <t xml:space="preserve"> sind 12 Tage vergangen.</t>
    </r>
  </si>
  <si>
    <t xml:space="preserve">Die Prüfungsleistung ist geöffnet. </t>
  </si>
  <si>
    <t>Prüfungsleistung wurde nicht innerhalb von 14 Tagen korrigiert eingereicht.</t>
  </si>
  <si>
    <t>MA-PER wird entsprechen CUS_EXA_005 mit einem Ticket informiert und prüft den Verzug.</t>
  </si>
  <si>
    <t>Ela/MA-PER</t>
  </si>
  <si>
    <t>MA-PER dokumentiert Verzug, KO reicht Korrektur innerhalb 24 final ein.</t>
  </si>
  <si>
    <r>
      <t xml:space="preserve">Im </t>
    </r>
    <r>
      <rPr>
        <b/>
        <sz val="11"/>
        <color rgb="FF4176CC"/>
        <rFont val="Arial"/>
      </rPr>
      <t>CUS_EXA_005</t>
    </r>
    <r>
      <rPr>
        <sz val="11"/>
        <color theme="1"/>
        <rFont val="Calibri"/>
        <family val="2"/>
        <scheme val="minor"/>
      </rPr>
      <t xml:space="preserve"> sind 14 Tage vergangen.</t>
    </r>
  </si>
  <si>
    <t>KO schließt Korrektur ab, bevor sich der MA-Per melden kann.</t>
  </si>
  <si>
    <t>Persönlicher Kontakt mit MA-PER</t>
  </si>
  <si>
    <t>MA-Per ruft KO an und bespricht den Verzug.</t>
  </si>
  <si>
    <t>MA-Per/KO</t>
  </si>
  <si>
    <t>Erklärung erhalten, zukünftigem Verzug vorbeugen, offene KOrrektur erhalten.</t>
  </si>
  <si>
    <t>KO will die überfällige Prüfungsleistung nun korrigieren.</t>
  </si>
  <si>
    <t>Klick auf "Korrektur beginnen" oder "Fortsetzen"</t>
  </si>
  <si>
    <t>KO beginnt mit der Durchführung der Korrektur und schließt diese innerhalb 24h ab. Die Maske zur Korrektur der Prüfungsleistung öffnet sich.</t>
  </si>
  <si>
    <t>KO schließt Korrektur ab. Sonst vergibt MA-Per die Korrektur händisch einem anderen KO.</t>
  </si>
  <si>
    <t>2.5 Durchführen einer Korrektur</t>
  </si>
  <si>
    <t>Korrektur einer Prüfung</t>
  </si>
  <si>
    <t>Bei Prüfungen werden die einzelnen Fragen jeweils einzeln dargestellt. Dabei sieht der KO die Fragestellung, die Lösung des TN, die Musterlösung und Felder zum Eintragen von Punkten und Kommentaren.</t>
  </si>
  <si>
    <t>Fragestellung lesen</t>
  </si>
  <si>
    <t>KO liest und versteht die Fragestellung</t>
  </si>
  <si>
    <t>KO versteht die Frage</t>
  </si>
  <si>
    <t>Frage wurde verständlich formuliert, durch MA-P</t>
  </si>
  <si>
    <t>KO hat die Frage Verstanden.</t>
  </si>
  <si>
    <t>TN Lösung mit Musterlösung vergleichen</t>
  </si>
  <si>
    <t>Nun gleicht der KO die Lösung des TN mit der Musterlösung ab.</t>
  </si>
  <si>
    <t>KO bekommt Lösung und Musterlösung angezeigt und kann korrigieren.</t>
  </si>
  <si>
    <t>Punkte vergeben</t>
  </si>
  <si>
    <t>Entsprechend der Abweichungen zur Musterlösung werden die Punkte eingetragen.</t>
  </si>
  <si>
    <t xml:space="preserve">KO </t>
  </si>
  <si>
    <t>Kommentar zur Bewertung</t>
  </si>
  <si>
    <t>Der Abzug von Punkten oder auch Lob hält der KO im Feld für die Kommentare fest.</t>
  </si>
  <si>
    <t>Zusammenfassung prüfen</t>
  </si>
  <si>
    <t>Nach der letzen Frage erscheint eine Zusammenfassung aller bisherigen Punkte und Kommentare. Der KO trägt nun die finale Note entsprechend Tutorenleitfaden und einen Gesamtkommentar zur Prüfung ein.</t>
  </si>
  <si>
    <t>Korrektur einreichen</t>
  </si>
  <si>
    <t>KO klickt auf "Bewertung abschließen".</t>
  </si>
  <si>
    <r>
      <t xml:space="preserve">KO hat die Korrektur eingereicht. </t>
    </r>
    <r>
      <rPr>
        <b/>
        <sz val="11"/>
        <color rgb="FF4176CC"/>
        <rFont val="Arial"/>
      </rPr>
      <t>CUS_EXA_002</t>
    </r>
    <r>
      <rPr>
        <sz val="11"/>
        <color theme="1"/>
        <rFont val="Calibri"/>
        <family val="2"/>
        <scheme val="minor"/>
      </rPr>
      <t xml:space="preserve"> startet. </t>
    </r>
    <r>
      <rPr>
        <b/>
        <sz val="11"/>
        <color rgb="FF4176CC"/>
        <rFont val="Arial"/>
      </rPr>
      <t>CUS_EXA_005</t>
    </r>
    <r>
      <rPr>
        <sz val="11"/>
        <color theme="1"/>
        <rFont val="Calibri"/>
        <family val="2"/>
        <scheme val="minor"/>
      </rPr>
      <t xml:space="preserve"> endet.</t>
    </r>
  </si>
  <si>
    <t>Korrektur einer Arbeit</t>
  </si>
  <si>
    <t>Bei einer Arbeit gibt es neben der Korrekturmaske noch folgende downloadbare Dokumente. TN hochgeladenes Dokument der Prüfungsleistung, eine Vorlage für die TN und einen Bewertungsbogen für den KO.</t>
  </si>
  <si>
    <t>Download des Bewertungsbogens</t>
  </si>
  <si>
    <t>Klick auf Zusatzdokumente. Klick auf Bewertungsbogen. Download wird auf dem lokalen Computer gespeichert</t>
  </si>
  <si>
    <t>2.2 Sichten des Lehrgangs</t>
  </si>
  <si>
    <t>Download der Dokumentenvorlage für TN</t>
  </si>
  <si>
    <t>Klick auf Zusatzdokumente. Klick auf Mustervorlage. Download wird auf dem lokalen Computer gespeichert</t>
  </si>
  <si>
    <t>Korrekturhilfe Downloaden</t>
  </si>
  <si>
    <t>Klick auf Zusatzdokumente. Klick auf Korrekturhilfe. Download wird auf dem lokalen Computer gespeichert</t>
  </si>
  <si>
    <t>Aufgabenstellung öffnen</t>
  </si>
  <si>
    <t>Im Produkt kann man die Aufgabenstellung im Browser anschauen.</t>
  </si>
  <si>
    <t>Arbeit bewerten</t>
  </si>
  <si>
    <t>Lösung des TN mit Korrekturhilfe, Mustervorlage und Aufgabenstellung abgleichen.</t>
  </si>
  <si>
    <t>Bewertungsbogen ausfüllen</t>
  </si>
  <si>
    <t>Den Bewertungsbogen entsprechen Ttuorenleitfaden ausfüllen</t>
  </si>
  <si>
    <t>Bewertungsbogen als PDFspeichern</t>
  </si>
  <si>
    <t>Bewertungsbogen in der Korrekturmaske hochladen</t>
  </si>
  <si>
    <t>Der KO trägt nun die finale Note entsprechend Tutorenleitfaden und des Bewertungsbogens, sowie einen Gesamtkommentar zur Prüfung ein.</t>
  </si>
  <si>
    <t>1.6 Rückmeldung zur eingereichten Korrektur</t>
  </si>
  <si>
    <t>Tickets öffnen</t>
  </si>
  <si>
    <t>Klick auf Tickets</t>
  </si>
  <si>
    <t>Neue Nachricht erstellen</t>
  </si>
  <si>
    <t>Klick auf "+Nachricht senden"</t>
  </si>
  <si>
    <t>Nachricht fomulieren</t>
  </si>
  <si>
    <t xml:space="preserve">Rolle "korrektor auswählen, Textfeld ausfüllne, ggf Anhang </t>
  </si>
  <si>
    <t>Bezug zur Prüfung herstelen</t>
  </si>
  <si>
    <t>Prüfungs-ID in Nachricht nennen</t>
  </si>
  <si>
    <t>Nachricht absenden</t>
  </si>
  <si>
    <t>Klick auf "Erstellen"</t>
  </si>
  <si>
    <t>1.7 Sonderfälle</t>
  </si>
  <si>
    <t>Korrektur abgeben</t>
  </si>
  <si>
    <t>Falsches Dokument bei Arbeit</t>
  </si>
  <si>
    <t>4. Qualitätssicherung</t>
  </si>
  <si>
    <t>Auffälligkeiten während Korrekturprozesses</t>
  </si>
  <si>
    <t>5 Verwaltung</t>
  </si>
  <si>
    <t>Stellen</t>
  </si>
  <si>
    <t>Korrigieren</t>
  </si>
  <si>
    <t>Arbeitszeit erfassen</t>
  </si>
  <si>
    <t>Regeln für die Rechnungsstellung kennen</t>
  </si>
  <si>
    <t>Urlaub melden</t>
  </si>
  <si>
    <t>Krankheit melden</t>
  </si>
  <si>
    <t>Arbeitszeugnis erhalten</t>
  </si>
  <si>
    <t>Persönliches Gespräch</t>
  </si>
  <si>
    <t>Alle Zugänge löschen</t>
  </si>
  <si>
    <t>Lerngruppe betreuen</t>
  </si>
  <si>
    <t>Eingehend</t>
  </si>
  <si>
    <t>Ausgehend</t>
  </si>
  <si>
    <t>3. Lerngruppe betreuen</t>
  </si>
  <si>
    <t>Übersicht alle Lerngruppen erhalten</t>
  </si>
  <si>
    <t>Einstellungen für die Lerngruppe vornehmen</t>
  </si>
  <si>
    <t>Monitoring der Teilnehmer</t>
  </si>
  <si>
    <t>Verstehen welche Produkte  zur Lerngruppe gehören</t>
  </si>
  <si>
    <t>Mitglieder der Lerngruppe sehen</t>
  </si>
  <si>
    <t>Tutoren der Lerngruppe sehen und ggf. Kontaktieren</t>
  </si>
  <si>
    <t>Gemerkte Beiträge aufrufen</t>
  </si>
  <si>
    <t>Eigene Beiträge aufrufen</t>
  </si>
  <si>
    <t>Beiträge erstellen</t>
  </si>
  <si>
    <t>Beträge betrachten</t>
  </si>
  <si>
    <t>Mit Beiträgen interagieren</t>
  </si>
  <si>
    <t>Ausblenden</t>
  </si>
  <si>
    <t>Liken</t>
  </si>
  <si>
    <t>Merken</t>
  </si>
  <si>
    <t>Verschieben</t>
  </si>
  <si>
    <t>Tutorensprechstunde durchführen</t>
  </si>
  <si>
    <t xml:space="preserve">4. </t>
  </si>
  <si>
    <t>Bildungstickets</t>
  </si>
  <si>
    <t>Eingang eines BT</t>
  </si>
  <si>
    <t>Lesen eines Bildungstickets</t>
  </si>
  <si>
    <t>Antworten auf Bildungstickets</t>
  </si>
  <si>
    <t>Schließen eines Bildungstickets</t>
  </si>
  <si>
    <t>5. Qualitätssicherung</t>
  </si>
  <si>
    <t>QM Beitrag erstellen</t>
  </si>
  <si>
    <t>Aus Ticket</t>
  </si>
  <si>
    <t>Aus Lerngruppe</t>
  </si>
  <si>
    <t>Evaluationsbogen erstellen</t>
  </si>
  <si>
    <t>6 Verwaltung</t>
  </si>
  <si>
    <t>7 Offboarding</t>
  </si>
  <si>
    <t>Termine verstehen</t>
  </si>
  <si>
    <t>Connect verstehen</t>
  </si>
  <si>
    <t>2 Kommunikation</t>
  </si>
  <si>
    <t>3 Veranstaltungsorganisation</t>
  </si>
  <si>
    <t>Termine planen</t>
  </si>
  <si>
    <t>Jahresplanung</t>
  </si>
  <si>
    <t>Termin vereinbaren/zusagen</t>
  </si>
  <si>
    <t>Bildungsauftrag unterschreiben</t>
  </si>
  <si>
    <t>Termin verschieben</t>
  </si>
  <si>
    <t>Von Delst aus</t>
  </si>
  <si>
    <t>Von Dozent aus</t>
  </si>
  <si>
    <t>Krankheitsabsage</t>
  </si>
  <si>
    <t>Storno</t>
  </si>
  <si>
    <t>Als Krankheitsersatz einspringen</t>
  </si>
  <si>
    <t>4 Veranstaltungsdurchführung</t>
  </si>
  <si>
    <t>Produkt/Veranstaltung inahltlich kennen</t>
  </si>
  <si>
    <t>Benötigte Dokumente abrufen</t>
  </si>
  <si>
    <t>Veranstaltungsraumlink finden</t>
  </si>
  <si>
    <t>TN Liste führen</t>
  </si>
  <si>
    <t>Mündliche Noten erfassen</t>
  </si>
  <si>
    <t>Feedback senden</t>
  </si>
  <si>
    <t>Notfalltelefonnummer kennen</t>
  </si>
  <si>
    <t>5 Adobe Connect</t>
  </si>
  <si>
    <t>Veranstaltungsraum betreten</t>
  </si>
  <si>
    <t>Raum einrichten</t>
  </si>
  <si>
    <t xml:space="preserve">Layouts nutzen </t>
  </si>
  <si>
    <t>Aufzeichung starten</t>
  </si>
  <si>
    <t>Technische Probleme beheben</t>
  </si>
  <si>
    <t>6 Qualitätssicherung</t>
  </si>
  <si>
    <t>Auffäligkeiten während der Veranstaltung</t>
  </si>
  <si>
    <t>Feedback zur eigenen Veranstaltung einholen</t>
  </si>
  <si>
    <t>8 Offboarding</t>
  </si>
  <si>
    <t>Budgetierung und Finanzplanung</t>
  </si>
  <si>
    <t>Erstellung von Jahresbudgets</t>
  </si>
  <si>
    <t>Entwicklung von Budgetplänen für das gesamte Institut oder einzelne Abteilungen, basierend auf den erwarteten Einnahmen und Ausgaben.</t>
  </si>
  <si>
    <t>Analyse der finanziellen Historie und Trends</t>
  </si>
  <si>
    <t>Sammlung historischer Finanzdaten</t>
  </si>
  <si>
    <t>Erfassung von Einnahmen, Ausgaben, Vermögenswerten und Verbindlichkeiten aus der Vergangenheit, um Muster und Trends zu erkennen.</t>
  </si>
  <si>
    <t>Identifizierung von Trends</t>
  </si>
  <si>
    <t>Analyse der Finanzdaten, um Wachstumsmuster, saisonale Schwankungen und andere Faktoren zu identifizieren, die das Budget beeinflussen können.</t>
  </si>
  <si>
    <t>Prognose zukünftiger Einnahmen und Ausgaben</t>
  </si>
  <si>
    <t>Regelmäßige Überprüfung der Finanzlage und Anpassung der Budgets an die aktuellen Gegebenheiten und Prognosen.</t>
  </si>
  <si>
    <t>Abschätzung der Einnahmen</t>
  </si>
  <si>
    <t>Projektion der erwarteten Einnahmen aus verschiedenen Quellen, wie Studiengebühren, Fördermittel, Spenden und sonstige Einnahmen.</t>
  </si>
  <si>
    <t>Schätzung der Ausgaben</t>
  </si>
  <si>
    <t>Kalkulation der voraussichtlichen Ausgaben, wie Personal- und Betriebskosten, Investitionen, Marketing und sonstige Kosten.</t>
  </si>
  <si>
    <t>Abstimmung der Budgetanforderungen</t>
  </si>
  <si>
    <t>Sammlung von Budgetanforderungen</t>
  </si>
  <si>
    <t>Einholen von Informationen über geplante Projekte, Personalbedarf, Infrastrukturinvestitionen und andere Kosten aus den verschiedenen Abteilungen.</t>
  </si>
  <si>
    <t>Priorisierung von Ausgaben</t>
  </si>
  <si>
    <t>Bewertung der Budgetanforderungen auf der Grundlage ihrer Dringlichkeit, strategischen Bedeutung und möglichen Rendite.</t>
  </si>
  <si>
    <t>Genehmigung und Freigabe von Budgets</t>
  </si>
  <si>
    <t>Einholung der Zustimmung der Geschäftsführung für die vorgeschlagenen Budgets und Freigabe der Mittel für die Umsetzung.</t>
  </si>
  <si>
    <t>Budgetentwurf</t>
  </si>
  <si>
    <t>Erstellung eines ersten Budgetentwurfs, der die erwarteten Einnahmen und Ausgaben auf der Grundlage der gesammelten Informationen berücksichtigt.</t>
  </si>
  <si>
    <t>Diskussion und Feedback</t>
  </si>
  <si>
    <t>Diskussion des Budgetentwurfs mit den verantwortlichen Mitarbeitern und Stakeholdern, um Feedback und Anpassungen zu erhalten.</t>
  </si>
  <si>
    <t>Überarbeitung und Finalisierung</t>
  </si>
  <si>
    <t>Anpassung des Budgetentwurfs auf der Grundlage des Feedbacks und der weiteren Überlegungen, um einen finalen Budgetplan zu erstellen.</t>
  </si>
  <si>
    <t>Buchhaltung und Finanzberichterstattung</t>
  </si>
  <si>
    <t>Finanztransaktionen im Admin-Interface</t>
  </si>
  <si>
    <t>Erfassung und Zuordnung von Forderungen und Verbindlichkeiten</t>
  </si>
  <si>
    <t>Forderungen aus Produkten gegenüber Personen</t>
  </si>
  <si>
    <t>Forderungen aus Produkten gegenüber Unternehmen</t>
  </si>
  <si>
    <t>Zuordnung von Zahlungseingängen</t>
  </si>
  <si>
    <t>Erfassung von Verbindlichkeiten</t>
  </si>
  <si>
    <t>Freigabe und Versenden von Verbindlichkeiten</t>
  </si>
  <si>
    <t>Erfassung von Finanztransaktionen</t>
  </si>
  <si>
    <t>Systematische Aufzeichnung aller finanziellen Vorgänge, wie Einnahmen, Ausgaben, Vermögenswerte und Verbindlichkeiten.</t>
  </si>
  <si>
    <t>Einnahmen</t>
  </si>
  <si>
    <t>Teilnahmegebühren</t>
  </si>
  <si>
    <t>Erfassung der Einnahmen aus Kurs- oder Programmanmeldungen.</t>
  </si>
  <si>
    <t>Fördermittel</t>
  </si>
  <si>
    <t>Erfassung der erhaltenen Finanzmittel aus Förderprogrammen, Stipendien oder Zuschüssen.</t>
  </si>
  <si>
    <t>Sonstige Einnahmen</t>
  </si>
  <si>
    <t>Erfassung weiterer Einnahmequellen, wie Veranstaltungen, Verkauf von Lehrmaterialien oder Dienstleistungen.</t>
  </si>
  <si>
    <t>Ausgaben</t>
  </si>
  <si>
    <t>Personalkosten</t>
  </si>
  <si>
    <t>Erfassung der Gehälter, Löhne, Sozialabgaben und sonstigen Mitarbeiterkosten.</t>
  </si>
  <si>
    <t>Betriebskosten</t>
  </si>
  <si>
    <t>Erfassung der Kosten für Miete, Energie, Versicherungen, Wartung und Instandhaltung von Gebäuden oder Anlagen.</t>
  </si>
  <si>
    <t>Lehr- und Lernmaterialien</t>
  </si>
  <si>
    <t>Erfassung der Kosten für Lehrbücher, Online-Ressourcen, Softwarelizenzen oder sonstige Lehrmaterialien.</t>
  </si>
  <si>
    <t>Marketing- und Vertriebskosten</t>
  </si>
  <si>
    <t>Erfassung der Kosten für Werbung, Veranstaltungen, Druckmaterialien und Online-Marketing.</t>
  </si>
  <si>
    <t>Vermögenswerte</t>
  </si>
  <si>
    <t>Anlagevermögen</t>
  </si>
  <si>
    <t>Erfassung von langfristigen Vermögenswerten wie Grundstücke, Gebäude, Maschinen, Fahrzeuge oder EDV-Anlagen.</t>
  </si>
  <si>
    <t>Umlaufvermögen</t>
  </si>
  <si>
    <t>Erfassung von kurzfristigen Vermögenswerten wie Forderungen, Vorräte oder liquide Mittel.</t>
  </si>
  <si>
    <t>Verbindlichkeiten</t>
  </si>
  <si>
    <t>Langfristige Verbindlichkeiten</t>
  </si>
  <si>
    <t>Erfassung von langfristigen Schulden wie Darlehen, Hypotheken oder Anleihen.</t>
  </si>
  <si>
    <t>Kurzfristige Verbindlichkeiten</t>
  </si>
  <si>
    <t>Erfassung von kurzfristigen Schulden wie Lieferantenverbindlichkeiten, Steuerschulden oder sonstige kurzfristige Verpflichtungen.</t>
  </si>
  <si>
    <t>Erstellung von Abschlüssen</t>
  </si>
  <si>
    <t>Regelmäßige Erstellung von Finanzberichten, wie Bilanzen, Gewinn- und Verlustrechnungen und Cashflow-Statements.</t>
  </si>
  <si>
    <t>Bilanzerstellung</t>
  </si>
  <si>
    <t>Ermittlung von Vermögenswerten</t>
  </si>
  <si>
    <t>Erfassung und Bewertung aller Vermögensgegenstände, wie Sachanlagen, Forderungen und Finanzanlagen.</t>
  </si>
  <si>
    <t>Ermittlung von Verbindlichkeiten</t>
  </si>
  <si>
    <t>Erfassung und Bewertung aller Verbindlichkeiten, wie Kredite, Rückstellungen und Verbindlichkeiten gegenüber Lieferanten.</t>
  </si>
  <si>
    <t>Koordination der JA-Erstellung mit dem Steuerberater</t>
  </si>
  <si>
    <t>Cashflow-Statement</t>
  </si>
  <si>
    <t>Cashflow aus laufender Geschäftstätigkeit</t>
  </si>
  <si>
    <t>Analyse der Geldflüsse, die aus der normalen Geschäftstätigkeit resultieren, z. B. Einnahmen aus Bildungsprogrammen und Zahlungen an Lieferanten.</t>
  </si>
  <si>
    <t>Cashflow aus Investitionstätigkeit</t>
  </si>
  <si>
    <t>Analyse der Geldflüsse, die aus Investitionen in Vermögenswerte oder den Verkauf von Vermögenswerten resultieren, z. B. Kauf oder Verkauf von Sachanlagen.</t>
  </si>
  <si>
    <t>Cashflow aus Finanzierungstätigkeit</t>
  </si>
  <si>
    <t>Analyse der Geldflüsse, die aus Finanzierungsaktivitäten resultieren, z. B. Aufnahme oder Tilgung von Krediten, Zahlung von Dividenden oder Kapitalerhöhungen.</t>
  </si>
  <si>
    <t>Kontenabstimmung</t>
  </si>
  <si>
    <t>Überprüfung der Übereinstimmung der Konten und Korrektur von Abweichungen oder Fehlern.</t>
  </si>
  <si>
    <t>Bankabstimmung</t>
  </si>
  <si>
    <t>Abgleich der Kontostände und Transaktionen der internen Buchhaltung mit den Bankauszügen, um sicherzustellen, dass alle Zahlungsvorgänge korrekt erfasst und verbucht wurden.</t>
  </si>
  <si>
    <t>Interne Kontenabstimmung</t>
  </si>
  <si>
    <t>Überprüfung der Übereinstimmung zwischen verschiedenen internen Konten, wie z. B. Aufwands- und Ertragskonten, um Inkonsistenzen aufzudecken und Fehler zu korrigieren.</t>
  </si>
  <si>
    <t>Abstimmung von Debitoren- und Kreditorenkonten</t>
  </si>
  <si>
    <t>Abgleich der offenen Posten in Debitoren- und Kreditorenkonten, um sicherzustellen, dass alle ausstehenden Rechnungen und Zahlungen korrekt erfasst sind.</t>
  </si>
  <si>
    <t>Anlagenabstimmung</t>
  </si>
  <si>
    <t>Überprüfung der Übereinstimmung der Anlagenbuchhaltung mit den tatsächlichen physischen Vermögenswerten und Anpassung von Abschreibungen oder Wertberichtigungen bei Bedarf.</t>
  </si>
  <si>
    <t>Abstimmung von Steuerkonten</t>
  </si>
  <si>
    <t>Kontrolle der Übereinstimmung der erfassten Steuern mit den tatsächlich geschuldeten Beträgen und Anpassung von Steuerrückstellungen oder -nachzahlungen bei Bedarf.</t>
  </si>
  <si>
    <t>Periodische Abstimmungsberichte</t>
  </si>
  <si>
    <t>Erstellung von Berichten zur Kontenabstimmung, die den aktuellen Stand der Abstimmung, identifizierte Abweichungen und vorgenommene Korrekturen dokumentieren.</t>
  </si>
  <si>
    <t>Einhaltung von Rechnungslegungsvorschriften</t>
  </si>
  <si>
    <t>Sicherstellung der Übereinstimmung mit geltenden Rechnungslegungsstandards und gesetzlichen Anforderungen.</t>
  </si>
  <si>
    <t>Kenntnis der aktuellen Rechnungslegungsstandards</t>
  </si>
  <si>
    <t>Regelmäßige Aktualisierung des Wissens über geltende Rechnungslegungsstandards, wie IFRS, GAAP oder lokale Standards, und gesetzliche Anforderungen, um eine konforme Berichterstattung sicherzustellen.</t>
  </si>
  <si>
    <t>Implementierung von internen Kontrollen</t>
  </si>
  <si>
    <t>Etablierung und Durchsetzung von internen Kontrollen und Verfahren, um die Einhaltung der Rechnungslegungsvorschriften zu gewährleisten und Fehler oder Unregelmäßigkeiten zu vermeiden.</t>
  </si>
  <si>
    <t>Organisation von Schulungen und Informationsveranstaltungen, um das Bewusstsein und Verständnis der Mitarbeiter für Rechnungslegungsstandards und gesetzliche Anforderungen zu fördern.</t>
  </si>
  <si>
    <t>Regelmäßige Überprüfung der Finanzberichterstattung</t>
  </si>
  <si>
    <t>Durchführung von internen und externen Audits, um die Übereinstimmung der Finanzberichterstattung mit den geltenden Rechnungslegungsstandards und gesetzlichen Anforderungen zu überprüfen und gegebenenfalls Korrekturmaßnahmen einzuleiten.</t>
  </si>
  <si>
    <t>Dokumentation und Archivierung</t>
  </si>
  <si>
    <t>Sicherstellung der ordnungsgemäßen Dokumentation und Aufbewahrung von Finanzunterlagen gemäß den geltenden Vorschriften und Fristen, um bei Bedarf auf Anfrage von Behörden oder Prüfern zugänglich zu sein.</t>
  </si>
  <si>
    <t>Rechnungsstellung</t>
  </si>
  <si>
    <t>Ausstellung von Rechnungen und Überwachung der Zahlungseingänge.</t>
  </si>
  <si>
    <t>Erstellung von Rechnungen</t>
  </si>
  <si>
    <t>Vorbereitung und Ausstellung von Rechnungen, die alle erforderlichen Informationen wie Rechnungsnummer, Rechnungsdatum, Leistungsbeschreibung, Betrag, Steuern, Zahlungsbedingungen und -fristen enthalten.</t>
  </si>
  <si>
    <t>Versand von Rechnungen</t>
  </si>
  <si>
    <t>Zustellung der Rechnungen an Kunden oder Partner, entweder in elektronischer Form (z. B. E-Mail) oder in Papierform, abhängig von den Anforderungen und Vereinbarungen.</t>
  </si>
  <si>
    <t>Rechnungsnachverfolgung</t>
  </si>
  <si>
    <t>Kontinuierliche Überwachung des Rechnungsstatus und Nachverfolgung der ausstehenden Rechnungen, um sicherzustellen, dass alle Zahlungen termingerecht eingehen.</t>
  </si>
  <si>
    <t>Mahnwesen</t>
  </si>
  <si>
    <t>Einrichtung eines Mahnverfahrens für den Fall, dass Zahlungen nicht fristgerecht eingehen, einschließlich der Versendung von Zahlungserinnerungen, Mahnungen und gegebenenfalls der Einleitung rechtlicher Schritte.</t>
  </si>
  <si>
    <t>Inkassoverfahren</t>
  </si>
  <si>
    <t>Einleitung von Inkassoverfahren bei Kunden, die ihre Verbindlichkeiten trotz mehrfacher Mahnungen nicht begleichen.</t>
  </si>
  <si>
    <t>Zahlungseingangskontrolle</t>
  </si>
  <si>
    <t>Überprüfung der Kontoumsätze und Verbuchung der Zahlungseingänge, um die Übereinstimmung zwischen den eingegangenen Zahlungen und den offenen Rechnungen zu gewährleisten.</t>
  </si>
  <si>
    <t>Berichtswesen und Analyse</t>
  </si>
  <si>
    <t>Erstellung von Berichten und Statistiken über die Rechnungsstellung und Zahlungseingänge, um mögliche Trends, Schwachstellen oder Verbesserungspotenziale im Prozess zu identifizieren.</t>
  </si>
  <si>
    <t>Kontenpayable (Kreditorenbuchhaltung)</t>
  </si>
  <si>
    <t>Erfassung und Verwaltung von Verbindlichkeiten, Überwachung der Fälligkeitstermine und Freigabe von Zahlungen.</t>
  </si>
  <si>
    <t>Erfassung von Rechnungen</t>
  </si>
  <si>
    <t>Systematische Erfassung und Prüfung der eingehenden Rechnungen von Lieferanten und Dienstleistern, um deren Richtigkeit und Vollständigkeit sicherzustellen.</t>
  </si>
  <si>
    <t>Kontierung und Buchung</t>
  </si>
  <si>
    <t>Zuordnung der Rechnungen zu den entsprechenden Kostenstellen und Sachkonten sowie Verbuchung der Transaktionen im Kreditorenbuch.</t>
  </si>
  <si>
    <t>Fälligkeitsüberwachung</t>
  </si>
  <si>
    <t>Regelmäßige Überprüfung der offenen Verbindlichkeiten, um die Fälligkeitstermine im Auge zu behalten und fristgerechte Zahlungen sicherzustellen.</t>
  </si>
  <si>
    <t>Zahlungsabwicklung</t>
  </si>
  <si>
    <t>Vorbereitung und Durchführung von Zahlungen, wie Überweisungen oder Lastschriften, unter Berücksichtigung von Zahlungszielen und Skontofristen.</t>
  </si>
  <si>
    <t>Abstimmung von Kreditorenkonten</t>
  </si>
  <si>
    <t>Überprüfung der Übereinstimmung der Kreditorenkonten mit den Rechnungen und Zahlungen, um mögliche Abweichungen oder Fehler zu identifizieren und zu korrigieren.</t>
  </si>
  <si>
    <t>Lieferantenkommunikation</t>
  </si>
  <si>
    <t>Aufrechterhaltung eines offenen und transparenten Dialogs mit Lieferanten, um Fragen oder Unstimmigkeiten in Bezug auf Rechnungen und Zahlungen zu klären.</t>
  </si>
  <si>
    <t>Kontenreceivable (Debitorenbuchhaltung)</t>
  </si>
  <si>
    <t>Erfassung und Verwaltung von Forderungen, Überwachung der Fälligkeitstermine und Nachverfolgung offener Rechnungen.</t>
  </si>
  <si>
    <t>Erstellung von Forderungen</t>
  </si>
  <si>
    <t>Forderungserfassung</t>
  </si>
  <si>
    <t>Erfassung aller ausstehenden Forderungen aus Verkäufen, Dienstleistungen oder anderen Geschäftstätigkeiten in einem zentralen System.</t>
  </si>
  <si>
    <t>Kreditbewertung und -überwachung</t>
  </si>
  <si>
    <t>Beurteilung der Kreditwürdigkeit von Kunden vor der Gewährung von Zahlungszielen und laufende Überwachung der Kreditrisiken.</t>
  </si>
  <si>
    <t>Regelmäßige Überprüfung der ausstehenden Forderungen und Versendung von Zahlungserinnerungen und Mahnungen an säumige Kunden.</t>
  </si>
  <si>
    <t>Berichterstattung und Analyse</t>
  </si>
  <si>
    <t>Debitorenalterungsanalyse</t>
  </si>
  <si>
    <t>Erstellung von Berichten über die Altersstruktur der ausstehenden Forderungen, um den Forderungsbestand und das Ausfallrisiko besser einschätzen zu können.</t>
  </si>
  <si>
    <t>Forderungsausfallbericht</t>
  </si>
  <si>
    <t>Dokumentation von abgeschriebenen Forderungen und Analyse der Gründe für Forderungsausfälle, um zukünftige Risiken zu minimieren.</t>
  </si>
  <si>
    <t>Cashflow-Prognose</t>
  </si>
  <si>
    <t>Schätzung der zukünftigen Zahlungseingänge auf Basis der ausstehenden Forderungen und der erwarteten Zahlungsverhalten der Kunden.</t>
  </si>
  <si>
    <t>Prozessoptimierung und -automatisierung</t>
  </si>
  <si>
    <t>Verbesserung von Zahlungsbedingungen und -methoden</t>
  </si>
  <si>
    <t>Anpassung von Zahlungsbedingungen und Einführung flexibler Zahlungsmethoden, um pünktliche Zahlungen zu fördern.</t>
  </si>
  <si>
    <t>Schulungen und Best-Practice-Austausch</t>
  </si>
  <si>
    <t>Förderung von Mitarbeiterkompetenzen und Austausch von bewährten Verfahren in der Debitorenbuchhaltung, um Prozesse kontinuierlich zu optimieren.</t>
  </si>
  <si>
    <t>Steuer- und Compliance-Management</t>
  </si>
  <si>
    <t>Steuererklärungen</t>
  </si>
  <si>
    <t>Vorbereitung und Einreichung von Steuererklärungen, einschließlich Umsatzsteuer, Körperschaftsteuer und Lohnsteuer.</t>
  </si>
  <si>
    <t>Ermittlung der steuerlichen Grundlagen</t>
  </si>
  <si>
    <t>Berechnung der Umsatzsteuer: Ermittlung der Umsatzsteuer auf der Grundlage der steuerpflichtigen Einnahmen und Ausgaben des Instituts.</t>
  </si>
  <si>
    <t>Berechnung der Körperschaftsteuer</t>
  </si>
  <si>
    <t>Ermittlung der Körperschaftsteuer auf der Grundlage des steuerpflichtigen Einkommens des Instituts.</t>
  </si>
  <si>
    <t>Berechnung der Gewerbesteuer</t>
  </si>
  <si>
    <t>Ermittlung der Gewerbesteuer auf der Grundlage des steuerpflichtigen Einkommens des Instituts.</t>
  </si>
  <si>
    <t>Berechnung der Lohnsteuer</t>
  </si>
  <si>
    <t>rmittlung der Lohnsteuer auf der Grundlage der Gehälter und sonstigen Vergütungen, die an die Mitarbeiter des Instituts gezahlt werden.</t>
  </si>
  <si>
    <t>Vorbereitung der Steuererklärungen</t>
  </si>
  <si>
    <t>Sammlung von Belegen und Dokumenten</t>
  </si>
  <si>
    <t>Zusammenstellung aller relevanten Unterlagen, die für die Vorbereitung der Steuererklärungen benötigt werden, um diese an den Steuerberater weiterzuleiten.</t>
  </si>
  <si>
    <t>Steueroptimierung</t>
  </si>
  <si>
    <t>Identifizierung von Steuereinsparungsmöglichkeiten und Umsetzung von Strategien zur Minimierung der Steuerbelastung.</t>
  </si>
  <si>
    <t>Analyse der steuerlichen Situation</t>
  </si>
  <si>
    <t>Untersuchung der aktuellen steuerlichen Verhältnisse, um Bereiche zu identifizieren, in denen Steuereinsparungen möglich sind, einschließlich der Nutzung von Steuervergünstigungen und -anreizen.</t>
  </si>
  <si>
    <t>Planung und Strategieentwicklung</t>
  </si>
  <si>
    <t>Erarbeitung von Steueroptimierungsstrategien und -plänen, die auf den individuellen Bedürfnissen und Zielen des Instituts basieren, unter Berücksichtigung von Risiken und Chancen.</t>
  </si>
  <si>
    <t>Implementierung von Optimierungsmaßnahmen</t>
  </si>
  <si>
    <t>Umsetzung der identifizierten Steueroptimierungsstrategien, wie z. B. Umstrukturierungen, Nutzung von steuerlichen Verlustvorträgen oder Anpassung von Finanzierungsstrukturen.</t>
  </si>
  <si>
    <t>Fortlaufende Überwachung und Anpassung</t>
  </si>
  <si>
    <t>Regelmäßige Überprüfung der Steueroptimierungsstrategien und -maßnahmen, um ihre Effektivität zu bewerten und notwendige Anpassungen vorzunehmen, insbesondere im Hinblick auf Änderungen in der Gesetzgebung oder der steuerlichen Situation des Instituts.</t>
  </si>
  <si>
    <t>Teilprozess 1</t>
  </si>
  <si>
    <t>UseCase</t>
  </si>
  <si>
    <t>Wer macht was ohne detaillierte Beschreibung der Arbeitsschritte</t>
  </si>
  <si>
    <t>Wer (s. Tabellenblatt Projekt)</t>
  </si>
  <si>
    <t>Erwartetes Ergebnis in ELA</t>
  </si>
  <si>
    <t>Verlinkung Wiki falls vorhanden</t>
  </si>
  <si>
    <t>Was muss erfüllt sein, dass Schritt durchgeführt werden kann (bestenfalls Prozess-ID hinterlegen?)</t>
  </si>
  <si>
    <t>Was muss nach diesem Prozessschritt erfolgen?</t>
  </si>
  <si>
    <t>Wünsche / Ideen / Verbesserungsvorschläge / Prozessoptimierungen</t>
  </si>
  <si>
    <t>Name, nicht Rolle</t>
  </si>
  <si>
    <r>
      <t>NEUES PRODUKT IN ENTWICKLUNG</t>
    </r>
    <r>
      <rPr>
        <b/>
        <sz val="11"/>
        <color rgb="FFFFB973"/>
        <rFont val="Arial"/>
      </rPr>
      <t xml:space="preserve"> </t>
    </r>
    <r>
      <rPr>
        <b/>
        <sz val="11"/>
        <color rgb="FFFA7D00"/>
        <rFont val="Arial"/>
      </rPr>
      <t>(zu klären: ELA benötigt für Produktdetails, Lehrplan, Preis,...)</t>
    </r>
  </si>
  <si>
    <t>Produktkonzeption / Keywordrecherche 1</t>
  </si>
  <si>
    <t>Sinn? / Reicht eine KWR?</t>
  </si>
  <si>
    <t>Keywordrecherche</t>
  </si>
  <si>
    <t>MA-MON prüft über Searchmetrics die Höhe des Suchvolumens des Produkttitels und trägt das Ergebnis in den Produktplan ein</t>
  </si>
  <si>
    <t>MA-MON, MA-P</t>
  </si>
  <si>
    <t>MA-P gibt MA-MON Produktplan frei, MA-MON wurde in MT aufgenommen</t>
  </si>
  <si>
    <t>Produktvorstellung 1 durch MA-P</t>
  </si>
  <si>
    <t>Alternativer Titel</t>
  </si>
  <si>
    <t>Bei geringem Suchvolumen hinterlegt MA-MON Vorschläge für alternative Produkttitel oder vergleichbare Bezeichnungen im Produktplan</t>
  </si>
  <si>
    <t>MA-MON</t>
  </si>
  <si>
    <t>Geringes Suchvolumen</t>
  </si>
  <si>
    <t>Keywordrecherche 2</t>
  </si>
  <si>
    <t>MA-MON führt mithilfe von Keywordrecherche 1 eine weitere Keywordrecherche durch und gleicht Ergebnisse mit Google Keyword Planner und Google Suche ab</t>
  </si>
  <si>
    <t>Produktvorstellung 1 durch MA-P erfolgt</t>
  </si>
  <si>
    <t>Erstellung Produkttext durch MA-MON</t>
  </si>
  <si>
    <t>Wunsch MA-MSM: mehr Info / Input durch MA-P während der Produktentwicklung (also nach PV1), sodass Neuheit angeteastert werden kann</t>
  </si>
  <si>
    <t>SERP Overlap prüfen</t>
  </si>
  <si>
    <t>MA-MON prüft, ob die definierten Keywords thematisch zusammenpassen und gleicht sie mit bestehenden Produkten ab (Kanibalisierungsgefahr)</t>
  </si>
  <si>
    <t>WDF/IDF Analyse</t>
  </si>
  <si>
    <t>MA-MON führt WDF/IDF Analyse durch und prüft dadurch, ob Texte nochmal angepasst werden muss</t>
  </si>
  <si>
    <t>Auswahl Keywords</t>
  </si>
  <si>
    <t>MA-MON clustert Keywords nach Themen und wählt die Keywords für das Hauptprodukt aus</t>
  </si>
  <si>
    <t>MA-MON erstellt ggf. Landingpage</t>
  </si>
  <si>
    <t>Schattenprodukt</t>
  </si>
  <si>
    <t>MA-MON entscheidet anhand des Suchvolumens, ob und welche Schattenprodukte erstellt werden</t>
  </si>
  <si>
    <t>Hohes Suchvolumen für Produkttitel in Kombination mit Kursart</t>
  </si>
  <si>
    <t xml:space="preserve">MA-MON erstellt Landingpage </t>
  </si>
  <si>
    <t>Erstellung Produkttext</t>
  </si>
  <si>
    <t>Briefingvorlage</t>
  </si>
  <si>
    <t>MA-MON füllt auf Basis von Produktvorstellung 1 und Keywordrecherche 2 die Briefingvorlage für Produkttexte aus (Synology-Dok), legt Briefing in Searchmetrics an und weist es einem Autor zu</t>
  </si>
  <si>
    <t>Keywordrecherche 2 ist erfolgt</t>
  </si>
  <si>
    <t>Autor erstellt Produkttext</t>
  </si>
  <si>
    <t>FAQ für Produktseite</t>
  </si>
  <si>
    <t>MA-MON wählt bis zu 5 Fragen, die unter Berücksichtigung der Keywords als FAQ auf der Produktseite implementiert werden</t>
  </si>
  <si>
    <t>Abnahme Text</t>
  </si>
  <si>
    <t>MA-MON prüft gemeinsam mit MA-P den erstellten Produkttext</t>
  </si>
  <si>
    <t>Textentwurf des Autors liegt vor</t>
  </si>
  <si>
    <t>Produktseite wird veröffentlicht</t>
  </si>
  <si>
    <t>Seitenübersicht</t>
  </si>
  <si>
    <t>MA-MON fügt alle Informationen in Produkt-Seitenübersicht ein</t>
  </si>
  <si>
    <t>Ausführliche Studieninformationen (PDF)</t>
  </si>
  <si>
    <t>PDF erstellen</t>
  </si>
  <si>
    <t>MA-MD erstellt PDF anhand der Infos von MA-V</t>
  </si>
  <si>
    <t>MA-MD, MA-V</t>
  </si>
  <si>
    <t>MA-V liefert Inhalte vollständig</t>
  </si>
  <si>
    <t>MA-MD stellt MA-V PDF zur Verfügung</t>
  </si>
  <si>
    <t>Geplant: PDF für jedes Produkt soll durch MA-MD erstellt werden, MA-MON hat nichts damit zu tun nur MA-V</t>
  </si>
  <si>
    <t>Bild</t>
  </si>
  <si>
    <t>Key Visual</t>
  </si>
  <si>
    <t>MA-MD sucht  über den Titel als auch anhand der ausführlichen Studieninformationen ein passendes Key Visual zum Produkt</t>
  </si>
  <si>
    <t>MA-MD, MA-MON, MA-V</t>
  </si>
  <si>
    <t>MA-MON informiert MA-MD, Infos von MA-V zu ausführlichen Studieninformationen liegen vor</t>
  </si>
  <si>
    <t>ThumbNail</t>
  </si>
  <si>
    <t xml:space="preserve">Falls ein Video auf der Produktseite eingebaut wird, erstellt MA-MD erstellt das ThumbNail </t>
  </si>
  <si>
    <t>MA-MD, MA-MON</t>
  </si>
  <si>
    <t>MA-MON informiert MA-MD</t>
  </si>
  <si>
    <t>Produktseite veröffentlichen (mit Warteliste)</t>
  </si>
  <si>
    <t>Anlage Produktseite</t>
  </si>
  <si>
    <t>MA-MON legt Produktseite in Contao an</t>
  </si>
  <si>
    <t>Text muss vorliegen</t>
  </si>
  <si>
    <t>Texte</t>
  </si>
  <si>
    <t>MA-MON befüllt und formatiert Content, setzt Links und hebt wichtige Punkte hervor</t>
  </si>
  <si>
    <t>Meta Daten</t>
  </si>
  <si>
    <t>MA-MON legt Meta-Daten (Title, Description) und H1 fest</t>
  </si>
  <si>
    <t>Warteliste</t>
  </si>
  <si>
    <t>MA-MON hinterlegt / verknüpft Warteliste mit Produkt</t>
  </si>
  <si>
    <t>Lehrplan / Inhalte</t>
  </si>
  <si>
    <t>MA-MON importiert Lehrplan, Preis, Qualifikationsstufe und Abschlusstitel aus dem Backend. Sofern nicht hinterlegt ist, kann eine manuelle Eingabe erfolgen</t>
  </si>
  <si>
    <t>MA-P hat Produkt im Backend angelegt, sodass Datenübertrag erfolgen kann</t>
  </si>
  <si>
    <t>Info an MA-P zur Abnahme, MA-P informiert über AllgemeinChat</t>
  </si>
  <si>
    <t>Bild &amp; Video einfügen</t>
  </si>
  <si>
    <t>MA-MON fügt Key Visual und ggf. ThumbNail ein und verlinkt das zugehörige Video</t>
  </si>
  <si>
    <t>MA-MON, MA-MSM</t>
  </si>
  <si>
    <t>MA-MSM hat Video via YouTube bereitgestellt</t>
  </si>
  <si>
    <t>Produkt in kostenfreien Portalen veröffentlichen</t>
  </si>
  <si>
    <t>Portale ohne CPL bespielen (= kostenfreie oder mit Jahresbeitrag)</t>
  </si>
  <si>
    <t>MA-MOF stellt Produkt in Portale ein, die kostenfrei sind oder über einen Jahresbeitrag laufen. Ziel: Kontakte für die Warteliste</t>
  </si>
  <si>
    <t>MA-MOF</t>
  </si>
  <si>
    <t>Produktseite mit Warteliste ist veröffentlicht</t>
  </si>
  <si>
    <t>Google Unternehmensprofil / Google my Business</t>
  </si>
  <si>
    <t>MA-MOF veröffentlicht Produkt mit kurzem Text, Bild und UTM-Link zum Produkt</t>
  </si>
  <si>
    <t>Weiterbildungsportal Saarland</t>
  </si>
  <si>
    <t>MA-MOF veröffentlicht Produkt anhand der vorliegenden Informationen von der Produktseite und UTM-Link zum Produkt</t>
  </si>
  <si>
    <t>WDB Brandenburg</t>
  </si>
  <si>
    <t>Bildungsweb / Bildung.de</t>
  </si>
  <si>
    <t>Weiterbildung-Informations-System (WIS)</t>
  </si>
  <si>
    <t>Fortbildung BW</t>
  </si>
  <si>
    <r>
      <rPr>
        <sz val="11"/>
        <color rgb="FF000000"/>
        <rFont val="Arial"/>
      </rPr>
      <t xml:space="preserve">MA-MOF veröffentlicht Produkt anhand der vorliegenden Informationen von der Produktseite und UTM-Link zum Produkt sowohl als Kurs als auch als Online-Kurs.
</t>
    </r>
    <r>
      <rPr>
        <sz val="11"/>
        <color theme="1"/>
        <rFont val="Calibri"/>
        <family val="2"/>
        <scheme val="minor"/>
      </rPr>
      <t>Hinterlegung Kurstermine ab dem in Produktvorstellung 1 genannten voraussichtlichen Startdatum</t>
    </r>
  </si>
  <si>
    <t>Fortbildung24</t>
  </si>
  <si>
    <t>MA-MOF veröffentlicht Produkt anhand der vorliegenden Informationen von der Produktseite und UTM-Link zum Produkt sowohl als Kurs als auch als Online-Kurs.
Keine Einstellung von Kursterminen - Hinterlegung "auf Anfrage"</t>
  </si>
  <si>
    <t>Seminarzoom</t>
  </si>
  <si>
    <t>MA-MOF veröffentlicht Produkt anhand der vorliegenden Informationen. Link zum Produkt nicht möglich.</t>
  </si>
  <si>
    <r>
      <t xml:space="preserve">NEUES PRODUKT WIRD BUCHBAR </t>
    </r>
    <r>
      <rPr>
        <b/>
        <sz val="11"/>
        <color rgb="FFFA7D00"/>
        <rFont val="Arial"/>
      </rPr>
      <t>(zu klären: ELA benötigt für Produktdetails, Lehrplan, Preis,...)</t>
    </r>
  </si>
  <si>
    <t>Produktseite anpassen</t>
  </si>
  <si>
    <t>Inhalte</t>
  </si>
  <si>
    <t>MA-MON fügt Reiter Förderung, staatliche Zulassung (wenn vorhanden) und Abschluss ein</t>
  </si>
  <si>
    <r>
      <rPr>
        <sz val="11"/>
        <color rgb="FFFF0000"/>
        <rFont val="Arial"/>
      </rPr>
      <t xml:space="preserve">Produktvorstellung 2? </t>
    </r>
    <r>
      <rPr>
        <sz val="11"/>
        <color rgb="FF000000"/>
        <rFont val="Arial"/>
      </rPr>
      <t>MA-MON Rücksprache mit MA-P</t>
    </r>
  </si>
  <si>
    <t>Offene Frage/Unklar für MA-M: Zu welchem Zeitpunkt kommt Produktvorstellung 2?</t>
  </si>
  <si>
    <t>Lehrplan</t>
  </si>
  <si>
    <t>MA-MON trägt UID (=Übertragungsnummer) in Contao ein, sodass aktueller Lehrplan und Preis übertragen wird</t>
  </si>
  <si>
    <t>MA-MON. MA-P</t>
  </si>
  <si>
    <t>MA-P hat Lehrplan im Backend angelegt</t>
  </si>
  <si>
    <t>Leseprobe</t>
  </si>
  <si>
    <t>MA-MON trägt UID (=Übertragungsnummer) in Contao ein, sodass aktuelle Leseprobe übertragen wird</t>
  </si>
  <si>
    <t>MA-P erstellt Leseprobe, hinterlegt sie im Backend und informiert MA-MON</t>
  </si>
  <si>
    <t>Voraussetzungen</t>
  </si>
  <si>
    <t>MA-MON übernimmt Voraussetzungen aus Produktplan</t>
  </si>
  <si>
    <t>Produktplan ist auf aktuellem Stand (MA-P)</t>
  </si>
  <si>
    <t>MA-MD stellt MA-MON und MA-MSM zur Verfügung</t>
  </si>
  <si>
    <t>Anmeldung freischalten</t>
  </si>
  <si>
    <t>MA-MON entnimmt Warteliste, verknüpft Anmeldeformular und informiert MA-P</t>
  </si>
  <si>
    <t>MA-P gibt Launch im AllgemeinChat bekannt</t>
  </si>
  <si>
    <t>Kontakte der Warteliste</t>
  </si>
  <si>
    <t>MA-MON exportiert Leads der Warteliste aus Contao und stellt sie MA-V zur Verfügung</t>
  </si>
  <si>
    <t>MA-MON, MA-V</t>
  </si>
  <si>
    <t>MA-V informiert Leads von Warteliste</t>
  </si>
  <si>
    <t>Schattenprodukte</t>
  </si>
  <si>
    <t>MA-MON nimmt alle Anpassungen der Haupt-Produktseite bei den Schattenprodukten vor, wenn vorhanden</t>
  </si>
  <si>
    <t>Sitemap</t>
  </si>
  <si>
    <t>s. unten</t>
  </si>
  <si>
    <t>MA-MON aktualisiert ggf. Produkt-Seitenübersicht</t>
  </si>
  <si>
    <t>Performance Marketing (Ads)</t>
  </si>
  <si>
    <t>Google Ads</t>
  </si>
  <si>
    <t>MA-MP erstellt KW-Recherche zum neuen Produkt und legt
Kampagne im Google Ads Interface an.</t>
  </si>
  <si>
    <t>MA-MP</t>
  </si>
  <si>
    <t>Produkt buchbar, MA-MON hat Keywords in Seitenübersicht hinterlegt</t>
  </si>
  <si>
    <t>MA-MP prüft Performance (Kosten/Conversions) nach 3-4 Wochen und nimmt ggf. Anpassungen vor</t>
  </si>
  <si>
    <t>Microsoft Ads</t>
  </si>
  <si>
    <t>MA-MP erstellt KW-Recherche zum neuen Produkt und legt
Kampagne im Microsoft Ads Interface an.</t>
  </si>
  <si>
    <t>Meta Ads</t>
  </si>
  <si>
    <t>MA-MP erstellt Zielgruppen-Recherche zum neuen Produkt und legt
Kampagne im Meta Ads Interface an.</t>
  </si>
  <si>
    <t>Veröffentlichung auf Social Media</t>
  </si>
  <si>
    <t>MA-MSM postet die Produktseite per Link-Sticker in der Story und macht auf die Message "Jetzt buchbar" aufmerksam
MA-MSM speichert die Story zusätzlich in den Highlights "Lehrgänge"</t>
  </si>
  <si>
    <t>MA-MSM, MA-P</t>
  </si>
  <si>
    <t>MA-P hat Buchbarkeit des Produkts im Allg-Chat bekannt gegeben</t>
  </si>
  <si>
    <t>Gilt für alle Social Media Kanäle:
Liken, Teilen, Kommentieren etc. von Team - Benachrichtigung per ELA möglich?
Je nachdem wie zukünftig die Info zur Buchbarkeit eines neuen Produkts erfolgt.  
Wenn weiter via Chat, soll hier Anregung zur Beitragsinteraktion erfolgen</t>
  </si>
  <si>
    <t>MA-MSM legt das Produkt im Facebook Shop an und postet die Produktseite per Link im Beitrag (Linkvorschau) und teasert "JETZT BUCHBAR", inkl. erste Informationen zum Produkt</t>
  </si>
  <si>
    <t>MA-MSM, MA-P, MA-MD</t>
  </si>
  <si>
    <t>MA-P hat Buchbarkeit des Produkts im Allg-Chat bekannt gegeben, MA-MD hat KeyVisual festgelegt</t>
  </si>
  <si>
    <t>MA-MSM postet die Produktseite per Link im Beitrag (Linkvorschau) und teasert "JETZT BUCHBAR", inkl. erste Informationen zum Produkt</t>
  </si>
  <si>
    <t>Twitter</t>
  </si>
  <si>
    <t>MA-MSM postet die Produktseite per Link im Beitrag (Linkvorschau) und teasert "JETZT BUCHBAR"</t>
  </si>
  <si>
    <t>YouTube</t>
  </si>
  <si>
    <t>MA-MSM erstellt ThumbNail, veröffentlicht Lehrvideos zum jeweiligen Produkt in einer bereits bestehenden oder neuen Playlist und ertigt Optimierung an (Titelrecherche, Key Words, Beschreibungstext, Time Codes)</t>
  </si>
  <si>
    <t>MA-P stellt MA-MSM Video zur Verfügung</t>
  </si>
  <si>
    <t>Veröffentlichung auf Portalen</t>
  </si>
  <si>
    <t xml:space="preserve">Überprüfung Portale ohne CPL </t>
  </si>
  <si>
    <t>MA-MOF überprüft die Einträge auf Portalen ohne CPL, passt diese ggf. an (Preis, Dauer, Inhalte, ...) und hinterlegt Starttermine</t>
  </si>
  <si>
    <t>Produktlaunch im AllgemeinChat veröffentlicht &amp; korrekte Anzeige von Lehrplan und Preis auf Website</t>
  </si>
  <si>
    <t>Produktveröffentlichung auf Portalen mit CPC/CPL</t>
  </si>
  <si>
    <t>MA-MOF stellt Produkt in kostenpflichtige Portale ein. Ziel: Leadgenerierung und Websitetraffic</t>
  </si>
  <si>
    <t>FernstudiumCheck</t>
  </si>
  <si>
    <t>MA-MOF nutzt Formular von FernstudiumCheck für einen neuen Studiengang ( https://www.fernstudiumcheck.de/studiengang-hinzufuegen ) stellt UTM-Link zur Verfügung</t>
  </si>
  <si>
    <t>Springest</t>
  </si>
  <si>
    <t>Emagister</t>
  </si>
  <si>
    <t>Fernstudium Direkt</t>
  </si>
  <si>
    <t>Kursfinder</t>
  </si>
  <si>
    <t>Wenn es sich um ein Prio 1 Produkt handelt, hält MA-MOF Rücksprache mit MA-V, ob und welches Produkt auf dafür Kursfinder ersetzt werden soll (begrenztes Kontingent an Produkten)</t>
  </si>
  <si>
    <t>Educheck</t>
  </si>
  <si>
    <t>MA-MOF prüft, ob es bei Educheck eine passende Kategorie gibt, zu der das neue Produkt passt. Wenn erfüllt, wird das Produkt anhand der vorliegenden Informationen von der Produktseite und UTM-Link zum Produkt veröffentlicht</t>
  </si>
  <si>
    <t>Newsbeitrag erstellen</t>
  </si>
  <si>
    <t>Newsbeitrag für neues Produkt erstellen</t>
  </si>
  <si>
    <t>MA-MON erstellt einen Newsbeitrag mit den wichtigsten Fakten zum Produkt, veröffentlicht ihn auf der Website und informiert MA-MSM</t>
  </si>
  <si>
    <t>MA-MSM plant Content ein</t>
  </si>
  <si>
    <t>MA-MSM veröffentlicht Newsbeitrag per Link (Linkvorschau auf Social Media)</t>
  </si>
  <si>
    <t>Newsbeitrag auf Website veröffentlicht</t>
  </si>
  <si>
    <t>Information an Affiliates</t>
  </si>
  <si>
    <t>MA-MOF informiert alle Affiliates, dass ein neues Produkt buchbar ist und stellt den Link zum Newsbeitrag sowie zur Produktseite zur Verfügung</t>
  </si>
  <si>
    <t>Veröffentlichung auf kostenfreien Presseportalen</t>
  </si>
  <si>
    <t>Google Unternehmensprofil</t>
  </si>
  <si>
    <t>MA-MOF erstellt kurzen Teaser inkl. Bild, dass Produkt buchbar ist. UTM-Link zum Newsbeitrag wird eingefügt</t>
  </si>
  <si>
    <t>Neue-Pressemitteilungen</t>
  </si>
  <si>
    <t xml:space="preserve">MA-MOF veröffentlicht Newsbeitrag inkl. Bild und UTM-Link zum Produkt </t>
  </si>
  <si>
    <t>Fair News</t>
  </si>
  <si>
    <t>News8</t>
  </si>
  <si>
    <t>On PR News</t>
  </si>
  <si>
    <t>Firmendatenbanken</t>
  </si>
  <si>
    <t>MA-MOF veröffentlicht Info zu neuem Produkt. Keine Bilder oder Links benötigt</t>
  </si>
  <si>
    <r>
      <t>PRODUKTANPASSUNGEN</t>
    </r>
    <r>
      <rPr>
        <b/>
        <sz val="11"/>
        <color rgb="FFFFB973"/>
        <rFont val="Arial"/>
      </rPr>
      <t xml:space="preserve"> </t>
    </r>
    <r>
      <rPr>
        <b/>
        <sz val="11"/>
        <color rgb="FFFA7D00"/>
        <rFont val="Arial"/>
      </rPr>
      <t>(zu klären: ELA benötigt für Produktdetails, Lehrplan, Preis,...)</t>
    </r>
  </si>
  <si>
    <t>Preisanpassungen</t>
  </si>
  <si>
    <t>Website</t>
  </si>
  <si>
    <t>MA-MON überträgt Änderung mittels UID auf Haupt-Produktseite und übernimmt die Änderungen manuell bei den Schattenprodukten</t>
  </si>
  <si>
    <t>MA-P hat Änderung im Backend eingepflegt und MA-MON informiert</t>
  </si>
  <si>
    <t>MA-P informiert über AllgmeinChat</t>
  </si>
  <si>
    <t>MA-MSM passt Preisänderungen im Facebook Shop an.</t>
  </si>
  <si>
    <t>Info von MA-P liegt vor</t>
  </si>
  <si>
    <t xml:space="preserve">MA-MP passt Preise auf allen Ads-Portalen an </t>
  </si>
  <si>
    <t>MA-MP, MA-P</t>
  </si>
  <si>
    <t>Info von MA-P (Allgemein Chat)</t>
  </si>
  <si>
    <t>Portale</t>
  </si>
  <si>
    <t xml:space="preserve">MA-MOF passt Preise auf allen Portalen an </t>
  </si>
  <si>
    <t>Korrekter (neuer) Preis muss auf Website angezeigt werden</t>
  </si>
  <si>
    <t>Affiliates</t>
  </si>
  <si>
    <t>MA-MOF teilt Affiliates Preisanpassung inkl. Link zum Produkt</t>
  </si>
  <si>
    <t>Anpassung Lehrplan / Lehrmaterialien</t>
  </si>
  <si>
    <t>MA-MOF passt Inhalte auf allen Portalen an bei denen Informationen zu Lehrplänen/Lehrmaterialien eingepflegt sind</t>
  </si>
  <si>
    <t>MA-MOF, MA-P</t>
  </si>
  <si>
    <t>Info MA-P liegt vor</t>
  </si>
  <si>
    <t>Je nach Änderungsgrad: 
MA-MSM verändert Texte im FB-Shop. 
MA-MSM kommuniziert die Änderung als Post.</t>
  </si>
  <si>
    <t xml:space="preserve">MA-MP passt bei Änderungen des Lehrplans ggf.  Ads-Texte an </t>
  </si>
  <si>
    <t>MA-MD passt die ausführlichen Studieninformationen an, wenn benötigt</t>
  </si>
  <si>
    <t>MA-V informiert MA-MD über Änderungen</t>
  </si>
  <si>
    <t>Produktentnahme / Produkt offline</t>
  </si>
  <si>
    <t xml:space="preserve">
Produkt inaktiv stellen in Contao plus Schattenprodukte, Produkt fliegt automatisch aus Produktleser, sinnvolle Weiterleitung der URLs einrichten </t>
  </si>
  <si>
    <t>MA-MON, MA-V, MA-P</t>
  </si>
  <si>
    <t>MA-V &amp; MA-P haben Produktentnahme beschlossen und über Chat informiert</t>
  </si>
  <si>
    <t>Produktseite</t>
  </si>
  <si>
    <t>MA-MON stellt Haupt-Produktseite sowie Schattenprodukte inaktiv</t>
  </si>
  <si>
    <t>Weiterleitung URL</t>
  </si>
  <si>
    <t>MA-MON richtet eine sinnvolle Weiterleitung der URL ein</t>
  </si>
  <si>
    <t xml:space="preserve">MA-MON entnimmt alle Informationen aus Produkt-Seitenübersicht </t>
  </si>
  <si>
    <t>MA-MSM entfernt Produkt aus FB-Shop. Sofern gewünscht, informiert MA-MSM durch einen Post über die Produktentnahme.</t>
  </si>
  <si>
    <t>MA-MSM, MA-V, MA-P</t>
  </si>
  <si>
    <r>
      <rPr>
        <sz val="11"/>
        <color rgb="FF000000"/>
        <rFont val="Arial"/>
      </rPr>
      <t xml:space="preserve">MA-MP stellt Haupt-Produktseite sowie Schattenprodukte inaktiv
</t>
    </r>
    <r>
      <rPr>
        <sz val="11"/>
        <color theme="1"/>
        <rFont val="Calibri"/>
        <family val="2"/>
        <scheme val="minor"/>
      </rPr>
      <t>oder richtet eine sinnvolle Weiterleitung ein</t>
    </r>
  </si>
  <si>
    <t>MA-MP, MA-V, MA-P</t>
  </si>
  <si>
    <t>MA-MOF veranlasst Löschung des Produkts auf allen Portalen oder löscht Produkt selbst</t>
  </si>
  <si>
    <t>MA-MOF, MA-V, MA-P</t>
  </si>
  <si>
    <t>MA-MOF informiert alle Affiliates, dass das Produkt nicht mehr buchbar ist und bittet um Entnahme der Velinkung</t>
  </si>
  <si>
    <t>NEWSBEITRÄGE</t>
  </si>
  <si>
    <t>Neues Produkt wird buchbar</t>
  </si>
  <si>
    <t>Vorgehen s. oben</t>
  </si>
  <si>
    <t>Vorstellung externe MA</t>
  </si>
  <si>
    <t>Vorgehen s. unten</t>
  </si>
  <si>
    <t>Teilnahme an Messen &amp; Aktionstagen</t>
  </si>
  <si>
    <t>MA-MOF verfasst einen Newsbeitrag mit den wichtigsten Eckdaten zur Messe/zum Aktionstag und fügt eine Verlinkung zur Messe ein</t>
  </si>
  <si>
    <t>MA-MOF, MA-V, AZAV, MA-MON</t>
  </si>
  <si>
    <t>Info zur Messe liegt von MA-V oder AZAV vor</t>
  </si>
  <si>
    <t>MA-MOF informiert MA-MON</t>
  </si>
  <si>
    <t>Newsbeitrag einstellen (s. oben Produkt wird buchbar)</t>
  </si>
  <si>
    <t>MA-MON, MA-MSM, MA-MOF</t>
  </si>
  <si>
    <t>MA-MON informiert MA-MSM  MA-MOF über Veröffentlichung</t>
  </si>
  <si>
    <t>MA-MOF prüft auf welchen Portalen eine Info eingestellt werden kann und veröffentlicht diese. Ggf. UTM-Link auf Newsbeitrag</t>
  </si>
  <si>
    <t>MA-MOF, MA-MON</t>
  </si>
  <si>
    <t>MA-MON hat Beitrag auf Website veröffentlicht</t>
  </si>
  <si>
    <t>Presseportale</t>
  </si>
  <si>
    <t>MA-MOF veröffentlicht Newsbeitrag inkl. Bild und UTM-Link zum Ausstellerprofil (alternativ zum Newsbeitrag)</t>
  </si>
  <si>
    <t>MA-MP bewirbt ggf. organischen Post von MA-MSM</t>
  </si>
  <si>
    <t>MA-MP, MA-MSM</t>
  </si>
  <si>
    <t>MA-MSM hat Post erstellt</t>
  </si>
  <si>
    <t>MA-MSM brieft die Kollegen, die zur Messe /  Event fahren und bittet um Foto- und Videomaterial bzw. MA-MSM begleitet die Kollegen und dokumentiert eigenständig, inkl. Social Media-Aktionen wie bspw. Umfragen. (je nach Größe der Messe)</t>
  </si>
  <si>
    <t>MA-MSM, MA-V, MA-MON</t>
  </si>
  <si>
    <t>Messeteilnahme durch MA-V, MA-MON hat Beitrag auf Website veröffentlicht</t>
  </si>
  <si>
    <t xml:space="preserve">Instagram </t>
  </si>
  <si>
    <t>MA-MSM bewirbt das Event / den Aktionstag über die Story per Link-Sticker und Fotos.
Je nach Umfang und verfügbaren Material erstellt MA-MSM eine Highlight-Section zum Event</t>
  </si>
  <si>
    <t>MA-MSM, MA-V</t>
  </si>
  <si>
    <t>MA-MSM erhält Visuals und Infos zum Event durch MA-V</t>
  </si>
  <si>
    <t>MA-MSM  veröffentlicht eine Veranstaltung im Facebook-Veranstaltungskalender (abhängig von der Größe der Events und der Teilnahme)</t>
  </si>
  <si>
    <t>LinkedIn, Xing, Twitter</t>
  </si>
  <si>
    <t>MA-MSM teasert das Event / den Aktionstag mit einem Post und Link (Linkvorschau)</t>
  </si>
  <si>
    <r>
      <t xml:space="preserve">Produktbezogene (Präsenz-) Veranstaltungen </t>
    </r>
    <r>
      <rPr>
        <b/>
        <sz val="11"/>
        <color rgb="FFFA7D00"/>
        <rFont val="Arial"/>
      </rPr>
      <t>(Einbezug ELA - Buchungszahlen)</t>
    </r>
  </si>
  <si>
    <t>MA-MOF prüft, ob für anstehende (Präsenz-)Veranstaltung noch Plätze verfügbar sind und erstellt einen Newsbeitrag mit den wichtigsten Fakten und einer Verlinkung zum Produkt</t>
  </si>
  <si>
    <t>Freie Plätze in der Veranstaltung verfügbar</t>
  </si>
  <si>
    <t>MA-MOF prüft auf welchen Portalen eine Info eingestellt werden kann und veröffentlicht diese. Ggf. UTM-Link auf Produkt</t>
  </si>
  <si>
    <t>MA-MOF veröffentlicht Newsbeitrag inkl. Bild und UTM-Link zum Produkt</t>
  </si>
  <si>
    <t>MA-MSM, MA-MON</t>
  </si>
  <si>
    <t>MA-MSM veröffentlicht Story mit Link-Sticker zur Veranstaltung</t>
  </si>
  <si>
    <t>Facebook, LinkedIn, Xing, Twitter</t>
  </si>
  <si>
    <t>MA-MSM veröffentlicht Newsbeitrag inkl. Bild und UTM-Link zum Produkt</t>
  </si>
  <si>
    <t>Auszeichnungen / Awards</t>
  </si>
  <si>
    <t>MA-MOF verfasst einen Newsbeitrag mit den wichtigsten Eckdaten zum Award sowie Dank an Teilnehmer und fügt eine Verlinkung zum Award-Ranking ein</t>
  </si>
  <si>
    <t>Awardgrafik liegt vor</t>
  </si>
  <si>
    <t xml:space="preserve">MA-MOF veröffentlicht Newsbeitrag inkl. Bild und UTM-Link zur Landingpage "Abschlüsse und Auszeichnungen" </t>
  </si>
  <si>
    <r>
      <rPr>
        <sz val="11"/>
        <color rgb="FF000000"/>
        <rFont val="Arial"/>
      </rPr>
      <t xml:space="preserve">MA-MP hinterlegt Auszeichnungen bei Google Ads Erweiterungen
</t>
    </r>
    <r>
      <rPr>
        <sz val="11"/>
        <color theme="1"/>
        <rFont val="Calibri"/>
        <family val="2"/>
        <scheme val="minor"/>
      </rPr>
      <t>und Sitelinks</t>
    </r>
  </si>
  <si>
    <t>MA-MSM. MA-MON</t>
  </si>
  <si>
    <t>MA-MSM teasert Newsbeitrag über Story mit Link-Sticker oder erstellt eigenen Feed-Beitrag, der in Story geteilt wird</t>
  </si>
  <si>
    <t>MA-MSM veröffentlicht Newsbeitrag mit Link (Linkvorschau)</t>
  </si>
  <si>
    <t>Landingpage / Serviceseite</t>
  </si>
  <si>
    <t xml:space="preserve">MA-MON prüft, ob ein Newsbeitrag sinnvoll ist und verfasst diesen </t>
  </si>
  <si>
    <t>Serviceseite/Landingpage ist online</t>
  </si>
  <si>
    <t>MA-MON informiert MA-MSM &amp; MA-MOF</t>
  </si>
  <si>
    <t xml:space="preserve">MA-MOF veröffentlicht Newsbeitrag inkl. Bild und UTM-Link zur Seite </t>
  </si>
  <si>
    <t>MA-MP prüft ob Landingpage oder Serviceseite relevant ist und
erstellt dazu eine eigene Kampagne oder eine Ad-Erweiterung</t>
  </si>
  <si>
    <t>MA-MP, MA-MON</t>
  </si>
  <si>
    <t>Info von MA-MON liegt vor, MA-MP prüft eigenständig Seitenübersicht</t>
  </si>
  <si>
    <t>MA-MSM teasert Landing Page / Serviceseite über Story mit Link-Sticker (wenn passend)</t>
  </si>
  <si>
    <t>MA-MSM veröffentlicht Teaser-Post mit Link zur Landing Page / Serviceseite (wenn passend)</t>
  </si>
  <si>
    <t>MAGAZINBEITRÄGE</t>
  </si>
  <si>
    <t>Ideenfindung, Planung und Erstellung</t>
  </si>
  <si>
    <t>Ideensammlung</t>
  </si>
  <si>
    <t>MA-M sammeln Ideen und Themen in der Planungsdatei möglichst zu einer Produktkategorie passend</t>
  </si>
  <si>
    <t>Planung</t>
  </si>
  <si>
    <t>MA-MOF erstellt Jahresplanung der Magazinbeiträge unter Berücksichtigung der geplanten Rabattaktionen</t>
  </si>
  <si>
    <t>Jahresplanung Rabattaktion liegt vor</t>
  </si>
  <si>
    <t>Briefing &amp; Erstellung</t>
  </si>
  <si>
    <t>MA-MOF wählt Thema aus, erstellt Briefing für externen Autor oder erstellt Text selbst</t>
  </si>
  <si>
    <t>Finalisierung</t>
  </si>
  <si>
    <t>MA-MOF stellt MA-MON finalen Text, Bild(er) sowie Information zu passenden (Kooperations-)Produkten zur Verfügung</t>
  </si>
  <si>
    <t>Veröffentlichung</t>
  </si>
  <si>
    <t>Einbindung auf Website</t>
  </si>
  <si>
    <t>MA-MON pflegt Magazinbeitrag (Text &amp; Bild) über Contao ein</t>
  </si>
  <si>
    <t>Finale Informationen von MA-MOF liegen MA-MON vor</t>
  </si>
  <si>
    <t>MA-MON informiert MA-MSM und MA-MOF über Zeitpunkt der Veröffentlcihung</t>
  </si>
  <si>
    <t>MA-MOF veröffentlicht Magazinbeitrag inkl. Bild und UTM-Link zu passender Landingpage</t>
  </si>
  <si>
    <t>Information zum Veröffentlichungszeitpunkt von MA-MON liegt vor</t>
  </si>
  <si>
    <r>
      <rPr>
        <sz val="11"/>
        <color rgb="FF000000"/>
        <rFont val="Arial"/>
      </rPr>
      <t xml:space="preserve">MA-MSM teasert Newsbeitrag über Story mit Link-Sticker
</t>
    </r>
    <r>
      <rPr>
        <sz val="11"/>
        <color theme="1"/>
        <rFont val="Calibri"/>
        <family val="2"/>
        <scheme val="minor"/>
      </rPr>
      <t>od. eigener Feed-Beitrag, der in Story geteilt wird</t>
    </r>
  </si>
  <si>
    <t>RABATTAKTIONEN</t>
  </si>
  <si>
    <t>Zeitraum &amp; Thema</t>
  </si>
  <si>
    <t>MA-M erstellen im 3. Quartal einen Vorschlag für die Rabattaktionen des Folgejahres inkl. Thema, Zeitraum, Rabatthöhe, möglicher zusätzlicher Aktionen</t>
  </si>
  <si>
    <t>MA-M, MA-V</t>
  </si>
  <si>
    <t>MA-V prüfen Planung und geben diese frei</t>
  </si>
  <si>
    <t>Abstimmung Vertrieb/GL</t>
  </si>
  <si>
    <t xml:space="preserve">Jasmin stellt Teamleitern Rabattaktionsplanung zur Durchsicht und Freigabe zur Verfügung (Meet Jahresplanung) </t>
  </si>
  <si>
    <t>Teamleiter</t>
  </si>
  <si>
    <t>Freigabe oder Änderungen der Teamleiter</t>
  </si>
  <si>
    <t>Änderungen</t>
  </si>
  <si>
    <t>MA-MON arbeitet ggf. Änderungswünsche ein</t>
  </si>
  <si>
    <t>MA-MON, MA-M</t>
  </si>
  <si>
    <t>Änderungen Teamleiter liegen vor</t>
  </si>
  <si>
    <t>MA-MON informiert MA-M das Planung final</t>
  </si>
  <si>
    <t>Content Management</t>
  </si>
  <si>
    <t>Vorbereitung Rabattaktion</t>
  </si>
  <si>
    <t>Aktionstext</t>
  </si>
  <si>
    <t>MA-MON lässt Aktionstext zum Thema der Rabattaktion erstellen</t>
  </si>
  <si>
    <t>Rabattaktionsplanung freigegeben</t>
  </si>
  <si>
    <t>Briefing Grafik</t>
  </si>
  <si>
    <t>MA-MON brieft externen Grafiker mit Details zum Aktionsthema und stellt Informationen zu Bannergrößen zur Verfügung</t>
  </si>
  <si>
    <t>MA-MON, MA-MD, MA-M</t>
  </si>
  <si>
    <t>MA-MD hat Vorgaben erstellt / Vorlage aus CD liegt vor</t>
  </si>
  <si>
    <t>Grafiker erstellt Entwürfe, finale Entscheidung durch MA-M</t>
  </si>
  <si>
    <t>Finalisierung Grafik</t>
  </si>
  <si>
    <t>MA-MON teilt Entscheidung MA-M an Grafiker mit, der alle geforderten Visuals erstellt</t>
  </si>
  <si>
    <t>MA-MON stellt MA-M Visuals zur Verfügung</t>
  </si>
  <si>
    <t>Aktionsseite</t>
  </si>
  <si>
    <t>MA-MON legt Aktionsseite über Contao an (inaktiv bis Aktionsstart)</t>
  </si>
  <si>
    <t>MA-MON, MA-MP, MA-MSM</t>
  </si>
  <si>
    <t>MA-MON stellt MA-MSM und MA-MP URL zur Verfügung</t>
  </si>
  <si>
    <t>Vorbereitung Startseite</t>
  </si>
  <si>
    <t>MA-MON bereitet den Startseitenbanner in Contao vor</t>
  </si>
  <si>
    <t>Vorbereitung Produktseiten</t>
  </si>
  <si>
    <t>MA-MON bereitet den Aktionsbanner für die Produktseiten in Contao vor</t>
  </si>
  <si>
    <t>Cleverpush</t>
  </si>
  <si>
    <t>MA-MON richtet eine Cleverpush-Kampagne ein</t>
  </si>
  <si>
    <t>Start Rabattaktion</t>
  </si>
  <si>
    <t>Aktivierung</t>
  </si>
  <si>
    <t>MA-MON schaltet Startseitenbanner, Aktionsseite und Aktionsbanner für Produktseiten sowie Cleverpush Kampagne aktiv</t>
  </si>
  <si>
    <t>MA-MON informiert über AllgemeinChat</t>
  </si>
  <si>
    <t>Produktseiten</t>
  </si>
  <si>
    <t>MA-MON hinterlegt Rabattaktion einzeln pro Produkt inkl. Schattenprodukte (gilt für alle Produkte außer AZAV, Weiterleitungsprodukte &amp; Produkte in Entwicklung)</t>
  </si>
  <si>
    <t>MA-MON stellt Rabattaktion bei FernstudiumCheck ein</t>
  </si>
  <si>
    <t>zukünftig MA-MOF?</t>
  </si>
  <si>
    <t>Newsletter</t>
  </si>
  <si>
    <t xml:space="preserve">MA-MON lässt Textentwurf erstellen und übergibt Text plus zugehörige Visuals an MA-V </t>
  </si>
  <si>
    <t>MA-MON, MA-MD, MA-V</t>
  </si>
  <si>
    <t>MA-MD/Grafiker liefert Banner</t>
  </si>
  <si>
    <t>MA-V versendet Newsletter über CleverReach</t>
  </si>
  <si>
    <t>Aktionsende</t>
  </si>
  <si>
    <t>Deaktivierung</t>
  </si>
  <si>
    <t>MA-MON deaktiviert Startseitenbanner, Aktionsseite und Aktionsbanner für Produktseiten sowie Cleverpush Kampagne</t>
  </si>
  <si>
    <t>Rabattaktion ist beendet</t>
  </si>
  <si>
    <t>MA-MON deaktiviert Rabattaktion bei allen Produkten und Schattenprodukten</t>
  </si>
  <si>
    <t>Standard-Rabatte einstellen</t>
  </si>
  <si>
    <t>MA-MON hinterlegt bei festgelegten Produkten die Standard-Rabatte (Delst Förderung / AoS modulare Ausbildung)</t>
  </si>
  <si>
    <t>Produkte s. Wiki Gesamtablauf oben</t>
  </si>
  <si>
    <t>Auffällig: Bei Delst = Standardrabatt 25-30% - oft mehr als bei Aktion selbst?</t>
  </si>
  <si>
    <t>Content Creator</t>
  </si>
  <si>
    <t>Festlegung Vorgaben für Banner</t>
  </si>
  <si>
    <t>MA-MD legt Vorgaben über CD fest und stellt Vorlagen für externe Grafiker zur Verfügung</t>
  </si>
  <si>
    <t>MA-MD</t>
  </si>
  <si>
    <t>MA-MD hinterlegt Vorlage in CD</t>
  </si>
  <si>
    <t>Bannerentwürfe</t>
  </si>
  <si>
    <t>MA-MD erstellt Bannerentwürfe, wenn externer Grafiker ausfällt</t>
  </si>
  <si>
    <t>MA-MD, MA-MON, MA-M</t>
  </si>
  <si>
    <t>Rabattaktionsplanung freigegeben, Briefing zu Thema/Inhalten durch MA-MON</t>
  </si>
  <si>
    <t>Entscheidung durch MA-M</t>
  </si>
  <si>
    <t>MA-MD erstellt alle benötigten Visuals und stellt sie MA-M zur Verfügung</t>
  </si>
  <si>
    <t>Zusatzbilder Aktionsseite</t>
  </si>
  <si>
    <t>MA-MD stellt Mood-Shots und/oder Mock-Ups zur Verfügung (Info bei Briefing)</t>
  </si>
  <si>
    <t>MA-MON informiert MA-MD im Rahmen des Briefings</t>
  </si>
  <si>
    <t>Korrekturen in Videos</t>
  </si>
  <si>
    <t xml:space="preserve">Wenn nötig, führt MA-MD Korrekturen bei Videos durch, die MA-MSM erstellt hat (s. Prozess Videos) </t>
  </si>
  <si>
    <t>MA-MD, MA-MSM</t>
  </si>
  <si>
    <t>MA-MSM hat Video erstellt, Korrektur nötig</t>
  </si>
  <si>
    <t>Bearbeitete Datei von MA-MD an MA-MSM</t>
  </si>
  <si>
    <t>MA-MD erstellt benötigte Banner, wenn externen Grafiker ausfällt, und stellt sie MA-MON zur Verfügung</t>
  </si>
  <si>
    <t>MA-MD stellt Banner MA-MON zur Verfügung</t>
  </si>
  <si>
    <t>MA-MP meetet mit MA-MD bzgl. Brainstorming für Visuals
und Videocontent (Canva) zu Produkten/Rabattaktion</t>
  </si>
  <si>
    <t>MA-MP, MA-MD</t>
  </si>
  <si>
    <t>Aktionsseite ist online, Visuals liegen vor</t>
  </si>
  <si>
    <t>MA-MSM überlegt sich themenspezifisch Content und geht in die Planung, kommuniziert mit den jeweiligen Ansprechpartner*innen (Dozent*in, Tutor*in, Speaker*innen, Studienebetreuung etc.).</t>
  </si>
  <si>
    <t>Planung der Rabattaktionen ist abgeschlossen.</t>
  </si>
  <si>
    <t>MA-MSM postet Teaser in Story mit Link-Sticker zur Aktionsseite</t>
  </si>
  <si>
    <t>MA-MSM veröffentlicht mit Teaser-Text die Aktionsseite mit Link (Linkvorschau)</t>
  </si>
  <si>
    <t>Offpage</t>
  </si>
  <si>
    <t>MA-MOF stellt die Aktion in alle Portale ein, die eine Möglichkeit zur Hinterlegung von Rabatten oder einen Newsroom haben</t>
  </si>
  <si>
    <t>MA-MOF veröffentlicht die Aktion in allen Presseportalen inkl. UTM-Link zur Aktionsseite</t>
  </si>
  <si>
    <t>MA-MOF informiert Affiliates zur Aktion, stellt Bildmaterial sowie Link zur Aktionsseite zur Verfügung</t>
  </si>
  <si>
    <r>
      <t>Auswertung</t>
    </r>
    <r>
      <rPr>
        <b/>
        <sz val="11"/>
        <color rgb="FFFF0000"/>
        <rFont val="Arial"/>
      </rPr>
      <t xml:space="preserve"> </t>
    </r>
    <r>
      <rPr>
        <b/>
        <sz val="11"/>
        <color rgb="FFFA7D00"/>
        <rFont val="Arial"/>
      </rPr>
      <t>(zu klären: Wie können und müssen hier die Möglichkeiten von ELA genutzt werden?)</t>
    </r>
  </si>
  <si>
    <t>Buchungen</t>
  </si>
  <si>
    <t>MA-MON erfasst Anzahl Buchungen im Aktionszeitraum, MA-MOF ergänzt Buchungen, die über Affiliate-Code eingingen</t>
  </si>
  <si>
    <t>MA-MON, MA-MOF</t>
  </si>
  <si>
    <t>Website Aufrufe</t>
  </si>
  <si>
    <t>MA-MON prüft über Analytics die Aufrufe der Aktionsseite und erfasst diese sowie Conversions und Absprungsrate</t>
  </si>
  <si>
    <t>MA-MON erfasst Anzahl Newsletterkontakte, Nutzer und Conversions</t>
  </si>
  <si>
    <t>MA-MP erfasst und analysiert Keymetriken wie Conversions, 
Conversionrate,CTR, Conversion-Wert und Kosten pro Conversions.</t>
  </si>
  <si>
    <t>MA-MSM erfasst die Zugriffe über die einzelnen Social Media-Links in G4 per UTM-Link, ermittelt die Klicks und das Engagement mit dem Post (u. a. Likes, Impressionen, Kommentare)</t>
  </si>
  <si>
    <r>
      <t xml:space="preserve">AFFILIATEPROGRAMM </t>
    </r>
    <r>
      <rPr>
        <b/>
        <sz val="11"/>
        <color rgb="FFFA7D00"/>
        <rFont val="Arial"/>
      </rPr>
      <t>(zu klären: Wie kann und muss ich hier die Möglichkeiten von ELA nutzen? Ähnlich neuer Dozent?)</t>
    </r>
  </si>
  <si>
    <t>Interessent Affiliateprogramm</t>
  </si>
  <si>
    <t>Website prüfen</t>
  </si>
  <si>
    <t>MA-MOF prüft, ob Website des Interessenten thematisch und inhaltlich zum Unternehmen passt</t>
  </si>
  <si>
    <t>Affiliateanfrage ging ein</t>
  </si>
  <si>
    <t>Wunsch: Zukünftig ist Website ein MUSS, Interessenten die ausschließlich Social Media Kanäle haben über Prozesses Influencer / Markenbotschafter abwickeln</t>
  </si>
  <si>
    <t>Vorstellung Affiliateprogramm</t>
  </si>
  <si>
    <t>MA-MOF erklärt Interessent Abläufe des Affiliateprogramms, sendet Mustervertrag und fordert ggf. fehlende Informationen an</t>
  </si>
  <si>
    <t>Website des Affiliate passt zum Unternehmen</t>
  </si>
  <si>
    <t>Wunsch: Affiliate MUSS zukünftig innerhalb der ersten 2 Monate nach Vertragsschluss Verlinkung auf Website integriert haben</t>
  </si>
  <si>
    <t xml:space="preserve">Neuer Affiliate </t>
  </si>
  <si>
    <t>Anlage Geschäftspartner</t>
  </si>
  <si>
    <t>MA-MOF legt Geschäftspartner im Backend an und hinterlegt Info zum Trackingcode und Vertragsbeginn</t>
  </si>
  <si>
    <t>Affiliate-Vertrag liegt unterschrieben vor</t>
  </si>
  <si>
    <t>Anlage Affiliate in Contao</t>
  </si>
  <si>
    <t>MA-MOF hinterlegt Trackingcode in Contao</t>
  </si>
  <si>
    <t>Affiliatebetreuung</t>
  </si>
  <si>
    <t>Neue Produkte</t>
  </si>
  <si>
    <t>MA-MOF informiert Affiliates über neue Produkte</t>
  </si>
  <si>
    <t>Neues Produkt ist buchbar</t>
  </si>
  <si>
    <t>Implementierung Affiliate Software für Betreuung, Abrechnung, Kommunikation, Visuals,...</t>
  </si>
  <si>
    <t>Produktanpassungen</t>
  </si>
  <si>
    <t>MA-MOF informiert Affiliates über Produktanpassungen</t>
  </si>
  <si>
    <t>Produktseite ist angepasst / offline</t>
  </si>
  <si>
    <t>Rabattaktionen</t>
  </si>
  <si>
    <t>MA-MOF informiert Affiliates über Rabattaktionen</t>
  </si>
  <si>
    <t xml:space="preserve">MA-MOF kontaktiert Affiliates über die keine Buchungen eingehen und bietet Unterstützung an </t>
  </si>
  <si>
    <t>Affiliateabrechnung</t>
  </si>
  <si>
    <t>Buchung über Trackingcode ging ein</t>
  </si>
  <si>
    <t>MA-MOF erstellt für den Affiliate monatlich eine Übersicht der vermittelten Kurse und der daraus resultierenden Provision</t>
  </si>
  <si>
    <t>Affiliate sendet Rechnung</t>
  </si>
  <si>
    <t>Keine Buchung über Trackingcode</t>
  </si>
  <si>
    <t xml:space="preserve">MA-MOF informiert Affiliate, wenn keine Buchungen eingegangen sind und bietet Unterstützung an </t>
  </si>
  <si>
    <t>Dokumentation</t>
  </si>
  <si>
    <t>MA-MOF dokumentiert Buchungen im Backend</t>
  </si>
  <si>
    <t>Rechnung des Affiliate an Buchhaltung</t>
  </si>
  <si>
    <t>MA-MOF prüft die Rechnung des Affiliate und leitet sie an MA-B weiter</t>
  </si>
  <si>
    <t>MA-MOF, MA-B</t>
  </si>
  <si>
    <t>MA-B überweist Rechnung</t>
  </si>
  <si>
    <t>Kündigung Affiliate</t>
  </si>
  <si>
    <t>Kündigung durch uns</t>
  </si>
  <si>
    <t>MA-MOF kündigt schriftlich und fristgerecht, wenn über zwei Jahre keine Buchung erzielt wurde</t>
  </si>
  <si>
    <t>Rücksprache mit Affiliate</t>
  </si>
  <si>
    <t>Kündigung durch Affiliate</t>
  </si>
  <si>
    <t>MA-MOF bestätigt den Eingang der Kündigung und hinterlegt diese im Backend</t>
  </si>
  <si>
    <t>REPUTATIONSMANAGEMENT</t>
  </si>
  <si>
    <t>Bewertung von (ehemaligen) Mitarbeitern</t>
  </si>
  <si>
    <t>Positives Feedback (Kununu)</t>
  </si>
  <si>
    <t>MA-MSM beantwortet eingegangene Bewertungen.</t>
  </si>
  <si>
    <t>MA-MSM, MA, Teamleiter</t>
  </si>
  <si>
    <t>MA sind im Onboarding durch Teamleiter über die Guidelines und die diversen Bewertungsmöglichkeiten informiert worden.</t>
  </si>
  <si>
    <t>Negatives Feedback (Kununu)</t>
  </si>
  <si>
    <t>MA-MSM gibt negative Bewertungen ans Qualitätsmanagement / TL weiter, sofern es von deren Seite eine konkrete Stellungnahme bedarf.</t>
  </si>
  <si>
    <t>MA-MSM, Teamleiter, QM</t>
  </si>
  <si>
    <t>Bewertung von Bewerbern</t>
  </si>
  <si>
    <t>Bewertung von Teilnehmern</t>
  </si>
  <si>
    <t>Positives Feedback</t>
  </si>
  <si>
    <t>MA-MOF kommentiert Bewertung, bedankt sich für positives Feedback und bietet Unterstützung für weitere Ausbildungen an</t>
  </si>
  <si>
    <t>MA-MOF, TN, IN</t>
  </si>
  <si>
    <t>Bewertung TN oder IN ging ein</t>
  </si>
  <si>
    <t>MA-MOF stellt MA-MSM besonders positive Bewertungen zur Verfügung</t>
  </si>
  <si>
    <t>Produktseite?</t>
  </si>
  <si>
    <t>Positives Feedback einpflegen - Prozess zu definieren - ggf. über Wall of Love</t>
  </si>
  <si>
    <t>Negatives Feedback</t>
  </si>
  <si>
    <t>Kommunikation extern</t>
  </si>
  <si>
    <t>MA-MOF kommentiert Bewertung und geht auf Kritikpunkte ein.</t>
  </si>
  <si>
    <t>MA-MOF, MA-V, MA-QM</t>
  </si>
  <si>
    <t>Bei fachlichen Punkten Rü mit MA-V oder MA-QM (je nach Kritik)</t>
  </si>
  <si>
    <t>Kommunikation intern</t>
  </si>
  <si>
    <t>MA-MOF leitet Screenshot der Bewertung inkl. Lehrgangskürzel, Datum und Quelle an MA-QM weiter</t>
  </si>
  <si>
    <r>
      <rPr>
        <b/>
        <sz val="11"/>
        <color rgb="FF000000"/>
        <rFont val="Arial"/>
      </rPr>
      <t>MA-MOF, MA</t>
    </r>
    <r>
      <rPr>
        <sz val="11"/>
        <color theme="1"/>
        <rFont val="Calibri"/>
        <family val="2"/>
        <scheme val="minor"/>
      </rPr>
      <t>-QM</t>
    </r>
  </si>
  <si>
    <t>Gewinnspiele</t>
  </si>
  <si>
    <t>MA-MOF informiert MA-MSM und MA-V über aktuelle Gewinnspiele/Aktionen der Bewertungsportale</t>
  </si>
  <si>
    <t>MA-MOF, MA-MSM, MA-V</t>
  </si>
  <si>
    <t>Alle Infos zum Gewinnspiel liegen vor</t>
  </si>
  <si>
    <t>MA-MSM und MA-V entscheiden individuell, ob und wie Gewinnspiel genutzt wird</t>
  </si>
  <si>
    <t>Fernstudium Check</t>
  </si>
  <si>
    <t>MA-MOF stellt MA-M Awardgrafik zur Verfügung und verfasst Newsbeitrag</t>
  </si>
  <si>
    <t>MA-MOF, MA-M</t>
  </si>
  <si>
    <t>Auszeichnung erhalten, Awardgrafik liegt vor</t>
  </si>
  <si>
    <t>Kununu</t>
  </si>
  <si>
    <t>Prozess n.n. definiert, da Siegel gekauft werden müsste</t>
  </si>
  <si>
    <t>Auszeichnung erhalten und gekauft</t>
  </si>
  <si>
    <t>MA-MON pflegt aktuelles Siegel ein (Startseite Header und unten plus Landing Auszeichnungen) ggf. Produktseiten?</t>
  </si>
  <si>
    <r>
      <t xml:space="preserve">EXTERNE MITARBEITER </t>
    </r>
    <r>
      <rPr>
        <b/>
        <sz val="11"/>
        <color rgb="FFFA7D00"/>
        <rFont val="Arial"/>
      </rPr>
      <t>(zu klären: Wie können und müssen hier die Möglichkeiten von ELA genutzt werden?)</t>
    </r>
  </si>
  <si>
    <t>Bildbearbeitung &amp; - einbindung</t>
  </si>
  <si>
    <t>Bildprüfung</t>
  </si>
  <si>
    <t>MA-MD prüft, ob Bild den Vorgaben entspricht und die Bildqualität ausreicht. Wenn ja, folgt Bildbearbeitung, Wenn nein, informiert MA-MD MA-PER</t>
  </si>
  <si>
    <t>MA-MD, MA-MOF, (MA-PER)</t>
  </si>
  <si>
    <t>EMA-Infobogen inkl. Bild liegt vor, MA-MOF informiert MA-MD</t>
  </si>
  <si>
    <t>MA-PER fordert ggf. neues Bild an</t>
  </si>
  <si>
    <t>Abwicklung über ELA (Ticketsystem - Prozessplaner (?))</t>
  </si>
  <si>
    <t>Bildbearbeitung</t>
  </si>
  <si>
    <t>MA-MD stellt Bild frei, setzt Freisteller auf einheitlichen Hintergrund und stellt es in verschiedenen Formaten zur Verfügung (Teamseite, Produktseite/Backend, Newsbeitrag)</t>
  </si>
  <si>
    <t>MA-MD, MA-MOF</t>
  </si>
  <si>
    <t>Bild nach Vorgabe liegt vor</t>
  </si>
  <si>
    <t>MA-MD informiert MA-MOF</t>
  </si>
  <si>
    <t>Bildeinbindung</t>
  </si>
  <si>
    <t>Produktseite/Backend</t>
  </si>
  <si>
    <t>MA-MON hinterlegt Bild in Contao im Bereich Mitarbeiter, wodurch automatisiert ein Übertrag des Bildes in die zugewiesenen Präsenzphasen auf den Produktseiten erfolgt</t>
  </si>
  <si>
    <t>MA-MON, MA-MD</t>
  </si>
  <si>
    <t>MA-MD hat Bild bearbeitet</t>
  </si>
  <si>
    <t>Teamseite (nur bei AoS öffentlich)</t>
  </si>
  <si>
    <t>MA-MON hinterlegt Bild in Contao im Bereich Mitarbeiter, wodurch automatisiert ein Übertrag des Bildes auf die Teamseite erfolgt</t>
  </si>
  <si>
    <t>Vorstellung</t>
  </si>
  <si>
    <t xml:space="preserve">Newsbeitrag </t>
  </si>
  <si>
    <t xml:space="preserve">MA-MOF verfasst einen Newsbeitrag zur Vorstellung des externen Mitarbeiters anhand der vorliegenden Informationen aus dem Infobogen </t>
  </si>
  <si>
    <t>MA-MOF, MA-MON, MA-PER</t>
  </si>
  <si>
    <t>EMA-Infobogen liegt vor, MA-PER hat EMA im Chat vorgestellt, MA-MD hat Bild bearbeitet</t>
  </si>
  <si>
    <t xml:space="preserve">MA-MOF informiert MA-MON </t>
  </si>
  <si>
    <t>Ablauf wie bei Newsbeitrag unter Prozess "Produkt wird buchbar"</t>
  </si>
  <si>
    <t>MA-MON, MA-MOF, MA-MSM</t>
  </si>
  <si>
    <t>MA-MOF hat MA-MON informiert</t>
  </si>
  <si>
    <t>MA-MON informiert MA-MSM</t>
  </si>
  <si>
    <t>MA-MSM veröffentlicht Post auf Social Media, in dem EMA vorgestellt wird, wenn möglich wird eine Verlinkung zum Profil des EMA eingefügt</t>
  </si>
  <si>
    <t>MA-MON hat MA-MSM zu Newsbeitrag informiert</t>
  </si>
  <si>
    <r>
      <t xml:space="preserve">AZAV </t>
    </r>
    <r>
      <rPr>
        <b/>
        <sz val="11"/>
        <color rgb="FFFA7D00"/>
        <rFont val="Arial"/>
      </rPr>
      <t>(zu klären: Wie können und müssen hier die Möglichkeiten von ELA genutzt werden?)</t>
    </r>
  </si>
  <si>
    <t>Website - in Entwicklung</t>
  </si>
  <si>
    <t>Prozess n.n. definiert</t>
  </si>
  <si>
    <t>Kursnet</t>
  </si>
  <si>
    <t>Neues Produkt mit AZAV-Zulassung / AZAV-Zulassung bestehendes Produkt</t>
  </si>
  <si>
    <t>MA-MOF legt Produkt unter Berücksichtigung der Eingabehilfe in Kursnet an und hinterlegt für diese Produkte jeweils einen regelmäßigen Starttermin (VZ und TZ) für jeden Veranstaltungsort, der in Kursnet hinterlegt ist</t>
  </si>
  <si>
    <t>MA-MOF, AZAV</t>
  </si>
  <si>
    <t>AZAV informiert MA über AZAV-Zulassung</t>
  </si>
  <si>
    <t>Neuer Veranstaltungsort</t>
  </si>
  <si>
    <t>MA-MOF legt den Veranstaltungsort in Kursnet an und hinterlegt ihn bei jedem Produkt durch einen regelmäßigen Starttermin (jeweils VZ und TZ)</t>
  </si>
  <si>
    <t>AZAV informiert MA über neuen zugelassenen Standort</t>
  </si>
  <si>
    <t>Datenpflege /Aktualisierung</t>
  </si>
  <si>
    <t>MA-MOF muss einmal jährlich alle Termine bestätigen, indem das Veröffentlichungsdatum aktualisiert wird</t>
  </si>
  <si>
    <t>Rechtzeitige Erinnerung daran über ELA möglich? Bspw. über Ticket?</t>
  </si>
  <si>
    <t>Werbematerial AZAV</t>
  </si>
  <si>
    <t>Katalog Bildungsberater</t>
  </si>
  <si>
    <t>MA-MD erstellt Katalog nach Vorgabe der Inhalte von MA-V (Sie-Form)</t>
  </si>
  <si>
    <t>MA-MD, MA-V, AZAV</t>
  </si>
  <si>
    <t>Infos von MA-V liegen rechtzeitig vor (mind. 4 Wochen vorher)</t>
  </si>
  <si>
    <t>Prüfung durch AZAV, MA-MD verlasst Print</t>
  </si>
  <si>
    <t>Genereller Wunsch: Rechtzeitige und vollständige Infos an MA.MD</t>
  </si>
  <si>
    <t>Katalog Teilnehmer</t>
  </si>
  <si>
    <t>MA-MD erstellt Katalog nach Vorgabe der Inhalte von MA-V (Du-Form)</t>
  </si>
  <si>
    <t>Prüfung durch AZAV</t>
  </si>
  <si>
    <t>Fact Sheet (Auszug Katalogseite)</t>
  </si>
  <si>
    <t>MA-MD exportiert Deckblatt und Inhaltsseite aus Katalog</t>
  </si>
  <si>
    <t>MA-V beauftragt MA-MD</t>
  </si>
  <si>
    <t>MA-MD erstellt PDF anhand der Infos von MA-V und ergänzt Infos zum Unternehmen, Online Campus sowie Kontakt</t>
  </si>
  <si>
    <t>Flyer</t>
  </si>
  <si>
    <t>MA-MD erstellt Flyer auf Anfrage mit Informationen die von MA-V geliefert werden</t>
  </si>
  <si>
    <t>Infos von MA-V liegen rechtzeitig vor (mind. 2 Wochen vorher)</t>
  </si>
  <si>
    <t>Messe</t>
  </si>
  <si>
    <t>MA-MD erstellt Druckdaten für den Messestand nach Vorgabe MA-V</t>
  </si>
  <si>
    <t>Standortkarte</t>
  </si>
  <si>
    <t>MA-MD erstellt die Standortkarte und wird in die Kataloge integriert</t>
  </si>
  <si>
    <t>Infos von MA-V liegen rechtzeitig vor (mind. 1 Wochen vorher)</t>
  </si>
  <si>
    <t>Anmeldeformular AZAV</t>
  </si>
  <si>
    <t>Erstellung</t>
  </si>
  <si>
    <t>MA-MD erstellt interaktives PDF nach gelieferten Kontakt-Informationen von MA-V und AGB-Informationen von AZAV</t>
  </si>
  <si>
    <t>MA-MD, AZAV, MA-V</t>
  </si>
  <si>
    <t>MA-V und AZAV liefern vollständig alle Informationen</t>
  </si>
  <si>
    <r>
      <rPr>
        <sz val="11"/>
        <color rgb="FF000000"/>
        <rFont val="Arial"/>
      </rPr>
      <t>MA-MD stellt Dok zur Verfügung</t>
    </r>
    <r>
      <rPr>
        <sz val="11"/>
        <color rgb="FFFF0000"/>
        <rFont val="Arial"/>
      </rPr>
      <t xml:space="preserve">
Wo wirds verwendet?</t>
    </r>
  </si>
  <si>
    <t>Aktualisierung</t>
  </si>
  <si>
    <t>MA-MD aktualisiert das Dokument anhand der gelieferten Informationen</t>
  </si>
  <si>
    <t>MA-V und AZAV liefern vollständig alle Änderungen</t>
  </si>
  <si>
    <t>MA-MP erstellt KW-Recherche zum AZAV-Produkt und legt
Kampagne im Google Ads Interface an.</t>
  </si>
  <si>
    <t>Produkt ist AZAV-relevant, MA-MON hat Keywords in Seitenübersicht hinterlegt</t>
  </si>
  <si>
    <t>neue Website abwarten, Prozess n.n, definiert</t>
  </si>
  <si>
    <t>Plan: MA-MSM bereitet AZAV-Themen auf und veröffentlicht diese auf Social Media.</t>
  </si>
  <si>
    <t>Gemeinsame Themenrecherche von MA-V und AZAV</t>
  </si>
  <si>
    <r>
      <t>ANFRAGEN VON TEILNEHMERN UND INTERESSENTEN</t>
    </r>
    <r>
      <rPr>
        <b/>
        <sz val="11"/>
        <color rgb="FFFA7D00"/>
        <rFont val="Arial"/>
      </rPr>
      <t xml:space="preserve"> (zu klären: Wie können und müssen hier die Möglichkeiten von ELA genutzt werden?)</t>
    </r>
  </si>
  <si>
    <t>Person ist Teilnehmer</t>
  </si>
  <si>
    <t>MA-MSM beantwortet die Anfragen im Rahmen des Community-Managements und gibt ggf. gibt den Kontakt der Studienbetreuung od. andere Kontakte weiter.</t>
  </si>
  <si>
    <t>MA-MSM, MA-SB2C, TN-B2C</t>
  </si>
  <si>
    <t>Nachricht über Social Media Kanal ging ein</t>
  </si>
  <si>
    <t>MA-SB2C setzt sich mit TN-B2C in Verbindung</t>
  </si>
  <si>
    <t>Person ist Interessent</t>
  </si>
  <si>
    <t>MA-MSM beantwortet die Anfragen im Rahmen des Community-Managements und gibt ggf. gibt den Kontakt dem Vertrieb weiter.</t>
  </si>
  <si>
    <t>MA-MSM, MA-VB2C, IN-B2C</t>
  </si>
  <si>
    <t>MA-VB2C setzt sich mit IN-B2C in Verbindung</t>
  </si>
  <si>
    <t>MA-MOF fragt Kontaktdaten inkl. Teilnehmer-ID ab, leitet die Nachricht an MA-SB2C weiter und übermittelt die Kontaktdaten der Studienbetreuung an TN-B2C</t>
  </si>
  <si>
    <t>MA-MOF, MA-SB2C, TN-B2C</t>
  </si>
  <si>
    <t>Nachricht über Unternehmesprofil ging ein</t>
  </si>
  <si>
    <t>Ist es möglich über ELA ein Ticket zu erstellen und einer Gruppe zuzuweisen? Erspart Weiterleitung via Mail / Chat und Info wäre direkt im System?</t>
  </si>
  <si>
    <t>MA-MOF fragt Kontaktdaten ab, leitet die Nachricht an MA-VB2C weiter und übermittelt die Kontaktdaten der Studienbetreuung an IN-B2C</t>
  </si>
  <si>
    <t>MA-MOF, MA-VB2C, IN-B2C</t>
  </si>
  <si>
    <t>BILDUNGSPORTALE</t>
  </si>
  <si>
    <t>Kurserfassung</t>
  </si>
  <si>
    <t>MA-MOF erfasst Produkt inkl. Preis, Bild, UTM-Link zu Website sowie kurzer Beschreibung und ordnet das Produkt einer Kategorie zu</t>
  </si>
  <si>
    <t>Produkt ist in Entwicklung bzw. ist buchbar</t>
  </si>
  <si>
    <t>Datenpflege</t>
  </si>
  <si>
    <t>MA-MOF pflegt Preisanpassungen ein</t>
  </si>
  <si>
    <t>Preisanpassung wurde vorgenommen</t>
  </si>
  <si>
    <t>Kursentnahme</t>
  </si>
  <si>
    <t>MA-MOF löscht Produkt</t>
  </si>
  <si>
    <t>Information, dass Produkt nicht mehr buchbar ist, liegt vor</t>
  </si>
  <si>
    <t>Teilnehmerbewertungen</t>
  </si>
  <si>
    <t>MA-MOF kommentiert Teilnehmerbewertungen</t>
  </si>
  <si>
    <t>Teilnehmerbewertung ist eingegangen</t>
  </si>
  <si>
    <t>Rabattaktion einstellen</t>
  </si>
  <si>
    <t>MA-MOF veröffentlicht Informationen zur Rabattaktion</t>
  </si>
  <si>
    <t>Aktionsseite ist online</t>
  </si>
  <si>
    <t>MA-MOF teilt FernstudiumCheck über deren Formular mindestens Titel und UTM-Link zum Produkt mit, sodass sie das Produkt anlegen können</t>
  </si>
  <si>
    <t>Produkt ist buchbar</t>
  </si>
  <si>
    <t>FernstudiumCheck legt Produkt an</t>
  </si>
  <si>
    <t>MA-MOF fügt Produktanpassungen über den Reputationsmanager ein</t>
  </si>
  <si>
    <t>Produktanpassung wurde vorgenommen</t>
  </si>
  <si>
    <t>FernstudiumCheck pflegt Änderung ein</t>
  </si>
  <si>
    <t>MA-MOF beantragt Löschung über Reputationsmanager</t>
  </si>
  <si>
    <t>FernstudiumCheck löscht Produkt</t>
  </si>
  <si>
    <t xml:space="preserve">MA-MOF kommentiert Teilnehmerbewertungen </t>
  </si>
  <si>
    <t xml:space="preserve">Bildmaterial / Banner </t>
  </si>
  <si>
    <t>MA-MOF geht bei Bedarf auf MA-MD zu, der Bildmaterial gem. CD in den passenden Maßen zur Verfügung stellt</t>
  </si>
  <si>
    <t>MA-MOF, MA-MD</t>
  </si>
  <si>
    <t>MA-MOF erfasst Produkt inkl. Preis, UTM-Link zu Website sowie kurzer Beschreibung und hinterlegt monatlichen Starttermin. Bei Prio 1 Produkten wird zusätzlich ein Starttermin zum 15. eines Monats hinterlegt</t>
  </si>
  <si>
    <t>MA-MOF pflegt Produktanpassungen ein und hinterlegt im Herbst die Starttermine für das Folgejahr</t>
  </si>
  <si>
    <t>MA-MOF veröffentlicht Informationen zur Rabattaktion über Funktion "Last-Minute-Preis". MA-MOF wählt passende Produkte aus und hinterlegt rabattierten Preis für Termine im Rabattzeitraum</t>
  </si>
  <si>
    <t>Weiterbildungsdatenbank Saarland</t>
  </si>
  <si>
    <t>MA-MOF erfasst Produkt so detailliert wie möglich und fügt UTM-Link zum Produkt ein</t>
  </si>
  <si>
    <t xml:space="preserve">MA-MOF pflegt Produktanpassungen ein </t>
  </si>
  <si>
    <t>Weiterbildungsdatenbank Brandenburg</t>
  </si>
  <si>
    <r>
      <rPr>
        <sz val="11"/>
        <color rgb="FF000000"/>
        <rFont val="Arial"/>
      </rPr>
      <t>MA-MOF pflegt Produktanpassungen ein.</t>
    </r>
    <r>
      <rPr>
        <sz val="11"/>
        <color rgb="FFFF0000"/>
        <rFont val="Arial"/>
      </rPr>
      <t xml:space="preserve"> </t>
    </r>
    <r>
      <rPr>
        <sz val="11"/>
        <color rgb="FF000000"/>
        <rFont val="Arial"/>
      </rPr>
      <t>Mindestens 1x jährlich müssen Produkte bestätigt werden, sonst findet keine Übertragung ins Suchportal statt.</t>
    </r>
  </si>
  <si>
    <t>Bildungsweb</t>
  </si>
  <si>
    <t>MA-MOF erfasst Produkt, indem alle Standard-Angaben ausgefüllt werden. Premium-Angaben bleiben frei</t>
  </si>
  <si>
    <t>Bildungsweb überträgt Daten auf Bildung.de</t>
  </si>
  <si>
    <t xml:space="preserve">Bildungsweb löscht Daten auf Bildung.de </t>
  </si>
  <si>
    <t>MA-MOF erfasst Produkt so detailliert wie möglich und hinterlegt Termine "Auf Anfrage" in verschiedenen Orten</t>
  </si>
  <si>
    <t>Seminarzoom überträgt Daten auf Partnerseiten</t>
  </si>
  <si>
    <t>Seminarzoom löscht Daten auf Partnerseiten</t>
  </si>
  <si>
    <t>MA-MOF erfasst Produkt inkl. Preis, UTM-Link zu Website sowie kurzer Beschreibung</t>
  </si>
  <si>
    <t xml:space="preserve">Springest überträgt Daten auf Weiterbildung.de </t>
  </si>
  <si>
    <t xml:space="preserve">Springest löscht Daten auf Weiterbildung.de </t>
  </si>
  <si>
    <t>WIS</t>
  </si>
  <si>
    <t>Seminarbörse (nur DeLSt)</t>
  </si>
  <si>
    <t>Kontingent von 100 Kursen ist n.n. vollständig ausgeschöpft &amp; Produkt ist buchbar</t>
  </si>
  <si>
    <t xml:space="preserve">MA-MOF erfasst Produkt so detailliert wie möglich </t>
  </si>
  <si>
    <r>
      <rPr>
        <sz val="11"/>
        <color rgb="FF000000"/>
        <rFont val="Arial"/>
      </rPr>
      <t>MA-MOF pflegt Produktanpassungen ein</t>
    </r>
    <r>
      <rPr>
        <sz val="11"/>
        <color rgb="FFFF0000"/>
        <rFont val="Arial"/>
      </rPr>
      <t xml:space="preserve">. </t>
    </r>
    <r>
      <rPr>
        <sz val="11"/>
        <color rgb="FF000000"/>
        <rFont val="Arial"/>
      </rPr>
      <t>Mindestens 1x jährlich müssen Produkte bestätigt werden, sonst werden sie deaktiviert</t>
    </r>
  </si>
  <si>
    <t>MA-MOF veranlasst Löschung über Emagister</t>
  </si>
  <si>
    <t>MA-MOF veröffentlicht Produkt inkl. UTM-Link zum Produkt sowie Startterminen (1. und 15. eines Monats) als "Online-Kurs" sowie als "Kurs" mit Angabe von Veranstaltungsorten in BW</t>
  </si>
  <si>
    <t>MA-MOF veranlasst Löschung über Fernstudium Direkt</t>
  </si>
  <si>
    <t>FSD löscht Produkt</t>
  </si>
  <si>
    <t>MA-MOF erfasst Produkt inkl. Preis, UTM-Link zu Website sowie kurzer Beschreibung. Es werden monatlich wiederkehrende Termine für verschiedene Orte sowie monatlich startende Online-Kurse hinterlegt.</t>
  </si>
  <si>
    <t>Kontingent von 30 Kursen ist n.n. vollständig ausgeschöpft, sonst Rü mit MA-V &amp; Produkt ist buchbar</t>
  </si>
  <si>
    <t>MA-MOF veranlasst Löschung über Kursfinder</t>
  </si>
  <si>
    <t>Kursfinder löscht Produkt</t>
  </si>
  <si>
    <t>Fernstudi.net</t>
  </si>
  <si>
    <t>MA-MOF veranlasst Löschung über Fernstudi.net</t>
  </si>
  <si>
    <t>Fernstudi löscht Produkt</t>
  </si>
  <si>
    <t>Produkt ist buchbar &amp; passende Kategorie auf Educheck verfügbar</t>
  </si>
  <si>
    <t>MA-MOF pflegt Produktanpassungen ein</t>
  </si>
  <si>
    <t>Lehrerfortbildung NRW</t>
  </si>
  <si>
    <t>Produkt ist buchbar und hat eine Relevanz für Lehrkräfte</t>
  </si>
  <si>
    <t>Studi Scan / Studieren-Studium</t>
  </si>
  <si>
    <t>MA-MOF leitet UTM-Link an Studi Scan weiter, sodass Produkt erfasst werden kann</t>
  </si>
  <si>
    <t>MA-MOF veranlasst Löschung über Studi Scan</t>
  </si>
  <si>
    <t>Studi Scan löscht Produkt</t>
  </si>
  <si>
    <t>TarGroup / Studddy (Nur AoS und EHiP)</t>
  </si>
  <si>
    <r>
      <rPr>
        <sz val="11"/>
        <color rgb="FF000000"/>
        <rFont val="Arial"/>
      </rPr>
      <t xml:space="preserve">MA-MOF teilt TarGroup über deren Formular relevante Informationen und UTM-Link zum Produkt mit, sodass sie das Produkt auf passenden Seiten anlegen können. Gilt nur für Produkte der Prio 1 &amp; 2 - </t>
    </r>
    <r>
      <rPr>
        <sz val="11"/>
        <color rgb="FFFF0000"/>
        <rFont val="Arial"/>
      </rPr>
      <t>NOTE: nicht alle Produkte erfasst, Portal steht 2023 auf Prüfstand bzgl. ConversionRate</t>
    </r>
  </si>
  <si>
    <t>Produkt ist buchbar und hat Prio 1 oder 2</t>
  </si>
  <si>
    <t>TarGroup veröffentlicht Produkt auf allen gewünschten Seiten</t>
  </si>
  <si>
    <t>MA-MOF teilt TarGroup Produktanpassungen mit</t>
  </si>
  <si>
    <t>TarGroup aktualisiert Produkt auf allen Seiten</t>
  </si>
  <si>
    <t>MA-MOF veranlasst Löschung über TarGroup</t>
  </si>
  <si>
    <t>TarGroup löscht Produkt</t>
  </si>
  <si>
    <t>Fernstudienanbieter (nur AoS)</t>
  </si>
  <si>
    <t>MA-MOF erfasst Kurs inkl. UTM-Link. Keine Beschreibung möglich</t>
  </si>
  <si>
    <t>MA-MOF wird nur tätig, wenn sich Produktname ändert</t>
  </si>
  <si>
    <t>Produktname wurde angepasst</t>
  </si>
  <si>
    <t>Fobimarkt (nur AoS)</t>
  </si>
  <si>
    <t>MA-MOF erfasst Produkt inkl. Preis sowie kurzer Beschreibung, wenn das Produkt den Bereichen Physiotherapie, Sportwissenschaften und Gesundheit zuzuordnen ist</t>
  </si>
  <si>
    <t>Produkt ist buchbar und passt zum Portal</t>
  </si>
  <si>
    <t>Bildung.de</t>
  </si>
  <si>
    <t>Datenübernahme</t>
  </si>
  <si>
    <t>Daten werden von Bildungsweb übernommen - MA-MOF hat keinen Einfluss</t>
  </si>
  <si>
    <t>Produkt wurde auf Bildungsweb veröffentlicht</t>
  </si>
  <si>
    <t>Deutscher Bildungsserver</t>
  </si>
  <si>
    <t>Daten werden von verschiedensten Portalen (z.B. Springest, Fortbildung24,...) übernommen - MA-MOF hat keinen Einfluss</t>
  </si>
  <si>
    <t>Produkt wurde auf Portalen veröffentlicht, aus denen Bildungsserver Informationen zieht</t>
  </si>
  <si>
    <t>Hessische Weiterbildungsdatenbank</t>
  </si>
  <si>
    <t>Daten werden 1x jährlich von ZFU übernommen - MA-MOF hat keinen Einfluss</t>
  </si>
  <si>
    <t>Produkt ist ZFU zertifiziert und in ZFU Datenbank vorhanden</t>
  </si>
  <si>
    <t>Kursportal Schleswig-Holstein</t>
  </si>
  <si>
    <t>Weiterbildung.de</t>
  </si>
  <si>
    <t>Daten werden von Springest übernommen - MA-MOF hat keinen Einfluss</t>
  </si>
  <si>
    <t>Produkt wurde auf Springest veröffentlicht</t>
  </si>
  <si>
    <t>Kursportal Wisy - Hamburg</t>
  </si>
  <si>
    <t>Weiterbildungsdatenbank Berlin</t>
  </si>
  <si>
    <t>Daten werden von WDB Brandenburg übernommen - MA-MOF hat keinen Einfluss</t>
  </si>
  <si>
    <t>Weiterbildungsdatenbank RLP</t>
  </si>
  <si>
    <t>KPI</t>
  </si>
  <si>
    <t>Onpage</t>
  </si>
  <si>
    <t>Monatliche Auswertung</t>
  </si>
  <si>
    <t>MA-MON wertet monatlich die definierten KPI aus und erfasst diese in der Übersicht der Unternehmens- und Qualitätsziele</t>
  </si>
  <si>
    <t>MA-MP wertet monatlich die definierten KPI aus und erfasst diese in der Übersicht der Unternehmens- und Qualitätsziele</t>
  </si>
  <si>
    <t>MA-MSM wertet monatlich die definierten KPI aus und erfasst diese in der Übersicht der Unternehmens- und Qualitätsziele</t>
  </si>
  <si>
    <t>Offpage / Portale</t>
  </si>
  <si>
    <t>MA-MOF wertet monatlich die definierten KPI aus und erfasst diese in der Übersicht der Unternehmens- und Qualitätsziele</t>
  </si>
  <si>
    <t>SERVICESEITEN (= unternehmensspezifische Themen, selten SEO optimiert)</t>
  </si>
  <si>
    <t>Idee / Thema</t>
  </si>
  <si>
    <t>Details</t>
  </si>
  <si>
    <t>MA-V oder MA-P teilen MA-MON eine Idee oder Thema inkl. Zielgruppe für eine Serviceseite mit</t>
  </si>
  <si>
    <t>MA-MON, MA-P, MA-V</t>
  </si>
  <si>
    <t>Austausch MA-MON und MA-P/MA-V zu Inhalten</t>
  </si>
  <si>
    <t>Themen &amp; Inhalte</t>
  </si>
  <si>
    <t>MA-MON erstellt Briefing für die Serviceseite, stellt Bilder zusammen (ggf. mit MA-MD) und hält Rücksprache mit MA-P bzw. MA-V</t>
  </si>
  <si>
    <t>MA-MON, MA-MD, MA-P, MA-V</t>
  </si>
  <si>
    <t>Themen/Inhalte sind final</t>
  </si>
  <si>
    <t>Keywordrecherche (nicht zwingend)</t>
  </si>
  <si>
    <t>MA-MON prüft über Searchmetrics die Höhe des Suchvolumens, ob die Seite SEO-relevant ist</t>
  </si>
  <si>
    <t>Bilder / Banner / Visuals</t>
  </si>
  <si>
    <t>Bilderstellung</t>
  </si>
  <si>
    <t>MA-MD erstellt Bilder/Banner/Visuals nach Vorgaben von MA-MON</t>
  </si>
  <si>
    <t>MA-MON brieft MA-MD was benötigt wird</t>
  </si>
  <si>
    <t>Anlage Serviceseite</t>
  </si>
  <si>
    <t>Text</t>
  </si>
  <si>
    <t>MA-MON lässt den Text für die Serviceseite erstellen, stimmt sich mit MA-P/MA-V ab und pflegt Inhalte ein</t>
  </si>
  <si>
    <t>Text liegt vor</t>
  </si>
  <si>
    <t>Bilder</t>
  </si>
  <si>
    <t>MA-MON pflegt erstellte Bilder/Banner/Visuals von MA-MD ein</t>
  </si>
  <si>
    <t>MA-MD hat Visuals erstellt</t>
  </si>
  <si>
    <t>URL definieren</t>
  </si>
  <si>
    <t>MA-MON erstellt eine passende Domain</t>
  </si>
  <si>
    <t>Seitenübersicht ergänzen</t>
  </si>
  <si>
    <t>MA-MON ergänzt Serviceseite im Onpage Dokument (Seitenübersicht)</t>
  </si>
  <si>
    <t>MA-MON stellt Serviceseite aktiv</t>
  </si>
  <si>
    <t>MA-MON informiert MA-M</t>
  </si>
  <si>
    <t>Sitemap / Indexierung</t>
  </si>
  <si>
    <t>Newsbeitrag</t>
  </si>
  <si>
    <t>MA-MON erstellt und veröffentlicht Newsbeitrag, wenn sinnvoll</t>
  </si>
  <si>
    <t>MA-MP prüft ob Serviceseite relevant ist und erstellt dazu eine eigene Kampagne oder eine Ad-Erweiterung</t>
  </si>
  <si>
    <t>MA-MSM prüft ob Serviceseite relevant ist und erstellt dazu einen Social Media-Post.</t>
  </si>
  <si>
    <t>Info MA-MON zur Seite liegt vor</t>
  </si>
  <si>
    <t>LANDINGPAGES (= ergeben sich aus KW-Recherche, meist SEO optimiert)</t>
  </si>
  <si>
    <t>Idee</t>
  </si>
  <si>
    <t>MA-MON entscheidet anhand Keywordrecherche/Keywordsets über Sinnhaftigkeit der Landigpage</t>
  </si>
  <si>
    <t>MA-MON erstellt Briefing für die Landigpage und sucht dazu passende Service- und Produktseiten</t>
  </si>
  <si>
    <t>Keywordrecherche (zwingend)</t>
  </si>
  <si>
    <t>MA-MON stellt Keywordsets zusammen</t>
  </si>
  <si>
    <t>Texterstellung Landingpage</t>
  </si>
  <si>
    <t>Anlage Landingpage</t>
  </si>
  <si>
    <t>MA-MON lässt den Text für die Landingpage erstellen und pflegt Inhalte ein</t>
  </si>
  <si>
    <t>MA-MON ergänzt Landingpage im Onpage Dokument (Seitenübersicht)</t>
  </si>
  <si>
    <t>MA-MON stellt Landingpage aktiv</t>
  </si>
  <si>
    <t>MA-MP prüft ob Landingpage relevant ist und erstellt dazu eine eigene Kampagne oder eine Ad-Erweiterung</t>
  </si>
  <si>
    <t>MA-MP prüft ob Landingpage relevant ist und erstellt dazu einen Social Media-Post.</t>
  </si>
  <si>
    <t>ZFU ZULASSUNG (nachträglich)</t>
  </si>
  <si>
    <t>Ergänzung Hard Facts (Produktseite links)</t>
  </si>
  <si>
    <t>MA-MON übernimmt Zulassungsnummer über UID / Import auf Produktseite und fügt sie bei den Schattenprodukten manuell ein</t>
  </si>
  <si>
    <t>MA-P informiert über Zulassung &amp; ZFU Nr. ist im Backend gepflegt</t>
  </si>
  <si>
    <t>Ergänzung Features (Produktseite rechts)</t>
  </si>
  <si>
    <t>MA-MON ersetzt auf der Produktseite das Feature "anerkannter Abschluss" durch das Feature "staatlich geprüfter und anerkannter Abschluss"</t>
  </si>
  <si>
    <t>Reiter "Staatliche Zulassung"</t>
  </si>
  <si>
    <t>MA-MON fügt Reiter "Staatliche Zulassung" auf Produktseite ein und verlinkt die Zulassungsnummer mit dem Eintrag bei der ZFU</t>
  </si>
  <si>
    <t>Reiter "Abschluss"</t>
  </si>
  <si>
    <r>
      <rPr>
        <sz val="11"/>
        <color rgb="FF000000"/>
        <rFont val="Arial"/>
      </rPr>
      <t>MA-MON ersetzt auf der Produktseite den Reiter "anerkannter Abschluss" durch den Reiter "staatlich geprüfter und anerkannter Abschluss"</t>
    </r>
    <r>
      <rPr>
        <sz val="11"/>
        <color rgb="FFFF0000"/>
        <rFont val="Arial"/>
      </rPr>
      <t xml:space="preserve"> oder Übertrag aus Backend via UID?</t>
    </r>
  </si>
  <si>
    <t>MA-MON führt alle Schritte der Änderungen auf der Hauptproduktseite auf Schattenprodukt-Seiten aus</t>
  </si>
  <si>
    <t>MA-MOF hinterlegt ZFU Nummer in allen Portalen, die hierzu eine Möglichkeit bieten</t>
  </si>
  <si>
    <t>MA-P informiert über ZFU-Zulassung</t>
  </si>
  <si>
    <t>SEARCHMETRICS</t>
  </si>
  <si>
    <t>Auswertung</t>
  </si>
  <si>
    <t>Auswertung (wöchentlich)</t>
  </si>
  <si>
    <r>
      <rPr>
        <sz val="11"/>
        <color rgb="FF000000"/>
        <rFont val="Arial"/>
      </rPr>
      <t>MA-MON prüft wöchentlich die vorgegebenen Metriken über Searchmetrics und hinterlegt sie im Google Sheet (autom. Übertrag</t>
    </r>
    <r>
      <rPr>
        <sz val="11"/>
        <color theme="1"/>
        <rFont val="Calibri"/>
        <family val="2"/>
        <scheme val="minor"/>
      </rPr>
      <t xml:space="preserve"> in Data Studio)</t>
    </r>
  </si>
  <si>
    <t>Weekly Report</t>
  </si>
  <si>
    <t>MA-MON hinterlegt Info „Wie steht es um die Bildungsbereiche?“ in Data Studio. Alle anderen Daten der Auswertung werden automatisiert aus Data Studio ins File Weekly Reports übernommen</t>
  </si>
  <si>
    <t>Pageoptimierung</t>
  </si>
  <si>
    <t>Wöchentlicher Crawl</t>
  </si>
  <si>
    <t>MA-MON führt wöchentlich eine Crawl über Searchmetrics durch und arbeitet die dort beschriebenen Optimierungsempfehlungen ab</t>
  </si>
  <si>
    <t>STELLENANZEIGEN</t>
  </si>
  <si>
    <t>MA-MON stellt Stellenanzeige für MA bzw. EMA auf Website online</t>
  </si>
  <si>
    <t>MA-MON, Teamleiter, MA-P</t>
  </si>
  <si>
    <t>Teamleiter / MA-P hat Infosheet ausgefüllt und MA-MON zur Verfügung gestellt</t>
  </si>
  <si>
    <t>MA-MON informiert MA-P / Teamleiter</t>
  </si>
  <si>
    <t>MA-MON deaktiviert Stellenanzeige für MA bzw. EMA auf Website</t>
  </si>
  <si>
    <t>MA-P / Teamleiter bitten um Entnahme</t>
  </si>
  <si>
    <t>Bildmaterial</t>
  </si>
  <si>
    <t>MA-MD stellt MA-MON Banner &amp; Kontaktbilder für die Stellenanzeige zur Verfügung</t>
  </si>
  <si>
    <t>MA-MON brieft MA-MD</t>
  </si>
  <si>
    <t>Print</t>
  </si>
  <si>
    <t>MA-MD erstellt Stellenanzeige (Druckdatei) für Printmedien</t>
  </si>
  <si>
    <t>MA-MD, MA</t>
  </si>
  <si>
    <t>MA stellt MA-MD Vorgaben (Mediadaten) zur Verfügung (Budget oder Größe)</t>
  </si>
  <si>
    <t>MA-MD kommuniziert mit Medien</t>
  </si>
  <si>
    <t>Wenn gewünscht: MA-MD erstellt Flyer für TN (Beilage Postversand)</t>
  </si>
  <si>
    <t>MA hat Vorgabe definiert</t>
  </si>
  <si>
    <t>Ergänzung</t>
  </si>
  <si>
    <t>MA-MP prüft, wo eine Ergänzung zur Mitarbeitersuche in den Ads relevant ist und übernimmt die Info zu offenen Stellen (generell, keine spezifische Stelle) ggf. in Ad Erweiterungen</t>
  </si>
  <si>
    <t>Stellenanzeige ist online</t>
  </si>
  <si>
    <t>MA-MSM teasert Stelle über Story mit Link-Sticker
od. eigener Feed-Beitrag, der in Story geteilt wird</t>
  </si>
  <si>
    <t>MA-MSM veröffentlicht Stelle mit Link (Linkvorschau)</t>
  </si>
  <si>
    <r>
      <rPr>
        <b/>
        <sz val="11"/>
        <color rgb="FF000000"/>
        <rFont val="Arial"/>
      </rPr>
      <t xml:space="preserve">FEHLERBEHEBUNG </t>
    </r>
    <r>
      <rPr>
        <b/>
        <sz val="11"/>
        <color rgb="FFFF0000"/>
        <rFont val="Arial"/>
      </rPr>
      <t>(nochmal besprechen)</t>
    </r>
  </si>
  <si>
    <t>Website down</t>
  </si>
  <si>
    <t>Lösung über Entwickler einleiten</t>
  </si>
  <si>
    <t>MA-M kontaktiert Entwickler mit der Bitte um Prüfung, ob der Server down ist</t>
  </si>
  <si>
    <t>Ads Prüfen / reaktivieren</t>
  </si>
  <si>
    <t>MA-MP tritt mit Google Ansprechpartner in Kontakt und legt Einspruch bei Google ein</t>
  </si>
  <si>
    <t>Website wieder online</t>
  </si>
  <si>
    <t>Inhaltliche Fehler</t>
  </si>
  <si>
    <t>Schreibfehler</t>
  </si>
  <si>
    <t>MA-MON wird von MA über MT auf Fehler hingewiesen und behebt diesen</t>
  </si>
  <si>
    <t>MA-MON, MA</t>
  </si>
  <si>
    <t>Fehler wurde von MA detailliert in MT erfasst</t>
  </si>
  <si>
    <t>MA-MON hakt MT-Checklistenpunkt ab, MA-MON prüft Schattenprodukte</t>
  </si>
  <si>
    <t>Inhalte (Lehrplan / Inhalt / Preise)</t>
  </si>
  <si>
    <t>MA-MON wird von MA über MT auf Fehler hingewiesen und behebt diesen via Import durch UID</t>
  </si>
  <si>
    <t>Inhalte im Backend korrekt hinterlegt</t>
  </si>
  <si>
    <t>Übertragungsfehler</t>
  </si>
  <si>
    <t>MA-MON pflegt Inhalte manuell</t>
  </si>
  <si>
    <t>Umsatzrückgang</t>
  </si>
  <si>
    <t>Fehlersuche / Prüfung Ursachen</t>
  </si>
  <si>
    <t>MA-MP prüft KPI der letzten 30 Tage (organisch &amp; paid) sowie Performance der Ads und notiert Auffälligkeiten, auch im Vergleich zum Vorjahr</t>
  </si>
  <si>
    <t>MA-MP, MA-MON, MA-MOF, MA-MSM, MA-V</t>
  </si>
  <si>
    <t>MA-V meldet Umsatzrückgang an MA-MP inkl. detaillierter Informationen</t>
  </si>
  <si>
    <t>MA-MP informiert MA-MON, MA-MOF und MA-MSM</t>
  </si>
  <si>
    <t>MA-MON prüft Funktionalität aller Kontaktmöglichkeiten über die Website, vergleicht die KPI mit dem Vormonat sowie dem Vorjahr, prüft das Suchmaschinen-Ranking über Serarchmetrics und notiert Auffälligkeiten</t>
  </si>
  <si>
    <t>MA-MON, MA-MP</t>
  </si>
  <si>
    <t>Infos von MA-MP liegen vor</t>
  </si>
  <si>
    <t>MA-MON meldet Ergebnisse an MA-MP</t>
  </si>
  <si>
    <t>MA-MSM prüft Engagement der Social-Media-Kanäle und notiert Auffälligkeiten (z.B. auch Klickzahlen FB Shop, wenn Produkt vorhanden)</t>
  </si>
  <si>
    <t>MA-MSM meldet Ergebnisse an MA-MP</t>
  </si>
  <si>
    <t>MA-MOF vergleicht die Anzahl der Leads mit dem Vormonat sowie dem Vorjahr, prüft Auffälligkeiten in der Conversion Rate, prüft aktuelle Reputationen und notiert Auffälligkeiten</t>
  </si>
  <si>
    <t>MA-MOF, MA-MP</t>
  </si>
  <si>
    <t>MA-MOF meldet Ergebnisse an MA-MP</t>
  </si>
  <si>
    <t>Zusammenführung Ergebnisse</t>
  </si>
  <si>
    <t>MA-MP führt die Ergebnisse zusammen und bespricht das Ergebnis mit MA-V</t>
  </si>
  <si>
    <t>MA-MP liegen alle Informationen MA-M  vor</t>
  </si>
  <si>
    <t>Prüfung, seitens MA-V ob Veränderungen gemacht wurden</t>
  </si>
  <si>
    <t>Einleitung Maßnahmen</t>
  </si>
  <si>
    <t>Rabattaktion</t>
  </si>
  <si>
    <t>MA-MON prüft in Rücksprache mit Taemleiter und MA-V die anstehende Rabattaktion und verlängert ggf. Zeitraum und erhöht Rabatt</t>
  </si>
  <si>
    <t>MA-MON, Teamleiter, MA-V</t>
  </si>
  <si>
    <t>Formulare / PDF</t>
  </si>
  <si>
    <t>MA-MON prüft Anzahl eingegangener PDF Anfragen inkl. Korrektur intern generierter PDFs für valide Daten</t>
  </si>
  <si>
    <t>Reputationen</t>
  </si>
  <si>
    <t>Bewertungen auf Portalen mit vielen negativen Bewertungen einholen, durch eigene Landingpage für MA-V, ggf. auch durch Gewinnspiel</t>
  </si>
  <si>
    <t>MA-MOF, MA-MON, MA-V</t>
  </si>
  <si>
    <t>MA-MOF prüft in Rücksprache mit Teamleiter Erhöhung CPC/CPL auf Portalen oder gibt Sponsored Posts (Priority Listing/Retargeting/Banner) in Auftrag</t>
  </si>
  <si>
    <t>MA-MOF, Teamleiter</t>
  </si>
  <si>
    <t>MA-MP schaltet verstärkt Ads zu schlecht laufenden Produkten, verstärkt Ads zu Image-Posts und/oder pusht organische Posts positiver Reputationen</t>
  </si>
  <si>
    <t>MA-MSM postet verstärkt Trust-Content wie Kundenstimmen oder Erfolgsstorys</t>
  </si>
  <si>
    <t>Pageoptimierungen</t>
  </si>
  <si>
    <t>Crawl Searchmetrics</t>
  </si>
  <si>
    <t>s. oben</t>
  </si>
  <si>
    <t>Crawl ScreamingFrog</t>
  </si>
  <si>
    <t>MA-MON führt ca. alle 2 Wochen einen Crawl über ScreamingFrog durch und arbeitet die Optimierungsempfehlungen ab</t>
  </si>
  <si>
    <t>Fehler bei URLs / Weiterleitungen</t>
  </si>
  <si>
    <t>MITARBEITERFOTOS</t>
  </si>
  <si>
    <t>MA vor Ort</t>
  </si>
  <si>
    <t>MA-MD informiert MA über Chat zu nächstem Termin (1. Do im Monat fixer Fototermin) inkl. Briefing zu Kleidung und Auftreten</t>
  </si>
  <si>
    <t>MA kontaktiert MA-MD</t>
  </si>
  <si>
    <t>Fotoshooting</t>
  </si>
  <si>
    <t>MA-MD führt Fotoshoot durch und lässt Bild von MA freigeben</t>
  </si>
  <si>
    <t>MA erscheint wie gebrieft</t>
  </si>
  <si>
    <t>Portrait (für Chat, Google &amp; MT)</t>
  </si>
  <si>
    <t>MA-MD stellt MA das bearbeitete Bild zur Einbindung in MeisterTask, Chat und Google zur Verfügung</t>
  </si>
  <si>
    <t>MA hinterlegt Bild eigenständig</t>
  </si>
  <si>
    <t>Signatur</t>
  </si>
  <si>
    <t>MA-MD legt MA-Bild auf File Server jeder Firma ab (s. unten)</t>
  </si>
  <si>
    <t>MA erstellt Signaturen eigenständig</t>
  </si>
  <si>
    <t>Teamseite</t>
  </si>
  <si>
    <t>MA-MD informiert MA-MON über neues Bild des MA</t>
  </si>
  <si>
    <t>MA-MON hinterlegt Bild in Contao</t>
  </si>
  <si>
    <t>Backend</t>
  </si>
  <si>
    <r>
      <rPr>
        <sz val="11"/>
        <color rgb="FF000000"/>
        <rFont val="Arial"/>
      </rPr>
      <t>MA-MD legt Bild ab -</t>
    </r>
    <r>
      <rPr>
        <sz val="11"/>
        <color rgb="FFFF0000"/>
        <rFont val="Arial"/>
      </rPr>
      <t xml:space="preserve"> Weitere Verwendung? Unklar</t>
    </r>
  </si>
  <si>
    <t>MA Remote</t>
  </si>
  <si>
    <t xml:space="preserve">Briefing </t>
  </si>
  <si>
    <t>MA-MD brieft MA via Chat zu Kleidung, Bildausdruck sowie Stil des Bildes und teilt MA mit, welche Dateien vom Fotograf benötigt werden</t>
  </si>
  <si>
    <t>MA kontaktiert MA-MD, MA-MD hat Vorgaben für externen Fotograf erstellt</t>
  </si>
  <si>
    <t>MA reicht Kosten ein (MA-B), MA stellt MA-MD Bilder zur Verfügung</t>
  </si>
  <si>
    <t>s. Prozess MA vor Ort</t>
  </si>
  <si>
    <t>SITEMAP ANLEGEN / INDEXIERUNG</t>
  </si>
  <si>
    <t>Automatisiert</t>
  </si>
  <si>
    <t>Landingpages &amp; Serviceseiten</t>
  </si>
  <si>
    <r>
      <rPr>
        <sz val="11"/>
        <color rgb="FF000000"/>
        <rFont val="Arial"/>
      </rPr>
      <t>Sitemap wird von Contao automatisch erstellt und</t>
    </r>
    <r>
      <rPr>
        <sz val="11"/>
        <color rgb="FFFF0000"/>
        <rFont val="Arial"/>
      </rPr>
      <t xml:space="preserve"> </t>
    </r>
    <r>
      <rPr>
        <sz val="11"/>
        <color theme="1"/>
        <rFont val="Calibri"/>
        <family val="2"/>
        <scheme val="minor"/>
      </rPr>
      <t>an GSC gemeldet</t>
    </r>
  </si>
  <si>
    <t>neue LP / Service Seite online (s. oben)</t>
  </si>
  <si>
    <t>nur wenn GSC Fehler meldet</t>
  </si>
  <si>
    <t>Magazin</t>
  </si>
  <si>
    <t>Sitemap wird von Contao automatisch erstellt</t>
  </si>
  <si>
    <t>FAQ</t>
  </si>
  <si>
    <t xml:space="preserve">neue FAQ Seite online </t>
  </si>
  <si>
    <t>Manuell</t>
  </si>
  <si>
    <t>MA-MON speichert alle Links zu Produkten und Schattenprodukten in einer CSV-Datei, lädt sie auf Domain.de und reicht sie bei GSC ein</t>
  </si>
  <si>
    <t>MA-MON wiederholt das im Intervall 2-3 Monate da unsere Produkte keine statische URL haben</t>
  </si>
  <si>
    <t>Lexikon</t>
  </si>
  <si>
    <t>MA-MON speichert alle Links des Lexikon in einer CSV-Datei, lädt sie auf Domain.de und reicht sie bei GSC ein</t>
  </si>
  <si>
    <t>MA-MON wiederholt das im Intervall 2-3 Monate</t>
  </si>
  <si>
    <t>GLOBALE DESIGNS</t>
  </si>
  <si>
    <t>Icons</t>
  </si>
  <si>
    <t>Icon Erstellung</t>
  </si>
  <si>
    <t>MA-MD erstellt Icon / sucht Icon passend zum Briefing von MA-MON</t>
  </si>
  <si>
    <t>Icon-Übersicht in CD</t>
  </si>
  <si>
    <t>MA-MON pflegt Website</t>
  </si>
  <si>
    <t>MA-MD erstellt Bild nach Vorgabe</t>
  </si>
  <si>
    <t>Zertifikate</t>
  </si>
  <si>
    <t>Stimmungsbilder</t>
  </si>
  <si>
    <t>MA-MD erstellt/sucht  Bild nach Vorgabe</t>
  </si>
  <si>
    <t>CD</t>
  </si>
  <si>
    <t>Produktbilder</t>
  </si>
  <si>
    <t>s. Produkt in Entwicklung</t>
  </si>
  <si>
    <t>Banner</t>
  </si>
  <si>
    <t>Startseite</t>
  </si>
  <si>
    <t>s. Bildungsportale</t>
  </si>
  <si>
    <t>MA-MSM erstellt Banner selbst oder MA-MD erstellt Bild nach Vorgabe (bei Bedarf)</t>
  </si>
  <si>
    <t>CORPORATE DESIGN</t>
  </si>
  <si>
    <t>MA-MD definiert in Absprache mit Teamleiter Designs, Schriften und Farben und hinterlegt die zugehörigen Vorlagen</t>
  </si>
  <si>
    <t>MA-MD, Teamleiter</t>
  </si>
  <si>
    <t>MA-MD informiert über AllgemeinChat</t>
  </si>
  <si>
    <t>MA-MD aktualisiert und ergänzt CD laufend (lebendes Dokument)</t>
  </si>
  <si>
    <t>Präsentationsvorlagen</t>
  </si>
  <si>
    <t>MA-MD erstellt die Präsentationsvorlage anhand des CD</t>
  </si>
  <si>
    <t>MA-MD hält die Präsentationsvorlage aktuell</t>
  </si>
  <si>
    <t>E-MAIL SIGNATUR</t>
  </si>
  <si>
    <t>Signatur Builder</t>
  </si>
  <si>
    <t>File Server</t>
  </si>
  <si>
    <t>MA-MD legt MA-Bild auf File Server jedes Unternehmens ab</t>
  </si>
  <si>
    <t>MA-Bild liegt vor (s. Mitarbeiterfotos)</t>
  </si>
  <si>
    <t>MA-MD informiert MA</t>
  </si>
  <si>
    <t>Fehlerbehebung</t>
  </si>
  <si>
    <t>Entwickler</t>
  </si>
  <si>
    <t>MA-MD kontaktiert Entwickler zur Fehlerbehebung</t>
  </si>
  <si>
    <t>MA-MD informiert über AllgemeinChat wenn gelöst</t>
  </si>
  <si>
    <t>VIDEOS</t>
  </si>
  <si>
    <t>TN-Videos</t>
  </si>
  <si>
    <t>Konzeption</t>
  </si>
  <si>
    <t>MA-MD verfasst in Absprache mit MA-M und TN ein Drehbuch inkl. aller Inhalte und Botschaft des Videos</t>
  </si>
  <si>
    <t>MA-MD, MA-M, TN</t>
  </si>
  <si>
    <t>Kontakt über MA-MSM hergestellt, Rücksprache MA-M</t>
  </si>
  <si>
    <t>Terminvereinbarung Dreh</t>
  </si>
  <si>
    <t>Dreh</t>
  </si>
  <si>
    <t>MA-MD dreht Video mit TN</t>
  </si>
  <si>
    <t>MA-MD, TN</t>
  </si>
  <si>
    <t>Post Production</t>
  </si>
  <si>
    <t xml:space="preserve">MA-MD bearbeitet das Videomaterial (Schnitt, Color Grading, Ton, Musik) und stellt es in verschiedenen Formaten zur Verfügung </t>
  </si>
  <si>
    <t>MA-MD, MA-M</t>
  </si>
  <si>
    <t>MA-MD informiert MA-M, MA-M veröffentlichen auf allen Kanälen</t>
  </si>
  <si>
    <t>Startseite / Stage (Titelbanner EHiP)</t>
  </si>
  <si>
    <t xml:space="preserve">MA-MD sucht oder dreht Videomaterial und passt Größenformate für verschiedenen Endgeräte an </t>
  </si>
  <si>
    <t xml:space="preserve">MA-MD informiert MA-MON </t>
  </si>
  <si>
    <t>Lehrmaterial-Videos</t>
  </si>
  <si>
    <t>MA-MD wird von MA-P gebrieft (Inhalte, Location, Termine, Dauer,..)</t>
  </si>
  <si>
    <t>MA-MD, MA-P</t>
  </si>
  <si>
    <t>MA-P hat Inhalte des Lehrvideos festgelegt</t>
  </si>
  <si>
    <t>Terminvereinbarung über MA-P</t>
  </si>
  <si>
    <t>MA-MD dreht Video mit Model</t>
  </si>
  <si>
    <t>MA-MD bearbeitet das Videomaterial (Schnitt, Color Grading, Ton) und stellt es in verschiedenen Formaten zur Verfügung</t>
  </si>
  <si>
    <t>MA-MD stellt Material MA-P zur Verfügung</t>
  </si>
  <si>
    <t>WBT Intro</t>
  </si>
  <si>
    <t>MA-P hat Inhalte des Intro festgelegt</t>
  </si>
  <si>
    <t xml:space="preserve">MA-MD bearbeitet das Videomaterial (Schnitt, Color Grading, Ton) </t>
  </si>
  <si>
    <t>MA-MD, MA-MP</t>
  </si>
  <si>
    <t>Sales Videos</t>
  </si>
  <si>
    <t>MA-MD wird von MA-V gebrieft (Inhalte, Location, Termine, Dauer,..)</t>
  </si>
  <si>
    <t>MA-V hat Inhalte des Videos festgelegt</t>
  </si>
  <si>
    <t>MA-MD stellt Material MA-M zur Verfügung</t>
  </si>
  <si>
    <t>Image</t>
  </si>
  <si>
    <t>MA-MD wird von MA-M oder GL gebrieft (Inhalte, Location, Termine, Dauer,..)</t>
  </si>
  <si>
    <t>MA-MD, MA-M, GL</t>
  </si>
  <si>
    <t>MA-M / GL / Teamleiter brieft zu Inhalten</t>
  </si>
  <si>
    <t xml:space="preserve">MA-MD dreht Video </t>
  </si>
  <si>
    <t>Korrekturen</t>
  </si>
  <si>
    <t>MA stellt MA-MD ein Video zur Verfügung, welches bearbeitet werden soll</t>
  </si>
  <si>
    <t>MA-MD sendet Video an MA</t>
  </si>
  <si>
    <t>Produktvideos (in Planung)</t>
  </si>
  <si>
    <t>MA-MP erstellt mit MA-MD Videocontent via Canva für die Top 10 Produkte</t>
  </si>
  <si>
    <t>MA-MP informiert MA-M und MA-V?</t>
  </si>
  <si>
    <t>Social Media (s. auch unten)</t>
  </si>
  <si>
    <t>Contenterstellung</t>
  </si>
  <si>
    <t>MA-MSM / MA-MD arbeiten bei größeren Projekten zusammen</t>
  </si>
  <si>
    <t>MA-MSM, MA-MD</t>
  </si>
  <si>
    <t>GESCHÄFTSAUSSTATTUNG</t>
  </si>
  <si>
    <t>Briefpapier</t>
  </si>
  <si>
    <t>Aktualisierung / Bestellung</t>
  </si>
  <si>
    <t>MA-MD prüft aktuelle Vorlage, veranlasst daraufhin unveränderten Nachdruck oder nimmt ggf. Anpassungen vor (Design, Datenänderung wie gebrieft, ...)</t>
  </si>
  <si>
    <t>MA brieft MA-MD / informiert MA-MD</t>
  </si>
  <si>
    <t>MA-MD informiert MA &amp; führt Bestellung durch</t>
  </si>
  <si>
    <t>Briefumschläge</t>
  </si>
  <si>
    <t>Ordnerrücken (für Buchhaltung)</t>
  </si>
  <si>
    <t>Mappe C4</t>
  </si>
  <si>
    <t>Blöcke A5</t>
  </si>
  <si>
    <t>Visitenkarten</t>
  </si>
  <si>
    <t>MA-MD prüft aktuelle Vorlage und nimmt ggf. Anpassungen vor (Design, Datenänderung wie gebrieft, ...) und stellt die Vorlage als PDF zur Verfügung</t>
  </si>
  <si>
    <t>MA brieft MA-MD über Änderungen</t>
  </si>
  <si>
    <t>MA-MD informiert MA &amp; stellt PDF zur Verfügung</t>
  </si>
  <si>
    <r>
      <rPr>
        <b/>
        <sz val="11"/>
        <color rgb="FF000000"/>
        <rFont val="Arial"/>
      </rPr>
      <t xml:space="preserve">Anfahrtsbeschreibung </t>
    </r>
    <r>
      <rPr>
        <b/>
        <sz val="11"/>
        <color rgb="FFFF0000"/>
        <rFont val="Arial"/>
      </rPr>
      <t>(noch benötigt?)</t>
    </r>
  </si>
  <si>
    <t>WERBEMITTEL (Print)</t>
  </si>
  <si>
    <t>Notizbücher</t>
  </si>
  <si>
    <t>(Aktions-)Flyer</t>
  </si>
  <si>
    <t>Briefpapier für Werbeaktionen passend zu Flyer</t>
  </si>
  <si>
    <t>MA-MD erstellt Aktionsbriefpapier gem. Briefing MA-V</t>
  </si>
  <si>
    <t>MA-V brieft MA-MD über Inhalte und Aktionsdetails</t>
  </si>
  <si>
    <t>MA-MD informiert MA-V und führt Bestellung durch</t>
  </si>
  <si>
    <t>Aktionsflyer</t>
  </si>
  <si>
    <t xml:space="preserve">MA-MD erstellt Aktionsflyer gem. Briefing MA-V 
</t>
  </si>
  <si>
    <t>Bsp Aktion Freunde werben Freunde</t>
  </si>
  <si>
    <t>Krämer Fitness (B2B Broschüre)</t>
  </si>
  <si>
    <t>Recruiting-Broschüre</t>
  </si>
  <si>
    <t>MA-MD erstellt Broschüre gem. Briefing MA-V</t>
  </si>
  <si>
    <t>MA-V brieft MA-MD über Inhalte</t>
  </si>
  <si>
    <t>Produktbroschüre Sport- und Fitnesskaufmann</t>
  </si>
  <si>
    <t>Kugelschreiber</t>
  </si>
  <si>
    <t>MA informiert MA-MD, Teamleiter holt Angebot ein</t>
  </si>
  <si>
    <t>MA-MD veranlasst Bestellung</t>
  </si>
  <si>
    <t>Tischnamensschilder</t>
  </si>
  <si>
    <t>MA-P brieft MA-MD</t>
  </si>
  <si>
    <t>Wer nutzt sie? Wie kommen die zum Dozent?</t>
  </si>
  <si>
    <t xml:space="preserve">AZAV Katalog </t>
  </si>
  <si>
    <t>Bildungsberater</t>
  </si>
  <si>
    <t>s. AZAV oben</t>
  </si>
  <si>
    <t>Checklisten</t>
  </si>
  <si>
    <t>MA-MD stellt MA-V PDF zur Verfügung, veranlasst ggf. Druck</t>
  </si>
  <si>
    <t>B2C</t>
  </si>
  <si>
    <t>Bildungsprogramm</t>
  </si>
  <si>
    <t>MA-MD stellt das Dok MA-V nur digital zur Verfügung gestellt - s. ausführliche Studieninformationen</t>
  </si>
  <si>
    <t>Genutzt als Ausführliche Studieninformationen?</t>
  </si>
  <si>
    <t>DISPLAY ADS</t>
  </si>
  <si>
    <t>MA-MP prüft Möglichkeiten und platziert ggf. Displsy-Ads via Google und Microsoft</t>
  </si>
  <si>
    <t>KPI verschlechtern sich (Impressionen / Conversions)</t>
  </si>
  <si>
    <t>MA-MP prüft Ads nach 3-4 Wochen und nimmt ggf. Anpassungen vor</t>
  </si>
  <si>
    <t>INFLUENCERMARKETING</t>
  </si>
  <si>
    <t>Konzept</t>
  </si>
  <si>
    <t>Entwurf liegt vor, wird aktuell nicht umgesetzt - Prozess zu definieren</t>
  </si>
  <si>
    <t>SOCIAL MEDIA CONTENTPLANUNG</t>
  </si>
  <si>
    <t>Redaktionsplanung (u.a. Lomavis)</t>
  </si>
  <si>
    <t>Vorabplanung (Excel)</t>
  </si>
  <si>
    <t xml:space="preserve">MA-MSM plant Content Pieces (Umfragen, Storys, Pointings, Posts, etc.) inkl. Planung Personal (MA, oder Speaker) </t>
  </si>
  <si>
    <t>Contentvorbereitung</t>
  </si>
  <si>
    <t>Anlage Content in Lomavis</t>
  </si>
  <si>
    <t>MA-MSM plant fertigen Content inkl. Veröffentlichungszeitpunkt in Lomavis ein</t>
  </si>
  <si>
    <t xml:space="preserve">Just-in-Time-Content </t>
  </si>
  <si>
    <t>MA-MSM erstellt Storys oder Reels direkt im Portal, da sie direkt veröffentlicht werden  (können nicht über nicht Lomavis geplant werden können)</t>
  </si>
  <si>
    <t>Reposting</t>
  </si>
  <si>
    <t>MA-MSM repostet Storys / Beiträge (s. auch Communitymanagement)</t>
  </si>
  <si>
    <t>Teamvorstellung / MA- Vorstellung</t>
  </si>
  <si>
    <t>Kontakt und Briefing</t>
  </si>
  <si>
    <t>MA-MSM geht auf MA zu, sendet Vorstellungsbogen und vereinbart Foto- oder Videotermin</t>
  </si>
  <si>
    <t>MA-MSM, MA</t>
  </si>
  <si>
    <t>MA hat sich im Chat vorgestellt</t>
  </si>
  <si>
    <t>MA füllt Vorstellungsbogen aus</t>
  </si>
  <si>
    <t>Ggf. in Onboardingprozess integrieren</t>
  </si>
  <si>
    <t>Foto / Video</t>
  </si>
  <si>
    <t>MA-MSM fotografiert MA oder dreht Vorstellungsvideo</t>
  </si>
  <si>
    <t>MA-MSM und MA stimmen Fragen ab, MA ist gebrieft zu Inhalten und Kleidung</t>
  </si>
  <si>
    <t>Postproduction</t>
  </si>
  <si>
    <t>MA-MSM bearbeitet Foto/Video ggf. mit Hilfe MA-MD wenn benötigt</t>
  </si>
  <si>
    <t>Einbindung in Redaktionplan</t>
  </si>
  <si>
    <t>Contentplanung</t>
  </si>
  <si>
    <t>MA-MSM plant Vorstellung in Redaktionsplan ein</t>
  </si>
  <si>
    <t>Erfolgsstory TN</t>
  </si>
  <si>
    <t>MA-MSM geht auf TN zu, sendet Fragebogen und breift TN zu benötigtem Foto</t>
  </si>
  <si>
    <t>MA-MSM, TN</t>
  </si>
  <si>
    <t>TN sendet Bild &amp; Fragebogen</t>
  </si>
  <si>
    <t>TN zu Bilddetails gebrieft</t>
  </si>
  <si>
    <t>Bild und Fragebogen liegen vor</t>
  </si>
  <si>
    <t>Speaker</t>
  </si>
  <si>
    <t>Stellenausschreibung</t>
  </si>
  <si>
    <t>MA-MSM gibt Infos an MA-MON (s. Prozess Stellenausschrebung oben)</t>
  </si>
  <si>
    <t>Bewerbungsphase</t>
  </si>
  <si>
    <t>MA-MSM prüft Bewerbungen und beauftragt Bewerber zur Contenterstellung von drei Videos (eigene Vorstellung, Content Piece Sound, Content Piece Text), Durchsicht mit TL &amp; GL</t>
  </si>
  <si>
    <t>MA-MSM, Teamleiter, GL</t>
  </si>
  <si>
    <t>Durchsicht Content mit Teamleiter und GL für Zu- oder Absage</t>
  </si>
  <si>
    <t>Vertrag</t>
  </si>
  <si>
    <t>MA-MSM sendet Vertrag zur Zusammenarbeit auf Minijob Basis bzw. freier MItarbeiter (bevorzugt)</t>
  </si>
  <si>
    <t>Zusage Speaker</t>
  </si>
  <si>
    <t xml:space="preserve">Beginn Zusammenarbeit </t>
  </si>
  <si>
    <t>Briefing</t>
  </si>
  <si>
    <t>MA- MSM sendet Infosheet mit allgemeinem Briefing an Speaker</t>
  </si>
  <si>
    <t>MA-MSM beauftragt Speaker zu Content Pieces (s. Redaktionsplanung) und prüft Ergebnis</t>
  </si>
  <si>
    <t>Speaker ist gebrieft und verfügbar</t>
  </si>
  <si>
    <t>MA-MSM plant fertigen Content in Redaktionsplan ein</t>
  </si>
  <si>
    <t>MA-MSM sendet Rechnung an MA-B</t>
  </si>
  <si>
    <t>Videos</t>
  </si>
  <si>
    <t>MA-MSM erstellt in Zusammenarbeit mit MA intern oder extern (Speaker) Videocontent inkl. Briefing, Durchführung/Dreh, Postproduktion, Redaktionsplanung</t>
  </si>
  <si>
    <t>MA-MSM hat Inhalte festgelegt, MA-MSM brieft MA</t>
  </si>
  <si>
    <t>MS-MSM führt Postproduction durch, plant in Redaktionsplan ein</t>
  </si>
  <si>
    <t>Pointings</t>
  </si>
  <si>
    <t>Themenspezifische Videos mit Sounds</t>
  </si>
  <si>
    <t>Workouts</t>
  </si>
  <si>
    <t>Live Talks</t>
  </si>
  <si>
    <t>Studienbetreuung / Vertrieb</t>
  </si>
  <si>
    <t>MA-MSM vereinbart mit MA-V/MA-SB2C einen Termin, erstellt ein Skript, bespricht Skript mit MA-V/MA-B2C und führt vor dem Live-Talk einen Testlauf durch</t>
  </si>
  <si>
    <t>MA-MSM, MA-V, MA-B2C</t>
  </si>
  <si>
    <t>MA-MSM hat Skript erstellt und Testlauf durchgeführt</t>
  </si>
  <si>
    <t>Live-Talk als Video spreichern und in Redaktionsplan ein planen</t>
  </si>
  <si>
    <t>EMA</t>
  </si>
  <si>
    <t>MA-MSM vereinbart mit EMA einen Termin, erstellt ein Skript, bespricht Skript mit EMA und führt vor dem Live-Talk einen Testlauf durch</t>
  </si>
  <si>
    <t>Info-Videos</t>
  </si>
  <si>
    <t>MA-MSM erstellt in Zusammenarbeit mit MA intern oder extern (Speaker) Videocontent inkl. Briefing, Durchführung/Dreh, Postproduktion, Redaktionsplanung oder erstellt Video via Canva selbst (ohne MA)</t>
  </si>
  <si>
    <t>Challenges</t>
  </si>
  <si>
    <t>SOCIAL MEDIA GUIDELINES</t>
  </si>
  <si>
    <t>ähnlich CD-Prozess</t>
  </si>
  <si>
    <t>MA-MSM definiert in Absprache mit Teamleiter Dos &amp;Donts, Branded Hashtags sowie Infos zu Tonalität und Stil und hinterlegt zugehörige Beispiele in den Guidelines</t>
  </si>
  <si>
    <t>MA-MSM, Teamleiter</t>
  </si>
  <si>
    <t>MA-MSM aktualisiert und ergänzt die Guideline bei Bedarf (lebendes Dokument)</t>
  </si>
  <si>
    <t>SOCIAL MEDIA STATEGIE</t>
  </si>
  <si>
    <t>Content Polygon</t>
  </si>
  <si>
    <t>In Erstellung, - Prozess n.n. definiert</t>
  </si>
  <si>
    <t>wird nicht nur Social Media betreffen sondern alle MA</t>
  </si>
  <si>
    <t>COMMUNITYMANAGEMENT</t>
  </si>
  <si>
    <t xml:space="preserve">Proaktives </t>
  </si>
  <si>
    <t>Aktive Suche</t>
  </si>
  <si>
    <t>MA-MSM sucht nach neuen Profilen/potenziellen neuen Followern bei aktuellen Community-Mitgliedern um mit diesen interagieren (3 likes, 1 comment um Aufmerksamkeit zu erregen)</t>
  </si>
  <si>
    <t>Passives</t>
  </si>
  <si>
    <t>Posts der Community</t>
  </si>
  <si>
    <t>MA-MSM geht täglich die Feeds der Kanäle durch liked und kommentiert andere Posts</t>
  </si>
  <si>
    <t>Reaktives</t>
  </si>
  <si>
    <t>Reaktionen auf Interaktionen</t>
  </si>
  <si>
    <t>MA-MSM reagiert auf jegliche Interaktion unserer Community auf unseren Beiträgen (Kommentare) oder Seiten (Bewertungen, Stiches, Tags) und teilt Storys in denen wir markiert wurden</t>
  </si>
  <si>
    <t>TN hat mit Beiträgen interagiert</t>
  </si>
  <si>
    <t>Employee Advocacy</t>
  </si>
  <si>
    <t>Eigene Posts von (externen) Mitarbeitern</t>
  </si>
  <si>
    <t>MA-MSM motiviert, berät (externe) MA zu eigenen Posts über Beispiele und Richtlinien aus den Guidelines</t>
  </si>
  <si>
    <t>#0</t>
  </si>
  <si>
    <t>PRODUKT-ENTWICKLUNG</t>
  </si>
  <si>
    <t>Beobachtung der Bildungsbranche</t>
  </si>
  <si>
    <t>daily business: Beobachtung der Bildungsbranche und Bedarfsermittlung neuer Bildungsangebote - Voraussetzung zum Start der Initiierungsphase</t>
  </si>
  <si>
    <t>MA-P</t>
  </si>
  <si>
    <t>Bedarfsermittlung neuer Bildungsangebote</t>
  </si>
  <si>
    <t>permanentes Monitoring</t>
  </si>
  <si>
    <t>PRODUKT-INITIIERUNGSPHASE</t>
  </si>
  <si>
    <t>Produktidee</t>
  </si>
  <si>
    <t>Themenvorschlag/ Idee erfassen</t>
  </si>
  <si>
    <t>Der Themenvorschlag bzw. die Idee zu einem Produkt wird vom MA-P erfasst</t>
  </si>
  <si>
    <t>Entscheidungsgrundlage zur Produkt-Initiierung</t>
  </si>
  <si>
    <t>dokumentierte Beobachtung der Bildungsbranche</t>
  </si>
  <si>
    <t>Produkttask anlegen</t>
  </si>
  <si>
    <t>MA-P legt einen Produkttask an / TL wird als Beobachter eingesetzt</t>
  </si>
  <si>
    <t>MA-P, TL</t>
  </si>
  <si>
    <t>umfassende Darstellung recherchierter Informationen</t>
  </si>
  <si>
    <t>Ermittlung fundierter Gründe, die für eine Produkt-Initiierung sprechen</t>
  </si>
  <si>
    <t>Entscheidung für Produkt-Initiierung</t>
  </si>
  <si>
    <t>Produktidee wird vorgeschlagen (MeisterTask, Jahresplanung) und mit der bisherigen Marktrecherche bewertet, ob und wann die Idee weiter verfolgt wird.</t>
  </si>
  <si>
    <t>Entscheidung für oder gegen die Produkt-Initiierung</t>
  </si>
  <si>
    <t>umfassende Darstellung aller recherchierten Informationen</t>
  </si>
  <si>
    <t>Absage Produktidee</t>
  </si>
  <si>
    <t>Entscheidung gegen Produkt-Initiierung</t>
  </si>
  <si>
    <t>Produktidee wird abgelehnt, MA-P archiviert den Vorgang</t>
  </si>
  <si>
    <t>vollständige Dokumentation</t>
  </si>
  <si>
    <t>Diskussion für und wider Produktidee</t>
  </si>
  <si>
    <t>Zusage Produktidee</t>
  </si>
  <si>
    <t>Produktidee wird angenommen, MA-P erstellt Synology-Ordnerstruktur</t>
  </si>
  <si>
    <t>Machbarkeitsanalyse</t>
  </si>
  <si>
    <t>Marktrecherche im Produktplan ausfüllen (lassen</t>
  </si>
  <si>
    <t>MA-P beauftragt zuständige MA damit, Marktrecherche durchzuführen und sichtet bzw. ergänzt im Anschluss die Ergebnisse</t>
  </si>
  <si>
    <t>MA-P, MA-M, MA-V, MA-AZAV</t>
  </si>
  <si>
    <t>Dokumentation der Rechercheergebnisse</t>
  </si>
  <si>
    <t xml:space="preserve">angelegter Produktplan </t>
  </si>
  <si>
    <t>Produktrealisation</t>
  </si>
  <si>
    <t>PRODUKT-PLANUNGSPHASE</t>
  </si>
  <si>
    <t>Expertensuche / "Begutachtung" Konzeption vom Fachexperten</t>
  </si>
  <si>
    <t>Projektspezifizierung</t>
  </si>
  <si>
    <t>Kann Bestandsmaterial Inhalt abdecken?</t>
  </si>
  <si>
    <t>MA-P sucht nach Bestandsmaterialien und möchte diese nach Themen/Schlagworten filtern. (Können Inhalte mit bereits bestehenden Lehrmaterialien abgedeckt werden?)
EcoDMS Absprache mit Fachexperten (intern oder extern).</t>
  </si>
  <si>
    <t>Sammlung für Abgleich zu berücksichtigender Lehrmedien und Zusatzmaterialien</t>
  </si>
  <si>
    <t>Erfassung aller Lehrmaterialien in ecoDMS</t>
  </si>
  <si>
    <t>Überschneidungen zu Bestandsprodukten</t>
  </si>
  <si>
    <t xml:space="preserve">MA-P hat ermittelt, ob es in Bestandsprodukten bereits Materialien mit gleichem / ähnlichem Inhalt gibt. Es folgt eine Bewertung, in welchem Umfang das Bestandsmaterial ins neue Produkt mit einfließen kann. </t>
  </si>
  <si>
    <t>identifizierte Lehrmedien und Zusatzmaterialien</t>
  </si>
  <si>
    <t>Vorarbeit zur Produktvorstellung 1</t>
  </si>
  <si>
    <t>Produktvorstellung 1 zur Vorlage beim Teamleiter</t>
  </si>
  <si>
    <t>MA-P, MA-TL</t>
  </si>
  <si>
    <t>Grünes Licht für Produktvorstellung 1</t>
  </si>
  <si>
    <t>Überarbeitung</t>
  </si>
  <si>
    <t>Produktvorstellung 1 zur Wiedervorlage beim Teamleiter</t>
  </si>
  <si>
    <t>Produktvorstellung 1</t>
  </si>
  <si>
    <t>MA-P, MA-V, MA-S, MA-M</t>
  </si>
  <si>
    <t>Klärung offener Fragen</t>
  </si>
  <si>
    <t>Stakeholder review</t>
  </si>
  <si>
    <t>Grünes Licht für Produktveröffentlichung</t>
  </si>
  <si>
    <t>Produktveröffentlichung</t>
  </si>
  <si>
    <t>PRODUKT-PROJEKTPHASE (Lehrmediumerstellung)</t>
  </si>
  <si>
    <t>Projektvergabe</t>
  </si>
  <si>
    <t>Lehrmedien</t>
  </si>
  <si>
    <t xml:space="preserve">Produktmanager legt benötigte Komponenten im System an </t>
  </si>
  <si>
    <t>MA-PR</t>
  </si>
  <si>
    <t>korrekt hinterlegte Datensätze</t>
  </si>
  <si>
    <t>Lehrmedienart (LS, WBT, Podcast, ...) ist definiert</t>
  </si>
  <si>
    <t>LOS-Termine anlegen</t>
  </si>
  <si>
    <t>LOS sind definiert</t>
  </si>
  <si>
    <t>Zusatzmaterialien</t>
  </si>
  <si>
    <t>Arten der Zusatzmaterialien sind definiert</t>
  </si>
  <si>
    <t>Ablaufplan erstellen</t>
  </si>
  <si>
    <t>Produktmanager errichtet Produktskelett inkl. Zeitumfang</t>
  </si>
  <si>
    <t>Produktskelett inkl. Zeitumfang</t>
  </si>
  <si>
    <t>Ablauf im Produktplan fertig gestellt</t>
  </si>
  <si>
    <t>Verknüpfungen einfügen</t>
  </si>
  <si>
    <t>Produktmanager verknüpft einzelne Komponenten mit benötigten Datensätzen (Downloads von oder Links zu Lehrmedien, Zusatzmaterialien)</t>
  </si>
  <si>
    <t>Produktskelett mit Verknüpfungen bzw. mit Platzhaltern, wo LM ausstehend</t>
  </si>
  <si>
    <t>Verlinkungen zu LM im Produktplan vorhanden</t>
  </si>
  <si>
    <t>Lehrmedien anteilig erstellt</t>
  </si>
  <si>
    <t>PRODUKT-ZERTIFIZIERUNGSPHASE</t>
  </si>
  <si>
    <t>Lehrmedien aufbereitet</t>
  </si>
  <si>
    <t>Zulassungsantrag vorbereiten</t>
  </si>
  <si>
    <t xml:space="preserve">Projektmanager legt Antragsordner an, füllt Unterlagen aus </t>
  </si>
  <si>
    <t>VK ermitteln</t>
  </si>
  <si>
    <t>Rücksprache Projektmanager mit Vertrieb: letzten VK festlegen</t>
  </si>
  <si>
    <t>MA-P, MA-V</t>
  </si>
  <si>
    <t>Zulassungsantrag Vorlage Teamleiter</t>
  </si>
  <si>
    <t>Projektmanager legt Antragsunterlagen dem Teamleiter zur Freigabe vor</t>
  </si>
  <si>
    <t>in den Antragsunterlagen ermittelte Anpassungen werden vorgenommen</t>
  </si>
  <si>
    <t>Projektmanager legt  überarbeitete Antragsunterlagen dem Teamleiter zur Freigabe vor</t>
  </si>
  <si>
    <t>Einreichung</t>
  </si>
  <si>
    <t>Projektmanager reicht Antragsunterlagen ein</t>
  </si>
  <si>
    <t>Datenbereinigung</t>
  </si>
  <si>
    <t>Projektmanager räumt Antragsordner auf</t>
  </si>
  <si>
    <t>Eingangsbestätigung</t>
  </si>
  <si>
    <t>Projektmanager erhält Eingangsbestätigung zu eingereichtem Antrag</t>
  </si>
  <si>
    <t>Eingang (vorläufiger) Zulassungsbescheid</t>
  </si>
  <si>
    <t>PRODUKT-MARKTEINFÜHRUNGSPHASE</t>
  </si>
  <si>
    <t>Produktvorstellung 2</t>
  </si>
  <si>
    <t>Produktleseprobe</t>
  </si>
  <si>
    <t>E-Mail-Marketing</t>
  </si>
  <si>
    <t>Prelaunch</t>
  </si>
  <si>
    <t>Launch</t>
  </si>
  <si>
    <t>Produktlaunch</t>
  </si>
  <si>
    <t>PRODUKT-EVALUATION</t>
  </si>
  <si>
    <t>Sichtung Bestands-LM</t>
  </si>
  <si>
    <t>EVA-Bögen</t>
  </si>
  <si>
    <t>QM</t>
  </si>
  <si>
    <t>Datensammlung</t>
  </si>
  <si>
    <t>Abfrage</t>
  </si>
  <si>
    <t>MA-SB</t>
  </si>
  <si>
    <t>ermittelter Handlungsbedarf</t>
  </si>
  <si>
    <t>Input</t>
  </si>
  <si>
    <t>Output</t>
  </si>
  <si>
    <r>
      <t xml:space="preserve">Beschreibung </t>
    </r>
    <r>
      <rPr>
        <b/>
        <strike/>
        <sz val="11"/>
        <color rgb="FF000000"/>
        <rFont val="Arial"/>
      </rPr>
      <t>(inkl. Rolle(n))</t>
    </r>
  </si>
  <si>
    <t>Themenvorschlag/ Idee für Produkt</t>
  </si>
  <si>
    <t xml:space="preserve">Der Themenvorschlag bzw. die Idee zu einem Produkt wird vom MA-P erfasst. </t>
  </si>
  <si>
    <t>Josh</t>
  </si>
  <si>
    <t>"Mutter-Meister-Task" anlegen</t>
  </si>
  <si>
    <t>MA-P legt einen Mutter-MeisterTask an.</t>
  </si>
  <si>
    <t>zukünftig statt MT Projekt-Tool ELA verwenden</t>
  </si>
  <si>
    <t>Die Produktidee wird vorgeschlagen (MeisterTask, Jahresplanung) und mit der bisherigen Marktrecherche bewertet, ob und wann die Idee weiter verfolgt wird.</t>
  </si>
  <si>
    <t>MA-P; TL</t>
  </si>
  <si>
    <t>PRODUKTENTWICKLUNG</t>
  </si>
  <si>
    <t>INITIIERUNGSPHASE</t>
  </si>
  <si>
    <t>Produktentwicklung ist ein systematischer Prozess, der darauf abzielt, neue Bildungsprodukte wie Lehrgänge zu entwickeln. Der Prozess besteht aus mehreren Schritten.</t>
  </si>
  <si>
    <t xml:space="preserve">I. Oval Input / Start </t>
  </si>
  <si>
    <t>Grobrecherche (treffenderer Begriff: Machbarkeitsanalyse)</t>
  </si>
  <si>
    <t>"Mutter-Meister-Task" Meister-Task-Projekt Initiierungsphase verschieben</t>
  </si>
  <si>
    <t>Entscheidung FÜR das Projekt I Hinweis: Entscheidung, dass die Produktidee geprüft wird.</t>
  </si>
  <si>
    <t xml:space="preserve">Ordnerstruktur  erstellen </t>
  </si>
  <si>
    <t>Ordnerstruktur in Synology vorbereiten</t>
  </si>
  <si>
    <t xml:space="preserve">Produktplan ersellen </t>
  </si>
  <si>
    <t>Vorlage Produktplan kopieren und neu benennen. Dies wird vom MA-P aktuell als Synology Dokument erstellt. Dies wird im Mutter-MT verlinkt.</t>
  </si>
  <si>
    <r>
      <rPr>
        <b/>
        <sz val="11"/>
        <color rgb="FF000000"/>
        <rFont val="Arial"/>
      </rPr>
      <t>Marktrecherche</t>
    </r>
    <r>
      <rPr>
        <sz val="11"/>
        <color theme="1"/>
        <rFont val="Calibri"/>
        <family val="2"/>
        <scheme val="minor"/>
      </rPr>
      <t xml:space="preserve"> [im Produktplan ausfüllen (lassen)}</t>
    </r>
  </si>
  <si>
    <t>Der MA-P beauftragt einen MA die Marktrecherche durchzuführen und sichtet bzw. ergänzt im Anschluss die Ergebnisse.</t>
  </si>
  <si>
    <t>MA-P, MA</t>
  </si>
  <si>
    <t>Wettbewerbsanalyse um Marktchancen zu identifizieren</t>
  </si>
  <si>
    <t>evtl. Begriff "Marktanalyse" verwenden [Axel]</t>
  </si>
  <si>
    <r>
      <rPr>
        <b/>
        <sz val="11"/>
        <color rgb="FF000000"/>
        <rFont val="Arial"/>
      </rPr>
      <t>Deckblatt</t>
    </r>
    <r>
      <rPr>
        <sz val="11"/>
        <color theme="1"/>
        <rFont val="Calibri"/>
        <family val="2"/>
        <scheme val="minor"/>
      </rPr>
      <t xml:space="preserve"> im Produktplan ausfüllen</t>
    </r>
  </si>
  <si>
    <t>MA-P füllt das Deckblatt aus</t>
  </si>
  <si>
    <t>Ordnerstruktur und Produktplan sind angelegt.</t>
  </si>
  <si>
    <r>
      <rPr>
        <b/>
        <sz val="11"/>
        <color rgb="FF000000"/>
        <rFont val="Arial"/>
      </rPr>
      <t>Vorabrecherche</t>
    </r>
    <r>
      <rPr>
        <sz val="11"/>
        <color theme="1"/>
        <rFont val="Calibri"/>
        <family val="2"/>
        <scheme val="minor"/>
      </rPr>
      <t xml:space="preserve"> im Produktplan </t>
    </r>
    <r>
      <rPr>
        <sz val="11"/>
        <color rgb="FF0BBC85"/>
        <rFont val="Arial"/>
      </rPr>
      <t>(durch MA-P und weitere Stakeholder)</t>
    </r>
    <r>
      <rPr>
        <sz val="11"/>
        <color theme="1"/>
        <rFont val="Calibri"/>
        <family val="2"/>
        <scheme val="minor"/>
      </rPr>
      <t xml:space="preserve"> ausfüllen</t>
    </r>
  </si>
  <si>
    <t>MA-P trägt die Ergebnisse der kleinen/groben Marktrecherche in den PP ein und bearbeitet den Reiter Vorabrecherche.</t>
  </si>
  <si>
    <t>Ordnerstruktur, Produktplan, Deckblatt sind angelegt.</t>
  </si>
  <si>
    <r>
      <rPr>
        <sz val="11"/>
        <color rgb="FF000000"/>
        <rFont val="Arial"/>
      </rPr>
      <t xml:space="preserve">- Zielgruppe durch </t>
    </r>
    <r>
      <rPr>
        <b/>
        <sz val="11"/>
        <color rgb="FF000000"/>
        <rFont val="Arial"/>
      </rPr>
      <t>Persona (Ziele, Bedürfnisse, Probleme und alternative Wege zur Bedürfnisbefriedigung)</t>
    </r>
    <r>
      <rPr>
        <sz val="11"/>
        <color rgb="FF000000"/>
        <rFont val="Arial"/>
      </rPr>
      <t xml:space="preserve"> ersetzen I - eventuell neue Tools, wie Miro einsetzen I - Festlegen der Rahmenbedingungen (siehe BLD Martin) [Axel]</t>
    </r>
  </si>
  <si>
    <t>Projektmanager- Recherche</t>
  </si>
  <si>
    <t>Grobplanung als Teil der Recherche, prüfen welche Materialien eventuell vorhanden sind. MA-P geht in den Austausch mit Päd (Meistertask kommunizieren). Abteilung. MA-P löst die Folgeschritte aus. Wie viele Inhalte müssen neu erstellt werden?</t>
  </si>
  <si>
    <t>Kleinere Teilprodukte planen?</t>
  </si>
  <si>
    <t>Prüfen, ob aus dem Gesamtkonzept / Produkt kleinere Teilprodukte vermarktet oder angeboten werden können.</t>
  </si>
  <si>
    <t>Neue Produktideen</t>
  </si>
  <si>
    <t>Passt das Produkt in andere Konzepte? (Kombinationen)</t>
  </si>
  <si>
    <t>Kann ich dieses Produkt oder Teile daraus mit Bestandmaterialien / künftigen LM bündeln, dass ganz neue Produkte entsteht?</t>
  </si>
  <si>
    <t>Marketing SEO-Vorabrecherche einholen</t>
  </si>
  <si>
    <t xml:space="preserve">MA-P informiert via Mutter-MT den MA-M über die neue Produktidee. MA-M soll eine erste SEO-Analyse durchführen. </t>
  </si>
  <si>
    <t>MA-P, MA-M</t>
  </si>
  <si>
    <t>Deckblatt und Vorabrecherche vom MA-P ausgefüllt</t>
  </si>
  <si>
    <r>
      <t xml:space="preserve">Vertrieb </t>
    </r>
    <r>
      <rPr>
        <sz val="11"/>
        <color rgb="FF0BBC85"/>
        <rFont val="Arial"/>
      </rPr>
      <t>(B2C und B2B)</t>
    </r>
    <r>
      <rPr>
        <sz val="11"/>
        <color theme="1"/>
        <rFont val="Calibri"/>
        <family val="2"/>
        <scheme val="minor"/>
      </rPr>
      <t xml:space="preserve"> Vorabrecherche einholen</t>
    </r>
  </si>
  <si>
    <t xml:space="preserve">MA-P informiert via Mutter-MT den MA-V über die neue Produktidee. MA-V soll mögliche Vertriebswege und Fördermöglichkeiten eruieren. </t>
  </si>
  <si>
    <t>AZAV Vorabrecherche einholen</t>
  </si>
  <si>
    <t xml:space="preserve">MA-P informiert via Mutter-MT den MA-AZAV über die neue Produktidee. MA-AZAV checkt die AZAV Relevanz des Produkts. </t>
  </si>
  <si>
    <r>
      <rPr>
        <sz val="11"/>
        <color rgb="FF000000"/>
        <rFont val="Arial"/>
      </rPr>
      <t xml:space="preserve">Deckblatt, Vorabrecherche, Marktrecherche im Produktplan ausgefüllt </t>
    </r>
    <r>
      <rPr>
        <sz val="11"/>
        <color rgb="FFFF0000"/>
        <rFont val="Arial"/>
      </rPr>
      <t>(= MEILENSTEIN)</t>
    </r>
  </si>
  <si>
    <t>Vorbereitung zur Entscheidung</t>
  </si>
  <si>
    <t xml:space="preserve">Synology Freigabe Produktplan </t>
  </si>
  <si>
    <t>Das Projekt (Produktplan) wird durch den MA-P den Entscheidungsträgern MA-TL freigegeben.</t>
  </si>
  <si>
    <t>Deckblatt, Vorab-Recherche, Marktrecherche, erster Entwurf Ablaufplan vollständig im Produktplan ausgefüllt</t>
  </si>
  <si>
    <t>Präsentation des Projekts</t>
  </si>
  <si>
    <r>
      <t xml:space="preserve">Das Projekt (Produktplan) wird vom </t>
    </r>
    <r>
      <rPr>
        <sz val="11"/>
        <color rgb="FFFF0000"/>
        <rFont val="Arial"/>
      </rPr>
      <t>MA-P</t>
    </r>
    <r>
      <rPr>
        <sz val="11"/>
        <color theme="1"/>
        <rFont val="Calibri"/>
        <family val="2"/>
        <scheme val="minor"/>
      </rPr>
      <t xml:space="preserve"> den Entscheidungsträgern (MA-TL) präsentiert und erläutert.</t>
    </r>
  </si>
  <si>
    <r>
      <rPr>
        <sz val="11"/>
        <color rgb="FF0BBC85"/>
        <rFont val="Arial"/>
      </rPr>
      <t xml:space="preserve">Ablehnung / Zustimmung oder Rückfragen </t>
    </r>
    <r>
      <rPr>
        <sz val="11"/>
        <color rgb="FFFF0000"/>
        <rFont val="Arial"/>
      </rPr>
      <t>(= MEILENSTEIN)</t>
    </r>
  </si>
  <si>
    <t>Die Entscheidungsträger bewerten das Projekt und entscheiden, ob es umgesetzt wird oder ob Rückfragen zu klären sind.</t>
  </si>
  <si>
    <t>MA-TL</t>
  </si>
  <si>
    <t>I. Oval Output / Ende</t>
  </si>
  <si>
    <t>II.</t>
  </si>
  <si>
    <t xml:space="preserve">Produkt- PLANUNGSPHASE / Konzeptplanung </t>
  </si>
  <si>
    <t xml:space="preserve">Absrpache im Abteilungs Jour fix </t>
  </si>
  <si>
    <r>
      <rPr>
        <sz val="11"/>
        <color rgb="FF000000"/>
        <rFont val="Arial"/>
      </rPr>
      <t>im Jour Fix ansprechen und Kollegen auf das geplante Produkt ansprechen.</t>
    </r>
    <r>
      <rPr>
        <sz val="11"/>
        <color rgb="FFFF0000"/>
        <rFont val="Arial"/>
      </rPr>
      <t xml:space="preserve"> -&gt; EHIP als interne Ressource? Über Louisa, dieser Prozess muss noch geklärt werden.</t>
    </r>
  </si>
  <si>
    <t xml:space="preserve">Grober Abgleich mit bestehenden LM </t>
  </si>
  <si>
    <t>MA-P -&gt; hier sollten wir vom Fachexperten sprechen.</t>
  </si>
  <si>
    <t>Nutzbares Bestandsmaterial wird vorgeschlagen und kann gesichtet werden.</t>
  </si>
  <si>
    <t>Yvonne</t>
  </si>
  <si>
    <t xml:space="preserve">grober Produktumfang anhand der Marktrecherche berechnen </t>
  </si>
  <si>
    <t>MA-P trägt im Produktplan, Reiter Vorab-Recherche, die benötigten Daten ein. Dazu gehören Lerndauer, Lehrgangsdauer, Gesamtwortzahl, Anzahl WBT und Lehrskripte, Bildungsphasen. Diese Informationen zieht der MA-P aus der Marktrecherche.</t>
  </si>
  <si>
    <t>Übersicht über das Projekt</t>
  </si>
  <si>
    <t>Vorlage Projektplan</t>
  </si>
  <si>
    <t>Grober Ablaufplan (anhand des Projektplans ggf. in Zusammenarbeit mit Fachexperten)</t>
  </si>
  <si>
    <t>Welche Inhalte sind grob geplant? MA-P trägt den groben Ablaufplan in den Produktplan ein.#</t>
  </si>
  <si>
    <t>Grobe Struktur Ablaufplan vorhanden</t>
  </si>
  <si>
    <t>Vorstellung grober Produktplan im Päd.Meet</t>
  </si>
  <si>
    <t>MA-P stellt den Stand der Produktplanung im Päd Meet vor. Neue Ideen, Inspiration &amp; Feedback,</t>
  </si>
  <si>
    <t xml:space="preserve">TL. Meet </t>
  </si>
  <si>
    <t>MA-P stellt den Stand der Produktplanung im TL Meet vor. Neue Ideen, Inspiration &amp; Feedback,</t>
  </si>
  <si>
    <t>Preis festlegen</t>
  </si>
  <si>
    <t>MA-P macht Preisvorschlag, Anfrage an Vertrieb - abklären</t>
  </si>
  <si>
    <t>Produktplan freigeben</t>
  </si>
  <si>
    <t>MA-P gibt den Produktplan ALLEN Abteilungen frei.</t>
  </si>
  <si>
    <t>MA-P lädt alle intern beteiligten MA zur Produktvorstellung ein.</t>
  </si>
  <si>
    <t xml:space="preserve">Der MA-P lädt via Chat mittels Einladungsvorlage inkl. Link zum Zoom-Meet ein. </t>
  </si>
  <si>
    <t>Dokumentation und Information für alle intern beteiligten MA</t>
  </si>
  <si>
    <t>Produktplan</t>
  </si>
  <si>
    <t xml:space="preserve">Budget abschatzen </t>
  </si>
  <si>
    <r>
      <rPr>
        <sz val="11"/>
        <color rgb="FF000000"/>
        <rFont val="Arial"/>
      </rPr>
      <t xml:space="preserve">Produktvorstellung 1 </t>
    </r>
    <r>
      <rPr>
        <sz val="11"/>
        <color rgb="FFFF0000"/>
        <rFont val="Arial"/>
      </rPr>
      <t>(=Meilenstein)</t>
    </r>
  </si>
  <si>
    <t>der MA-P führt die Produktvorstellung 1 durch. Das Produkt wird anhand des Produktplans vorgestellt. Das Meet wird aufgezeichnet. Anpassungen werden diskutiert, Entscheidung treffen oder festlegen was geändert werden soll.</t>
  </si>
  <si>
    <t>MA-P speichert die Aufzeichnung und ermöglicht allen MA den Zugang.</t>
  </si>
  <si>
    <t>Durch den MA-P wird der Link zur Aufzeichnung im Produktplan zur Verfügung gestellt.</t>
  </si>
  <si>
    <t>Aufzeichnung verfügbar</t>
  </si>
  <si>
    <t>Produktvorstellungen via Adobe Connect MIT automatischer Videospeicherung im Backend/ELA möglich?</t>
  </si>
  <si>
    <t>Suche nach Fachexperten?</t>
  </si>
  <si>
    <t>III.</t>
  </si>
  <si>
    <t xml:space="preserve"> DURCHFÜHRUNGS-PHASE</t>
  </si>
  <si>
    <t>Produktion der Lehrmedien
- Onboarding
- Erstellung
- Qualitätsicherung
- Abnahme</t>
  </si>
  <si>
    <t>Hier einen Link, dass hier ein neuer Prozess startet. Ist Voraussetzung für den Anschluss des Produkts -&gt; neues Tabellenblatt.</t>
  </si>
  <si>
    <t>Veröffentlichung Produkt (Webseite)</t>
  </si>
  <si>
    <t>Produkt-Website geht online</t>
  </si>
  <si>
    <t>Die voreingestellten Informationen und Texte sollen ab diesem Zeitpunkt öffentlich gemacht werden. Der PM oder MA-M aktivieren mit einem Klick / Kästchen die Veröffentlichung, woraufhin ELA die Informationen auf die Website lädt. (SCHNITTSTELLE MARKETING)</t>
  </si>
  <si>
    <t>Produkt-Informationen werden auf Website korrekt angezeigt / dargestellt</t>
  </si>
  <si>
    <t>Produkt und Ablaufplan ist angelegt, Informationen sind hinterlegt. (Produkt-Website muss angelegt sein?)</t>
  </si>
  <si>
    <t>Produkt ist im Internetauftritt einsehbar, Anmeldungen zur Warteliste sind möglich</t>
  </si>
  <si>
    <t>1.) Bei Klick auf Veröffentlichung sind nicht alle Informationen vorhanden. ELA zeigt eine Meldung: "Bitte zuerst alle Infos festhalten" und bricht die Veröffentlichung ab.</t>
  </si>
  <si>
    <t>Rückmeldung zu Marketing-Texten geben</t>
  </si>
  <si>
    <t>PM möchte Marketing kontaktieren mit Bezug auf Produkt-Website.
PM erstellt Ticket an Marketing, verlinkt dabei Produkt (und Produkt-Website) und beschreibt die gewünschten Änderungen. Noch besser: Auf Website kann man Kommentare hinzufügen / erstellen. Dialog zw. PM und Marketing zu mögl. Änderungen.</t>
  </si>
  <si>
    <t>PM und Marketing können sich über Website austauschen. Marketing kann die Website optimieren. Am Ende steht die Website.</t>
  </si>
  <si>
    <t>Produkt-Website existiert</t>
  </si>
  <si>
    <t xml:space="preserve">TN erhalten alle Informationen zum Produkt auf der Website. </t>
  </si>
  <si>
    <t>Systembefüllung</t>
  </si>
  <si>
    <t>vorhandene Lehrmaterialien verknüpfen</t>
  </si>
  <si>
    <t>neues Lehrmaterial ins System befüllen</t>
  </si>
  <si>
    <t>Die LM werden vom MA-P hochgeladen und im EcoDms entsprechend aktualisiert</t>
  </si>
  <si>
    <t>Zulassung</t>
  </si>
  <si>
    <t>ZFU Antrag erstellen</t>
  </si>
  <si>
    <t>MA-P erstellt den ZFU-Antrag, beantragt die ZFU-Nummer und erstellt alle benötigten Unterlagen, Absprache mit TL.</t>
  </si>
  <si>
    <t>Werbematerial ist final</t>
  </si>
  <si>
    <t>Zulassungsnummer erhalten und im LMS eintragen</t>
  </si>
  <si>
    <t>Zulassungsnummer und Schriftverkehr werden im LMS dokumentiert &amp; hochgeladen</t>
  </si>
  <si>
    <t>Zulassungsnummer erhalten ZFU</t>
  </si>
  <si>
    <t>ZFU-Antrag hochladen</t>
  </si>
  <si>
    <t>MA-P lädt alle Unterlagen im ZFU-Portal hoch, Zugang wird via ZFU zur Verfügung gestellt</t>
  </si>
  <si>
    <t>Rückmeldung ZFU</t>
  </si>
  <si>
    <t>Ggf. Änderungen der ZFU übernehmen oder verteidigen / Stellungnahme schreiben</t>
  </si>
  <si>
    <t>Website ZFU und Antrag abgleichen</t>
  </si>
  <si>
    <t>MA-P gleicht die eingestellten Daten auf der Website der ZFU ab, meldet ggf. Korrekturen an die ZFU zurück</t>
  </si>
  <si>
    <t>AZAV Zulassung</t>
  </si>
  <si>
    <t>Leseprobe erstellen</t>
  </si>
  <si>
    <t>Der MA-P erstellt eine Leseprobe mittels Vorlage in Rise und stellt diese dem Vertrieb zur Verfügung</t>
  </si>
  <si>
    <t>Endlayout Vertriebstext</t>
  </si>
  <si>
    <t>Der Vertrieb gibt Feedback inwieweit die Leseprobe einsetzbar ist, mgl. Änderungen werden eingearbeitet</t>
  </si>
  <si>
    <t>Produktleseprobe fertig (=Meilenstein)</t>
  </si>
  <si>
    <t>Produktvorstellung II</t>
  </si>
  <si>
    <t>zur Produktvorstellung II einladen</t>
  </si>
  <si>
    <t>Gemäß Vorlage werden alle projektbeteiligten MA via Chat eingeladen</t>
  </si>
  <si>
    <t>Produktplan muss vollständig vorliegen</t>
  </si>
  <si>
    <t>Produktvorstellung II (=Meilenstein)</t>
  </si>
  <si>
    <t>MA-P stellt das Produkt anhand des Produktplans vor. Das Meet wird aufgezeichnet.</t>
  </si>
  <si>
    <t>erste LM und Videos müssen final vorliegen</t>
  </si>
  <si>
    <t>Nacharbeit Produktvorstellung II ? Oder kommt das mit in die Abschlussphase?</t>
  </si>
  <si>
    <t>Mailings erstellen lassen und prüfen</t>
  </si>
  <si>
    <t>MA-P informiert MA-S. MA-S erstellt die Mailings und stellt sie MA-P zur Verfügung. MA-P liest die Mailings und gibt ein Feedback an MA-S.</t>
  </si>
  <si>
    <t>MA-P, MA-S</t>
  </si>
  <si>
    <t>Leseproben fertig, Produktvorstellung 2 stattgefunden</t>
  </si>
  <si>
    <t>Verbesserungsvorschläge Website ans Marketing kommunizieren</t>
  </si>
  <si>
    <t>MA-P sichtet die Website und gibt Rückmeldung ob ggf. inhaltliche Verbesserungen vorzunehmen sind</t>
  </si>
  <si>
    <t>LM-Videos auf SM stellen</t>
  </si>
  <si>
    <t>MA-P übergibt dem MA-M alle LM-Videos. MA-M stellt diese auf SM (youtube, weitere?)</t>
  </si>
  <si>
    <t>Zusammenarbeit mit Presonalreferent</t>
  </si>
  <si>
    <t>Yvi, Max</t>
  </si>
  <si>
    <t>V.</t>
  </si>
  <si>
    <t>Produkt-ABSCHLUSS-PHASE</t>
  </si>
  <si>
    <t>Produkt-Pre-Launch</t>
  </si>
  <si>
    <t>System check</t>
  </si>
  <si>
    <t>Backend prüfen</t>
  </si>
  <si>
    <t>MA-P prüft ob im Backend die Kursinhalte, die den sinnvollen Start der TN ermöglichen vorhanden sind.</t>
  </si>
  <si>
    <t>Frontend checken</t>
  </si>
  <si>
    <t>MA-P schlüpft in Rolle des TN und checkt die gebuchten Kursinhalte</t>
  </si>
  <si>
    <t>Sind Rollen der Lernbegleitung im Backend besetzt?</t>
  </si>
  <si>
    <t>Der MA-P überprüft, ob der MA-PER für die TU, KO, DO Personen angelegt und verknüpft hat.</t>
  </si>
  <si>
    <t>Sind Rollen der Lernbegleitung imFrontend besetzt?</t>
  </si>
  <si>
    <t>Webseite checken</t>
  </si>
  <si>
    <t>MA-P schlüpft in Rolle des Interessenten und checkt die öffentlichen Informationen über den Kurs</t>
  </si>
  <si>
    <t>Produkt-Launch (MEILENSTEIN)</t>
  </si>
  <si>
    <t>Produkt wird buchbar (eigenständiger Wiki)</t>
  </si>
  <si>
    <t>Launch im Chat posten</t>
  </si>
  <si>
    <t>- erste LM final, Werbematerialien hochgeladen
- Website steht
- Produktvorstellungs-video mit Produktplan geteilt
- Vertriebs-Mailings sind bereit</t>
  </si>
  <si>
    <t>Produkt Lessons Learned-Meeting</t>
  </si>
  <si>
    <r>
      <rPr>
        <sz val="11"/>
        <color rgb="FF000000"/>
        <rFont val="Arial"/>
      </rPr>
      <t>Lesson Learned: Optimierungen Projektablauf und Produkt möglich / nötig? (</t>
    </r>
    <r>
      <rPr>
        <b/>
        <sz val="11"/>
        <color rgb="FF000000"/>
        <rFont val="Arial"/>
      </rPr>
      <t>MEILENSTEIN</t>
    </r>
    <r>
      <rPr>
        <sz val="11"/>
        <color rgb="FF000000"/>
        <rFont val="Arial"/>
      </rPr>
      <t>)</t>
    </r>
  </si>
  <si>
    <t>MA-P, MA-M, MA-V, MA-TL ???</t>
  </si>
  <si>
    <t>Vl.</t>
  </si>
  <si>
    <t>QM checken</t>
  </si>
  <si>
    <t>Bewertungen auf online-Portalen checken</t>
  </si>
  <si>
    <t>ZFU-Evaluations-Formular ausfüllen</t>
  </si>
  <si>
    <t>Optimierungen Produkt möglich / nötig?</t>
  </si>
  <si>
    <t xml:space="preserve">vorhandener Dozentenpool </t>
  </si>
  <si>
    <t>Nice to have: MA-P sucht nach bestehenden PR-A (Projektbeteiligte = PR-A) in einer Datei und kann diese nach Fachbereichen/ Kompetenzen filtern.</t>
  </si>
  <si>
    <t>PP-Päd-004 Beschreibung oben UND 0166</t>
  </si>
  <si>
    <t>Projekt wird umgesetzt</t>
  </si>
  <si>
    <t>0166</t>
  </si>
  <si>
    <t>Vorlage Stellenanzeige</t>
  </si>
  <si>
    <t>Stellenanzeige auf Website veröffentlicht</t>
  </si>
  <si>
    <t>Vorlage Bestätigung Bewerbung</t>
  </si>
  <si>
    <t>nice to have: Ela sendet automatisch Bestätigung Bewerbung</t>
  </si>
  <si>
    <t>Übersicht: was wird abgefragt, welche Informationen erhält der Autor</t>
  </si>
  <si>
    <t>Vorauswahl muss getroffen sein</t>
  </si>
  <si>
    <t>Gute Bewerbung, PR-A ist interessant</t>
  </si>
  <si>
    <t>Vorlage "Absage Autor" bzw. "Aufnahme Dozentenpool</t>
  </si>
  <si>
    <t>nice to have: Vorlagen in Ela abrufen und versenden</t>
  </si>
  <si>
    <r>
      <rPr>
        <b/>
        <sz val="11"/>
        <color rgb="FF000000"/>
        <rFont val="Arial"/>
      </rPr>
      <t>MA-P</t>
    </r>
    <r>
      <rPr>
        <sz val="11"/>
        <color rgb="FF000000"/>
        <rFont val="Arial"/>
      </rPr>
      <t xml:space="preserve"> hat Zugang zu elaAdministration. Persönliche Daten des PR-A (Autor) liegen vor. </t>
    </r>
  </si>
  <si>
    <t>PR-A ist als Person angelegt und kann somit kontaktiert werden.</t>
  </si>
  <si>
    <t xml:space="preserve">1.) Daten werden nur teilweise eingegeben.
2.) MA-P vergisst Speichern zu drücken. </t>
  </si>
  <si>
    <t>Person ist angelegt</t>
  </si>
  <si>
    <t>hochgeladene Dateien sind einsehbar, wenn Person aufgerufen wird</t>
  </si>
  <si>
    <t>Projektplan ist vollständig, Autor hat die Leitfäden (Autor &amp; Rise), vollst. Bew.-Unterlagen liegen vor</t>
  </si>
  <si>
    <t>nice to have: Vertrag in ELA teilen und unterzeichnen</t>
  </si>
  <si>
    <t>PR-A ist bereits angelegt und hat den Vertrag unterzeichnet.</t>
  </si>
  <si>
    <t>Neue Person besitzt Anmeldedaten und kann diese im OC zur Anmeldung nutzen.</t>
  </si>
  <si>
    <t>Mandy</t>
  </si>
  <si>
    <t>Projekt ist erstellt und mit Vorlagen befüllt. MA und PR haben Zugriff auf das Projekt</t>
  </si>
  <si>
    <t>Projekt ist erstellt. Timelines sind mit PR-A ausgemacht</t>
  </si>
  <si>
    <t>Projektabschnitte sind erstellt</t>
  </si>
  <si>
    <t>Für standardisierte Projekte wäre das Anlegen einer Projekt-Vorlage perfekt.
Ergebnis ELA? Das Projekt ist sauber in verschiedene Phasen (für verschiedene Verantwortliche) gegliedert.</t>
  </si>
  <si>
    <t>Planung ist fertig und PR-A beginnt zu schreiben.</t>
  </si>
  <si>
    <t>Nice to have: Projektmanagement-Tools wie Offene Punkte Liste oder eine Statusabfrage für z.B. einzelne Projektabschnitte oder einzenle Lehrmaterialien mit dem PR-A.</t>
  </si>
  <si>
    <t>On hold</t>
  </si>
  <si>
    <r>
      <rPr>
        <sz val="11"/>
        <color rgb="FF000000"/>
        <rFont val="Arial"/>
      </rPr>
      <t xml:space="preserve">Zukünftig soll ELA das automatisch erfassen und auch auf Projektabschnitte beziehen.
Definition von Standard-Abschnitten
</t>
    </r>
    <r>
      <rPr>
        <sz val="11"/>
        <color theme="1"/>
        <rFont val="Calibri"/>
        <family val="2"/>
        <scheme val="minor"/>
      </rPr>
      <t>Vorlage zum Kopieren</t>
    </r>
  </si>
  <si>
    <t>Verschiedene Projektabschnitte inkl. Timeline, , Titel, Beschreibung und Status sind angelegt.</t>
  </si>
  <si>
    <t>PR-A hat erste Lerneinheit(en) erstellt und MA-P gegeben</t>
  </si>
  <si>
    <t>Papierloser Rechnungsablauf mithilfe von ELA, auch an BuHa.
 Nice to have: Externer Mitarbeiter lädt die Rechnung direkt in ela hoch statt Mail?</t>
  </si>
  <si>
    <t>Analysetool zur Kostensituation eines Projektes implementieren</t>
  </si>
  <si>
    <t>PR-A</t>
  </si>
  <si>
    <r>
      <rPr>
        <b/>
        <sz val="11"/>
        <color rgb="FF000000"/>
        <rFont val="Arial"/>
      </rPr>
      <t>Umsetzungsentscheidung</t>
    </r>
    <r>
      <rPr>
        <b/>
        <sz val="11"/>
        <color rgb="FFFF0000"/>
        <rFont val="Arial"/>
      </rPr>
      <t xml:space="preserve"> </t>
    </r>
  </si>
  <si>
    <r>
      <rPr>
        <sz val="11"/>
        <color rgb="FF0BBC85"/>
        <rFont val="Arial"/>
      </rPr>
      <t xml:space="preserve">Beurteilung und Entscheidung </t>
    </r>
    <r>
      <rPr>
        <sz val="11"/>
        <color rgb="FFFF0000"/>
        <rFont val="Arial"/>
      </rPr>
      <t>(= MEILENSTEIN)</t>
    </r>
  </si>
  <si>
    <t>Die Entscheidungsträger bewerten das Projekt und entscheiden, ob es umgesetzt wird.</t>
  </si>
  <si>
    <t>Genehmigung und Start</t>
  </si>
  <si>
    <t>Das Projekt zur Produktenwicklung wird von den MA-TL genehmigt und somit freigegeben oder abgesagt. Wenn TL neue Rahmenbedingungen haben, wird das kommuniziert.</t>
  </si>
  <si>
    <t>KLARE Ansage, wie der Rahmen des Produkts aussehen soll</t>
  </si>
  <si>
    <t>Absage und Abbruch -&gt; Was passiert dann?</t>
  </si>
  <si>
    <t>PLANUNGSPHASE</t>
  </si>
  <si>
    <t xml:space="preserve"> Projektspezifizierung</t>
  </si>
  <si>
    <t>Konzeptplanung</t>
  </si>
  <si>
    <t xml:space="preserve">Grober Abgleich mit bestehenden LM (Können Inhalte mit bereits bestehenden Lehrmaterialien abgedeckt werden?)
EcoDMS Absprache mit Fachexperten </t>
  </si>
  <si>
    <t>MA-P sucht nach Bestandsmaterialien und möchte diese nach Themen/Schlagworten filtern. Fachexperte beurteilt.</t>
  </si>
  <si>
    <t>MA-P hält Berechnungen fürs Projekt fest (und befüllt den Ablaufplan)</t>
  </si>
  <si>
    <t>Welche Inhalte sind grob geplant?</t>
  </si>
  <si>
    <t>Vorstellung grober Plan im Päd.Meet</t>
  </si>
  <si>
    <t>der MA-P führt die Produktvorstellung 1 durch</t>
  </si>
  <si>
    <t>Das Produkt wird anhand des Produktplans vorgestellt. Das Meet wird aufgezeichnet. Anpassungen werden diskutiert, Entscheidung treffen oder festlegen was geändert werden soll.</t>
  </si>
  <si>
    <r>
      <t xml:space="preserve">Autor(en) </t>
    </r>
    <r>
      <rPr>
        <sz val="11"/>
        <color rgb="FFFF0000"/>
        <rFont val="Arial"/>
      </rPr>
      <t>hat Vertrag unterzeichne</t>
    </r>
    <r>
      <rPr>
        <sz val="11"/>
        <color theme="1"/>
        <rFont val="Calibri"/>
        <family val="2"/>
        <scheme val="minor"/>
      </rPr>
      <t>t.
Produktplan, vorläufiger Ablaufplan, Projektplan und Preis steht</t>
    </r>
  </si>
  <si>
    <t>Lehrmaterial-ID beantragen</t>
  </si>
  <si>
    <t>MA-P beantragt beim TL die LM-ID</t>
  </si>
  <si>
    <t>MA-P, MA-A, TL</t>
  </si>
  <si>
    <t>Lehrmaterial und Inhalte in ecoDMS (in Bearbeitung)</t>
  </si>
  <si>
    <t>Projektplanung</t>
  </si>
  <si>
    <t>erforderliches Budget festhalten (möglicher Soll-Ist-Vergleich?)</t>
  </si>
  <si>
    <t>nice to have: ein Analysetool kann mit Text und Zahlen befüllt werden, sodass die Kosten eines Projektes ausgewertet werden können, ggf. auch grafisch.</t>
  </si>
  <si>
    <t>Projekttimelines (Gant-Diagramm)</t>
  </si>
  <si>
    <t>Ext. MA-Suche</t>
  </si>
  <si>
    <r>
      <t xml:space="preserve">Recherche bestehender </t>
    </r>
    <r>
      <rPr>
        <b/>
        <sz val="11"/>
        <color rgb="FF000000"/>
        <rFont val="Arial"/>
      </rPr>
      <t xml:space="preserve">PR-A </t>
    </r>
    <r>
      <rPr>
        <sz val="11"/>
        <color theme="1"/>
        <rFont val="Calibri"/>
        <family val="2"/>
        <scheme val="minor"/>
      </rPr>
      <t>(Autoren) in elaAdministration</t>
    </r>
  </si>
  <si>
    <t xml:space="preserve">Recherche erfolgt durch Austausch mit MA-PER und anderen MA-P und ggf. Sichtung von entsprechend vorhandenen Lebensläufen. </t>
  </si>
  <si>
    <t>Effiziente Suche nach Autoren, die bereits erfolgreich für das UN arbeiten.</t>
  </si>
  <si>
    <t>Aktive Autorenakquise</t>
  </si>
  <si>
    <t>MA-P sucht mögl. Autoren im Kontaktnetzwerk und auf diversen Online-Plattformen.</t>
  </si>
  <si>
    <t>Stellenausschreibung PR-A erstellen</t>
  </si>
  <si>
    <t>der MA-P erstellt eine Stellenanzeige gemäß Vorlage.</t>
  </si>
  <si>
    <t>Finden von geeigneten Autoren</t>
  </si>
  <si>
    <t>Stellenanzeige auf Website veröffentlichen</t>
  </si>
  <si>
    <t>MA-P leitet Stellenausschreibung via Meistertask zur Veröffentlichung an MA-M weiter. MA-M veröffentlicht Stellenausschreibung auf Website.</t>
  </si>
  <si>
    <t>Stellenanzeige auf Sozialen Medien veröffentlichen</t>
  </si>
  <si>
    <t>MA-M postet Stellenanzeige</t>
  </si>
  <si>
    <t>Stellenausschreibung auf weiteren Plattformen veröffentlichen</t>
  </si>
  <si>
    <t>MA-P erstellt weitere Veröffentlichungen auf Plattformen wie bspw. jobbörse</t>
  </si>
  <si>
    <t>Bearbeitung Rücklauf Bewerbungen</t>
  </si>
  <si>
    <t xml:space="preserve">MA-P sendet Standard-Email an PR-A - Bewerbung erhalten </t>
  </si>
  <si>
    <t>Bewerbungsprozess</t>
  </si>
  <si>
    <t>Bewerbungen sichten und Vorauswahl treffen</t>
  </si>
  <si>
    <t>MA-P sichtet die Bewerbungen und trifft eine Vorauswahl. MA-P führt ein Telefonat zum Kennenlernen und Austausch von Informationen. Passen die Rahmenbedingungen werden Lebenslauf und Leseprobe angefordert.</t>
  </si>
  <si>
    <t>Kontaktaufnahme mit Bewerbern</t>
  </si>
  <si>
    <t>MA-P führt Erstgespräch mit Autor.
Abfragen: Autorenerfahren, Praxiserfahrung(IHK?), Lehrerfahrung.
Erklären: Was haben wir vor? Timeline, Konditionen
Auftrag an Bew: Bewerber soll Lebenslauf &amp; Schriftprobe schicken UND LF "Werden Sie Autor" ansehen</t>
  </si>
  <si>
    <t>Detaillierter Informationen über den Autor erhalten um Expertise zu prüfen</t>
  </si>
  <si>
    <t>Bewerber an MA-PER weiterleiten</t>
  </si>
  <si>
    <t>MA-P bewertet die Bewerber. Wenn Bewerber für die Rollen TU, KO, DO in Frage kommen, werden diese an MA-PER weitergeleitet.</t>
  </si>
  <si>
    <t>Finden von geeigneten TU, KO, DO</t>
  </si>
  <si>
    <t>Leitfaden "Werden Sie Autor" versenden</t>
  </si>
  <si>
    <t>MA-P sendet dem Bewerber den Leitfaden "Werden Sie Autor".</t>
  </si>
  <si>
    <t>Projektvorstellung</t>
  </si>
  <si>
    <r>
      <rPr>
        <sz val="11"/>
        <color rgb="FF000000"/>
        <rFont val="Arial"/>
      </rPr>
      <t xml:space="preserve">MA-P erläutert: Unternehmensvorstellung, Projektvorstellung, Projektplan
Auftrag an Bew: Projektplan ausfüllen
</t>
    </r>
    <r>
      <rPr>
        <sz val="11"/>
        <color theme="1"/>
        <rFont val="Calibri"/>
        <family val="2"/>
        <scheme val="minor"/>
      </rPr>
      <t>Deadline für PP festsetzen, Folgetermin vereinbaren</t>
    </r>
  </si>
  <si>
    <t>Projektplan ausfüllen (lassen) sowie Lernmedien bestimmen</t>
  </si>
  <si>
    <t>MA-P erstellt Projektplan und bespricht diesen mit möglichen PR-A, geht hierzu in Austusch. Dabei wird die Nutzung der Lernmedien (Videos, WBTs, usw.) festgelegt.</t>
  </si>
  <si>
    <t>ausgefüllter Projektplan, Basis für Vertrag</t>
  </si>
  <si>
    <t>Besprechung Projektplan des Bewerbers</t>
  </si>
  <si>
    <t xml:space="preserve">Bew präsentiert Projektplan und eigene Gedanken. </t>
  </si>
  <si>
    <t>MA-P, Bew</t>
  </si>
  <si>
    <t>Absage PR-A (Autor) ODER</t>
  </si>
  <si>
    <t>Bringt der Autor nicht die passende Expertise mit, wird mittels Vorlage eine Absage erteilt oder das Angebot, die Aufnahme in den Autorenpool, da ggf. ein anderes Projekt passen könnte (dann Anlegen)</t>
  </si>
  <si>
    <t>Aufnahme in den Dozentenpool bzw. Ende der Kommunikation</t>
  </si>
  <si>
    <t>Zusage PR-A</t>
  </si>
  <si>
    <t>Auswahl von Autoren für das Projekt</t>
  </si>
  <si>
    <t>MA-P, PR-A</t>
  </si>
  <si>
    <r>
      <t>Anlegen eines</t>
    </r>
    <r>
      <rPr>
        <b/>
        <sz val="11"/>
        <color rgb="FF000000"/>
        <rFont val="Arial"/>
      </rPr>
      <t xml:space="preserve"> PR-A (Autor) </t>
    </r>
    <r>
      <rPr>
        <sz val="11"/>
        <color theme="1"/>
        <rFont val="Calibri"/>
        <family val="2"/>
        <scheme val="minor"/>
      </rPr>
      <t xml:space="preserve">in elaAdministration </t>
    </r>
  </si>
  <si>
    <r>
      <rPr>
        <b/>
        <sz val="11"/>
        <color rgb="FF000000"/>
        <rFont val="Arial"/>
      </rPr>
      <t>MA-P</t>
    </r>
    <r>
      <rPr>
        <sz val="11"/>
        <color theme="1"/>
        <rFont val="Calibri"/>
        <family val="2"/>
        <scheme val="minor"/>
      </rPr>
      <t xml:space="preserve"> erstellt eine neue Personen (Projektbeteiligter = </t>
    </r>
    <r>
      <rPr>
        <b/>
        <sz val="11"/>
        <color rgb="FF000000"/>
        <rFont val="Arial"/>
      </rPr>
      <t>PR-A</t>
    </r>
    <r>
      <rPr>
        <sz val="11"/>
        <color theme="1"/>
        <rFont val="Calibri"/>
        <family val="2"/>
        <scheme val="minor"/>
      </rPr>
      <t>) und hinterlegt die persönlichen Daten, lädt den Lebenslauf hoch.</t>
    </r>
  </si>
  <si>
    <r>
      <rPr>
        <b/>
        <sz val="11"/>
        <color rgb="FF000000"/>
        <rFont val="Arial"/>
      </rPr>
      <t>PR-A</t>
    </r>
    <r>
      <rPr>
        <sz val="11"/>
        <color rgb="FF000000"/>
        <rFont val="Arial"/>
      </rPr>
      <t xml:space="preserve"> als Person angelegt.</t>
    </r>
  </si>
  <si>
    <t>Hochladen von Dokumenten (Lebenslauf, Zertifikate, Zeugnisse) von PR-A  (Autoren)</t>
  </si>
  <si>
    <t>MA ruft Person (Projektbeteiligter = PR-A) auf, klickt auf Reiter Dateien, lädt die gewünschten Dokumente hoch, kategorisiert und benennt diese.</t>
  </si>
  <si>
    <t>Die Dateien sind mit der Person verknüpft und einsehbar, wenn die Person aufgerufen wird.</t>
  </si>
  <si>
    <t>Vertragsentwurf freigeben, Leitfäden "Autorenleitfaden" und "Rise" verschicken</t>
  </si>
  <si>
    <t>Der MA-P erstellt einen Vertrag, finalisiert diesen mit seiner Unterschrift und sendet ihn per Mail an den Projektbeteiligten.MA-P sendet dem PR-A die Leitfäden mit der Aufforderung diese durchzuarbeiten (Vertragsgrundlage!)</t>
  </si>
  <si>
    <t>vertragliche Dokumentation der Rahmenbedingungen für die Zusammenarbeit</t>
  </si>
  <si>
    <t>Vertrag teilen und unterzeichnen lassen, selbst unterzeichnen und teilen</t>
  </si>
  <si>
    <t>unterschriebenen Vertrag hochladen (verknüpfen mit Person)</t>
  </si>
  <si>
    <t>Der unterschriebene Vertrag kommt per Mail zurück, wird gegengezeichnet, dem PR-A zugeschickt und unter dem Namen des Projektbeteiligten hochgeladen.</t>
  </si>
  <si>
    <t>MA-P sucht einen PR-G</t>
  </si>
  <si>
    <t>MA-P muss zu diesem Punkt einen PR-G für das Projekt / Teilprojekt gefunden haben. Hierzu nutzt der MA-P sein Netzwerk an ext. MA sowie den Bewerbungsprozess 1.2.3.4, bei dem Interesse an GA-Tätigkeiten abgefragt wird.</t>
  </si>
  <si>
    <t>MA-P hat ein / zwei infrage kommende ext. MA als GA</t>
  </si>
  <si>
    <t>PR-G im System hinterlegen</t>
  </si>
  <si>
    <t>Sicherstellen, dass PR-G im Projekt-Tool als Person angelegt ist, ggf. nachholen</t>
  </si>
  <si>
    <t>Stellenausschreibung so lange offen lassen, bis wir alle externen Fachexperten haben.</t>
  </si>
  <si>
    <t>Produktentwicklung: Projekte zur Lehrmedienerstellung werden vergeben - Voraussetzung zum Start der verschiedenen Teilprojekte.</t>
  </si>
  <si>
    <t>Teilprojekte Lehrmedienerstellung</t>
  </si>
  <si>
    <t xml:space="preserve">Vorbereitung </t>
  </si>
  <si>
    <t xml:space="preserve">Bewerbungsprozess </t>
  </si>
  <si>
    <t>Stellenausschreibung / aktive Fachexpertenakquuise</t>
  </si>
  <si>
    <t>Die Lehrmedienerstellung wird an Fachexperten vergeben, um an die Fachexperten zu kommen kann der MA-P eine Stellenausschreibung erstellen oder eine aktive Fachexpertenakquise betreiben.</t>
  </si>
  <si>
    <t>Bewerbungsverfahren</t>
  </si>
  <si>
    <t>Hat der MA-P potentielle Fachexperten gefunden, startet das Bewerbungsverfahren, inkl. Projektplan, Vorstellungsgespräch, etc.</t>
  </si>
  <si>
    <t xml:space="preserve">Vertragsgestaltung </t>
  </si>
  <si>
    <t>Die Vertragsgestaltung ist der Vorbereitungsphase, bevor es zu einer Zusammenarbeit mit einem Fachexperten kommen kann wird ein Vertrag benötigt. Der MA-P erstellt einen Vertragsentwurf.</t>
  </si>
  <si>
    <t>Freigabe des Vertragsentwurf</t>
  </si>
  <si>
    <t>Der Vertragsentwurf muss vom TL freigegeben werden.</t>
  </si>
  <si>
    <t>TL</t>
  </si>
  <si>
    <t>Vertrag unterschrieben</t>
  </si>
  <si>
    <t>Der MA-P übermittelt den unterschriebenen Vertrag an den Fachexperten, damit dieser unterschreiben kann. Erst wenn der Vertrag vom Fachexptern unterzeichnet wurde unterschreibt auch der MA-P.</t>
  </si>
  <si>
    <t xml:space="preserve">Onboarding </t>
  </si>
  <si>
    <t>Projektanlage</t>
  </si>
  <si>
    <t>Der MA-P legt das Projekt im System (zukünftig ela) an.</t>
  </si>
  <si>
    <t>Onboarding-Termin</t>
  </si>
  <si>
    <t>MA-P führt mit dem Fachexptern ein Onboarding durch.</t>
  </si>
  <si>
    <t xml:space="preserve">Start der Lehrmedienerstellung </t>
  </si>
  <si>
    <t>Der Fachexperte beginnt aktiv an seinem Auftrag zu arbeiten und erstellt die Lehrmedien.</t>
  </si>
  <si>
    <t>Projektbetreuung</t>
  </si>
  <si>
    <t>Der MA-P betreut das Projekt und unterstützt den Fachexperten bestmöglich.</t>
  </si>
  <si>
    <t>Arbeitsprobe</t>
  </si>
  <si>
    <t>Der Fachexperte reicht den ersten Zwischenstand ein. Der MA-P gibt dem Fachexperten eine ausführliches Feedback. (Hier kann auch die MA-A für Layout-Themen hinzugezogen werden)</t>
  </si>
  <si>
    <t xml:space="preserve">Abgabe Lehrmedium - Überprüfung </t>
  </si>
  <si>
    <t>Der Fachexperte liefert seinen Arbeitsauftrag. Der MA-P prüft die Qualität und Vollständigkeit. Anschließend gibt er dem Fachexperten ein Feedback, ob die Lieferung angenommen werden kann und ins Gutachten gegeben wird oder ob der Fachexperte noch Überarbeitungen vornehmen muss.</t>
  </si>
  <si>
    <t xml:space="preserve">erste Abnahme der Lehrmedien vor Begutachtung </t>
  </si>
  <si>
    <t>Der MA-P nimmt die Lieferung für die Begutachtung an.</t>
  </si>
  <si>
    <t>Teilprojekt Begutachtung: Erstellung</t>
  </si>
  <si>
    <t>externe Begutachtung</t>
  </si>
  <si>
    <t>Der MA-P betreut das Teilprojekt (Gutachten) und unterstützt den PR-G bestmöglich.</t>
  </si>
  <si>
    <t>Gutachten Erstellung</t>
  </si>
  <si>
    <t>Der PR-G startet aktiv mit seinem Auftrag und führt die Begutachtung durch.</t>
  </si>
  <si>
    <t>PR-G</t>
  </si>
  <si>
    <t>interne Begutachtung</t>
  </si>
  <si>
    <t>MA-P führt seine Punkte aus dem internen Gutachten durch und MA-A führt ihre Punkte aus dem internen Gutachten durch</t>
  </si>
  <si>
    <t>MA-P, MA-A</t>
  </si>
  <si>
    <t>Teilprojekt Begutachtung: Qualitätssicherung</t>
  </si>
  <si>
    <t>Annahme externes / internes Gutachten</t>
  </si>
  <si>
    <t>MA-P nimmt das Gutachten an und überprüft, ob das Gutachten verständlich ist. MA-P gibt ein Feedback.</t>
  </si>
  <si>
    <t>Überarbeitung des Gutachtens falls nötig</t>
  </si>
  <si>
    <t>falls nötig geht das Gutachten an PR-G (externes) MA-A (internes) zurück und wird angepasst oder vervollständigt.</t>
  </si>
  <si>
    <t>Abnahme</t>
  </si>
  <si>
    <t>MA-P nimmt das Gutachten ab.</t>
  </si>
  <si>
    <t>Teilprojekt Begutachtung: Abschluss</t>
  </si>
  <si>
    <t>Abrechnung des Teilprojekts Gutachten</t>
  </si>
  <si>
    <t>PR-G stellt die Rechnung, MA-P prüft und gibt die Rechnung der Buchhaltung zur Bezahlung frei.</t>
  </si>
  <si>
    <t>MA-P, PR-G</t>
  </si>
  <si>
    <t xml:space="preserve">Off-Boarding </t>
  </si>
  <si>
    <t>Qualitätssicherung</t>
  </si>
  <si>
    <t>Überarbeitungsauftrag</t>
  </si>
  <si>
    <t>MA-P erstellt auf Basis von internem und externen Gutachten einen Überarbeitungsauftrag.</t>
  </si>
  <si>
    <t xml:space="preserve">Überarbeitung </t>
  </si>
  <si>
    <t>Der PR-A führt den Überarbeitungsauftrag durch und passt die Lehrmedien entsprechen an. Er kommentiert, was erledigt ist oder nimmt Stellung.</t>
  </si>
  <si>
    <t>Abgabe Überarbeitung</t>
  </si>
  <si>
    <t>PR-A liefert das überarbeitete Lerhmedium und PR-A überprüft.</t>
  </si>
  <si>
    <t>Feedback zur Überarbeitung</t>
  </si>
  <si>
    <t>MA-P gibt dem PR-A ein Feedback, ob er das Lehrmedium so annehmen kann oder ob PR-A noch was anpassen muss.</t>
  </si>
  <si>
    <t>Abnahme Lehrmedium</t>
  </si>
  <si>
    <t>MA-P nimmt das Lehrmedium ab und erteilt die Freigabe zur Rechnungsstellung</t>
  </si>
  <si>
    <t>Optimierung von PM</t>
  </si>
  <si>
    <t>MA-P optimiert das Lehrmedium</t>
  </si>
  <si>
    <t>Abrechnung PR-A</t>
  </si>
  <si>
    <t>PR-A schickt die Rechnung, MA-P prüft diese und gibt sie der Buchhaltung zur Bezahlung frei</t>
  </si>
  <si>
    <t>Endlayout</t>
  </si>
  <si>
    <t>MA-A bringt das Lehrmedium in das Endlayout</t>
  </si>
  <si>
    <t>Offboarding PR-A</t>
  </si>
  <si>
    <t xml:space="preserve">Ziele, Timeline &amp; Definintion </t>
  </si>
  <si>
    <t>welche Lehrmedien, etc?</t>
  </si>
  <si>
    <t>Aktivitäten Pm</t>
  </si>
  <si>
    <r>
      <rPr>
        <sz val="11"/>
        <color rgb="FF000000"/>
        <rFont val="Arial"/>
      </rPr>
      <t xml:space="preserve">Erstellen von Zugangsdaten für </t>
    </r>
    <r>
      <rPr>
        <b/>
        <sz val="11"/>
        <color rgb="FF000000"/>
        <rFont val="Arial"/>
      </rPr>
      <t>PR-A</t>
    </r>
    <r>
      <rPr>
        <sz val="11"/>
        <color rgb="FF000000"/>
        <rFont val="Arial"/>
      </rPr>
      <t xml:space="preserve"> </t>
    </r>
  </si>
  <si>
    <t>Ein MA-P möchte einem PR-A Zugriff auf den OnlineCampus geben. Er ruft die Person auf, legt einen Benutzernamen mit E-Mail an und aktiviert das Benutzerkonto.</t>
  </si>
  <si>
    <t xml:space="preserve">Die neue Person erhält eine E-Mail mit Zugangsdaten und kann sich im OC anmelden. </t>
  </si>
  <si>
    <t>Projekt im Projekt-Management-Tool anlegen</t>
  </si>
  <si>
    <t>MA-P legt im Projekt-Tool das Projekt an</t>
  </si>
  <si>
    <t>Lehrmaterialien-Skelette erstellen (WBT- / LS-Vorlage duplizieren, Autor freigeben)</t>
  </si>
  <si>
    <t>Der MA-P bereitet die LM vor und verlinkt sie zur Bearbeitung im Projekt.</t>
  </si>
  <si>
    <t>PR-A kann auf die WBTs zugreifen und diese bearbeiten.</t>
  </si>
  <si>
    <t>Skelette für Lehrmaterialpläne erstellen</t>
  </si>
  <si>
    <t>Der MA-P bereitet die LMP vor und verlinkt sie zur Bearbeitung im Projekt.</t>
  </si>
  <si>
    <t>MA-P bestimmt in den Lehrmaterialplänen die Inhalte der Bildungsphasen (als Basis der RLP)</t>
  </si>
  <si>
    <t>Der MA-P definiert die Inhalte und befüllt Grob- und Feinlernziele und die detaillierten Inhalte, mit dem die Lehrmaterialien befüllt werden sollen. Bei IHK-Produkten kann ein MA-A unterstützen, da der RLP im Lehrmaterialplan abgebildet wird.</t>
  </si>
  <si>
    <t>Übersicht der Grob- und Feinlernziele</t>
  </si>
  <si>
    <t>PR-A (Autor) sichtet und überarbeitet ggf. Lehrmaterialpläne</t>
  </si>
  <si>
    <t>PR-A sichtet die LMP, passt ggf. Inhalte, Titel, Struktur in Abstimmung mit MA-P an</t>
  </si>
  <si>
    <t>finale inhaltliche Gestaltung</t>
  </si>
  <si>
    <t>Skelette für LKF, Arbeiten, Prüfungen erstellen</t>
  </si>
  <si>
    <t>Der MA-P bereitet die LKF, Arbeiten, Prüfungen vor und verlinkt sie zur Bearbeitung im Projekt.</t>
  </si>
  <si>
    <t>Skelette für LOS-Planung erstellen</t>
  </si>
  <si>
    <t>Der MA-P bereitet die LOS-Vorlagen vor und verlinkt sie zur Bearbeitung im Projekt.</t>
  </si>
  <si>
    <t>Autor zum Projekt (oder Abschnitten) hinzufügen</t>
  </si>
  <si>
    <t xml:space="preserve">MA-P fügt PR-A zum Projekt und/oder zu einzelnen Abschnitten hinzu. </t>
  </si>
  <si>
    <t>Willkommens-Nachricht ins Projekt-Tool (Erster Pinnwandeintrag)</t>
  </si>
  <si>
    <t>MA-P schreibt die Willkommens-Nachricht ins Projekt-Tool</t>
  </si>
  <si>
    <t>Einarbeitungstermin durchführen</t>
  </si>
  <si>
    <t>MA und PR gehen in einem Meet gemeinsam das Projekt-Tool, deren Verwendung, die Vorlagen und Articulate-Rise durch</t>
  </si>
  <si>
    <t>PR verwendet das Projekttool und die Softwares korrekt.</t>
  </si>
  <si>
    <t>Timelines besprechen UND erste Timeline / nächsten Termin für den ersten Zwischenstand / Entwurf setzen (für die Leseprobe)</t>
  </si>
  <si>
    <t>Der MA-P setzt eine Timeline für den ersten Zwischenstand / Entwurf eines Kapitels / Lerneinheit. PR-A bekommt die Timeline als Projektabschnitt angezeigt.</t>
  </si>
  <si>
    <t>Meilensteine festlegen und Projektabschnitte einteilen</t>
  </si>
  <si>
    <t>PM erstellt die verschiedenen Projektabschnitte im Projekt. (mit einer Projekt-Vorlage?)
PM ruft das Projekt auf und erstellt die verschiedenen Abschnitte. System gibt eine Woche vor Ablauf Benachrichtigung per E-Mail.</t>
  </si>
  <si>
    <t>Timelines / Zwischenabgaben sind festgehalten</t>
  </si>
  <si>
    <r>
      <t xml:space="preserve">Schreibphase </t>
    </r>
    <r>
      <rPr>
        <b/>
        <sz val="11"/>
        <color rgb="FF0BBC85"/>
        <rFont val="Arial"/>
      </rPr>
      <t>(IV ÜBERWACHUNGS- UND STEUERUNGSPHASE)</t>
    </r>
  </si>
  <si>
    <t>Autor beginnt zu schreiben</t>
  </si>
  <si>
    <t>Kommentar (Text) an Projektpinnwand für PR-A</t>
  </si>
  <si>
    <t>Kommunikation mit externen Mitarbeitern. Kommentare an die Projektpinnwand schreiben. Hier sollten wir auch Links oder (Nice to have Bilder/ Videos) einfügen können.</t>
  </si>
  <si>
    <t>Der Kommentar erscheint auf der Pinnwand.</t>
  </si>
  <si>
    <t>Kommentar Text und Hyperlink an die Projektpinnwand pinnen</t>
  </si>
  <si>
    <t>Der MA-P möchte dem PR-A einen Text und einen Hyperlink (Link Rise, Synologie etc.) auf der Projektpinnwand setzen.</t>
  </si>
  <si>
    <t>Kommentar mit Screenshot an die Projektpinnwand pinnen</t>
  </si>
  <si>
    <t>Der MA-P möchte dem PR-A einen Text und einen Screenshot (z.B. von einem WBT Ausschnitt) auf die Projektpinnwand setzen.</t>
  </si>
  <si>
    <t>Pinnwandkommentar kommentieren / beantworten</t>
  </si>
  <si>
    <t>Der MA-P möchte auf einen bereits vorhandenen Kommentar mit einem "Unter-Kommentar" antworten.</t>
  </si>
  <si>
    <t>Der Kommentar erscheint unter dem bereits vorhandenen Kommentar auf der Pinnwand.</t>
  </si>
  <si>
    <t>Projektstatus anpassen</t>
  </si>
  <si>
    <t>Projekt(-abschnitt) ist "in Bearbeitung", "Ausstehend", "abgeschlossen", "in Überprüfung" und "ZFU"</t>
  </si>
  <si>
    <t>Der Projektstatus ist entsprechend angepasst und das Projekt wird beim entsprechenden Status angezeigt.</t>
  </si>
  <si>
    <t>Projektabschnitte zuordnen (im ELA)</t>
  </si>
  <si>
    <t>Der MA-P ordnet den Projektabschnitten die verantwortlichen PR-A oder PR-G zu.</t>
  </si>
  <si>
    <t>PR-A oder PR-G sehen den zugeordneten Projektabschnitt und können darauf zu greifen.</t>
  </si>
  <si>
    <t>Dokumente hochladen</t>
  </si>
  <si>
    <t>Wir oder externe Mitarbeiter können Dokumente hochladen und im Projekt speichern.</t>
  </si>
  <si>
    <t xml:space="preserve">Neue Versionen von Dokumenten </t>
  </si>
  <si>
    <t>Man kann neue Versionen von Dokumenten erstellen.</t>
  </si>
  <si>
    <t>Kommunikation im Projekt festhalten</t>
  </si>
  <si>
    <t>Telefonische bzw. mündliche Absprachen schriftlich im Projekt-Tool festhalten</t>
  </si>
  <si>
    <t>Erster Zwischenstand (Leseprobe sichten)</t>
  </si>
  <si>
    <t>MA-P, MA-A sichtet erste Lerneinheiten</t>
  </si>
  <si>
    <t xml:space="preserve">MA-P gibt PR-A eine Rückmeldung </t>
  </si>
  <si>
    <t>MA-P gibt dem PR-A Feedback zur Vorgehensweise. (Vorgabe: Meet?)</t>
  </si>
  <si>
    <t>PR-A arbeitet an LM</t>
  </si>
  <si>
    <t>PR-A schreibt die Lehrmaterialien</t>
  </si>
  <si>
    <t>Bei Bedarf regelmäßige Nachfrage, wie PR-A vorankommt</t>
  </si>
  <si>
    <t>MA-P bleibt mit PR-A in Kontakt</t>
  </si>
  <si>
    <r>
      <rPr>
        <sz val="11"/>
        <color rgb="FF000000"/>
        <rFont val="Arial"/>
      </rPr>
      <t xml:space="preserve">Erste Abgabe der LM </t>
    </r>
    <r>
      <rPr>
        <b/>
        <sz val="11"/>
        <color rgb="FF000000"/>
        <rFont val="Arial"/>
      </rPr>
      <t>(=Meilenstein)</t>
    </r>
  </si>
  <si>
    <t>PR-A hält die Timeline und gibt die LM ab</t>
  </si>
  <si>
    <t>BEGUTACHTUNG</t>
  </si>
  <si>
    <t>MA-P sichtet alle LM, Entscheidung ob Begutachtung starten kann</t>
  </si>
  <si>
    <t>MA-P überfliegt die LM und entscheidet, ob LM reif für Begutachtung oder ob PR-A nacharbeiten muss.</t>
  </si>
  <si>
    <t>Gutachten (extern)</t>
  </si>
  <si>
    <t>MA-P erstellt den GA-Vertrag</t>
  </si>
  <si>
    <t>MA-P erstellt mittels Vorlage den GA-Vertrag</t>
  </si>
  <si>
    <t>MA-P sendet den Vertrag zu</t>
  </si>
  <si>
    <t>MA-P überstellt den Vertrag an PR-G</t>
  </si>
  <si>
    <t>MA-P erhält den unterschriebenen Vertrag</t>
  </si>
  <si>
    <t>PR-G unterschreibt den Vertrag und sendet ihn an MA-P zurück</t>
  </si>
  <si>
    <t>MA-P unterschreibt den Vertrag selbst und sendet ihn an PR-G zurück</t>
  </si>
  <si>
    <t>MA-P speichert den unterschriebenen Vertrag auf dem Profil des PR-G</t>
  </si>
  <si>
    <t>MA-P speichert den unterschriebenen Vertrag im System und verknüpft ihn mit dem GA (und dem Projekt?)</t>
  </si>
  <si>
    <t>PR-G erhält Zugangsdaten</t>
  </si>
  <si>
    <t>MA-P stellt sicher, dass PR-G Zugangsdaten zum Projekt-Tool besitzt.</t>
  </si>
  <si>
    <t>MA-P erstellt die Vorlage Kurzgutachten</t>
  </si>
  <si>
    <t>MA-P erstellt via Synology Dokument die Vorlage Kurzgutachten für das LM</t>
  </si>
  <si>
    <t xml:space="preserve">MA-A erstellt die Review-Links (bei WBTs) </t>
  </si>
  <si>
    <t>MA-A erstellt in Articulate Rise die Review-Links für WBTs</t>
  </si>
  <si>
    <t>MA-A</t>
  </si>
  <si>
    <t>MA-A verlinken die Review-Links im Prüfbogen</t>
  </si>
  <si>
    <t>MA-A verlinkt die Review-Links in der Vorlage Kurzgutachten des Projekts</t>
  </si>
  <si>
    <t>MA-P übermittelt das Dokument Kurzgutachten an den PR-G</t>
  </si>
  <si>
    <t>Timeline im Projektabschnitt festhalten und PR-G hinzufügen</t>
  </si>
  <si>
    <t>MA-P ordnet den PR-G dem Projektabschnitt zu und hinterlegt die Timeline</t>
  </si>
  <si>
    <t>PR-G erstellt das GA</t>
  </si>
  <si>
    <t>Abschlussgespräch mit PR-G. Passt das so für MA-P? Kann das GA so weitergeleitet werden?</t>
  </si>
  <si>
    <t>MA-P bekommt das Gutachten zurück</t>
  </si>
  <si>
    <t>MA-P bekommt das Gutachten zurück, tauscht siche bei Fragen mit PR-G aus oder gibt eine Rückmeldung.</t>
  </si>
  <si>
    <t>MA-P gibt dem PR-G die Freigabe zur Rechnungserstellung</t>
  </si>
  <si>
    <t>PR-G schickt die Rechnung</t>
  </si>
  <si>
    <t>MA-P gibt die Rechnung frei und leitet sie an die Buchhaltung weiter</t>
  </si>
  <si>
    <t>MA-P, MA-B</t>
  </si>
  <si>
    <t>MA-P bedankt sich beim PR-G und schließt den Projektabschnitt ab</t>
  </si>
  <si>
    <t>Gutachten intern</t>
  </si>
  <si>
    <t>MA-P erstellt Meistertask für das interne Gutachten</t>
  </si>
  <si>
    <t>MA-P hinterlegt alle relevanten Dokumente &amp; Links</t>
  </si>
  <si>
    <t xml:space="preserve">Assitenz führt das interne Gutachten durch </t>
  </si>
  <si>
    <t>Assistenz gibt MA-P eine Rückmeldung</t>
  </si>
  <si>
    <t>MA-P gibt PR-A eine Rückmeldung beziehungsweise kommt das mit in den Überarbeitungsauftrag für das externe Gutachten</t>
  </si>
  <si>
    <t>MA-P prüft seine Punkte (siehe Checkliste)</t>
  </si>
  <si>
    <t>MA-P bereitet das interne und externe Gutachten auf und erstellt daraus den Überarbeitungsauftrag</t>
  </si>
  <si>
    <t>MA-P schaut über die Gutachten drüber und beurteilt, wie er es dem PR-A weitergibt.</t>
  </si>
  <si>
    <r>
      <rPr>
        <b/>
        <sz val="11"/>
        <color rgb="FF000000"/>
        <rFont val="Arial"/>
      </rPr>
      <t xml:space="preserve">Qualitätssicherung / Optimierungsphase </t>
    </r>
    <r>
      <rPr>
        <b/>
        <sz val="11"/>
        <color rgb="FF0BBC85"/>
        <rFont val="Arial"/>
      </rPr>
      <t>(neuer Name)</t>
    </r>
  </si>
  <si>
    <t>MA-P übermittelt dem PR-A den Überarbeitungsauftrag</t>
  </si>
  <si>
    <t>Stellungsnahme PR-A zum Überarbeitungsauftrag</t>
  </si>
  <si>
    <t>PR-A hat die Möglichkeit eine Stellung zum Überarbeitungsauftrag zu nehmen.</t>
  </si>
  <si>
    <t>PR-A überarbeitet die Lehrmaterialien</t>
  </si>
  <si>
    <t>PR-A prüft die Hinweise und überarbeitet, sofern nötig die Lernmaterialien</t>
  </si>
  <si>
    <t>Überarbeitungs-Betreuung siehe Betreuung in der Schreibphase</t>
  </si>
  <si>
    <t>Kommunikation zwischen PR-A und MA-P sowie MA-P und PR-G. MA-P vermittelt zwischen PR-G und PR-A, da diese keinen Kontakt miteinander haben sollen (Konfliktgefahr)</t>
  </si>
  <si>
    <t>MA-P, PR-A, PR-G</t>
  </si>
  <si>
    <t>PR-A übergibt an MA-P die überarbeiteten LM</t>
  </si>
  <si>
    <t>Rücklauf der bearbeiteten LM an MA-P</t>
  </si>
  <si>
    <t>MA-P sichtet Überarbeitungen</t>
  </si>
  <si>
    <t>MA-P sichtet und prüft die Überarbeitungen</t>
  </si>
  <si>
    <t>optional 2. Begutachtung durch Fachexperte</t>
  </si>
  <si>
    <r>
      <t>MA-P nimmt die Lehrmaterialien ab (</t>
    </r>
    <r>
      <rPr>
        <b/>
        <sz val="11"/>
        <color rgb="FFFF0000"/>
        <rFont val="Arial"/>
      </rPr>
      <t>MEILENSTEIN</t>
    </r>
    <r>
      <rPr>
        <sz val="11"/>
        <color theme="1"/>
        <rFont val="Calibri"/>
        <family val="2"/>
        <scheme val="minor"/>
      </rPr>
      <t>)</t>
    </r>
  </si>
  <si>
    <t>Rückmeldung an PR-A, dass die LM fertig gestellt sind und Bearbeitungsrechte entziehen</t>
  </si>
  <si>
    <t xml:space="preserve">Projekt Abrechnung Abrechnung </t>
  </si>
  <si>
    <t>MA-A ermittelt die Wortzahl und Grafiken für die Rechnungserstellung</t>
  </si>
  <si>
    <t>MA-P gibt den Arbeitsauftrag an MA-A Wortzahl und Grafiken pro PR-A zu ermitteln</t>
  </si>
  <si>
    <t>MA-P übermittelt Wortzahl &amp; Grafiken an PR-A</t>
  </si>
  <si>
    <t>Rückmeldung von MA-P an PR-A bezüglich Rechnungsstellung</t>
  </si>
  <si>
    <t>PR-A stellt die Rechnung gemäß Vertrag (bei ZFU erste Teilzahlung)</t>
  </si>
  <si>
    <t xml:space="preserve">PR-A stellt die Rechnung </t>
  </si>
  <si>
    <t xml:space="preserve">Rechnungen freigeben und hochladen </t>
  </si>
  <si>
    <t>PR-A gibt die Rechnung frei und lädt sie beim PR-A im Backend zur Dokumentation hoch</t>
  </si>
  <si>
    <t>MA-P leitet die Rechnung an Buchhaltung weiter</t>
  </si>
  <si>
    <t>Die Rechnung wird vom MA-P an die BH weitergeleitet mit der Bitte um Ausgleich</t>
  </si>
  <si>
    <t>Produktkosten übernehmen -&gt; machen wir aktuell nicht!</t>
  </si>
  <si>
    <t>MA-P trägt die projektbezogenen Kosten stetig im Projekt ein</t>
  </si>
  <si>
    <t xml:space="preserve">Medialer Contentphase </t>
  </si>
  <si>
    <t>Projekttool vorbereiten</t>
  </si>
  <si>
    <r>
      <rPr>
        <b/>
        <sz val="11"/>
        <color rgb="FF000000"/>
        <rFont val="Arial"/>
      </rPr>
      <t xml:space="preserve">Erstelungsphase </t>
    </r>
    <r>
      <rPr>
        <b/>
        <sz val="11"/>
        <color rgb="FF0BBC85"/>
        <rFont val="Arial"/>
      </rPr>
      <t>(IV ÜBERWACHUNGS- UND STEUERUNGSPHASE)</t>
    </r>
  </si>
  <si>
    <t>Lerhmaterialplan medialer Content erstellen</t>
  </si>
  <si>
    <t>Tabellenblatt im Projektplan befüllen mit dem geplanten 
medialen Content</t>
  </si>
  <si>
    <t>Vertrag medialer Content erstellen</t>
  </si>
  <si>
    <t>MA-P kopiert die Vorlage und erstellt einen Vertrag für den med. Content, PR-A unterschreibt, MA-P lädt unterschriebenen Vertrag hoch</t>
  </si>
  <si>
    <t>Video-Skripte erstellen</t>
  </si>
  <si>
    <t>MA-P bespricht medialen Content mit PR-A und lässt Video-Skripte 
erstellen, die dann in Powtoon umgesetzt werden</t>
  </si>
  <si>
    <t>Lerhmedium Probe: Qualitätssicherung und Sichtung der Skripte MA-P in Absprache mit MA-G. Rückmeldung an PR-A.</t>
  </si>
  <si>
    <t>Sichtung der Skripte und Qualität prüfen, Rückmeldung an PR-A.</t>
  </si>
  <si>
    <t>MA-P, MA-G, PR-A</t>
  </si>
  <si>
    <t>Sprechervideos erstellen lassen</t>
  </si>
  <si>
    <t>Kontakt aufnehmen zu entsprechenden Trainern, Inhalte besprechen und Videozubehör zusenden</t>
  </si>
  <si>
    <t>Kamera, Mikrofon und Leinwand verschicken</t>
  </si>
  <si>
    <t xml:space="preserve">Begutachtung </t>
  </si>
  <si>
    <t>interne Beguchtachtung der Skripte und Rückmeldung an PR-A</t>
  </si>
  <si>
    <t xml:space="preserve">Sichten &amp; Begutachten </t>
  </si>
  <si>
    <t>Abnahme (Meilenstein)</t>
  </si>
  <si>
    <t>Videos in LM und Produkt einbinden</t>
  </si>
  <si>
    <t>Der finale Content wird in den entsprechenden LM eingebunden</t>
  </si>
  <si>
    <t>Prozess beginnt neu bei der Erstellung, Gutachten, etc. folgen</t>
  </si>
  <si>
    <t>Themensammlung:</t>
  </si>
  <si>
    <t>Umgang mit internen Bewerbungen</t>
  </si>
  <si>
    <t>Use-Cases Geschäftsführungsebene bzw. Teamleiter ?</t>
  </si>
  <si>
    <t>Assistent*in der GF</t>
  </si>
  <si>
    <t>TN vor/während Ablegen der Prüfung/Arbeit</t>
  </si>
  <si>
    <t>TN nach  Ablegen der Prüfung/Arbeit</t>
  </si>
  <si>
    <t>Eingereichte Prüfungen aber noch nicht korrigiert</t>
  </si>
  <si>
    <t>Prüfung durch KO bewertet</t>
  </si>
  <si>
    <t>Zweitkorrektur</t>
  </si>
  <si>
    <t>Zweitversuch</t>
  </si>
  <si>
    <t>Antwort</t>
  </si>
  <si>
    <t>Offene Fragen Prüfungsleistungen</t>
  </si>
  <si>
    <t>1.1 TN-B2C</t>
  </si>
  <si>
    <t>Kopie der Prüfungsleistung an TN-B2C</t>
  </si>
  <si>
    <t>Erhält der TN-B2C nach Beantwortung der Prüfungsfragen eine Kopie von seinen Antworten
oder kann er diese einsehen?</t>
  </si>
  <si>
    <t>Keine Wiederholung möglich bei EP/EA</t>
  </si>
  <si>
    <r>
      <rPr>
        <sz val="11"/>
        <color rgb="FF000000"/>
        <rFont val="Arial"/>
      </rPr>
      <t xml:space="preserve">Falls der TN-B2C nicht besteht, wie wird er darauf aufmerksam gemacht, dass diese Art der
</t>
    </r>
    <r>
      <rPr>
        <sz val="11"/>
        <color theme="1"/>
        <rFont val="Calibri"/>
        <family val="2"/>
        <scheme val="minor"/>
      </rPr>
      <t>Prüfung nicht wiederholt werden kann?</t>
    </r>
  </si>
  <si>
    <t>Task Sabine</t>
  </si>
  <si>
    <t>Falsche Prüfungsleistung hochgeladen</t>
  </si>
  <si>
    <t>Wie erfährt der TN-B2C, dass er die falsche Prüfung hochgeladen hat? (Bsp. Falsches Dokument,
falsche Formatierung) Wie erkennt das System, dass es sich um eine falsche Prüfung handelt?</t>
  </si>
  <si>
    <t>Wiederholungsversuch AP/AA</t>
  </si>
  <si>
    <t>Wo und wie kann der TN-B2C einen Zweitversuch hochladen, sodass MA-SB2C ebenfalls in 
Kenntnis gesetzt wird, damit eine Zusatzgebühr angelegt werden kann?</t>
  </si>
  <si>
    <t>Einreichen der tAP</t>
  </si>
  <si>
    <t>Wie wird sichergestellt, dass die richtige Teilprüfung bei den tAP hochgeladen wurde?</t>
  </si>
  <si>
    <t>Wiederholungsversuch tAP</t>
  </si>
  <si>
    <t>Wie kann der TN-B2C einen Wiederholungstermin tAP buchen und wie wird MA-SB2C darüber 
informiert zwecks Gebührenberechnung?</t>
  </si>
  <si>
    <t>Unterschrift Prüfungslesitungen</t>
  </si>
  <si>
    <r>
      <rPr>
        <sz val="11"/>
        <color rgb="FF000000"/>
        <rFont val="Arial"/>
      </rPr>
      <t xml:space="preserve">Wird künftig bei Prüfungsleistungen eine Unterschrift des TN-B2C nötig sein und wenn ja,
wie wird das beim Hochladen kontrolliert, dass eine Unterschrift vorhanden ist?
Bestätigung durch Ankreuzen, dass TN-B2C die Prüfungsleistung in Eigenleistung abgelegt hat statt
</t>
    </r>
    <r>
      <rPr>
        <sz val="11"/>
        <color theme="1"/>
        <rFont val="Calibri"/>
        <family val="2"/>
        <scheme val="minor"/>
      </rPr>
      <t>Unterschrift</t>
    </r>
  </si>
  <si>
    <t>Mit Haken bestätigt</t>
  </si>
  <si>
    <t>Übungen</t>
  </si>
  <si>
    <t>Können TN künftig weiterhin Übungen in ela hochladen und werden diese vom TU korrigiert
kommentiert?</t>
  </si>
  <si>
    <t>Passiert in Lerngruppe Campus</t>
  </si>
  <si>
    <t>Lernkontrollfragen</t>
  </si>
  <si>
    <r>
      <rPr>
        <sz val="11"/>
        <color rgb="FF000000"/>
        <rFont val="Arial"/>
      </rPr>
      <t xml:space="preserve">Werden Lernkontrollfragen durch das System automatisch sofort wieder freigeschalten, wenn
TN nicht bestanden hat? Gehen diese auf Zeit und kann es zu Abbrüchen aufgrund von
</t>
    </r>
    <r>
      <rPr>
        <sz val="11"/>
        <color theme="1"/>
        <rFont val="Calibri"/>
        <family val="2"/>
        <scheme val="minor"/>
      </rPr>
      <t>Internetproblemen kommen wie bisher? Wie ist der Ablauf?</t>
    </r>
  </si>
  <si>
    <t>Sperrfrist und 
maximale Anzahl</t>
  </si>
  <si>
    <t>Abbruch EP/AP</t>
  </si>
  <si>
    <r>
      <rPr>
        <sz val="11"/>
        <color rgb="FF000000"/>
        <rFont val="Arial"/>
      </rPr>
      <t xml:space="preserve">Was passiert, wenn der TN-B2C die EP/AP abbricht, wird diese zwischengespeichert oder
</t>
    </r>
    <r>
      <rPr>
        <sz val="11"/>
        <color theme="1"/>
        <rFont val="Calibri"/>
        <family val="2"/>
        <scheme val="minor"/>
      </rPr>
      <t>muss diese erneut abgelegt werden?</t>
    </r>
  </si>
  <si>
    <t>Prüfungen laufen weiter, sobald begonnen und öffnen sich auch wieder</t>
  </si>
  <si>
    <t>EP/EA als Pflichtleistungen bei TN-B2C mit AFBG</t>
  </si>
  <si>
    <r>
      <rPr>
        <sz val="11"/>
        <color rgb="FF000000"/>
        <rFont val="Arial"/>
      </rPr>
      <t xml:space="preserve">Können EP/EA als Pflichtleistungen bei TN-B2C mit AFBG hinterlegt werden und wie wird sicher-
gestellt, dass TN-B2C diese vollständig ausfüllen und nicht halb leer abschicken, damit diese
</t>
    </r>
    <r>
      <rPr>
        <sz val="11"/>
        <color theme="1"/>
        <rFont val="Calibri"/>
        <family val="2"/>
        <scheme val="minor"/>
      </rPr>
      <t>als "eingereicht" gelten</t>
    </r>
  </si>
  <si>
    <t>wird durch Varianten definiert</t>
  </si>
  <si>
    <t>Minimale Zeichenlänge</t>
  </si>
  <si>
    <t>Upload Prüfungsleistung fehlgeschlagen</t>
  </si>
  <si>
    <r>
      <rPr>
        <sz val="11"/>
        <color rgb="FF000000"/>
        <rFont val="Arial"/>
      </rPr>
      <t xml:space="preserve">Wie wird der TN-B2C informiert bzw. wie erkennt ela, dass es einen Fehler beim Upload gab?
</t>
    </r>
    <r>
      <rPr>
        <sz val="11"/>
        <color theme="1"/>
        <rFont val="Calibri"/>
        <family val="2"/>
        <scheme val="minor"/>
      </rPr>
      <t>Setzt das System dann automatisch auf "nicht eingereicht"?</t>
    </r>
  </si>
  <si>
    <t>Max Miro</t>
  </si>
  <si>
    <t>Unvollständige EA/AA hochgeladen</t>
  </si>
  <si>
    <t>Kann TN-B2C das Dokument, das er eingereicht hat, ersetzen (Bsp. eine Seite vergessen)</t>
  </si>
  <si>
    <t>Korrektur ausstehend nach 14 Tagen</t>
  </si>
  <si>
    <t>Kann der TN-B2C den Korrektur-Status einsehen?</t>
  </si>
  <si>
    <t>sieht nur in Bearbeitung, das sollte reichen</t>
  </si>
  <si>
    <t>1.2 MA-SB2C</t>
  </si>
  <si>
    <t>Buchung eines Prüfungstermins tAP durch TN</t>
  </si>
  <si>
    <r>
      <rPr>
        <strike/>
        <sz val="11"/>
        <color rgb="FF000000"/>
        <rFont val="Arial"/>
      </rPr>
      <t xml:space="preserve">Wie wird MA-SB2C über die Buchung eines tAP-Termins beim TN informiert, speziell AZAV (da
</t>
    </r>
    <r>
      <rPr>
        <sz val="11"/>
        <color theme="1"/>
        <rFont val="Calibri"/>
        <family val="2"/>
        <scheme val="minor"/>
      </rPr>
      <t>hier die Buchung sichergestellt sein muss?)</t>
    </r>
  </si>
  <si>
    <t>Buchung eines Prüfungstermins tAP durch MA</t>
  </si>
  <si>
    <t>Kann MA-SB2C selbst einen Prüfungstermin für TN einbuchen für Proctorio?</t>
  </si>
  <si>
    <t>Wie kann MA-SB2C einsehen, dass es sich um einen Zweit- oder Drittversuch handelt?</t>
  </si>
  <si>
    <t>tAP Wiederholungsprüfung Proctorio</t>
  </si>
  <si>
    <r>
      <rPr>
        <sz val="11"/>
        <color rgb="FF000000"/>
        <rFont val="Arial"/>
      </rPr>
      <t xml:space="preserve">Wie wird sichergestellt, dass die TN einer Wiederholungsprüfung andere Prüfungsfragen
</t>
    </r>
    <r>
      <rPr>
        <sz val="11"/>
        <color theme="1"/>
        <rFont val="Calibri"/>
        <family val="2"/>
        <scheme val="minor"/>
      </rPr>
      <t>erhalten als beim vorherigen Versuch?</t>
    </r>
  </si>
  <si>
    <t>randomisieren , Task Max</t>
  </si>
  <si>
    <t>tAP Abgabe Proctorio</t>
  </si>
  <si>
    <r>
      <rPr>
        <strike/>
        <sz val="11"/>
        <color rgb="FF000000"/>
        <rFont val="Arial"/>
      </rPr>
      <t xml:space="preserve">Wer prüft, ob die tAP vollständig ist? Wie landet diese im Korrekturpool nach Absolvierung in
</t>
    </r>
    <r>
      <rPr>
        <sz val="11"/>
        <color theme="1"/>
        <rFont val="Calibri"/>
        <family val="2"/>
        <scheme val="minor"/>
      </rPr>
      <t>Proctorio</t>
    </r>
  </si>
  <si>
    <t>Korrektur fehlerhaft</t>
  </si>
  <si>
    <t>MA-SB2C stellt fest, dass Korrektur fehlerhaft ist, z. B. Note nicht richtig angetragen, Punkte-
vergabe nicht richtig, wie ist hier der Ablauf?</t>
  </si>
  <si>
    <t>ablehnen, sollte innerhalb 48h erneut eingehen.</t>
  </si>
  <si>
    <t>Fehlerhafte Einreichung einer EA/AA</t>
  </si>
  <si>
    <r>
      <rPr>
        <sz val="11"/>
        <color rgb="FF000000"/>
        <rFont val="Arial"/>
      </rPr>
      <t xml:space="preserve">Weist MA-SB2C den TN-B2C auf falsch eingereichtes Dokument hin? Wie kann etwas erneut hochge-
</t>
    </r>
    <r>
      <rPr>
        <sz val="11"/>
        <color theme="1"/>
        <rFont val="Calibri"/>
        <family val="2"/>
        <scheme val="minor"/>
      </rPr>
      <t>laden werden, wenn bereits etwas hochgeladen wurde?</t>
    </r>
  </si>
  <si>
    <t>Verkürzte Frist für Korrektur</t>
  </si>
  <si>
    <t>Wie wird KO über eine eilige Korrektur informiert? Wie ist hier der Ablauf?</t>
  </si>
  <si>
    <t>vom MA-PER via Ticket und manueller Zuweisung sowie personlichem Kontakt</t>
  </si>
  <si>
    <t>Was Prüfung ungültig setzen? Folgen davon?</t>
  </si>
  <si>
    <t>Kann wiederholt werden</t>
  </si>
  <si>
    <t>1.3 KO</t>
  </si>
  <si>
    <t>Prüfung wieder abgeben?</t>
  </si>
  <si>
    <t>KO kann/willl Korrektur nicht machen.</t>
  </si>
  <si>
    <t>Ticket an MA-PER solange Bewertung offen</t>
  </si>
  <si>
    <t>Rückfragen zur Korrektur</t>
  </si>
  <si>
    <t>Wie stellen?</t>
  </si>
  <si>
    <t>Ticket an MA-PER</t>
  </si>
  <si>
    <t>Abgelehnte Prüfungen erkennen?</t>
  </si>
  <si>
    <t>Wie erkenne ich abgelehtne Prüfungen mit der geringeren Frist?</t>
  </si>
  <si>
    <t>gar nicht muss Lösung her</t>
  </si>
  <si>
    <t xml:space="preserve">Offene Fragen Präsenzphasen Live-Webinare </t>
  </si>
  <si>
    <t>Mündlicher Prüfungstermin</t>
  </si>
  <si>
    <t>Wird dieser weiterhin im Rahmen eines Live-Webinars stattfinden oder gibt es hier eine separate
Möglichkeit der Buchung als extra Prüfungsleistung?</t>
  </si>
  <si>
    <t>Wiederholung mündlicher Prüfungstermin</t>
  </si>
  <si>
    <t>Bisher nicht geregelt, ebenfalls zwei Versuche? Wie erfolgt eine erneute Buchung?</t>
  </si>
  <si>
    <r>
      <rPr>
        <sz val="11"/>
        <color rgb="FF000000"/>
        <rFont val="Arial"/>
      </rPr>
      <t xml:space="preserve">Wo findet der TN-B2C künftig die Aufgabe für das Live-Webinar? TN-B2C kann Live-Webinar erst
</t>
    </r>
    <r>
      <rPr>
        <sz val="11"/>
        <color theme="1"/>
        <rFont val="Calibri"/>
        <family val="2"/>
        <scheme val="minor"/>
      </rPr>
      <t>buchen, wenn er bestätigt, dass er diese heruntergeladen hat und bearbeitet mitbringt</t>
    </r>
  </si>
  <si>
    <t>Warteliste Live-Webinar</t>
  </si>
  <si>
    <r>
      <rPr>
        <sz val="11"/>
        <color rgb="FF000000"/>
        <rFont val="Arial"/>
      </rPr>
      <t xml:space="preserve">Gibt es eine Warteliste für volle Live-Webinare oder eine Funktion, wie sich der TN über einen
</t>
    </r>
    <r>
      <rPr>
        <sz val="11"/>
        <color theme="1"/>
        <rFont val="Calibri"/>
        <family val="2"/>
        <scheme val="minor"/>
      </rPr>
      <t>neuen Termin informieren lassen kann?</t>
    </r>
  </si>
  <si>
    <t>Umbuchung/Stornierung eines Live-Webinars</t>
  </si>
  <si>
    <t>Kann der TN-B2C eigenständig Live-Webinare umbuchen/stornieren, wie wird dabei die Anlage
der Zusatzgebühr geregelt? Und gibt es ein Feld, wo der TN-B2C einen Nachweis (Bsp. AU) hochladen 
kann?</t>
  </si>
  <si>
    <t>Anerkannte Prüfungsleistungen</t>
  </si>
  <si>
    <r>
      <rPr>
        <sz val="11"/>
        <color rgb="FF000000"/>
        <rFont val="Arial"/>
      </rPr>
      <t xml:space="preserve">Wie kann man kenntlich machen, dass bspw. ein Live-Webinar nicht besucht werden muss,
</t>
    </r>
    <r>
      <rPr>
        <sz val="11"/>
        <color theme="1"/>
        <rFont val="Calibri"/>
        <family val="2"/>
        <scheme val="minor"/>
      </rPr>
      <t>da Prüfungsleistungen aus einem anderen Studium anerkannt wurden?</t>
    </r>
  </si>
  <si>
    <t>Teilnehmerliste</t>
  </si>
  <si>
    <r>
      <rPr>
        <sz val="11"/>
        <color rgb="FF000000"/>
        <rFont val="Arial"/>
      </rPr>
      <t xml:space="preserve">Wie erhält MA-SB2C künftig Teilnehmerlisten und wo wird festgehalten, welcher TN-B2C 
</t>
    </r>
    <r>
      <rPr>
        <sz val="11"/>
        <color theme="1"/>
        <rFont val="Calibri"/>
        <family val="2"/>
        <scheme val="minor"/>
      </rPr>
      <t xml:space="preserve">gefehlt hat? </t>
    </r>
  </si>
  <si>
    <t>Ablauf verpasstes Live-Webinar</t>
  </si>
  <si>
    <r>
      <rPr>
        <sz val="11"/>
        <color rgb="FF000000"/>
        <rFont val="Arial"/>
      </rPr>
      <t xml:space="preserve">Wenn ein Live-Webinar verpasst wurde durch TN-B2C, wird die Buchungsfunktion wieder 
</t>
    </r>
    <r>
      <rPr>
        <sz val="11"/>
        <color theme="1"/>
        <rFont val="Calibri"/>
        <family val="2"/>
        <scheme val="minor"/>
      </rPr>
      <t>freigeschalten oder muss der TN-B2C zunächst bezahlen?</t>
    </r>
  </si>
  <si>
    <r>
      <rPr>
        <sz val="11"/>
        <color rgb="FF000000"/>
        <rFont val="Arial"/>
      </rPr>
      <t xml:space="preserve">Wie wird MA-SB2C über eine Umbuchung/Stornierung seitens des TN informiert?
</t>
    </r>
    <r>
      <rPr>
        <sz val="11"/>
        <color theme="1"/>
        <rFont val="Calibri"/>
        <family val="2"/>
        <scheme val="minor"/>
      </rPr>
      <t>Da im Zweifel Gebühren abgelegt werden müssen in so einem Fall</t>
    </r>
  </si>
  <si>
    <t>Kio</t>
  </si>
  <si>
    <t>Ablauf Kio?</t>
  </si>
  <si>
    <t>Bemessungspriorität</t>
  </si>
  <si>
    <t>Indikator/Quelle</t>
  </si>
  <si>
    <t>Vor-/Rahmenbedingung/Eigenschaften</t>
  </si>
  <si>
    <t>Erläurterung</t>
  </si>
  <si>
    <t>Keine, respektive Recherche und Kenntnis um Veröffentlichungszeitpunktund -ort.</t>
  </si>
  <si>
    <t>Jährliche Bekanntgabe der Förderschwerpunkte, sowohl der abschluss- als auch weiterbildungsorientierten Bildungsziele. Häufig auch Ergebnisorientiert, d.h. nach §§ 81 oder 45 SGB III, wenn BA und JC gemeinsam veröffentlichen.</t>
  </si>
  <si>
    <t>persönlicher Kontakt mit den Weiterbildungsverantwortlichen (z.B. FbW-Koordinatoren, Bereichsleitung oder TL M&amp;I, AGS, QB, BBiE) der Kostenträger</t>
  </si>
  <si>
    <t>Antizipierung relevanter Kontakte, passende Kontaktaufnahme/geeignete Pflege. Dies setzen Kenntnis des regionalen AM voraus. Außerdem regional interessantes Angebot im bestehenden Portfolio und dessen geeignete Darstellungsform (z.B. themenbezogene Flyer u.a. als Türöffner). Hinzu kommt Kenntnis um die Arbeitsweisen der BA/JC (rechtliche, Strukturen, tlw. EDV-Verfahren, Termini etc.).</t>
  </si>
  <si>
    <t>Hierunter lässt sich einerseits der persönliche Austausch kategorisieren (bestehende Kontakte aktivieren/aktive Kontaktaufnahme über die spez. Kontaktadressen, die häufig i.R. der Bildungszielplanungen veröffentlicht werden, z.B. aus Anlass Katalog-/Flyerversand und/oder Wunsch nach Austausch). Es existiert ein von mir ständig erweiterter E-Mail-Verteiler. Andrerseits die daraus ggf. resultierenden Möglichkeiten zu Besuchen vor Ort, zur Teilnahme an Messen und den Trägerkonferenzen der regionalen Kostenträger. Auf letzteren werden die regionalen Förderschwerpunkte vorab vorgestellt, die dann i.R.d. BZP einmal p.a., i.d.R. im 4. bis 1. Quartal, veröffentlicht werden.</t>
  </si>
  <si>
    <t xml:space="preserve">Anamnese des relevanten Angebots der Konkurrenz </t>
  </si>
  <si>
    <t xml:space="preserve">Kenntnisse der Branche sowie der thematischen Schwerpunkte/Expertise der Mitbewerber. </t>
  </si>
  <si>
    <t>Besuch der Infoveranstaltungen von Kammern und andere Fachveranstaltungen</t>
  </si>
  <si>
    <t>Generierung entsprechender Einladung, z.B. durch persönliche Kontakte/aktive Recherche und Anmeldung. Anamnese regionaler und thematischer Relevanz i.V.m. (Er-)Kenntnis des regionalen Potenzials.</t>
  </si>
  <si>
    <t>Analyse von Stellenbörsen (Jobbezeichnung)</t>
  </si>
  <si>
    <t>Antizipierung der relevanten Portale und geeignete Suchsystematik (Profil, Softskills, Qualifikationen etc.).</t>
  </si>
  <si>
    <t>Suche mit Berufsbezeichnung und alternativen Begriffen (bspw. Kfm. für Büromanagement und kfm. Mitarbeiter oder Logistiker und FK für Lagerlogistik etc.) von Relevanz und auf vgl. Level/mit ähnlichem Tätigkeitsspektrum. Z.B. bei Stepstone, Indeed, Jobware, IMMER auch der Jobbörse der BA. Bei relevanten Berufsgruppen/Inhalten, auch Portale für den öffentlichen Bereich, z.B. Interamt oder Bund.de.</t>
  </si>
  <si>
    <t>Analyse von Stellenbörsen (Kompetenzen)</t>
  </si>
  <si>
    <t>Suche i.R.d. Stellengesuche z.B. bei Stepstone, Indeed, IMMER auch der Jobbörse der BA oder Jobware. Bei relevanten Berufsgruppen/Inhalten auch Portale für den öffentlichen Bereich, z.B. Interamt oder Bund.de, welche methodischen Kompetenzen/Kenntnisse, Zusatzqual. die Jobs verlangen, z.B. QM oder agiles Projektmanagement oder interkulturelle bzw. Sprachen etc.</t>
  </si>
  <si>
    <t>Aufwändig, setzt analytische Kompetenz sowie Kenntnis des Umgangs mit den Tools voraus. Zudem bereits ein Gespür für Entwicklungen/Trends (Hypothesen), die durch Zahlen/Daten empirisch untermauert werden. Hinzu kommt deren regionalspezifische Differenzierung bzw. Schlussfolgerung.</t>
  </si>
  <si>
    <t>Div. Statistiken, wie Fachkräfteengpassanalyse etc.</t>
  </si>
  <si>
    <t>Setzt mitunter bereits ein Gespür für Entwicklungen/Trends (Hypothesen) voraus bzw. Textexegese. Zudem auch analytische Kompetenz sowie Kenntnis von Erhebungs- und Auswertungsmethoden, um Setting nachzuvollziehen.</t>
  </si>
  <si>
    <t>Kennzahlen Arbeitsmarkt und Soziales</t>
  </si>
  <si>
    <t>Feldbeobachtung</t>
  </si>
  <si>
    <t xml:space="preserve">Geeignetes Netzwerk (Personenkreis/Größe), realistische Einschätzung der Aussagekraft, Vermeidung eines Selection Bias. </t>
  </si>
  <si>
    <t>Welche Stellengesuche werden z.B. bei LinkedIn gepostet, bzw. was suchen die Personen im Netzwerk/welche Profile suchen einen neuen Job, welche neuen Jobs geben sie bekannt bzw. welche Zertifikate haben sie erworben oder welche Weiterbildungen erfolgreich abgeschlossen (Cluster).</t>
  </si>
  <si>
    <t>5
(perspektivisch;
 Entwicklung unter Beobachtung)</t>
  </si>
  <si>
    <r>
      <rPr>
        <b/>
        <sz val="11"/>
        <color rgb="FF000000"/>
        <rFont val="Arial"/>
      </rPr>
      <t>Gesuche von AGs (und ANs) nach Weiterbildungen zur Förderung via QCG</t>
    </r>
    <r>
      <rPr>
        <sz val="11"/>
        <color rgb="FF000000"/>
        <rFont val="Arial"/>
      </rPr>
      <t xml:space="preserve"> 
(Bei vielen AG/AN derzeit noch weitgehend unbekannt bzw. noch wenig in Anspruch genommen (=&gt;für mich der "missing Link" AZAV-B2B, insbesondere durch Flexibilität der Fernlehre für Unternehmen und AN.)</t>
    </r>
  </si>
  <si>
    <t>Identifikation relevanter Wirtschaftsräume, Ausbau der entsprechenden Portale der BA und Frequentierung der AG geeignete Analysekompetenz, welche Regionen qualitativ/quantitativ die entsprechenden Portfolioentwicklungen sinnvoll machen i.V.m. geeigneten Transportmedien/Infomaterialien für AN/AG sowie rechtliche Kompetenz.</t>
  </si>
  <si>
    <t>6
((derzeit) irrelevant)</t>
  </si>
  <si>
    <t>aktuelle Ausschreibungen der Kostenträger</t>
  </si>
  <si>
    <r>
      <rPr>
        <sz val="11"/>
        <color rgb="FF000000"/>
        <rFont val="Arial"/>
      </rPr>
      <t>Kenntnis und Umgang mit einschlägigen Portalen, Kenntnis der Besonderheiten (rechtlich/Zielgruppe/regional, Besonderheiten von Vergabeunterlagen), Wille, in MN nach § 45 SGB III bzw. § 16... SGB II einzusteigen und entsprechende Infrastruktur ((ptl. Online-)</t>
    </r>
    <r>
      <rPr>
        <b/>
        <u/>
        <sz val="11"/>
        <color rgb="FF000000"/>
        <rFont val="Arial"/>
      </rPr>
      <t>Präsenz</t>
    </r>
    <r>
      <rPr>
        <sz val="11"/>
        <color rgb="FF000000"/>
        <rFont val="Arial"/>
      </rPr>
      <t>) sowie Inhalte und Personalstruktur (Personenbezogen, z.B. Coachings, Bewerbungstrainings und einschlägige (sozialpädagogische und vgl.) Personalprofile).</t>
    </r>
  </si>
  <si>
    <t>Fazit:</t>
  </si>
  <si>
    <r>
      <rPr>
        <sz val="11"/>
        <color rgb="FF000000"/>
        <rFont val="Arial"/>
      </rPr>
      <t xml:space="preserve">
1. Arbeitsmarktkenntnisse sowie eine (empirische) analytische sozioökonomische Kompetenz, Kenntnis relevanter Quellen, vorhandene Kontakte und rechtliches (SGBs II und III) sowie das Wissen um berufl. Inhalte und Alternativen ist unabdingbar, um die Marktrelevanz detailliert zu erfassen. Idealerweise ist zudem Zielgruppenerfahrung und die Fähigkeit, deren Heterogenität und spez. Anforderungen zu bewerten, vorhanden. Hinzu kommt ein logischer/vorausschauender Umgang mit konjunkturellen, politischen und strukturellen Entscheidungen/Entwicklungen. Zudem die logische Erweiterung des Portfolios, z.B. ein Umschüler im Büromanagement =&gt; je nach aktueller Tätigkeit (Branche), die wir aus der Alumnusbefragung, zu deren Gestaltung ich umseitig ebenfalls einen ausführlichen Vorschlag aufgesetzt habe, können wir ablesen, welche Weiterbildungen funktionieren, welche Anschlussqualifizierung, z.B. i.R.d. QCG über den AG, sinnvoll sein könnten  bzw. im Falle einer erneuten Alo (z.B. Alumnus Büromgmt. in bis dato in vertriebslastiger Branche tätig =&gt; Angebot E-Commerce/Vertrieb) oder auch im Selbstzahlerfall (z.B. passender Fachwirt).
2. Aufgrund der Komplexität infolge der Beteiligung multipler Faktoren sollte anstatt einer punktuellen Relevanzprüfung bereits entwickelter Weiterbildungen (Aufwand, Ressourcenverschwendung), eine Umsetzung eines validen Planes (Jahresplanung) erfolgen, in den alle (o.g.) Faktoren anhand einer ganzheitlichen Betrachtung bereits eingeflossen sind. Anhand derer sollte die Produktentwicklung priorisiert festgelegt werden und anstelle der nachträglichen Relevanzprüfung treten. So können (müssen) auch Varianzen bzgl. der Marktrelevanz sowie (massive) Diskrepanzen von ZFU- i.V. zur AZAV-Zulassung einer, originär als Selbstzahlerprodukt  infolge subjektiver Wahrnehmung geplanten Produktentwicklung, reduziert bzw. vermieden werden. Vor allem sollte der Versuch, Produkte nachträglich durch AZAV-Relevanzbescheinigung zu legitimieren und somit einen problematischen (und leider durchaus ergebnisoffenen/umständlichen) Zulassungsprozess einzuleiten, aufhören.
3. Hinzu kommt die Notwendigkeit einer Anamnese, welche Zielgruppenpotenziale die Inhalte ansprechen, also nicht nur quantitativ, sondern auch, welchen Anforderungen infolge des Angebots gerecht geworden werden muss. Z.B. ein Angebot, das sich primär an Akad. richtet, hat pot. eine (deutlich) geringere Abbruchquote, eine höhere (und schnellere) Erfolgs- und Integrationsquote. Dagegen ist es mitunter, themenabhängig, schwer (inhaltlich geeignete) und/oder teurer, Tutoren/Dozenten zu finden. Zudem haben die TN einen höheren Anspruch an Niveau und Kompetenz sowie oft klare inhaltliche Vorstellungen und Ziele und kommunizieren diese aktiv und fordernd etc. Prinzipiell gilt, im AZAV-Bereich muss das Lehrpersonal fachlich, pädagogisch und praktisch geeignet sein.
</t>
    </r>
    <r>
      <rPr>
        <b/>
        <u/>
        <sz val="11"/>
        <color rgb="FF000000"/>
        <rFont val="Arial"/>
      </rPr>
      <t>GENERELL gilt, bzgl. des Stellenwertes der geförderten Weiterbildung im Gesamtkontext sollte stets hinterfragt werden:</t>
    </r>
    <r>
      <rPr>
        <sz val="11"/>
        <color rgb="FF000000"/>
        <rFont val="Arial"/>
      </rPr>
      <t xml:space="preserve">
-Wer hat die Zeit, eine Weiterbildung zu absolvieren und sollte vakante Zeiten sinnvoll nutzen?
-Wer hat das Geld, da er gefördert wird bzw. die (höheren vgl. Selbstzahler) Kosten nicht zu tragen hat (zudem sind die Kalkulationsgrundlagen/-parameter aufgrund des B-DKS bekannt)?
-Wer hat den finanziellen Anreiz, nämlich die Verlängerung des Anspruchs (SGB III) bzw. Boni bei Weiterbildung (SGB II)?
-Wer hat den Druck, Qualifikationen anzupassen, aus- oder aufzubauen um (wieder) wettbewerbsfähig(er) zu sein?
</t>
    </r>
    <r>
      <rPr>
        <b/>
        <sz val="11"/>
        <color rgb="FF000000"/>
        <rFont val="Arial"/>
      </rPr>
      <t>=&gt;Dies ist (i.d.R.) immer der Arbeitslose.</t>
    </r>
  </si>
  <si>
    <t>Bsp. Jahresplanung DeLSt für 2023:</t>
  </si>
  <si>
    <r>
      <rPr>
        <sz val="11"/>
        <color rgb="FF00F9F9"/>
        <rFont val="Arial"/>
      </rPr>
      <t xml:space="preserve">[Use-Case] </t>
    </r>
    <r>
      <rPr>
        <sz val="11"/>
        <color rgb="FF000000"/>
        <rFont val="Arial"/>
      </rPr>
      <t>"Mutter-Meister-Task" anlegen</t>
    </r>
  </si>
  <si>
    <t>KERNPROZESS: PRODUKT(NEU)ENTWICKLUNG</t>
  </si>
  <si>
    <t>I. INITIIERUNGSPHASE</t>
  </si>
  <si>
    <r>
      <rPr>
        <sz val="11"/>
        <color rgb="FF00F9F9"/>
        <rFont val="Arial"/>
      </rPr>
      <t xml:space="preserve">[Use-Case] </t>
    </r>
    <r>
      <rPr>
        <sz val="11"/>
        <color rgb="FF000000"/>
        <rFont val="Arial"/>
      </rPr>
      <t>"Mutter-Meister-Task" Meister-Task-Projekt Initiierungsphase verschieben</t>
    </r>
  </si>
  <si>
    <r>
      <rPr>
        <sz val="11"/>
        <color rgb="FF00F9F9"/>
        <rFont val="Arial"/>
      </rPr>
      <t xml:space="preserve">[Use-Case] </t>
    </r>
    <r>
      <rPr>
        <sz val="11"/>
        <color theme="1"/>
        <rFont val="Calibri"/>
        <family val="2"/>
        <scheme val="minor"/>
      </rPr>
      <t xml:space="preserve">Ordnerstruktur  erstellen </t>
    </r>
  </si>
  <si>
    <r>
      <rPr>
        <sz val="11"/>
        <color rgb="FF00F9F9"/>
        <rFont val="Arial"/>
      </rPr>
      <t>[Use-Case]</t>
    </r>
    <r>
      <rPr>
        <sz val="11"/>
        <color theme="1"/>
        <rFont val="Calibri"/>
        <family val="2"/>
        <scheme val="minor"/>
      </rPr>
      <t xml:space="preserve"> Produktplan ersellen </t>
    </r>
  </si>
  <si>
    <t xml:space="preserve">Abspache im Abteilungs Jour fix </t>
  </si>
  <si>
    <t xml:space="preserve">Projekt Initiierung </t>
  </si>
  <si>
    <t>Bedarf Lehrmedien</t>
  </si>
  <si>
    <t xml:space="preserve">aus der Produktentwicklung entsteht ein Bedarf an Lehrmedien </t>
  </si>
  <si>
    <t xml:space="preserve">Projekt Planung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</si>
</sst>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quot;.&quot;m"/>
  </numFmts>
  <fonts count="85" x14ac:knownFonts="1">
    <font>
      <sz val="11"/>
      <color theme="1"/>
      <name val="Calibri"/>
      <family val="2"/>
      <scheme val="minor"/>
    </font>
    <font>
      <b/>
      <sz val="10"/>
      <name val="Calibri"/>
    </font>
    <font>
      <sz val="10"/>
      <name val="Calibri"/>
    </font>
    <font>
      <b/>
      <sz val="12"/>
      <name val="Calibri"/>
    </font>
    <font>
      <strike/>
      <sz val="10"/>
      <name val="Calibri"/>
    </font>
    <font>
      <b/>
      <strike/>
      <sz val="10"/>
      <name val="Calibri"/>
    </font>
    <font>
      <sz val="10"/>
      <name val="Calibri"/>
    </font>
    <font>
      <sz val="10"/>
      <color rgb="FFFF0000"/>
      <name val="Calibri"/>
    </font>
    <font>
      <b/>
      <sz val="10"/>
      <color rgb="FFFF0000"/>
      <name val="Calibri"/>
    </font>
    <font>
      <b/>
      <sz val="16"/>
      <name val="Calibri"/>
    </font>
    <font>
      <sz val="10"/>
      <color rgb="FF000000"/>
      <name val="Calibri"/>
    </font>
    <font>
      <sz val="10"/>
      <color rgb="FF00B23B"/>
      <name val="Calibri"/>
    </font>
    <font>
      <i/>
      <sz val="10"/>
      <color rgb="FF00B23B"/>
      <name val="Calibri"/>
    </font>
    <font>
      <b/>
      <sz val="10"/>
      <color rgb="FF000000"/>
      <name val="Calibri"/>
    </font>
    <font>
      <b/>
      <i/>
      <sz val="10"/>
      <color rgb="FF000000"/>
      <name val="Calibri"/>
    </font>
    <font>
      <i/>
      <sz val="10"/>
      <color rgb="FF000000"/>
      <name val="Calibri"/>
    </font>
    <font>
      <sz val="10"/>
      <color rgb="FF000000"/>
      <name val="Arial"/>
    </font>
    <font>
      <b/>
      <sz val="8"/>
      <name val="Calibri"/>
    </font>
    <font>
      <b/>
      <sz val="10"/>
      <color rgb="FF000000"/>
      <name val="Arial"/>
    </font>
    <font>
      <b/>
      <sz val="10"/>
      <color rgb="FFD30E91"/>
      <name val="Calibri"/>
    </font>
    <font>
      <strike/>
      <sz val="10"/>
      <color rgb="FF000000"/>
      <name val="Calibri"/>
    </font>
    <font>
      <b/>
      <sz val="11"/>
      <name val="Calibri"/>
    </font>
    <font>
      <b/>
      <sz val="14"/>
      <name val="Calibri"/>
    </font>
    <font>
      <b/>
      <sz val="10"/>
      <color rgb="FF0BBC85"/>
      <name val="Calibri"/>
    </font>
    <font>
      <sz val="10"/>
      <color rgb="FF0BBC85"/>
      <name val="Calibri"/>
    </font>
    <font>
      <b/>
      <sz val="11"/>
      <color rgb="FF000000"/>
      <name val="Calibri"/>
    </font>
    <font>
      <b/>
      <sz val="16"/>
      <color rgb="FFFF0000"/>
      <name val="Calibri"/>
    </font>
    <font>
      <sz val="12"/>
      <name val="Calibri"/>
    </font>
    <font>
      <sz val="10"/>
      <color rgb="FF313537"/>
      <name val="Calibri"/>
    </font>
    <font>
      <u/>
      <sz val="10"/>
      <color rgb="FFFF0000"/>
      <name val="Arial"/>
    </font>
    <font>
      <sz val="10"/>
      <color rgb="FFFF0000"/>
      <name val="Arial"/>
    </font>
    <font>
      <b/>
      <strike/>
      <sz val="10"/>
      <color rgb="FF000000"/>
      <name val="Calibri"/>
    </font>
    <font>
      <sz val="9"/>
      <color rgb="FF313537"/>
      <name val="Calibri"/>
    </font>
    <font>
      <b/>
      <sz val="16"/>
      <color rgb="FF000000"/>
      <name val="Calibri"/>
    </font>
    <font>
      <strike/>
      <sz val="10"/>
      <color rgb="FFFF0000"/>
      <name val="Calibri"/>
    </font>
    <font>
      <b/>
      <sz val="18"/>
      <color rgb="FFFF0000"/>
      <name val="Calibri"/>
    </font>
    <font>
      <sz val="11"/>
      <name val="Calibri"/>
    </font>
    <font>
      <b/>
      <sz val="11"/>
      <color rgb="FF0BBC85"/>
      <name val="Calibri"/>
    </font>
    <font>
      <b/>
      <sz val="12"/>
      <color rgb="FF0BBC85"/>
      <name val="Calibri"/>
    </font>
    <font>
      <sz val="12"/>
      <color rgb="FFFF0000"/>
      <name val="Calibri"/>
    </font>
    <font>
      <sz val="12"/>
      <color rgb="FF333333"/>
      <name val="Arial"/>
    </font>
    <font>
      <sz val="10"/>
      <color rgb="FF0078FF"/>
      <name val="Calibri"/>
    </font>
    <font>
      <sz val="10"/>
      <color rgb="FFD30E91"/>
      <name val="Calibri"/>
    </font>
    <font>
      <b/>
      <sz val="10"/>
      <name val="Calibri"/>
    </font>
    <font>
      <b/>
      <sz val="10"/>
      <color rgb="FF0078FF"/>
      <name val="Calibri"/>
    </font>
    <font>
      <sz val="10"/>
      <color rgb="FF2E3133"/>
      <name val="Calibri"/>
    </font>
    <font>
      <b/>
      <sz val="10"/>
      <color rgb="FF2E3133"/>
      <name val="Calibri"/>
    </font>
    <font>
      <b/>
      <sz val="18"/>
      <name val="Calibri"/>
    </font>
    <font>
      <sz val="12"/>
      <color rgb="FF000000"/>
      <name val="Arial"/>
    </font>
    <font>
      <sz val="10"/>
      <color rgb="FFFFB973"/>
      <name val="Calibri"/>
    </font>
    <font>
      <sz val="14"/>
      <name val="Calibri"/>
    </font>
    <font>
      <b/>
      <u/>
      <sz val="24"/>
      <color rgb="FF000000"/>
      <name val="Arial"/>
    </font>
    <font>
      <b/>
      <sz val="12"/>
      <color rgb="FFFFFFFF"/>
      <name val="Calibri"/>
    </font>
    <font>
      <b/>
      <sz val="10"/>
      <color rgb="FFE545B0"/>
      <name val="Calibri"/>
    </font>
    <font>
      <sz val="10"/>
      <color rgb="FF212529"/>
      <name val="Arial"/>
    </font>
    <font>
      <sz val="10"/>
      <color rgb="FF212529"/>
      <name val="Calibri"/>
    </font>
    <font>
      <b/>
      <sz val="10"/>
      <color rgb="FF7E5CE5"/>
      <name val="Calibri"/>
    </font>
    <font>
      <b/>
      <sz val="10"/>
      <color rgb="FF4176CC"/>
      <name val="Calibri"/>
    </font>
    <font>
      <sz val="10"/>
      <color rgb="FFD30E91"/>
      <name val="Arial"/>
    </font>
    <font>
      <u/>
      <sz val="11"/>
      <color rgb="FF0000FF"/>
      <name val="Calibri"/>
      <family val="2"/>
      <scheme val="minor"/>
    </font>
    <font>
      <b/>
      <u/>
      <sz val="12"/>
      <color rgb="FF0000FF"/>
      <name val="Calibri"/>
    </font>
    <font>
      <u/>
      <sz val="10"/>
      <color rgb="FF0000FF"/>
      <name val="Calibri"/>
    </font>
    <font>
      <b/>
      <u/>
      <sz val="10"/>
      <color rgb="FF0000FF"/>
      <name val="Calibri"/>
    </font>
    <font>
      <u/>
      <sz val="10"/>
      <color rgb="FF0000FF"/>
      <name val="Arial"/>
    </font>
    <font>
      <b/>
      <sz val="12"/>
      <color rgb="FF000000"/>
      <name val="Arial"/>
    </font>
    <font>
      <b/>
      <sz val="11"/>
      <color rgb="FF000000"/>
      <name val="Arial"/>
    </font>
    <font>
      <sz val="11"/>
      <color rgb="FF000000"/>
      <name val="Arial"/>
    </font>
    <font>
      <sz val="11"/>
      <color rgb="FFFF0000"/>
      <name val="Arial"/>
    </font>
    <font>
      <b/>
      <sz val="11"/>
      <color rgb="FFFF0000"/>
      <name val="Arial"/>
    </font>
    <font>
      <b/>
      <sz val="12"/>
      <color rgb="FFFA9C3E"/>
      <name val="Arial"/>
    </font>
    <font>
      <strike/>
      <sz val="11"/>
      <color rgb="FF000000"/>
      <name val="Arial"/>
    </font>
    <font>
      <sz val="11"/>
      <color rgb="FFD30E91"/>
      <name val="Arial"/>
    </font>
    <font>
      <sz val="11"/>
      <color rgb="FF0078FF"/>
      <name val="Arial"/>
    </font>
    <font>
      <b/>
      <sz val="11"/>
      <color rgb="FFD30E91"/>
      <name val="Arial"/>
    </font>
    <font>
      <b/>
      <sz val="11"/>
      <color rgb="FF0078FF"/>
      <name val="Arial"/>
    </font>
    <font>
      <b/>
      <sz val="11"/>
      <color rgb="FF7E5CE5"/>
      <name val="Arial"/>
    </font>
    <font>
      <b/>
      <sz val="11"/>
      <color rgb="FF4176CC"/>
      <name val="Arial"/>
    </font>
    <font>
      <sz val="11"/>
      <color rgb="FF7E5CE5"/>
      <name val="Arial"/>
    </font>
    <font>
      <b/>
      <sz val="11"/>
      <color rgb="FFFFB973"/>
      <name val="Arial"/>
    </font>
    <font>
      <b/>
      <sz val="11"/>
      <color rgb="FFFA7D00"/>
      <name val="Arial"/>
    </font>
    <font>
      <b/>
      <strike/>
      <sz val="11"/>
      <color rgb="FF000000"/>
      <name val="Arial"/>
    </font>
    <font>
      <sz val="11"/>
      <color rgb="FF0BBC85"/>
      <name val="Arial"/>
    </font>
    <font>
      <b/>
      <sz val="11"/>
      <color rgb="FF0BBC85"/>
      <name val="Arial"/>
    </font>
    <font>
      <b/>
      <u/>
      <sz val="11"/>
      <color rgb="FF000000"/>
      <name val="Arial"/>
    </font>
    <font>
      <sz val="11"/>
      <color rgb="FF00F9F9"/>
      <name val="Arial"/>
    </font>
  </fonts>
  <fills count="42">
    <fill>
      <patternFill patternType="none"/>
    </fill>
    <fill>
      <patternFill patternType="gray125"/>
    </fill>
    <fill>
      <patternFill patternType="solid">
        <fgColor rgb="FF7B8187"/>
      </patternFill>
    </fill>
    <fill>
      <patternFill patternType="solid">
        <fgColor rgb="FFC4F5D4"/>
      </patternFill>
    </fill>
    <fill>
      <patternFill patternType="solid">
        <fgColor rgb="FF0078FF"/>
      </patternFill>
    </fill>
    <fill>
      <patternFill patternType="solid">
        <fgColor rgb="FFCCE6FF"/>
      </patternFill>
    </fill>
    <fill>
      <patternFill patternType="solid">
        <fgColor rgb="FFE2D9FF"/>
      </patternFill>
    </fill>
    <fill>
      <patternFill patternType="solid">
        <fgColor rgb="FFFFF2CC"/>
      </patternFill>
    </fill>
    <fill>
      <patternFill patternType="solid">
        <fgColor rgb="FFFFB973"/>
      </patternFill>
    </fill>
    <fill>
      <patternFill patternType="solid">
        <fgColor rgb="FFD30E91"/>
      </patternFill>
    </fill>
    <fill>
      <patternFill patternType="solid">
        <fgColor rgb="FFFFFFFF"/>
      </patternFill>
    </fill>
    <fill>
      <patternFill patternType="solid">
        <fgColor rgb="FFE73458"/>
      </patternFill>
    </fill>
    <fill>
      <patternFill patternType="solid">
        <fgColor rgb="FF000000"/>
      </patternFill>
    </fill>
    <fill>
      <patternFill patternType="solid">
        <fgColor rgb="FFD0D4D9"/>
      </patternFill>
    </fill>
    <fill>
      <patternFill patternType="solid">
        <fgColor rgb="FF0BBC85"/>
      </patternFill>
    </fill>
    <fill>
      <patternFill patternType="solid">
        <fgColor rgb="FFC9DAF8"/>
      </patternFill>
    </fill>
    <fill>
      <patternFill patternType="solid">
        <fgColor rgb="FFFFCCCC"/>
      </patternFill>
    </fill>
    <fill>
      <patternFill patternType="solid">
        <fgColor rgb="FFE6EBF0"/>
      </patternFill>
    </fill>
    <fill>
      <patternFill patternType="solid">
        <fgColor rgb="FFC9DAF8"/>
      </patternFill>
    </fill>
    <fill>
      <patternFill patternType="solid">
        <fgColor rgb="FFCCE6FF"/>
      </patternFill>
    </fill>
    <fill>
      <patternFill patternType="solid">
        <fgColor rgb="FFFFA6E0"/>
      </patternFill>
    </fill>
    <fill>
      <patternFill patternType="solid">
        <fgColor rgb="FFFFE599"/>
      </patternFill>
    </fill>
    <fill>
      <patternFill patternType="solid">
        <fgColor rgb="FFCC3D9C"/>
      </patternFill>
    </fill>
    <fill>
      <patternFill patternType="solid">
        <fgColor rgb="FF94B9F7"/>
      </patternFill>
    </fill>
    <fill>
      <patternFill patternType="solid">
        <fgColor rgb="FFFCFCFC"/>
      </patternFill>
    </fill>
    <fill>
      <patternFill patternType="solid">
        <fgColor rgb="FFFFF001"/>
      </patternFill>
    </fill>
    <fill>
      <patternFill patternType="solid">
        <fgColor rgb="FF980000"/>
      </patternFill>
    </fill>
    <fill>
      <patternFill patternType="solid">
        <fgColor rgb="FFCCCCCC"/>
      </patternFill>
    </fill>
    <fill>
      <patternFill patternType="solid">
        <fgColor rgb="FFFA9C3E"/>
      </patternFill>
    </fill>
    <fill>
      <patternFill patternType="solid">
        <fgColor rgb="FFE67EC3"/>
      </patternFill>
    </fill>
    <fill>
      <patternFill patternType="solid">
        <fgColor rgb="FFED4747"/>
      </patternFill>
    </fill>
    <fill>
      <patternFill patternType="solid">
        <fgColor rgb="FF64696E"/>
      </patternFill>
    </fill>
    <fill>
      <patternFill patternType="solid">
        <fgColor rgb="FFFFB2B2"/>
      </patternFill>
    </fill>
    <fill>
      <patternFill patternType="solid">
        <fgColor rgb="FFA18AE6"/>
      </patternFill>
    </fill>
    <fill>
      <patternFill patternType="solid">
        <fgColor rgb="FFE67300"/>
      </patternFill>
    </fill>
    <fill>
      <patternFill patternType="solid">
        <fgColor rgb="FFD6FF18"/>
      </patternFill>
    </fill>
    <fill>
      <patternFill patternType="solid">
        <fgColor rgb="FFBF9000"/>
      </patternFill>
    </fill>
    <fill>
      <patternFill patternType="solid">
        <fgColor rgb="FF99CEFF"/>
      </patternFill>
    </fill>
    <fill>
      <patternFill patternType="solid">
        <fgColor rgb="FF70E096"/>
      </patternFill>
    </fill>
    <fill>
      <patternFill patternType="solid">
        <fgColor rgb="FFFA8282"/>
      </patternFill>
    </fill>
    <fill>
      <patternFill patternType="solid">
        <fgColor rgb="FF92E0C8"/>
      </patternFill>
    </fill>
    <fill>
      <patternFill patternType="solid">
        <fgColor rgb="FFF1C232"/>
      </patternFill>
    </fill>
  </fills>
  <borders count="2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CCCCCC"/>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000000"/>
      </bottom>
      <diagonal/>
    </border>
    <border>
      <left style="thin">
        <color rgb="FFCCCCCC"/>
      </left>
      <right style="thin">
        <color rgb="FFCCCCCC"/>
      </right>
      <top/>
      <bottom style="thin">
        <color rgb="FFCCCCCC"/>
      </bottom>
      <diagonal/>
    </border>
  </borders>
  <cellStyleXfs count="1">
    <xf numFmtId="0" fontId="0" fillId="0" borderId="0"/>
  </cellStyleXfs>
  <cellXfs count="1402">
    <xf numFmtId="0" fontId="0" fillId="0" borderId="0" xfId="0"/>
    <xf numFmtId="0" fontId="0" fillId="0" borderId="4" xfId="0" applyBorder="1"/>
    <xf numFmtId="0" fontId="1" fillId="0" borderId="0" xfId="0" applyFont="1"/>
    <xf numFmtId="0" fontId="1" fillId="0" borderId="4" xfId="0" applyFont="1" applyBorder="1"/>
    <xf numFmtId="0" fontId="0" fillId="0" borderId="4" xfId="0" applyBorder="1" applyAlignment="1">
      <alignment horizontal="center"/>
    </xf>
    <xf numFmtId="0" fontId="1" fillId="0" borderId="4" xfId="0" applyFont="1" applyBorder="1" applyAlignment="1">
      <alignment horizontal="center"/>
    </xf>
    <xf numFmtId="0" fontId="0" fillId="0" borderId="4" xfId="0" applyBorder="1" applyAlignment="1">
      <alignment wrapText="1"/>
    </xf>
    <xf numFmtId="0" fontId="1" fillId="2" borderId="4" xfId="0" applyFont="1" applyFill="1" applyBorder="1" applyAlignment="1">
      <alignment vertical="center"/>
    </xf>
    <xf numFmtId="0" fontId="1" fillId="0" borderId="4" xfId="0" applyFont="1" applyBorder="1" applyAlignment="1">
      <alignment horizontal="center" wrapText="1"/>
    </xf>
    <xf numFmtId="0" fontId="2" fillId="0" borderId="4" xfId="0" applyFont="1" applyBorder="1" applyAlignment="1">
      <alignment horizontal="left" wrapText="1"/>
    </xf>
    <xf numFmtId="0" fontId="2" fillId="0" borderId="4" xfId="0" applyFont="1" applyBorder="1" applyAlignment="1">
      <alignment wrapText="1"/>
    </xf>
    <xf numFmtId="0" fontId="1" fillId="0" borderId="4" xfId="0" applyFont="1" applyBorder="1" applyAlignment="1">
      <alignment wrapText="1"/>
    </xf>
    <xf numFmtId="0" fontId="0" fillId="0" borderId="4" xfId="0" applyBorder="1" applyAlignment="1">
      <alignment vertical="center" wrapText="1"/>
    </xf>
    <xf numFmtId="0" fontId="1" fillId="0" borderId="0" xfId="0" applyFont="1" applyAlignment="1">
      <alignment wrapText="1"/>
    </xf>
    <xf numFmtId="0" fontId="0" fillId="0" borderId="0" xfId="0" applyAlignment="1">
      <alignment wrapText="1"/>
    </xf>
    <xf numFmtId="0" fontId="1" fillId="2" borderId="4" xfId="0" applyFont="1" applyFill="1" applyBorder="1" applyAlignment="1">
      <alignment vertical="center" wrapText="1"/>
    </xf>
    <xf numFmtId="0" fontId="0" fillId="0" borderId="4" xfId="0" applyBorder="1" applyAlignment="1">
      <alignment horizontal="center" wrapText="1"/>
    </xf>
    <xf numFmtId="0" fontId="0" fillId="3" borderId="4" xfId="0" applyFill="1" applyBorder="1" applyAlignment="1">
      <alignment wrapText="1"/>
    </xf>
    <xf numFmtId="0" fontId="0" fillId="6" borderId="4" xfId="0" applyFill="1" applyBorder="1" applyAlignment="1">
      <alignment wrapText="1"/>
    </xf>
    <xf numFmtId="0" fontId="0" fillId="7" borderId="0" xfId="0" applyFill="1" applyAlignment="1">
      <alignment horizontal="left" wrapText="1"/>
    </xf>
    <xf numFmtId="0" fontId="0" fillId="0" borderId="4" xfId="0" applyBorder="1" applyAlignment="1">
      <alignment horizontal="left" wrapText="1"/>
    </xf>
    <xf numFmtId="49" fontId="2" fillId="0" borderId="4" xfId="0" applyNumberFormat="1" applyFont="1" applyBorder="1" applyAlignment="1">
      <alignment wrapText="1"/>
    </xf>
    <xf numFmtId="49" fontId="0" fillId="0" borderId="4" xfId="0" applyNumberFormat="1" applyBorder="1" applyAlignment="1">
      <alignment wrapText="1"/>
    </xf>
    <xf numFmtId="49" fontId="0" fillId="0" borderId="0" xfId="0" applyNumberFormat="1" applyAlignment="1">
      <alignment wrapText="1"/>
    </xf>
    <xf numFmtId="0" fontId="10" fillId="0" borderId="4" xfId="0" applyFont="1" applyBorder="1" applyAlignment="1">
      <alignment wrapText="1"/>
    </xf>
    <xf numFmtId="0" fontId="0" fillId="0" borderId="0" xfId="0" applyAlignment="1">
      <alignment vertical="center" wrapText="1"/>
    </xf>
    <xf numFmtId="0" fontId="0" fillId="0" borderId="4" xfId="0" applyBorder="1" applyAlignment="1">
      <alignment horizontal="center" vertical="center" wrapText="1"/>
    </xf>
    <xf numFmtId="0" fontId="13" fillId="0" borderId="4" xfId="0" applyFont="1" applyBorder="1" applyAlignment="1">
      <alignment horizontal="center" wrapText="1"/>
    </xf>
    <xf numFmtId="0" fontId="13" fillId="0" borderId="4" xfId="0" applyFont="1" applyBorder="1" applyAlignment="1">
      <alignment wrapText="1"/>
    </xf>
    <xf numFmtId="0" fontId="0" fillId="10" borderId="0" xfId="0" applyFill="1"/>
    <xf numFmtId="0" fontId="0" fillId="0" borderId="12" xfId="0" applyBorder="1"/>
    <xf numFmtId="0" fontId="0" fillId="0" borderId="0" xfId="0" applyAlignment="1">
      <alignment vertical="center"/>
    </xf>
    <xf numFmtId="0" fontId="1" fillId="2" borderId="9" xfId="0" applyFont="1" applyFill="1" applyBorder="1" applyAlignment="1">
      <alignment vertical="center"/>
    </xf>
    <xf numFmtId="0" fontId="1" fillId="11" borderId="7" xfId="0" applyFont="1" applyFill="1" applyBorder="1" applyAlignment="1">
      <alignment horizontal="center" vertical="center" wrapText="1"/>
    </xf>
    <xf numFmtId="0" fontId="1" fillId="11" borderId="9" xfId="0" applyFont="1" applyFill="1" applyBorder="1" applyAlignment="1">
      <alignment horizontal="center" vertical="center"/>
    </xf>
    <xf numFmtId="0" fontId="1" fillId="11" borderId="9" xfId="0" applyFont="1" applyFill="1" applyBorder="1" applyAlignment="1">
      <alignment horizontal="left" vertical="center" wrapText="1"/>
    </xf>
    <xf numFmtId="0" fontId="0" fillId="8" borderId="4" xfId="0" applyFill="1" applyBorder="1" applyAlignment="1">
      <alignment wrapText="1"/>
    </xf>
    <xf numFmtId="0" fontId="1" fillId="11" borderId="3" xfId="0" applyFont="1" applyFill="1" applyBorder="1" applyAlignment="1">
      <alignment horizontal="center" vertical="center" wrapText="1"/>
    </xf>
    <xf numFmtId="0" fontId="1" fillId="11" borderId="4" xfId="0" applyFont="1" applyFill="1" applyBorder="1" applyAlignment="1">
      <alignment horizontal="center" vertical="center" wrapText="1"/>
    </xf>
    <xf numFmtId="0" fontId="1" fillId="11" borderId="4" xfId="0" applyFont="1" applyFill="1" applyBorder="1" applyAlignment="1">
      <alignment horizontal="left" vertical="center" wrapText="1"/>
    </xf>
    <xf numFmtId="0" fontId="1" fillId="0" borderId="9" xfId="0" applyFont="1" applyBorder="1" applyAlignment="1">
      <alignment wrapText="1"/>
    </xf>
    <xf numFmtId="0" fontId="1" fillId="0" borderId="10" xfId="0" applyFont="1" applyBorder="1" applyAlignment="1">
      <alignment wrapText="1"/>
    </xf>
    <xf numFmtId="0" fontId="0" fillId="11" borderId="0" xfId="0" applyFill="1"/>
    <xf numFmtId="0" fontId="0" fillId="8" borderId="0" xfId="0" applyFill="1"/>
    <xf numFmtId="0" fontId="2" fillId="0" borderId="0" xfId="0" applyFont="1"/>
    <xf numFmtId="0" fontId="0" fillId="10" borderId="4" xfId="0" applyFill="1" applyBorder="1"/>
    <xf numFmtId="0" fontId="0" fillId="0" borderId="16" xfId="0" applyBorder="1" applyAlignment="1">
      <alignment vertical="center"/>
    </xf>
    <xf numFmtId="0" fontId="0" fillId="0" borderId="8" xfId="0" applyBorder="1"/>
    <xf numFmtId="0" fontId="0" fillId="0" borderId="5" xfId="0" applyBorder="1"/>
    <xf numFmtId="0" fontId="0" fillId="0" borderId="9" xfId="0" applyBorder="1" applyAlignment="1">
      <alignment wrapText="1"/>
    </xf>
    <xf numFmtId="0" fontId="1" fillId="0" borderId="9" xfId="0" applyFont="1" applyBorder="1" applyAlignment="1">
      <alignment horizontal="center" wrapText="1"/>
    </xf>
    <xf numFmtId="0" fontId="2" fillId="0" borderId="9" xfId="0" applyFont="1" applyBorder="1" applyAlignment="1">
      <alignment wrapText="1"/>
    </xf>
    <xf numFmtId="0" fontId="0" fillId="0" borderId="9" xfId="0" applyBorder="1" applyAlignment="1">
      <alignment horizontal="center" wrapText="1"/>
    </xf>
    <xf numFmtId="0" fontId="1" fillId="2" borderId="2" xfId="0" applyFont="1" applyFill="1" applyBorder="1" applyAlignment="1">
      <alignment vertical="center" wrapText="1"/>
    </xf>
    <xf numFmtId="0" fontId="0" fillId="2" borderId="2" xfId="0" applyFill="1" applyBorder="1" applyAlignment="1">
      <alignment vertical="center" wrapText="1"/>
    </xf>
    <xf numFmtId="49" fontId="2" fillId="2" borderId="2" xfId="0" applyNumberFormat="1" applyFont="1" applyFill="1" applyBorder="1" applyAlignment="1">
      <alignment vertical="center" wrapText="1"/>
    </xf>
    <xf numFmtId="0" fontId="2" fillId="2" borderId="2" xfId="0" applyFont="1" applyFill="1" applyBorder="1" applyAlignment="1">
      <alignment vertical="center" wrapText="1"/>
    </xf>
    <xf numFmtId="0" fontId="0" fillId="2" borderId="2" xfId="0" applyFill="1" applyBorder="1" applyAlignment="1">
      <alignment horizontal="center" vertical="center" wrapText="1"/>
    </xf>
    <xf numFmtId="0" fontId="1" fillId="2" borderId="3" xfId="0" applyFont="1" applyFill="1" applyBorder="1" applyAlignment="1">
      <alignment vertical="center" wrapText="1"/>
    </xf>
    <xf numFmtId="0" fontId="13" fillId="11" borderId="4" xfId="0" applyFont="1" applyFill="1" applyBorder="1" applyAlignment="1">
      <alignment horizontal="center" vertical="center" wrapText="1"/>
    </xf>
    <xf numFmtId="0" fontId="13" fillId="11" borderId="4" xfId="0" applyFont="1" applyFill="1" applyBorder="1" applyAlignment="1">
      <alignment horizontal="left" vertical="center" wrapText="1"/>
    </xf>
    <xf numFmtId="0" fontId="1" fillId="8" borderId="4" xfId="0" applyFont="1" applyFill="1" applyBorder="1"/>
    <xf numFmtId="0" fontId="0" fillId="10" borderId="4" xfId="0" applyFill="1" applyBorder="1" applyAlignment="1">
      <alignment wrapText="1"/>
    </xf>
    <xf numFmtId="0" fontId="0" fillId="10" borderId="4" xfId="0" applyFill="1" applyBorder="1" applyAlignment="1">
      <alignment vertical="center" wrapText="1"/>
    </xf>
    <xf numFmtId="0" fontId="0" fillId="8" borderId="4" xfId="0" applyFill="1" applyBorder="1"/>
    <xf numFmtId="0" fontId="0" fillId="0" borderId="10" xfId="0" applyBorder="1"/>
    <xf numFmtId="0" fontId="0" fillId="0" borderId="1" xfId="0" applyBorder="1"/>
    <xf numFmtId="0" fontId="1" fillId="8" borderId="0" xfId="0" applyFont="1" applyFill="1"/>
    <xf numFmtId="0" fontId="1" fillId="0" borderId="0" xfId="0" applyFont="1" applyAlignment="1">
      <alignment vertical="center" wrapText="1"/>
    </xf>
    <xf numFmtId="0" fontId="2" fillId="0" borderId="4" xfId="0" applyFont="1" applyBorder="1" applyAlignment="1">
      <alignment vertical="center" wrapText="1"/>
    </xf>
    <xf numFmtId="0" fontId="1" fillId="0" borderId="4" xfId="0" applyFont="1" applyBorder="1" applyAlignment="1">
      <alignment vertical="center" wrapText="1"/>
    </xf>
    <xf numFmtId="0" fontId="1" fillId="0" borderId="1" xfId="0" applyFont="1" applyBorder="1" applyAlignment="1">
      <alignment vertical="center" wrapText="1"/>
    </xf>
    <xf numFmtId="0" fontId="1" fillId="0" borderId="4" xfId="0" applyFont="1" applyBorder="1" applyAlignment="1">
      <alignment horizontal="center" vertical="center" wrapText="1"/>
    </xf>
    <xf numFmtId="0" fontId="0" fillId="3" borderId="4" xfId="0" applyFill="1" applyBorder="1" applyAlignment="1">
      <alignment vertical="center" wrapText="1"/>
    </xf>
    <xf numFmtId="0" fontId="6" fillId="0" borderId="0" xfId="0" applyFont="1" applyAlignment="1">
      <alignment vertical="center" wrapText="1"/>
    </xf>
    <xf numFmtId="0" fontId="4" fillId="0" borderId="0" xfId="0" applyFont="1" applyAlignment="1">
      <alignment vertical="center" wrapText="1"/>
    </xf>
    <xf numFmtId="0" fontId="4" fillId="0" borderId="4" xfId="0" applyFont="1" applyBorder="1" applyAlignment="1">
      <alignment vertical="center" wrapText="1"/>
    </xf>
    <xf numFmtId="0" fontId="5" fillId="0" borderId="4" xfId="0" applyFont="1" applyBorder="1" applyAlignment="1">
      <alignment horizontal="center" vertical="center" wrapText="1"/>
    </xf>
    <xf numFmtId="0" fontId="4" fillId="0" borderId="4" xfId="0" applyFont="1" applyBorder="1" applyAlignment="1">
      <alignment horizontal="center" vertical="center" wrapText="1"/>
    </xf>
    <xf numFmtId="0" fontId="0" fillId="6" borderId="4" xfId="0" applyFill="1" applyBorder="1" applyAlignment="1">
      <alignment vertical="center" wrapText="1"/>
    </xf>
    <xf numFmtId="0" fontId="1" fillId="11" borderId="9" xfId="0" applyFont="1" applyFill="1" applyBorder="1" applyAlignment="1">
      <alignment horizontal="center" vertical="center" wrapText="1"/>
    </xf>
    <xf numFmtId="49" fontId="0" fillId="0" borderId="9" xfId="0" applyNumberFormat="1" applyBorder="1" applyAlignment="1">
      <alignment wrapText="1"/>
    </xf>
    <xf numFmtId="0" fontId="0" fillId="0" borderId="10" xfId="0" applyBorder="1" applyAlignment="1">
      <alignment wrapText="1"/>
    </xf>
    <xf numFmtId="49" fontId="0" fillId="0" borderId="10" xfId="0" applyNumberFormat="1" applyBorder="1" applyAlignment="1">
      <alignment wrapText="1"/>
    </xf>
    <xf numFmtId="0" fontId="0" fillId="0" borderId="10" xfId="0" applyBorder="1" applyAlignment="1">
      <alignment horizontal="center" wrapText="1"/>
    </xf>
    <xf numFmtId="0" fontId="0" fillId="0" borderId="11" xfId="0" applyBorder="1"/>
    <xf numFmtId="0" fontId="0" fillId="12" borderId="0" xfId="0" applyFill="1"/>
    <xf numFmtId="0" fontId="0" fillId="12" borderId="8" xfId="0" applyFill="1" applyBorder="1"/>
    <xf numFmtId="0" fontId="0" fillId="12" borderId="11" xfId="0" applyFill="1" applyBorder="1"/>
    <xf numFmtId="0" fontId="1" fillId="13" borderId="4" xfId="0" applyFont="1" applyFill="1" applyBorder="1" applyAlignment="1">
      <alignment vertical="center"/>
    </xf>
    <xf numFmtId="0" fontId="1" fillId="13" borderId="10" xfId="0" applyFont="1" applyFill="1" applyBorder="1" applyAlignment="1">
      <alignment vertical="center"/>
    </xf>
    <xf numFmtId="0" fontId="1" fillId="13" borderId="3" xfId="0" applyFont="1" applyFill="1" applyBorder="1" applyAlignment="1">
      <alignment vertical="center"/>
    </xf>
    <xf numFmtId="0" fontId="1" fillId="0" borderId="12" xfId="0" applyFont="1" applyBorder="1"/>
    <xf numFmtId="0" fontId="1" fillId="13" borderId="4" xfId="0" applyFont="1" applyFill="1" applyBorder="1" applyAlignment="1">
      <alignment vertical="center" wrapText="1"/>
    </xf>
    <xf numFmtId="0" fontId="2" fillId="13" borderId="4" xfId="0" applyFont="1" applyFill="1" applyBorder="1" applyAlignment="1">
      <alignment vertical="center" wrapText="1"/>
    </xf>
    <xf numFmtId="0" fontId="2" fillId="13" borderId="4" xfId="0" applyFont="1" applyFill="1" applyBorder="1" applyAlignment="1">
      <alignment vertical="center"/>
    </xf>
    <xf numFmtId="0" fontId="0" fillId="13" borderId="4" xfId="0" applyFill="1" applyBorder="1" applyAlignment="1">
      <alignment vertical="center" wrapText="1"/>
    </xf>
    <xf numFmtId="0" fontId="0" fillId="10" borderId="0" xfId="0" applyFill="1" applyAlignment="1">
      <alignment vertical="center" wrapText="1"/>
    </xf>
    <xf numFmtId="0" fontId="1" fillId="10" borderId="4" xfId="0" applyFont="1" applyFill="1" applyBorder="1" applyAlignment="1">
      <alignment horizontal="center" vertical="center" wrapText="1"/>
    </xf>
    <xf numFmtId="0" fontId="0" fillId="10" borderId="4" xfId="0" applyFill="1" applyBorder="1" applyAlignment="1">
      <alignment horizontal="center" vertical="center" wrapText="1"/>
    </xf>
    <xf numFmtId="0" fontId="1" fillId="10" borderId="4" xfId="0" applyFont="1" applyFill="1" applyBorder="1" applyAlignment="1">
      <alignment horizontal="center" wrapText="1"/>
    </xf>
    <xf numFmtId="0" fontId="0" fillId="10" borderId="4" xfId="0" applyFill="1" applyBorder="1" applyAlignment="1">
      <alignment horizontal="center" wrapText="1"/>
    </xf>
    <xf numFmtId="0" fontId="1" fillId="0" borderId="10" xfId="0" applyFont="1" applyBorder="1" applyAlignment="1">
      <alignment horizontal="center" wrapText="1"/>
    </xf>
    <xf numFmtId="0" fontId="1" fillId="8" borderId="4" xfId="0" applyFont="1" applyFill="1" applyBorder="1" applyAlignment="1">
      <alignment vertical="center"/>
    </xf>
    <xf numFmtId="0" fontId="0" fillId="13" borderId="4" xfId="0" applyFill="1" applyBorder="1" applyAlignment="1">
      <alignment vertical="center"/>
    </xf>
    <xf numFmtId="0" fontId="0" fillId="8" borderId="4" xfId="0" applyFill="1" applyBorder="1" applyAlignment="1">
      <alignment vertical="center" wrapText="1"/>
    </xf>
    <xf numFmtId="0" fontId="0" fillId="9" borderId="0" xfId="0" applyFill="1"/>
    <xf numFmtId="0" fontId="0" fillId="13" borderId="10" xfId="0" applyFill="1" applyBorder="1" applyAlignment="1">
      <alignment vertical="center"/>
    </xf>
    <xf numFmtId="0" fontId="0" fillId="10" borderId="1" xfId="0" applyFill="1" applyBorder="1" applyAlignment="1">
      <alignment vertical="center"/>
    </xf>
    <xf numFmtId="0" fontId="2" fillId="10" borderId="4" xfId="0" applyFont="1" applyFill="1" applyBorder="1" applyAlignment="1">
      <alignment horizontal="left" wrapText="1"/>
    </xf>
    <xf numFmtId="0" fontId="0" fillId="10" borderId="4" xfId="0" applyFill="1" applyBorder="1" applyAlignment="1">
      <alignment horizontal="left" wrapText="1"/>
    </xf>
    <xf numFmtId="49" fontId="0" fillId="10" borderId="4" xfId="0" applyNumberFormat="1" applyFill="1" applyBorder="1" applyAlignment="1">
      <alignment wrapText="1"/>
    </xf>
    <xf numFmtId="0" fontId="0" fillId="0" borderId="12" xfId="0" applyBorder="1" applyAlignment="1">
      <alignment wrapText="1"/>
    </xf>
    <xf numFmtId="0" fontId="2" fillId="8" borderId="4" xfId="0" applyFont="1" applyFill="1" applyBorder="1"/>
    <xf numFmtId="0" fontId="1" fillId="8" borderId="4" xfId="0" applyFont="1" applyFill="1" applyBorder="1" applyAlignment="1">
      <alignment wrapText="1"/>
    </xf>
    <xf numFmtId="0" fontId="0" fillId="12" borderId="5" xfId="0" applyFill="1" applyBorder="1"/>
    <xf numFmtId="0" fontId="1" fillId="2" borderId="7" xfId="0" applyFont="1" applyFill="1" applyBorder="1" applyAlignment="1">
      <alignment vertical="center"/>
    </xf>
    <xf numFmtId="0" fontId="1" fillId="0" borderId="3" xfId="0" applyFont="1" applyBorder="1"/>
    <xf numFmtId="0" fontId="2" fillId="13" borderId="10" xfId="0" applyFont="1" applyFill="1" applyBorder="1" applyAlignment="1">
      <alignment vertical="center" wrapText="1"/>
    </xf>
    <xf numFmtId="0" fontId="2" fillId="13" borderId="10" xfId="0" applyFont="1" applyFill="1" applyBorder="1" applyAlignment="1">
      <alignment vertical="center"/>
    </xf>
    <xf numFmtId="0" fontId="1" fillId="13" borderId="10" xfId="0" applyFont="1" applyFill="1" applyBorder="1" applyAlignment="1">
      <alignment wrapText="1"/>
    </xf>
    <xf numFmtId="0" fontId="0" fillId="4" borderId="0" xfId="0" applyFill="1"/>
    <xf numFmtId="0" fontId="1" fillId="2" borderId="1" xfId="0" applyFont="1" applyFill="1" applyBorder="1" applyAlignment="1">
      <alignment vertical="center"/>
    </xf>
    <xf numFmtId="0" fontId="0" fillId="10" borderId="9" xfId="0" applyFill="1" applyBorder="1" applyAlignment="1">
      <alignment vertical="center" wrapText="1"/>
    </xf>
    <xf numFmtId="0" fontId="0" fillId="0" borderId="1" xfId="0" applyBorder="1" applyAlignment="1">
      <alignment vertical="center" wrapText="1"/>
    </xf>
    <xf numFmtId="0" fontId="1" fillId="10" borderId="4" xfId="0" applyFont="1" applyFill="1" applyBorder="1" applyAlignment="1">
      <alignment wrapText="1"/>
    </xf>
    <xf numFmtId="0" fontId="2" fillId="10" borderId="4" xfId="0" applyFont="1" applyFill="1" applyBorder="1" applyAlignment="1">
      <alignment wrapText="1"/>
    </xf>
    <xf numFmtId="0" fontId="10" fillId="0" borderId="4" xfId="0" applyFont="1" applyBorder="1" applyAlignment="1">
      <alignment vertical="center" wrapText="1"/>
    </xf>
    <xf numFmtId="0" fontId="13" fillId="0" borderId="4" xfId="0" applyFont="1" applyBorder="1" applyAlignment="1">
      <alignment horizontal="center" vertical="center" wrapText="1"/>
    </xf>
    <xf numFmtId="0" fontId="10" fillId="0" borderId="4" xfId="0" applyFont="1" applyBorder="1" applyAlignment="1">
      <alignment horizontal="center" vertical="center" wrapText="1"/>
    </xf>
    <xf numFmtId="0" fontId="0" fillId="0" borderId="5" xfId="0" applyBorder="1" applyAlignment="1">
      <alignment wrapText="1"/>
    </xf>
    <xf numFmtId="0" fontId="0" fillId="0" borderId="16" xfId="0" applyBorder="1" applyAlignment="1">
      <alignment wrapText="1"/>
    </xf>
    <xf numFmtId="49" fontId="0" fillId="0" borderId="16" xfId="0" applyNumberFormat="1" applyBorder="1" applyAlignment="1">
      <alignment wrapText="1"/>
    </xf>
    <xf numFmtId="0" fontId="0" fillId="0" borderId="16" xfId="0" applyBorder="1" applyAlignment="1">
      <alignment horizontal="center" wrapText="1"/>
    </xf>
    <xf numFmtId="0" fontId="13" fillId="0" borderId="4" xfId="0" applyFont="1" applyBorder="1" applyAlignment="1">
      <alignment vertical="center" wrapText="1"/>
    </xf>
    <xf numFmtId="0" fontId="1" fillId="0" borderId="3" xfId="0" applyFont="1" applyBorder="1" applyAlignment="1">
      <alignment wrapText="1"/>
    </xf>
    <xf numFmtId="0" fontId="1" fillId="0" borderId="16" xfId="0" applyFont="1" applyBorder="1" applyAlignment="1">
      <alignment wrapText="1"/>
    </xf>
    <xf numFmtId="0" fontId="20" fillId="0" borderId="4" xfId="0" applyFont="1" applyBorder="1" applyAlignment="1">
      <alignment horizontal="left" vertical="center" wrapText="1"/>
    </xf>
    <xf numFmtId="0" fontId="3" fillId="2" borderId="2" xfId="0" applyFont="1" applyFill="1" applyBorder="1" applyAlignment="1">
      <alignment vertical="center" wrapText="1"/>
    </xf>
    <xf numFmtId="0" fontId="22" fillId="2" borderId="1" xfId="0" applyFont="1" applyFill="1" applyBorder="1" applyAlignment="1">
      <alignment vertical="center" wrapText="1"/>
    </xf>
    <xf numFmtId="0" fontId="0" fillId="0" borderId="4" xfId="0" applyBorder="1" applyAlignment="1">
      <alignment horizontal="left" vertical="center" wrapText="1"/>
    </xf>
    <xf numFmtId="0" fontId="23" fillId="0" borderId="9" xfId="0" applyFont="1" applyBorder="1" applyAlignment="1">
      <alignment wrapText="1"/>
    </xf>
    <xf numFmtId="0" fontId="24" fillId="0" borderId="9" xfId="0" applyFont="1" applyBorder="1" applyAlignment="1">
      <alignment wrapText="1"/>
    </xf>
    <xf numFmtId="0" fontId="4" fillId="10" borderId="4" xfId="0" applyFont="1" applyFill="1" applyBorder="1" applyAlignment="1">
      <alignment vertical="center" wrapText="1"/>
    </xf>
    <xf numFmtId="0" fontId="23" fillId="0" borderId="4" xfId="0" applyFont="1" applyBorder="1" applyAlignment="1">
      <alignment wrapText="1"/>
    </xf>
    <xf numFmtId="49" fontId="12" fillId="0" borderId="4" xfId="0" applyNumberFormat="1" applyFont="1" applyBorder="1" applyAlignment="1">
      <alignment vertical="center" wrapText="1"/>
    </xf>
    <xf numFmtId="0" fontId="11" fillId="0" borderId="4" xfId="0" applyFont="1" applyBorder="1" applyAlignment="1">
      <alignment horizontal="center" vertical="center" wrapText="1"/>
    </xf>
    <xf numFmtId="0" fontId="10" fillId="0" borderId="16" xfId="0" applyFont="1" applyBorder="1" applyAlignment="1">
      <alignment wrapText="1"/>
    </xf>
    <xf numFmtId="0" fontId="0" fillId="0" borderId="0" xfId="0" applyAlignment="1">
      <alignment horizontal="left" wrapText="1"/>
    </xf>
    <xf numFmtId="49" fontId="10" fillId="0" borderId="4" xfId="0" applyNumberFormat="1" applyFont="1" applyBorder="1" applyAlignment="1">
      <alignment wrapText="1"/>
    </xf>
    <xf numFmtId="0" fontId="16" fillId="0" borderId="0" xfId="0" applyFont="1" applyAlignment="1">
      <alignment horizontal="left" wrapText="1"/>
    </xf>
    <xf numFmtId="0" fontId="10" fillId="0" borderId="4" xfId="0" applyFont="1" applyBorder="1" applyAlignment="1">
      <alignment horizontal="center" wrapText="1"/>
    </xf>
    <xf numFmtId="0" fontId="15" fillId="0" borderId="4" xfId="0" applyFont="1" applyBorder="1" applyAlignment="1">
      <alignment vertical="center" wrapText="1"/>
    </xf>
    <xf numFmtId="0" fontId="14" fillId="0" borderId="4" xfId="0" applyFont="1" applyBorder="1" applyAlignment="1">
      <alignment horizontal="center" vertical="center" wrapText="1"/>
    </xf>
    <xf numFmtId="49" fontId="15" fillId="0" borderId="4" xfId="0" applyNumberFormat="1" applyFont="1" applyBorder="1" applyAlignment="1">
      <alignment vertical="center" wrapText="1"/>
    </xf>
    <xf numFmtId="0" fontId="15" fillId="0" borderId="4" xfId="0" applyFont="1" applyBorder="1" applyAlignment="1">
      <alignment horizontal="center" vertical="center" wrapText="1"/>
    </xf>
    <xf numFmtId="0" fontId="0" fillId="0" borderId="3" xfId="0" applyBorder="1" applyAlignment="1">
      <alignment wrapText="1"/>
    </xf>
    <xf numFmtId="0" fontId="1" fillId="0" borderId="3" xfId="0" applyFont="1" applyBorder="1" applyAlignment="1">
      <alignment horizontal="center" wrapText="1"/>
    </xf>
    <xf numFmtId="49" fontId="0" fillId="0" borderId="3" xfId="0" applyNumberFormat="1" applyBorder="1" applyAlignment="1">
      <alignment wrapText="1"/>
    </xf>
    <xf numFmtId="0" fontId="10" fillId="0" borderId="3" xfId="0" applyFont="1" applyBorder="1" applyAlignment="1">
      <alignment wrapText="1"/>
    </xf>
    <xf numFmtId="0" fontId="0" fillId="0" borderId="3" xfId="0" applyBorder="1" applyAlignment="1">
      <alignment horizontal="center" wrapText="1"/>
    </xf>
    <xf numFmtId="0" fontId="0" fillId="15" borderId="0" xfId="0" applyFill="1" applyAlignment="1">
      <alignment vertical="center" wrapText="1"/>
    </xf>
    <xf numFmtId="0" fontId="1" fillId="15" borderId="0" xfId="0" applyFont="1" applyFill="1" applyAlignment="1">
      <alignment vertical="center" wrapText="1"/>
    </xf>
    <xf numFmtId="0" fontId="6" fillId="5" borderId="0" xfId="0" applyFont="1" applyFill="1" applyAlignment="1">
      <alignment vertical="center" wrapText="1"/>
    </xf>
    <xf numFmtId="0" fontId="0" fillId="5" borderId="0" xfId="0" applyFill="1" applyAlignment="1">
      <alignment vertical="center" wrapText="1"/>
    </xf>
    <xf numFmtId="0" fontId="4" fillId="5" borderId="0" xfId="0" applyFont="1" applyFill="1" applyAlignment="1">
      <alignment vertical="center" wrapText="1"/>
    </xf>
    <xf numFmtId="0" fontId="1" fillId="10" borderId="4" xfId="0" applyFont="1" applyFill="1" applyBorder="1" applyAlignment="1">
      <alignment horizontal="center"/>
    </xf>
    <xf numFmtId="0" fontId="0" fillId="16" borderId="0" xfId="0" applyFill="1" applyAlignment="1">
      <alignment wrapText="1"/>
    </xf>
    <xf numFmtId="0" fontId="1" fillId="16" borderId="3" xfId="0" applyFont="1" applyFill="1" applyBorder="1" applyAlignment="1">
      <alignment wrapText="1"/>
    </xf>
    <xf numFmtId="0" fontId="1" fillId="16" borderId="16" xfId="0" applyFont="1" applyFill="1" applyBorder="1" applyAlignment="1">
      <alignment wrapText="1"/>
    </xf>
    <xf numFmtId="0" fontId="0" fillId="16" borderId="16" xfId="0" applyFill="1" applyBorder="1" applyAlignment="1">
      <alignment wrapText="1"/>
    </xf>
    <xf numFmtId="0" fontId="1" fillId="16" borderId="16" xfId="0" applyFont="1" applyFill="1" applyBorder="1" applyAlignment="1">
      <alignment horizontal="center" wrapText="1"/>
    </xf>
    <xf numFmtId="0" fontId="0" fillId="16" borderId="3" xfId="0" applyFill="1" applyBorder="1" applyAlignment="1">
      <alignment wrapText="1"/>
    </xf>
    <xf numFmtId="0" fontId="10" fillId="16" borderId="3" xfId="0" applyFont="1" applyFill="1" applyBorder="1" applyAlignment="1">
      <alignment wrapText="1"/>
    </xf>
    <xf numFmtId="0" fontId="0" fillId="16" borderId="3" xfId="0" applyFill="1" applyBorder="1" applyAlignment="1">
      <alignment horizontal="center" wrapText="1"/>
    </xf>
    <xf numFmtId="0" fontId="10" fillId="16" borderId="16" xfId="0" applyFont="1" applyFill="1" applyBorder="1" applyAlignment="1">
      <alignment wrapText="1"/>
    </xf>
    <xf numFmtId="0" fontId="0" fillId="16" borderId="16" xfId="0" applyFill="1" applyBorder="1" applyAlignment="1">
      <alignment horizontal="center" wrapText="1"/>
    </xf>
    <xf numFmtId="49" fontId="0" fillId="16" borderId="3" xfId="0" applyNumberFormat="1" applyFill="1" applyBorder="1" applyAlignment="1">
      <alignment wrapText="1"/>
    </xf>
    <xf numFmtId="49" fontId="0" fillId="16" borderId="16" xfId="0" applyNumberFormat="1" applyFill="1" applyBorder="1" applyAlignment="1">
      <alignment wrapText="1"/>
    </xf>
    <xf numFmtId="0" fontId="8" fillId="0" borderId="4" xfId="0" applyFont="1" applyBorder="1" applyAlignment="1">
      <alignment horizontal="center" vertical="center" wrapText="1"/>
    </xf>
    <xf numFmtId="0" fontId="0" fillId="0" borderId="16" xfId="0" applyBorder="1"/>
    <xf numFmtId="0" fontId="0" fillId="0" borderId="16" xfId="0" applyBorder="1" applyAlignment="1">
      <alignment horizontal="center"/>
    </xf>
    <xf numFmtId="0" fontId="1" fillId="0" borderId="10" xfId="0" applyFont="1" applyBorder="1" applyAlignment="1">
      <alignment vertical="center" wrapText="1"/>
    </xf>
    <xf numFmtId="0" fontId="10" fillId="0" borderId="10" xfId="0" applyFont="1" applyBorder="1" applyAlignment="1">
      <alignment horizontal="left" vertical="center" wrapText="1"/>
    </xf>
    <xf numFmtId="0" fontId="0" fillId="0" borderId="10" xfId="0" applyBorder="1" applyAlignment="1">
      <alignment vertical="center" wrapText="1"/>
    </xf>
    <xf numFmtId="0" fontId="13" fillId="0" borderId="10" xfId="0" applyFont="1" applyBorder="1" applyAlignment="1">
      <alignment horizontal="center" vertical="center" wrapText="1"/>
    </xf>
    <xf numFmtId="0" fontId="2" fillId="0" borderId="10" xfId="0" applyFont="1" applyBorder="1" applyAlignment="1">
      <alignment vertical="center" wrapText="1"/>
    </xf>
    <xf numFmtId="0" fontId="2" fillId="0" borderId="0" xfId="0" applyFont="1" applyAlignment="1">
      <alignment horizontal="center" vertical="center" wrapText="1"/>
    </xf>
    <xf numFmtId="0" fontId="2" fillId="0" borderId="4" xfId="0" applyFont="1" applyBorder="1" applyAlignment="1">
      <alignment horizontal="center" vertical="center" wrapText="1"/>
    </xf>
    <xf numFmtId="0" fontId="7" fillId="0" borderId="4" xfId="0" applyFont="1" applyBorder="1" applyAlignment="1">
      <alignment horizontal="center" vertical="center" wrapText="1"/>
    </xf>
    <xf numFmtId="0" fontId="2" fillId="10" borderId="4" xfId="0" applyFont="1" applyFill="1" applyBorder="1" applyAlignment="1">
      <alignment horizontal="center" vertical="center" wrapText="1"/>
    </xf>
    <xf numFmtId="0" fontId="30" fillId="0" borderId="4" xfId="0" applyFont="1" applyBorder="1" applyAlignment="1">
      <alignment horizontal="center" vertical="center" wrapText="1"/>
    </xf>
    <xf numFmtId="0" fontId="1" fillId="10" borderId="4" xfId="0" applyFont="1" applyFill="1" applyBorder="1" applyAlignment="1">
      <alignment vertical="center" wrapText="1"/>
    </xf>
    <xf numFmtId="0" fontId="5" fillId="10" borderId="4" xfId="0" applyFont="1" applyFill="1" applyBorder="1" applyAlignment="1">
      <alignment vertical="center" wrapText="1"/>
    </xf>
    <xf numFmtId="0" fontId="1" fillId="3" borderId="4" xfId="0" applyFont="1" applyFill="1" applyBorder="1" applyAlignment="1">
      <alignment vertical="center" wrapText="1"/>
    </xf>
    <xf numFmtId="0" fontId="1" fillId="5" borderId="4" xfId="0" applyFont="1" applyFill="1" applyBorder="1" applyAlignment="1">
      <alignment vertical="center" wrapText="1"/>
    </xf>
    <xf numFmtId="0" fontId="1" fillId="10" borderId="0" xfId="0" applyFont="1" applyFill="1"/>
    <xf numFmtId="0" fontId="1" fillId="10" borderId="9" xfId="0" applyFont="1" applyFill="1" applyBorder="1" applyAlignment="1">
      <alignment vertical="center" wrapText="1"/>
    </xf>
    <xf numFmtId="0" fontId="1" fillId="6" borderId="4" xfId="0" applyFont="1" applyFill="1" applyBorder="1" applyAlignment="1">
      <alignment vertical="center" wrapText="1"/>
    </xf>
    <xf numFmtId="0" fontId="0" fillId="0" borderId="3" xfId="0" applyBorder="1" applyAlignment="1">
      <alignment horizontal="left" wrapText="1"/>
    </xf>
    <xf numFmtId="0" fontId="1" fillId="0" borderId="16" xfId="0" applyFont="1" applyBorder="1" applyAlignment="1">
      <alignment horizontal="center" wrapText="1"/>
    </xf>
    <xf numFmtId="0" fontId="1" fillId="0" borderId="3" xfId="0" applyFont="1" applyBorder="1" applyAlignment="1">
      <alignment horizontal="center" vertical="center" wrapText="1"/>
    </xf>
    <xf numFmtId="0" fontId="3" fillId="2" borderId="4" xfId="0" applyFont="1" applyFill="1" applyBorder="1" applyAlignment="1">
      <alignment horizontal="center" vertical="center" wrapText="1"/>
    </xf>
    <xf numFmtId="0" fontId="1" fillId="0" borderId="1" xfId="0" applyFont="1" applyBorder="1" applyAlignment="1">
      <alignment wrapText="1"/>
    </xf>
    <xf numFmtId="0" fontId="2" fillId="0" borderId="4" xfId="0" applyFont="1" applyBorder="1" applyAlignment="1">
      <alignment horizontal="left"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2" fillId="10" borderId="4" xfId="0" applyFont="1" applyFill="1" applyBorder="1" applyAlignment="1">
      <alignment vertical="center" wrapText="1"/>
    </xf>
    <xf numFmtId="0" fontId="13" fillId="10" borderId="4" xfId="0" applyFont="1" applyFill="1" applyBorder="1" applyAlignment="1">
      <alignment horizontal="center" vertical="center" wrapText="1"/>
    </xf>
    <xf numFmtId="0" fontId="31" fillId="0" borderId="4" xfId="0" applyFont="1" applyBorder="1" applyAlignment="1">
      <alignment horizontal="center" vertical="center" wrapText="1"/>
    </xf>
    <xf numFmtId="0" fontId="31" fillId="19" borderId="4" xfId="0" applyFont="1" applyFill="1" applyBorder="1" applyAlignment="1">
      <alignment horizontal="center" vertical="center" wrapText="1"/>
    </xf>
    <xf numFmtId="0" fontId="1" fillId="0" borderId="12" xfId="0" applyFont="1" applyBorder="1" applyAlignment="1">
      <alignment vertical="center" wrapText="1"/>
    </xf>
    <xf numFmtId="0" fontId="0" fillId="0" borderId="12" xfId="0" applyBorder="1" applyAlignment="1">
      <alignment vertical="center" wrapText="1"/>
    </xf>
    <xf numFmtId="0" fontId="1" fillId="0" borderId="10" xfId="0" applyFont="1" applyBorder="1" applyAlignment="1">
      <alignment horizontal="center" vertical="center"/>
    </xf>
    <xf numFmtId="0" fontId="3" fillId="3" borderId="4" xfId="0" applyFont="1" applyFill="1" applyBorder="1" applyAlignment="1">
      <alignment horizontal="center" vertical="center" wrapText="1"/>
    </xf>
    <xf numFmtId="0" fontId="3" fillId="11" borderId="4" xfId="0" applyFont="1" applyFill="1" applyBorder="1" applyAlignment="1">
      <alignment horizontal="center" vertical="center" wrapText="1"/>
    </xf>
    <xf numFmtId="0" fontId="2" fillId="0" borderId="12" xfId="0" applyFont="1" applyBorder="1" applyAlignment="1">
      <alignment horizontal="center" vertical="center" wrapText="1"/>
    </xf>
    <xf numFmtId="0" fontId="4" fillId="0" borderId="1" xfId="0" applyFont="1" applyBorder="1" applyAlignment="1">
      <alignment horizontal="center" vertical="center" wrapText="1"/>
    </xf>
    <xf numFmtId="0" fontId="0" fillId="0" borderId="4" xfId="0" applyBorder="1" applyAlignment="1">
      <alignment vertical="center"/>
    </xf>
    <xf numFmtId="0" fontId="1" fillId="10" borderId="10" xfId="0" applyFont="1" applyFill="1" applyBorder="1" applyAlignment="1">
      <alignment vertical="center" wrapText="1"/>
    </xf>
    <xf numFmtId="0" fontId="1" fillId="10" borderId="10" xfId="0" applyFont="1" applyFill="1" applyBorder="1" applyAlignment="1">
      <alignment wrapText="1"/>
    </xf>
    <xf numFmtId="0" fontId="0" fillId="10" borderId="10" xfId="0" applyFill="1" applyBorder="1" applyAlignment="1">
      <alignment horizontal="left" wrapText="1"/>
    </xf>
    <xf numFmtId="0" fontId="1" fillId="10" borderId="10" xfId="0" applyFont="1" applyFill="1" applyBorder="1" applyAlignment="1">
      <alignment horizontal="center" wrapText="1"/>
    </xf>
    <xf numFmtId="0" fontId="0" fillId="10" borderId="10" xfId="0" applyFill="1" applyBorder="1" applyAlignment="1">
      <alignment wrapText="1"/>
    </xf>
    <xf numFmtId="0" fontId="3" fillId="0" borderId="4" xfId="0" applyFont="1" applyBorder="1" applyAlignment="1">
      <alignment horizontal="center" vertical="center" wrapText="1"/>
    </xf>
    <xf numFmtId="0" fontId="3" fillId="14" borderId="4" xfId="0" applyFont="1" applyFill="1" applyBorder="1" applyAlignment="1">
      <alignment horizontal="center" vertical="center" wrapText="1"/>
    </xf>
    <xf numFmtId="0" fontId="0" fillId="20" borderId="0" xfId="0" applyFill="1" applyAlignment="1">
      <alignment wrapText="1"/>
    </xf>
    <xf numFmtId="0" fontId="1" fillId="20" borderId="4" xfId="0" applyFont="1" applyFill="1" applyBorder="1" applyAlignment="1">
      <alignment wrapText="1"/>
    </xf>
    <xf numFmtId="0" fontId="0" fillId="20" borderId="4" xfId="0" applyFill="1" applyBorder="1" applyAlignment="1">
      <alignment wrapText="1"/>
    </xf>
    <xf numFmtId="49" fontId="0" fillId="20" borderId="4" xfId="0" applyNumberFormat="1" applyFill="1" applyBorder="1" applyAlignment="1">
      <alignment wrapText="1"/>
    </xf>
    <xf numFmtId="0" fontId="0" fillId="20" borderId="4" xfId="0" applyFill="1" applyBorder="1" applyAlignment="1">
      <alignment horizontal="center" wrapText="1"/>
    </xf>
    <xf numFmtId="0" fontId="0" fillId="20" borderId="4" xfId="0" applyFill="1" applyBorder="1" applyAlignment="1">
      <alignment horizontal="left" wrapText="1"/>
    </xf>
    <xf numFmtId="0" fontId="1" fillId="20" borderId="4" xfId="0" applyFont="1" applyFill="1" applyBorder="1" applyAlignment="1">
      <alignment horizontal="center" wrapText="1"/>
    </xf>
    <xf numFmtId="0" fontId="13" fillId="0" borderId="9" xfId="0" applyFont="1" applyBorder="1" applyAlignment="1">
      <alignment wrapText="1"/>
    </xf>
    <xf numFmtId="0" fontId="13" fillId="0" borderId="9" xfId="0" applyFont="1" applyBorder="1" applyAlignment="1">
      <alignment horizontal="center" wrapText="1"/>
    </xf>
    <xf numFmtId="0" fontId="13" fillId="0" borderId="10" xfId="0" applyFont="1" applyBorder="1" applyAlignment="1">
      <alignment wrapText="1"/>
    </xf>
    <xf numFmtId="0" fontId="10" fillId="0" borderId="10" xfId="0" applyFont="1" applyBorder="1" applyAlignment="1">
      <alignment wrapText="1"/>
    </xf>
    <xf numFmtId="0" fontId="13" fillId="0" borderId="10" xfId="0" applyFont="1" applyBorder="1" applyAlignment="1">
      <alignment horizontal="center" wrapText="1"/>
    </xf>
    <xf numFmtId="0" fontId="1" fillId="2" borderId="9" xfId="0" applyFont="1" applyFill="1" applyBorder="1" applyAlignment="1">
      <alignment vertical="center" wrapText="1"/>
    </xf>
    <xf numFmtId="0" fontId="3" fillId="17" borderId="16" xfId="0" applyFont="1" applyFill="1" applyBorder="1" applyAlignment="1">
      <alignment horizontal="center" wrapText="1"/>
    </xf>
    <xf numFmtId="0" fontId="3" fillId="0" borderId="0" xfId="0" applyFont="1" applyAlignment="1">
      <alignment horizontal="center" wrapText="1"/>
    </xf>
    <xf numFmtId="0" fontId="4" fillId="0" borderId="0" xfId="0" applyFont="1" applyAlignment="1">
      <alignment wrapText="1"/>
    </xf>
    <xf numFmtId="0" fontId="4" fillId="0" borderId="4" xfId="0" applyFont="1" applyBorder="1"/>
    <xf numFmtId="0" fontId="5" fillId="0" borderId="4" xfId="0" applyFont="1" applyBorder="1" applyAlignment="1">
      <alignment wrapText="1"/>
    </xf>
    <xf numFmtId="0" fontId="5" fillId="0" borderId="10" xfId="0" applyFont="1" applyBorder="1" applyAlignment="1">
      <alignment wrapText="1"/>
    </xf>
    <xf numFmtId="0" fontId="4" fillId="0" borderId="10" xfId="0" applyFont="1" applyBorder="1" applyAlignment="1">
      <alignment wrapText="1"/>
    </xf>
    <xf numFmtId="0" fontId="4" fillId="0" borderId="4" xfId="0" applyFont="1" applyBorder="1" applyAlignment="1">
      <alignment horizontal="left" wrapText="1"/>
    </xf>
    <xf numFmtId="0" fontId="5" fillId="0" borderId="4" xfId="0" applyFont="1" applyBorder="1" applyAlignment="1">
      <alignment horizontal="center" wrapText="1"/>
    </xf>
    <xf numFmtId="0" fontId="4" fillId="0" borderId="4" xfId="0" applyFont="1" applyBorder="1" applyAlignment="1">
      <alignment wrapText="1"/>
    </xf>
    <xf numFmtId="49" fontId="4" fillId="0" borderId="10" xfId="0" applyNumberFormat="1" applyFont="1" applyBorder="1" applyAlignment="1">
      <alignment wrapText="1"/>
    </xf>
    <xf numFmtId="0" fontId="4" fillId="0" borderId="10" xfId="0" applyFont="1" applyBorder="1" applyAlignment="1">
      <alignment horizontal="center" wrapText="1"/>
    </xf>
    <xf numFmtId="49" fontId="4" fillId="0" borderId="4" xfId="0" applyNumberFormat="1" applyFont="1" applyBorder="1" applyAlignment="1">
      <alignment wrapText="1"/>
    </xf>
    <xf numFmtId="0" fontId="4" fillId="0" borderId="4" xfId="0" applyFont="1" applyBorder="1" applyAlignment="1">
      <alignment horizontal="center" wrapText="1"/>
    </xf>
    <xf numFmtId="0" fontId="5" fillId="0" borderId="11" xfId="0" applyFont="1" applyBorder="1" applyAlignment="1">
      <alignment wrapText="1"/>
    </xf>
    <xf numFmtId="0" fontId="4" fillId="0" borderId="11" xfId="0" applyFont="1" applyBorder="1" applyAlignment="1">
      <alignment wrapText="1"/>
    </xf>
    <xf numFmtId="0" fontId="4" fillId="0" borderId="9" xfId="0" applyFont="1" applyBorder="1"/>
    <xf numFmtId="0" fontId="5" fillId="0" borderId="9" xfId="0" applyFont="1" applyBorder="1" applyAlignment="1">
      <alignment horizontal="center" wrapText="1"/>
    </xf>
    <xf numFmtId="0" fontId="4" fillId="0" borderId="9" xfId="0" applyFont="1" applyBorder="1" applyAlignment="1">
      <alignment wrapText="1"/>
    </xf>
    <xf numFmtId="0" fontId="5" fillId="0" borderId="16" xfId="0" applyFont="1" applyBorder="1" applyAlignment="1">
      <alignment wrapText="1"/>
    </xf>
    <xf numFmtId="49" fontId="4" fillId="0" borderId="16" xfId="0" applyNumberFormat="1" applyFont="1" applyBorder="1" applyAlignment="1">
      <alignment wrapText="1"/>
    </xf>
    <xf numFmtId="0" fontId="4" fillId="0" borderId="16" xfId="0" applyFont="1" applyBorder="1" applyAlignment="1">
      <alignment wrapText="1"/>
    </xf>
    <xf numFmtId="0" fontId="4" fillId="0" borderId="16" xfId="0" applyFont="1" applyBorder="1" applyAlignment="1">
      <alignment horizontal="center" wrapText="1"/>
    </xf>
    <xf numFmtId="0" fontId="0" fillId="22" borderId="0" xfId="0" applyFill="1" applyAlignment="1">
      <alignment wrapText="1"/>
    </xf>
    <xf numFmtId="0" fontId="0" fillId="22" borderId="4" xfId="0" applyFill="1" applyBorder="1"/>
    <xf numFmtId="0" fontId="1" fillId="22" borderId="4" xfId="0" applyFont="1" applyFill="1" applyBorder="1" applyAlignment="1">
      <alignment wrapText="1"/>
    </xf>
    <xf numFmtId="49" fontId="0" fillId="22" borderId="4" xfId="0" applyNumberFormat="1" applyFill="1" applyBorder="1" applyAlignment="1">
      <alignment wrapText="1"/>
    </xf>
    <xf numFmtId="0" fontId="0" fillId="22" borderId="4" xfId="0" applyFill="1" applyBorder="1" applyAlignment="1">
      <alignment wrapText="1"/>
    </xf>
    <xf numFmtId="0" fontId="0" fillId="22" borderId="4" xfId="0" applyFill="1" applyBorder="1" applyAlignment="1">
      <alignment horizontal="center" wrapText="1"/>
    </xf>
    <xf numFmtId="0" fontId="2" fillId="22" borderId="4" xfId="0" applyFont="1" applyFill="1" applyBorder="1" applyAlignment="1">
      <alignment horizontal="left" wrapText="1"/>
    </xf>
    <xf numFmtId="0" fontId="1" fillId="22" borderId="4" xfId="0" applyFont="1" applyFill="1" applyBorder="1" applyAlignment="1">
      <alignment horizontal="center" wrapText="1"/>
    </xf>
    <xf numFmtId="0" fontId="8" fillId="3" borderId="10" xfId="0" applyFont="1" applyFill="1" applyBorder="1" applyAlignment="1">
      <alignment horizontal="center" wrapText="1"/>
    </xf>
    <xf numFmtId="0" fontId="0" fillId="0" borderId="0" xfId="0" applyAlignment="1">
      <alignment horizontal="center" wrapText="1"/>
    </xf>
    <xf numFmtId="0" fontId="0" fillId="0" borderId="0" xfId="0" applyAlignment="1">
      <alignment horizontal="center"/>
    </xf>
    <xf numFmtId="0" fontId="1" fillId="0" borderId="11" xfId="0" applyFont="1" applyBorder="1" applyAlignment="1">
      <alignment wrapText="1"/>
    </xf>
    <xf numFmtId="0" fontId="2" fillId="0" borderId="10" xfId="0" applyFont="1" applyBorder="1" applyAlignment="1">
      <alignment wrapText="1"/>
    </xf>
    <xf numFmtId="0" fontId="1" fillId="0" borderId="12" xfId="0" applyFont="1" applyBorder="1" applyAlignment="1">
      <alignment wrapText="1"/>
    </xf>
    <xf numFmtId="0" fontId="0" fillId="24" borderId="0" xfId="0" applyFill="1"/>
    <xf numFmtId="0" fontId="1" fillId="24" borderId="0" xfId="0" applyFont="1" applyFill="1" applyAlignment="1">
      <alignment wrapText="1"/>
    </xf>
    <xf numFmtId="0" fontId="3" fillId="24" borderId="0" xfId="0" applyFont="1" applyFill="1" applyAlignment="1">
      <alignment wrapText="1"/>
    </xf>
    <xf numFmtId="49" fontId="3" fillId="24" borderId="0" xfId="0" applyNumberFormat="1" applyFont="1" applyFill="1" applyAlignment="1">
      <alignment wrapText="1"/>
    </xf>
    <xf numFmtId="0" fontId="0" fillId="12" borderId="4" xfId="0" applyFill="1" applyBorder="1"/>
    <xf numFmtId="0" fontId="3" fillId="12" borderId="1" xfId="0" applyFont="1" applyFill="1" applyBorder="1" applyAlignment="1">
      <alignment wrapText="1"/>
    </xf>
    <xf numFmtId="0" fontId="1" fillId="12" borderId="0" xfId="0" applyFont="1" applyFill="1" applyAlignment="1">
      <alignment wrapText="1"/>
    </xf>
    <xf numFmtId="0" fontId="0" fillId="17" borderId="3" xfId="0" applyFill="1" applyBorder="1" applyAlignment="1">
      <alignment wrapText="1"/>
    </xf>
    <xf numFmtId="0" fontId="0" fillId="17" borderId="3" xfId="0" applyFill="1" applyBorder="1" applyAlignment="1">
      <alignment horizontal="center" wrapText="1"/>
    </xf>
    <xf numFmtId="0" fontId="1" fillId="17" borderId="3" xfId="0" applyFont="1" applyFill="1" applyBorder="1" applyAlignment="1">
      <alignment wrapText="1"/>
    </xf>
    <xf numFmtId="0" fontId="1" fillId="0" borderId="16" xfId="0" applyFont="1" applyBorder="1" applyAlignment="1">
      <alignment horizontal="right" wrapText="1"/>
    </xf>
    <xf numFmtId="0" fontId="1" fillId="12" borderId="4" xfId="0" applyFont="1" applyFill="1" applyBorder="1" applyAlignment="1">
      <alignment wrapText="1"/>
    </xf>
    <xf numFmtId="0" fontId="0" fillId="10" borderId="0" xfId="0" applyFill="1" applyAlignment="1">
      <alignment wrapText="1"/>
    </xf>
    <xf numFmtId="49" fontId="10" fillId="0" borderId="4" xfId="0" applyNumberFormat="1" applyFont="1" applyBorder="1" applyAlignment="1">
      <alignment vertical="center" wrapText="1"/>
    </xf>
    <xf numFmtId="0" fontId="7" fillId="0" borderId="4" xfId="0" applyFont="1" applyBorder="1" applyAlignment="1">
      <alignment wrapText="1"/>
    </xf>
    <xf numFmtId="0" fontId="0" fillId="26" borderId="0" xfId="0" applyFill="1" applyAlignment="1">
      <alignment wrapText="1"/>
    </xf>
    <xf numFmtId="0" fontId="0" fillId="26" borderId="4" xfId="0" applyFill="1" applyBorder="1"/>
    <xf numFmtId="0" fontId="1" fillId="26" borderId="4" xfId="0" applyFont="1" applyFill="1" applyBorder="1" applyAlignment="1">
      <alignment wrapText="1"/>
    </xf>
    <xf numFmtId="0" fontId="0" fillId="26" borderId="4" xfId="0" applyFill="1" applyBorder="1" applyAlignment="1">
      <alignment wrapText="1"/>
    </xf>
    <xf numFmtId="0" fontId="1" fillId="26" borderId="10" xfId="0" applyFont="1" applyFill="1" applyBorder="1" applyAlignment="1">
      <alignment horizontal="center" wrapText="1"/>
    </xf>
    <xf numFmtId="49" fontId="0" fillId="26" borderId="4" xfId="0" applyNumberFormat="1" applyFill="1" applyBorder="1" applyAlignment="1">
      <alignment wrapText="1"/>
    </xf>
    <xf numFmtId="0" fontId="0" fillId="26" borderId="4" xfId="0" applyFill="1" applyBorder="1" applyAlignment="1">
      <alignment horizontal="center" wrapText="1"/>
    </xf>
    <xf numFmtId="0" fontId="10" fillId="10" borderId="4" xfId="0" applyFont="1" applyFill="1" applyBorder="1" applyAlignment="1">
      <alignment wrapText="1"/>
    </xf>
    <xf numFmtId="0" fontId="0" fillId="10" borderId="12" xfId="0" applyFill="1" applyBorder="1" applyAlignment="1">
      <alignment wrapText="1"/>
    </xf>
    <xf numFmtId="0" fontId="1" fillId="10" borderId="12" xfId="0" applyFont="1" applyFill="1" applyBorder="1" applyAlignment="1">
      <alignment wrapText="1"/>
    </xf>
    <xf numFmtId="0" fontId="1" fillId="0" borderId="4" xfId="0" applyFont="1" applyBorder="1" applyAlignment="1">
      <alignment horizontal="right" wrapText="1"/>
    </xf>
    <xf numFmtId="0" fontId="0" fillId="2" borderId="4" xfId="0" applyFill="1" applyBorder="1"/>
    <xf numFmtId="49" fontId="2" fillId="0" borderId="4" xfId="0" applyNumberFormat="1" applyFont="1" applyBorder="1" applyAlignment="1">
      <alignment vertical="center" wrapText="1"/>
    </xf>
    <xf numFmtId="0" fontId="1" fillId="24" borderId="0" xfId="0" applyFont="1" applyFill="1" applyAlignment="1">
      <alignment vertical="center" wrapText="1"/>
    </xf>
    <xf numFmtId="0" fontId="0" fillId="10" borderId="10" xfId="0" applyFill="1" applyBorder="1" applyAlignment="1">
      <alignment horizontal="left" vertical="center" wrapText="1"/>
    </xf>
    <xf numFmtId="0" fontId="2" fillId="0" borderId="0" xfId="0" applyFont="1" applyAlignment="1">
      <alignment vertical="center" wrapText="1"/>
    </xf>
    <xf numFmtId="0" fontId="0" fillId="10" borderId="4" xfId="0" applyFill="1" applyBorder="1" applyAlignment="1">
      <alignment horizontal="left" vertical="center" wrapText="1"/>
    </xf>
    <xf numFmtId="0" fontId="2" fillId="0" borderId="4" xfId="0" applyFont="1" applyBorder="1" applyAlignment="1">
      <alignment vertical="center"/>
    </xf>
    <xf numFmtId="0" fontId="2" fillId="0" borderId="4" xfId="0" applyFont="1" applyBorder="1"/>
    <xf numFmtId="0" fontId="2" fillId="0" borderId="9" xfId="0" applyFont="1" applyBorder="1" applyAlignment="1">
      <alignment horizontal="left" vertical="center" wrapText="1"/>
    </xf>
    <xf numFmtId="0" fontId="0" fillId="0" borderId="10" xfId="0" applyBorder="1" applyAlignment="1">
      <alignment horizontal="center" vertical="center" wrapText="1"/>
    </xf>
    <xf numFmtId="0" fontId="7" fillId="10" borderId="4" xfId="0" applyFont="1" applyFill="1" applyBorder="1" applyAlignment="1">
      <alignment wrapText="1"/>
    </xf>
    <xf numFmtId="0" fontId="8" fillId="0" borderId="9" xfId="0" applyFont="1" applyBorder="1" applyAlignment="1">
      <alignment wrapText="1"/>
    </xf>
    <xf numFmtId="0" fontId="7" fillId="0" borderId="9" xfId="0" applyFont="1" applyBorder="1" applyAlignment="1">
      <alignment wrapText="1"/>
    </xf>
    <xf numFmtId="0" fontId="1" fillId="13" borderId="4" xfId="0" applyFont="1" applyFill="1" applyBorder="1" applyAlignment="1">
      <alignment wrapText="1"/>
    </xf>
    <xf numFmtId="0" fontId="1" fillId="13" borderId="15" xfId="0" applyFont="1" applyFill="1" applyBorder="1" applyAlignment="1">
      <alignment horizontal="right" wrapText="1"/>
    </xf>
    <xf numFmtId="0" fontId="1" fillId="13" borderId="15" xfId="0" applyFont="1" applyFill="1" applyBorder="1" applyAlignment="1">
      <alignment wrapText="1"/>
    </xf>
    <xf numFmtId="0" fontId="1" fillId="13" borderId="15" xfId="0" applyFont="1" applyFill="1" applyBorder="1" applyAlignment="1">
      <alignment horizontal="center" wrapText="1"/>
    </xf>
    <xf numFmtId="0" fontId="2" fillId="0" borderId="0" xfId="0" applyFont="1" applyAlignment="1">
      <alignment horizontal="center" vertical="center"/>
    </xf>
    <xf numFmtId="0" fontId="13" fillId="0" borderId="0" xfId="0" applyFont="1"/>
    <xf numFmtId="0" fontId="10" fillId="0" borderId="0" xfId="0" applyFont="1"/>
    <xf numFmtId="0" fontId="2" fillId="0" borderId="16" xfId="0" applyFont="1" applyBorder="1" applyAlignment="1">
      <alignment wrapText="1"/>
    </xf>
    <xf numFmtId="0" fontId="1" fillId="0" borderId="0" xfId="0" applyFont="1" applyAlignment="1">
      <alignment horizontal="center"/>
    </xf>
    <xf numFmtId="0" fontId="8" fillId="0" borderId="4" xfId="0" applyFont="1" applyBorder="1" applyAlignment="1">
      <alignment wrapText="1"/>
    </xf>
    <xf numFmtId="0" fontId="8" fillId="10" borderId="4" xfId="0" applyFont="1" applyFill="1" applyBorder="1" applyAlignment="1">
      <alignment wrapText="1"/>
    </xf>
    <xf numFmtId="0" fontId="2" fillId="0" borderId="4" xfId="0" applyFont="1" applyBorder="1" applyAlignment="1">
      <alignment horizontal="center"/>
    </xf>
    <xf numFmtId="0" fontId="2" fillId="0" borderId="4" xfId="0" applyFont="1" applyBorder="1" applyAlignment="1">
      <alignment horizontal="center" wrapText="1"/>
    </xf>
    <xf numFmtId="0" fontId="2" fillId="0" borderId="3" xfId="0" applyFont="1" applyBorder="1" applyAlignment="1">
      <alignment horizontal="left" vertical="center" wrapText="1"/>
    </xf>
    <xf numFmtId="0" fontId="0" fillId="0" borderId="3" xfId="0" applyBorder="1" applyAlignment="1">
      <alignment horizontal="left" vertical="center" wrapText="1"/>
    </xf>
    <xf numFmtId="0" fontId="2" fillId="10" borderId="10" xfId="0" applyFont="1" applyFill="1" applyBorder="1" applyAlignment="1">
      <alignment vertical="center" wrapText="1"/>
    </xf>
    <xf numFmtId="0" fontId="1" fillId="13" borderId="4" xfId="0" applyFont="1" applyFill="1" applyBorder="1" applyAlignment="1">
      <alignment horizontal="right" wrapText="1"/>
    </xf>
    <xf numFmtId="0" fontId="7" fillId="0" borderId="4" xfId="0" applyFont="1" applyBorder="1" applyAlignment="1">
      <alignment horizontal="center"/>
    </xf>
    <xf numFmtId="0" fontId="41" fillId="0" borderId="4" xfId="0" applyFont="1" applyBorder="1"/>
    <xf numFmtId="0" fontId="10" fillId="0" borderId="4" xfId="0" applyFont="1" applyBorder="1"/>
    <xf numFmtId="0" fontId="13" fillId="0" borderId="4" xfId="0" applyFont="1" applyBorder="1"/>
    <xf numFmtId="0" fontId="10" fillId="0" borderId="4" xfId="0" applyFont="1" applyBorder="1" applyAlignment="1">
      <alignment horizontal="center"/>
    </xf>
    <xf numFmtId="0" fontId="42" fillId="0" borderId="4" xfId="0" applyFont="1" applyBorder="1"/>
    <xf numFmtId="0" fontId="1" fillId="28" borderId="4" xfId="0" applyFont="1" applyFill="1" applyBorder="1" applyAlignment="1">
      <alignment vertical="center" wrapText="1"/>
    </xf>
    <xf numFmtId="0" fontId="13" fillId="28" borderId="4" xfId="0" applyFont="1" applyFill="1" applyBorder="1" applyAlignment="1">
      <alignment vertical="center" wrapText="1"/>
    </xf>
    <xf numFmtId="0" fontId="42" fillId="0" borderId="4" xfId="0" applyFont="1" applyBorder="1" applyAlignment="1">
      <alignment horizontal="center"/>
    </xf>
    <xf numFmtId="0" fontId="42" fillId="0" borderId="4" xfId="0" applyFont="1" applyBorder="1" applyAlignment="1">
      <alignment wrapText="1"/>
    </xf>
    <xf numFmtId="0" fontId="1" fillId="0" borderId="4" xfId="0" applyFont="1" applyBorder="1" applyAlignment="1">
      <alignment vertical="center"/>
    </xf>
    <xf numFmtId="0" fontId="42" fillId="0" borderId="4" xfId="0" applyFont="1" applyBorder="1" applyAlignment="1">
      <alignment horizontal="center" wrapText="1"/>
    </xf>
    <xf numFmtId="0" fontId="1" fillId="10" borderId="4" xfId="0" applyFont="1" applyFill="1" applyBorder="1" applyAlignment="1">
      <alignment vertical="center"/>
    </xf>
    <xf numFmtId="0" fontId="7" fillId="0" borderId="4" xfId="0" applyFont="1" applyBorder="1" applyAlignment="1">
      <alignment horizontal="center" wrapText="1"/>
    </xf>
    <xf numFmtId="0" fontId="43" fillId="0" borderId="0" xfId="0" applyFont="1"/>
    <xf numFmtId="0" fontId="1" fillId="11" borderId="0" xfId="0" applyFont="1" applyFill="1"/>
    <xf numFmtId="0" fontId="1" fillId="9" borderId="0" xfId="0" applyFont="1" applyFill="1"/>
    <xf numFmtId="0" fontId="44" fillId="4" borderId="0" xfId="0" applyFont="1" applyFill="1"/>
    <xf numFmtId="0" fontId="19" fillId="9" borderId="0" xfId="0" applyFont="1" applyFill="1"/>
    <xf numFmtId="0" fontId="1" fillId="17" borderId="4" xfId="0" applyFont="1" applyFill="1" applyBorder="1"/>
    <xf numFmtId="0" fontId="1" fillId="17" borderId="0" xfId="0" applyFont="1" applyFill="1" applyAlignment="1">
      <alignment horizontal="left" wrapText="1"/>
    </xf>
    <xf numFmtId="0" fontId="45" fillId="0" borderId="4" xfId="0" applyFont="1" applyBorder="1"/>
    <xf numFmtId="0" fontId="45" fillId="0" borderId="4" xfId="0" applyFont="1" applyBorder="1" applyAlignment="1">
      <alignment horizontal="center"/>
    </xf>
    <xf numFmtId="0" fontId="1" fillId="10" borderId="0" xfId="0" applyFont="1" applyFill="1" applyAlignment="1">
      <alignment horizontal="center"/>
    </xf>
    <xf numFmtId="0" fontId="0" fillId="10" borderId="4" xfId="0" applyFill="1" applyBorder="1" applyAlignment="1">
      <alignment horizontal="center"/>
    </xf>
    <xf numFmtId="0" fontId="22" fillId="2" borderId="1" xfId="0" applyFont="1" applyFill="1" applyBorder="1" applyAlignment="1">
      <alignment vertical="center"/>
    </xf>
    <xf numFmtId="0" fontId="47" fillId="2" borderId="4" xfId="0" applyFont="1" applyFill="1" applyBorder="1" applyAlignment="1">
      <alignment vertical="center"/>
    </xf>
    <xf numFmtId="0" fontId="22" fillId="0" borderId="1" xfId="0" applyFont="1" applyBorder="1" applyAlignment="1">
      <alignment vertical="center" wrapText="1"/>
    </xf>
    <xf numFmtId="0" fontId="3" fillId="0" borderId="2" xfId="0" applyFont="1" applyBorder="1" applyAlignment="1">
      <alignment vertical="center" wrapText="1"/>
    </xf>
    <xf numFmtId="0" fontId="1" fillId="0" borderId="2" xfId="0" applyFont="1" applyBorder="1" applyAlignment="1">
      <alignment vertical="center" wrapText="1"/>
    </xf>
    <xf numFmtId="0" fontId="0" fillId="0" borderId="2" xfId="0" applyBorder="1" applyAlignment="1">
      <alignment vertical="center" wrapText="1"/>
    </xf>
    <xf numFmtId="49" fontId="2" fillId="0" borderId="2" xfId="0" applyNumberFormat="1" applyFont="1" applyBorder="1" applyAlignment="1">
      <alignment vertical="center" wrapText="1"/>
    </xf>
    <xf numFmtId="0" fontId="2" fillId="0" borderId="2" xfId="0" applyFont="1" applyBorder="1" applyAlignment="1">
      <alignment vertical="center" wrapText="1"/>
    </xf>
    <xf numFmtId="0" fontId="3" fillId="0" borderId="2" xfId="0" applyFont="1" applyBorder="1" applyAlignment="1">
      <alignment vertical="center"/>
    </xf>
    <xf numFmtId="0" fontId="0" fillId="0" borderId="2" xfId="0" applyBorder="1" applyAlignment="1">
      <alignment horizontal="center" vertical="center" wrapText="1"/>
    </xf>
    <xf numFmtId="0" fontId="1" fillId="0" borderId="3" xfId="0" applyFont="1" applyBorder="1" applyAlignment="1">
      <alignment vertical="center" wrapText="1"/>
    </xf>
    <xf numFmtId="0" fontId="1" fillId="0" borderId="2" xfId="0" applyFont="1" applyBorder="1" applyAlignment="1">
      <alignment horizontal="center" vertical="center" wrapText="1"/>
    </xf>
    <xf numFmtId="0" fontId="0" fillId="29" borderId="0" xfId="0" applyFill="1"/>
    <xf numFmtId="0" fontId="1" fillId="29" borderId="0" xfId="0" applyFont="1" applyFill="1" applyAlignment="1">
      <alignment wrapText="1"/>
    </xf>
    <xf numFmtId="0" fontId="3" fillId="29" borderId="0" xfId="0" applyFont="1" applyFill="1" applyAlignment="1">
      <alignment wrapText="1"/>
    </xf>
    <xf numFmtId="49" fontId="3" fillId="29" borderId="0" xfId="0" applyNumberFormat="1" applyFont="1" applyFill="1" applyAlignment="1">
      <alignment wrapText="1"/>
    </xf>
    <xf numFmtId="0" fontId="8" fillId="0" borderId="4" xfId="0" applyFont="1" applyBorder="1"/>
    <xf numFmtId="0" fontId="27" fillId="24" borderId="0" xfId="0" applyFont="1" applyFill="1" applyAlignment="1">
      <alignment wrapText="1"/>
    </xf>
    <xf numFmtId="0" fontId="2" fillId="0" borderId="1" xfId="0" applyFont="1" applyBorder="1" applyAlignment="1">
      <alignment horizontal="center" vertical="center" wrapText="1"/>
    </xf>
    <xf numFmtId="0" fontId="2"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 fillId="0" borderId="10" xfId="0" applyFont="1" applyBorder="1" applyAlignment="1">
      <alignment horizontal="left" vertical="center" wrapText="1"/>
    </xf>
    <xf numFmtId="0" fontId="1" fillId="0" borderId="10" xfId="0" applyFont="1" applyBorder="1" applyAlignment="1">
      <alignment horizontal="center" vertical="center" wrapText="1"/>
    </xf>
    <xf numFmtId="0" fontId="1" fillId="10" borderId="1" xfId="0" applyFont="1" applyFill="1" applyBorder="1" applyAlignment="1">
      <alignment vertical="center" wrapText="1"/>
    </xf>
    <xf numFmtId="0" fontId="1" fillId="10" borderId="4" xfId="0" applyFont="1" applyFill="1" applyBorder="1"/>
    <xf numFmtId="0" fontId="2" fillId="10" borderId="4" xfId="0" applyFont="1" applyFill="1" applyBorder="1" applyAlignment="1">
      <alignment horizontal="center"/>
    </xf>
    <xf numFmtId="0" fontId="10" fillId="10" borderId="4" xfId="0" applyFont="1" applyFill="1" applyBorder="1" applyAlignment="1">
      <alignment horizontal="center"/>
    </xf>
    <xf numFmtId="0" fontId="42" fillId="10" borderId="4" xfId="0" applyFont="1" applyFill="1" applyBorder="1"/>
    <xf numFmtId="0" fontId="42" fillId="10" borderId="4" xfId="0" applyFont="1" applyFill="1" applyBorder="1" applyAlignment="1">
      <alignment horizontal="center"/>
    </xf>
    <xf numFmtId="0" fontId="10" fillId="10" borderId="4" xfId="0" applyFont="1" applyFill="1" applyBorder="1"/>
    <xf numFmtId="0" fontId="2" fillId="10" borderId="4" xfId="0" applyFont="1" applyFill="1" applyBorder="1" applyAlignment="1">
      <alignment horizontal="center" wrapText="1"/>
    </xf>
    <xf numFmtId="0" fontId="7" fillId="10" borderId="4" xfId="0" applyFont="1" applyFill="1" applyBorder="1" applyAlignment="1">
      <alignment horizontal="center"/>
    </xf>
    <xf numFmtId="0" fontId="1" fillId="10" borderId="1" xfId="0" applyFont="1" applyFill="1" applyBorder="1" applyAlignment="1">
      <alignment vertical="center"/>
    </xf>
    <xf numFmtId="0" fontId="1" fillId="10" borderId="0" xfId="0" applyFont="1" applyFill="1" applyAlignment="1">
      <alignment vertical="center"/>
    </xf>
    <xf numFmtId="0" fontId="1" fillId="10" borderId="5" xfId="0" applyFont="1" applyFill="1" applyBorder="1" applyAlignment="1">
      <alignment vertical="center"/>
    </xf>
    <xf numFmtId="0" fontId="1" fillId="10" borderId="8" xfId="0" applyFont="1" applyFill="1" applyBorder="1" applyAlignment="1">
      <alignment horizontal="center" vertical="center"/>
    </xf>
    <xf numFmtId="0" fontId="1" fillId="10" borderId="11" xfId="0" applyFont="1" applyFill="1" applyBorder="1" applyAlignment="1">
      <alignment vertical="center"/>
    </xf>
    <xf numFmtId="0" fontId="1" fillId="10" borderId="8" xfId="0" applyFont="1" applyFill="1" applyBorder="1" applyAlignment="1">
      <alignment vertical="center"/>
    </xf>
    <xf numFmtId="0" fontId="49" fillId="0" borderId="4" xfId="0" applyFont="1" applyBorder="1" applyAlignment="1">
      <alignment wrapText="1"/>
    </xf>
    <xf numFmtId="0" fontId="2" fillId="10" borderId="4" xfId="0" applyFont="1" applyFill="1" applyBorder="1"/>
    <xf numFmtId="0" fontId="1" fillId="0" borderId="9" xfId="0" applyFont="1" applyBorder="1" applyAlignment="1">
      <alignment horizontal="center" vertical="center" wrapText="1"/>
    </xf>
    <xf numFmtId="0" fontId="2" fillId="0" borderId="9" xfId="0" applyFont="1" applyBorder="1" applyAlignment="1">
      <alignment horizontal="center" vertical="center" wrapText="1"/>
    </xf>
    <xf numFmtId="0" fontId="1" fillId="0" borderId="6" xfId="0" applyFont="1" applyBorder="1" applyAlignment="1">
      <alignment horizontal="center" vertical="center" wrapText="1"/>
    </xf>
    <xf numFmtId="0" fontId="2" fillId="0" borderId="9" xfId="0" applyFont="1" applyBorder="1" applyAlignment="1">
      <alignment vertical="center" wrapText="1"/>
    </xf>
    <xf numFmtId="0" fontId="0" fillId="0" borderId="9" xfId="0" applyBorder="1" applyAlignment="1">
      <alignment vertical="center" wrapText="1"/>
    </xf>
    <xf numFmtId="0" fontId="1" fillId="0" borderId="9" xfId="0" applyFont="1" applyBorder="1" applyAlignment="1">
      <alignment vertical="center" wrapText="1"/>
    </xf>
    <xf numFmtId="0" fontId="0" fillId="0" borderId="9" xfId="0" applyBorder="1" applyAlignment="1">
      <alignment horizontal="center" vertical="center" wrapText="1"/>
    </xf>
    <xf numFmtId="0" fontId="3" fillId="9" borderId="0" xfId="0" applyFont="1" applyFill="1" applyAlignment="1">
      <alignment wrapText="1"/>
    </xf>
    <xf numFmtId="49" fontId="3" fillId="9" borderId="0" xfId="0" applyNumberFormat="1" applyFont="1" applyFill="1" applyAlignment="1">
      <alignment wrapText="1"/>
    </xf>
    <xf numFmtId="0" fontId="1" fillId="0" borderId="4" xfId="0" applyFont="1" applyBorder="1" applyAlignment="1">
      <alignment horizontal="center" vertical="center"/>
    </xf>
    <xf numFmtId="0" fontId="1" fillId="0" borderId="0" xfId="0" applyFont="1" applyAlignment="1">
      <alignment vertical="center"/>
    </xf>
    <xf numFmtId="0" fontId="1" fillId="11" borderId="5" xfId="0" applyFont="1" applyFill="1" applyBorder="1" applyAlignment="1">
      <alignment horizontal="center" vertical="center" wrapText="1"/>
    </xf>
    <xf numFmtId="0" fontId="1" fillId="11" borderId="11" xfId="0" applyFont="1" applyFill="1" applyBorder="1" applyAlignment="1">
      <alignment horizontal="center" vertical="center"/>
    </xf>
    <xf numFmtId="0" fontId="1" fillId="11" borderId="11" xfId="0" applyFont="1" applyFill="1" applyBorder="1" applyAlignment="1">
      <alignment horizontal="left" vertical="center" wrapText="1"/>
    </xf>
    <xf numFmtId="0" fontId="22" fillId="31" borderId="4" xfId="0" applyFont="1" applyFill="1" applyBorder="1" applyAlignment="1">
      <alignment vertical="center"/>
    </xf>
    <xf numFmtId="0" fontId="22" fillId="31" borderId="4" xfId="0" applyFont="1" applyFill="1" applyBorder="1" applyAlignment="1">
      <alignment horizontal="center" vertical="center"/>
    </xf>
    <xf numFmtId="0" fontId="3" fillId="2" borderId="11" xfId="0" applyFont="1" applyFill="1" applyBorder="1" applyAlignment="1">
      <alignment vertical="center"/>
    </xf>
    <xf numFmtId="0" fontId="3" fillId="2" borderId="10" xfId="0" applyFont="1" applyFill="1" applyBorder="1" applyAlignment="1">
      <alignment vertical="center"/>
    </xf>
    <xf numFmtId="0" fontId="1" fillId="0" borderId="0" xfId="0" applyFont="1" applyAlignment="1">
      <alignment horizontal="center" vertical="center"/>
    </xf>
    <xf numFmtId="0" fontId="1" fillId="0" borderId="9" xfId="0" applyFont="1" applyBorder="1" applyAlignment="1">
      <alignment horizontal="center" vertical="center"/>
    </xf>
    <xf numFmtId="0" fontId="0" fillId="10" borderId="9" xfId="0" applyFill="1" applyBorder="1" applyAlignment="1">
      <alignment horizontal="left" vertical="center" wrapText="1"/>
    </xf>
    <xf numFmtId="0" fontId="0" fillId="0" borderId="3" xfId="0" applyBorder="1" applyAlignment="1">
      <alignment vertical="center" wrapText="1"/>
    </xf>
    <xf numFmtId="0" fontId="1" fillId="0" borderId="1" xfId="0" applyFont="1" applyBorder="1" applyAlignment="1">
      <alignment horizontal="center" vertical="center"/>
    </xf>
    <xf numFmtId="0" fontId="1" fillId="30" borderId="4" xfId="0" applyFont="1" applyFill="1" applyBorder="1" applyAlignment="1">
      <alignment horizontal="center" vertical="center" wrapText="1"/>
    </xf>
    <xf numFmtId="0" fontId="1" fillId="32" borderId="4" xfId="0" applyFont="1" applyFill="1" applyBorder="1" applyAlignment="1">
      <alignment horizontal="center" vertical="center"/>
    </xf>
    <xf numFmtId="0" fontId="1" fillId="30" borderId="4" xfId="0" applyFont="1" applyFill="1" applyBorder="1" applyAlignment="1">
      <alignment horizontal="center" vertical="center"/>
    </xf>
    <xf numFmtId="0" fontId="1" fillId="3" borderId="4" xfId="0" applyFont="1" applyFill="1" applyBorder="1" applyAlignment="1">
      <alignment horizontal="center" vertical="center" wrapText="1"/>
    </xf>
    <xf numFmtId="0" fontId="0" fillId="0" borderId="0" xfId="0" applyAlignment="1">
      <alignment horizontal="center" vertical="center" wrapText="1"/>
    </xf>
    <xf numFmtId="0" fontId="3" fillId="0" borderId="9" xfId="0" applyFont="1" applyBorder="1" applyAlignment="1">
      <alignment vertical="center" wrapText="1"/>
    </xf>
    <xf numFmtId="164" fontId="0" fillId="0" borderId="4" xfId="0" applyNumberFormat="1" applyBorder="1"/>
    <xf numFmtId="0" fontId="1" fillId="2" borderId="9" xfId="0" applyFont="1" applyFill="1" applyBorder="1" applyAlignment="1">
      <alignment horizontal="center" vertical="center"/>
    </xf>
    <xf numFmtId="0" fontId="2" fillId="0" borderId="4" xfId="0" applyFont="1" applyBorder="1" applyAlignment="1">
      <alignment vertical="top" wrapText="1"/>
    </xf>
    <xf numFmtId="0" fontId="0" fillId="0" borderId="4" xfId="0" applyBorder="1" applyAlignment="1">
      <alignment vertical="top" wrapText="1"/>
    </xf>
    <xf numFmtId="0" fontId="0" fillId="0" borderId="4" xfId="0" applyBorder="1" applyAlignment="1">
      <alignment vertical="top"/>
    </xf>
    <xf numFmtId="0" fontId="0" fillId="0" borderId="0" xfId="0" applyAlignment="1">
      <alignment vertical="top"/>
    </xf>
    <xf numFmtId="0" fontId="1" fillId="0" borderId="4" xfId="0" applyFont="1" applyBorder="1" applyAlignment="1">
      <alignment horizontal="center" vertical="top"/>
    </xf>
    <xf numFmtId="0" fontId="0" fillId="0" borderId="0" xfId="0" applyAlignment="1">
      <alignment horizontal="center" vertical="center"/>
    </xf>
    <xf numFmtId="0" fontId="1" fillId="2" borderId="4" xfId="0" applyFont="1" applyFill="1" applyBorder="1" applyAlignment="1">
      <alignment horizontal="center" vertical="center"/>
    </xf>
    <xf numFmtId="0" fontId="1" fillId="11" borderId="4" xfId="0" applyFont="1" applyFill="1" applyBorder="1" applyAlignment="1">
      <alignment horizontal="center" vertical="center"/>
    </xf>
    <xf numFmtId="0" fontId="1" fillId="0" borderId="10" xfId="0" applyFont="1" applyBorder="1"/>
    <xf numFmtId="0" fontId="1" fillId="2" borderId="1" xfId="0" applyFont="1" applyFill="1" applyBorder="1" applyAlignment="1">
      <alignment horizontal="center" vertical="center"/>
    </xf>
    <xf numFmtId="0" fontId="0" fillId="0" borderId="3" xfId="0" applyBorder="1" applyAlignment="1">
      <alignment vertical="top" wrapText="1"/>
    </xf>
    <xf numFmtId="0" fontId="51" fillId="33" borderId="6" xfId="0" applyFont="1" applyFill="1" applyBorder="1" applyAlignment="1">
      <alignment horizontal="center" vertical="center" wrapText="1"/>
    </xf>
    <xf numFmtId="0" fontId="52" fillId="12" borderId="4" xfId="0" applyFont="1" applyFill="1" applyBorder="1" applyAlignment="1">
      <alignment horizontal="center" vertical="center"/>
    </xf>
    <xf numFmtId="0" fontId="0" fillId="0" borderId="4" xfId="0" applyBorder="1" applyAlignment="1">
      <alignment horizontal="center" vertical="center"/>
    </xf>
    <xf numFmtId="0" fontId="0" fillId="10" borderId="4" xfId="0" applyFill="1" applyBorder="1" applyAlignment="1">
      <alignment vertical="center"/>
    </xf>
    <xf numFmtId="0" fontId="0" fillId="10" borderId="0" xfId="0" applyFill="1" applyAlignment="1">
      <alignment vertical="center"/>
    </xf>
    <xf numFmtId="0" fontId="0" fillId="0" borderId="12" xfId="0" applyBorder="1" applyAlignment="1">
      <alignment vertical="center"/>
    </xf>
    <xf numFmtId="0" fontId="0" fillId="33" borderId="0" xfId="0" applyFill="1" applyAlignment="1">
      <alignment vertical="center"/>
    </xf>
    <xf numFmtId="0" fontId="0" fillId="24" borderId="4" xfId="0" applyFill="1" applyBorder="1" applyAlignment="1">
      <alignment vertical="center" wrapText="1"/>
    </xf>
    <xf numFmtId="0" fontId="0" fillId="10" borderId="3" xfId="0" applyFill="1" applyBorder="1" applyAlignment="1">
      <alignment vertical="center" wrapText="1"/>
    </xf>
    <xf numFmtId="0" fontId="1" fillId="28" borderId="4" xfId="0" applyFont="1" applyFill="1" applyBorder="1" applyAlignment="1">
      <alignment horizontal="center" vertical="center"/>
    </xf>
    <xf numFmtId="0" fontId="1" fillId="28" borderId="1" xfId="0" applyFont="1" applyFill="1" applyBorder="1" applyAlignment="1">
      <alignment horizontal="center" vertical="center" wrapText="1"/>
    </xf>
    <xf numFmtId="0" fontId="1" fillId="34" borderId="4" xfId="0" applyFont="1" applyFill="1" applyBorder="1" applyAlignment="1">
      <alignment horizontal="center" vertical="center"/>
    </xf>
    <xf numFmtId="0" fontId="1" fillId="26" borderId="4" xfId="0" applyFont="1" applyFill="1" applyBorder="1" applyAlignment="1">
      <alignment horizontal="center" vertical="center"/>
    </xf>
    <xf numFmtId="0" fontId="0" fillId="6" borderId="0" xfId="0" applyFill="1" applyAlignment="1">
      <alignment vertical="center"/>
    </xf>
    <xf numFmtId="0" fontId="1" fillId="35" borderId="4" xfId="0" applyFont="1" applyFill="1" applyBorder="1" applyAlignment="1">
      <alignment horizontal="center" vertical="center" wrapText="1"/>
    </xf>
    <xf numFmtId="0" fontId="52" fillId="12" borderId="0" xfId="0" applyFont="1" applyFill="1" applyAlignment="1">
      <alignment horizontal="center" vertical="center"/>
    </xf>
    <xf numFmtId="0" fontId="0" fillId="21" borderId="0" xfId="0" applyFill="1"/>
    <xf numFmtId="0" fontId="0" fillId="36" borderId="0" xfId="0" applyFill="1"/>
    <xf numFmtId="0" fontId="0" fillId="21" borderId="4" xfId="0" applyFill="1" applyBorder="1"/>
    <xf numFmtId="0" fontId="0" fillId="36" borderId="4" xfId="0" applyFill="1" applyBorder="1"/>
    <xf numFmtId="0" fontId="0" fillId="37" borderId="0" xfId="0" applyFill="1"/>
    <xf numFmtId="0" fontId="0" fillId="37" borderId="4" xfId="0" applyFill="1" applyBorder="1"/>
    <xf numFmtId="0" fontId="42" fillId="0" borderId="4" xfId="0" applyFont="1" applyBorder="1" applyAlignment="1">
      <alignment vertical="center" wrapText="1"/>
    </xf>
    <xf numFmtId="0" fontId="0" fillId="38" borderId="0" xfId="0" applyFill="1"/>
    <xf numFmtId="0" fontId="19" fillId="0" borderId="4" xfId="0" applyFont="1" applyBorder="1" applyAlignment="1">
      <alignment horizontal="left" vertical="center" wrapText="1"/>
    </xf>
    <xf numFmtId="0" fontId="2" fillId="0" borderId="4" xfId="0" applyFont="1" applyBorder="1" applyAlignment="1">
      <alignment horizontal="center" vertical="center"/>
    </xf>
    <xf numFmtId="0" fontId="1" fillId="10" borderId="4" xfId="0" applyFont="1" applyFill="1" applyBorder="1" applyAlignment="1">
      <alignment horizontal="left" vertical="center" wrapText="1"/>
    </xf>
    <xf numFmtId="0" fontId="1" fillId="0" borderId="4" xfId="0" applyFont="1" applyBorder="1" applyAlignment="1">
      <alignment horizontal="left" vertical="center" wrapText="1"/>
    </xf>
    <xf numFmtId="0" fontId="19" fillId="0" borderId="4" xfId="0" applyFont="1" applyBorder="1" applyAlignment="1">
      <alignment vertical="center" wrapText="1"/>
    </xf>
    <xf numFmtId="0" fontId="0" fillId="0" borderId="4" xfId="0" applyBorder="1" applyAlignment="1">
      <alignment horizontal="left" vertical="center"/>
    </xf>
    <xf numFmtId="0" fontId="1" fillId="0" borderId="4" xfId="0" applyFont="1" applyBorder="1" applyAlignment="1">
      <alignment horizontal="left" vertical="center"/>
    </xf>
    <xf numFmtId="0" fontId="0" fillId="0" borderId="0" xfId="0" applyAlignment="1">
      <alignment horizontal="left" vertical="center" wrapText="1"/>
    </xf>
    <xf numFmtId="0" fontId="1" fillId="2" borderId="2" xfId="0" applyFont="1" applyFill="1" applyBorder="1" applyAlignment="1">
      <alignment horizontal="left" vertical="center" wrapText="1"/>
    </xf>
    <xf numFmtId="0" fontId="10" fillId="0" borderId="4" xfId="0" applyFont="1" applyBorder="1" applyAlignment="1">
      <alignment horizontal="left" vertical="center" wrapText="1"/>
    </xf>
    <xf numFmtId="0" fontId="15" fillId="0" borderId="4" xfId="0" applyFont="1" applyBorder="1" applyAlignment="1">
      <alignment horizontal="left" vertical="center" wrapText="1"/>
    </xf>
    <xf numFmtId="0" fontId="0" fillId="0" borderId="10" xfId="0" applyBorder="1" applyAlignment="1">
      <alignment horizontal="left" vertical="center" wrapText="1"/>
    </xf>
    <xf numFmtId="0" fontId="0" fillId="0" borderId="0" xfId="0" applyAlignment="1">
      <alignment horizontal="left" vertical="center"/>
    </xf>
    <xf numFmtId="0" fontId="13" fillId="10" borderId="4" xfId="0" applyFont="1" applyFill="1" applyBorder="1" applyAlignment="1">
      <alignment vertical="center"/>
    </xf>
    <xf numFmtId="0" fontId="1" fillId="10" borderId="3" xfId="0" applyFont="1" applyFill="1" applyBorder="1" applyAlignment="1">
      <alignment vertical="center"/>
    </xf>
    <xf numFmtId="0" fontId="2" fillId="10" borderId="0" xfId="0" applyFont="1" applyFill="1"/>
    <xf numFmtId="0" fontId="0" fillId="38" borderId="4" xfId="0" applyFill="1" applyBorder="1"/>
    <xf numFmtId="0" fontId="0" fillId="8" borderId="0" xfId="0" applyFill="1" applyAlignment="1">
      <alignment vertical="center"/>
    </xf>
    <xf numFmtId="0" fontId="0" fillId="11" borderId="0" xfId="0" applyFill="1" applyAlignment="1">
      <alignment vertical="center"/>
    </xf>
    <xf numFmtId="0" fontId="0" fillId="9" borderId="0" xfId="0" applyFill="1" applyAlignment="1">
      <alignment vertical="center"/>
    </xf>
    <xf numFmtId="0" fontId="0" fillId="4" borderId="0" xfId="0" applyFill="1" applyAlignment="1">
      <alignment vertical="center"/>
    </xf>
    <xf numFmtId="0" fontId="50" fillId="0" borderId="0" xfId="0" applyFont="1" applyAlignment="1">
      <alignment vertical="center"/>
    </xf>
    <xf numFmtId="0" fontId="50" fillId="0" borderId="0" xfId="0" applyFont="1" applyAlignment="1">
      <alignment vertical="center" wrapText="1"/>
    </xf>
    <xf numFmtId="0" fontId="1" fillId="0" borderId="9" xfId="0" applyFont="1" applyBorder="1" applyAlignment="1">
      <alignment vertical="center"/>
    </xf>
    <xf numFmtId="0" fontId="2" fillId="0" borderId="0" xfId="0" applyFont="1" applyAlignment="1">
      <alignment vertical="center"/>
    </xf>
    <xf numFmtId="49" fontId="0" fillId="0" borderId="0" xfId="0" applyNumberFormat="1" applyAlignment="1">
      <alignment vertical="center" wrapText="1"/>
    </xf>
    <xf numFmtId="0" fontId="0" fillId="10" borderId="12" xfId="0" applyFill="1" applyBorder="1" applyAlignment="1">
      <alignment vertical="center" wrapText="1"/>
    </xf>
    <xf numFmtId="0" fontId="0" fillId="10" borderId="12" xfId="0" applyFill="1" applyBorder="1" applyAlignment="1">
      <alignment horizontal="left" vertical="center" wrapText="1"/>
    </xf>
    <xf numFmtId="0" fontId="1" fillId="10" borderId="12" xfId="0" applyFont="1" applyFill="1" applyBorder="1" applyAlignment="1">
      <alignment vertical="center" wrapText="1"/>
    </xf>
    <xf numFmtId="0" fontId="47" fillId="0" borderId="4" xfId="0" applyFont="1" applyBorder="1" applyAlignment="1">
      <alignment vertical="center"/>
    </xf>
    <xf numFmtId="0" fontId="0" fillId="2" borderId="4" xfId="0" applyFill="1" applyBorder="1" applyAlignment="1">
      <alignment vertical="center"/>
    </xf>
    <xf numFmtId="49" fontId="0" fillId="0" borderId="4" xfId="0" applyNumberFormat="1" applyBorder="1" applyAlignment="1">
      <alignment vertical="center" wrapText="1"/>
    </xf>
    <xf numFmtId="0" fontId="13" fillId="0" borderId="9" xfId="0" applyFont="1" applyBorder="1" applyAlignment="1">
      <alignment vertical="center" wrapText="1"/>
    </xf>
    <xf numFmtId="0" fontId="13" fillId="0" borderId="9" xfId="0" applyFont="1" applyBorder="1" applyAlignment="1">
      <alignment horizontal="center" vertical="center" wrapText="1"/>
    </xf>
    <xf numFmtId="0" fontId="0" fillId="0" borderId="3" xfId="0" applyBorder="1" applyAlignment="1">
      <alignment vertical="center"/>
    </xf>
    <xf numFmtId="0" fontId="21" fillId="17" borderId="2" xfId="0" applyFont="1" applyFill="1" applyBorder="1" applyAlignment="1">
      <alignment horizontal="right" vertical="center" wrapText="1"/>
    </xf>
    <xf numFmtId="0" fontId="0" fillId="17" borderId="3" xfId="0" applyFill="1" applyBorder="1" applyAlignment="1">
      <alignment vertical="center" wrapText="1"/>
    </xf>
    <xf numFmtId="0" fontId="0" fillId="17" borderId="3" xfId="0" applyFill="1" applyBorder="1" applyAlignment="1">
      <alignment horizontal="center" vertical="center" wrapText="1"/>
    </xf>
    <xf numFmtId="0" fontId="1" fillId="17" borderId="3" xfId="0" applyFont="1" applyFill="1" applyBorder="1" applyAlignment="1">
      <alignment vertical="center" wrapText="1"/>
    </xf>
    <xf numFmtId="0" fontId="1" fillId="0" borderId="16" xfId="0" applyFont="1" applyBorder="1" applyAlignment="1">
      <alignment vertical="center" wrapText="1"/>
    </xf>
    <xf numFmtId="0" fontId="1" fillId="0" borderId="16" xfId="0" applyFont="1" applyBorder="1" applyAlignment="1">
      <alignment horizontal="right" vertical="center" wrapText="1"/>
    </xf>
    <xf numFmtId="0" fontId="1" fillId="0" borderId="16" xfId="0" applyFont="1" applyBorder="1" applyAlignment="1">
      <alignment horizontal="center" vertical="center" wrapText="1"/>
    </xf>
    <xf numFmtId="0" fontId="0" fillId="0" borderId="16" xfId="0" applyBorder="1" applyAlignment="1">
      <alignment vertical="center" wrapText="1"/>
    </xf>
    <xf numFmtId="49" fontId="0" fillId="0" borderId="16" xfId="0" applyNumberFormat="1" applyBorder="1" applyAlignment="1">
      <alignment vertical="center" wrapText="1"/>
    </xf>
    <xf numFmtId="0" fontId="0" fillId="0" borderId="16" xfId="0" applyBorder="1" applyAlignment="1">
      <alignment horizontal="center" vertical="center" wrapText="1"/>
    </xf>
    <xf numFmtId="0" fontId="1" fillId="0" borderId="4" xfId="0" applyFont="1" applyBorder="1" applyAlignment="1">
      <alignment horizontal="right" vertical="center" wrapText="1"/>
    </xf>
    <xf numFmtId="0" fontId="0" fillId="24" borderId="0" xfId="0" applyFill="1" applyAlignment="1">
      <alignment vertical="center" wrapText="1"/>
    </xf>
    <xf numFmtId="0" fontId="0" fillId="24" borderId="0" xfId="0" applyFill="1" applyAlignment="1">
      <alignment vertical="center"/>
    </xf>
    <xf numFmtId="0" fontId="3" fillId="24" borderId="0" xfId="0" applyFont="1" applyFill="1" applyAlignment="1">
      <alignment vertical="center" wrapText="1"/>
    </xf>
    <xf numFmtId="0" fontId="3" fillId="24" borderId="0" xfId="0" applyFont="1" applyFill="1" applyAlignment="1">
      <alignment horizontal="left" vertical="center" wrapText="1"/>
    </xf>
    <xf numFmtId="49" fontId="3" fillId="24" borderId="0" xfId="0" applyNumberFormat="1" applyFont="1" applyFill="1" applyAlignment="1">
      <alignment vertical="center" wrapText="1"/>
    </xf>
    <xf numFmtId="0" fontId="1" fillId="0" borderId="0" xfId="0" applyFont="1" applyAlignment="1">
      <alignment horizontal="left" vertical="center" wrapText="1"/>
    </xf>
    <xf numFmtId="49" fontId="0" fillId="10" borderId="4" xfId="0" applyNumberFormat="1" applyFill="1" applyBorder="1" applyAlignment="1">
      <alignment vertical="center" wrapText="1"/>
    </xf>
    <xf numFmtId="0" fontId="0" fillId="22" borderId="0" xfId="0" applyFill="1" applyAlignment="1">
      <alignment vertical="center" wrapText="1"/>
    </xf>
    <xf numFmtId="0" fontId="0" fillId="22" borderId="4" xfId="0" applyFill="1" applyBorder="1" applyAlignment="1">
      <alignment vertical="center"/>
    </xf>
    <xf numFmtId="0" fontId="1" fillId="22" borderId="4" xfId="0" applyFont="1" applyFill="1" applyBorder="1" applyAlignment="1">
      <alignment vertical="center" wrapText="1"/>
    </xf>
    <xf numFmtId="0" fontId="2" fillId="22" borderId="4" xfId="0" applyFont="1" applyFill="1" applyBorder="1" applyAlignment="1">
      <alignment horizontal="left" vertical="center" wrapText="1"/>
    </xf>
    <xf numFmtId="0" fontId="1" fillId="22" borderId="4" xfId="0" applyFont="1" applyFill="1" applyBorder="1" applyAlignment="1">
      <alignment horizontal="left" vertical="center" wrapText="1"/>
    </xf>
    <xf numFmtId="0" fontId="0" fillId="22" borderId="4" xfId="0" applyFill="1" applyBorder="1" applyAlignment="1">
      <alignment vertical="center" wrapText="1"/>
    </xf>
    <xf numFmtId="49" fontId="0" fillId="22" borderId="4" xfId="0" applyNumberFormat="1" applyFill="1" applyBorder="1" applyAlignment="1">
      <alignment vertical="center" wrapText="1"/>
    </xf>
    <xf numFmtId="0" fontId="0" fillId="22" borderId="4" xfId="0" applyFill="1" applyBorder="1" applyAlignment="1">
      <alignment horizontal="center" vertical="center" wrapText="1"/>
    </xf>
    <xf numFmtId="0" fontId="1" fillId="22" borderId="4" xfId="0" applyFont="1" applyFill="1" applyBorder="1" applyAlignment="1">
      <alignment horizontal="center" vertical="center" wrapText="1"/>
    </xf>
    <xf numFmtId="0" fontId="0" fillId="22" borderId="4" xfId="0" applyFill="1" applyBorder="1" applyAlignment="1">
      <alignment horizontal="left" vertical="center" wrapText="1"/>
    </xf>
    <xf numFmtId="49" fontId="0" fillId="0" borderId="10" xfId="0" applyNumberFormat="1" applyBorder="1" applyAlignment="1">
      <alignment vertical="center" wrapText="1"/>
    </xf>
    <xf numFmtId="0" fontId="0" fillId="26" borderId="0" xfId="0" applyFill="1" applyAlignment="1">
      <alignment vertical="center" wrapText="1"/>
    </xf>
    <xf numFmtId="0" fontId="0" fillId="26" borderId="4" xfId="0" applyFill="1" applyBorder="1" applyAlignment="1">
      <alignment vertical="center"/>
    </xf>
    <xf numFmtId="0" fontId="1" fillId="26" borderId="4" xfId="0" applyFont="1" applyFill="1" applyBorder="1" applyAlignment="1">
      <alignment vertical="center" wrapText="1"/>
    </xf>
    <xf numFmtId="0" fontId="0" fillId="26" borderId="4" xfId="0" applyFill="1" applyBorder="1" applyAlignment="1">
      <alignment vertical="center" wrapText="1"/>
    </xf>
    <xf numFmtId="0" fontId="0" fillId="26" borderId="4" xfId="0" applyFill="1" applyBorder="1" applyAlignment="1">
      <alignment horizontal="left" vertical="center" wrapText="1"/>
    </xf>
    <xf numFmtId="0" fontId="1" fillId="26" borderId="10" xfId="0" applyFont="1" applyFill="1" applyBorder="1" applyAlignment="1">
      <alignment horizontal="center" vertical="center" wrapText="1"/>
    </xf>
    <xf numFmtId="49" fontId="0" fillId="26" borderId="4" xfId="0" applyNumberFormat="1" applyFill="1" applyBorder="1" applyAlignment="1">
      <alignment vertical="center" wrapText="1"/>
    </xf>
    <xf numFmtId="0" fontId="0" fillId="26" borderId="4" xfId="0" applyFill="1" applyBorder="1" applyAlignment="1">
      <alignment horizontal="center" vertical="center" wrapText="1"/>
    </xf>
    <xf numFmtId="0" fontId="13" fillId="0" borderId="10" xfId="0" applyFont="1" applyBorder="1" applyAlignment="1">
      <alignment vertical="center" wrapText="1"/>
    </xf>
    <xf numFmtId="0" fontId="10" fillId="0" borderId="10" xfId="0" applyFont="1" applyBorder="1" applyAlignment="1">
      <alignment vertical="center" wrapText="1"/>
    </xf>
    <xf numFmtId="0" fontId="16" fillId="0" borderId="0" xfId="0" applyFont="1" applyAlignment="1">
      <alignment horizontal="left" vertical="center" wrapText="1"/>
    </xf>
    <xf numFmtId="0" fontId="0" fillId="0" borderId="9" xfId="0" applyBorder="1" applyAlignment="1">
      <alignment horizontal="left" vertical="center" wrapText="1"/>
    </xf>
    <xf numFmtId="0" fontId="0" fillId="0" borderId="5" xfId="0" applyBorder="1" applyAlignment="1">
      <alignment vertical="center" wrapText="1"/>
    </xf>
    <xf numFmtId="49" fontId="0" fillId="0" borderId="3" xfId="0" applyNumberFormat="1" applyBorder="1" applyAlignment="1">
      <alignment vertical="center" wrapText="1"/>
    </xf>
    <xf numFmtId="0" fontId="10" fillId="0" borderId="3" xfId="0" applyFont="1" applyBorder="1" applyAlignment="1">
      <alignment vertical="center" wrapText="1"/>
    </xf>
    <xf numFmtId="0" fontId="0" fillId="0" borderId="3" xfId="0" applyBorder="1" applyAlignment="1">
      <alignment horizontal="center" vertical="center" wrapText="1"/>
    </xf>
    <xf numFmtId="0" fontId="10" fillId="0" borderId="16" xfId="0" applyFont="1" applyBorder="1" applyAlignment="1">
      <alignment vertical="center" wrapText="1"/>
    </xf>
    <xf numFmtId="0" fontId="1" fillId="10" borderId="10" xfId="0" applyFont="1" applyFill="1" applyBorder="1" applyAlignment="1">
      <alignment horizontal="center" vertical="center" wrapText="1"/>
    </xf>
    <xf numFmtId="0" fontId="0" fillId="10" borderId="10" xfId="0" applyFill="1" applyBorder="1" applyAlignment="1">
      <alignment vertical="center" wrapText="1"/>
    </xf>
    <xf numFmtId="0" fontId="2" fillId="10" borderId="4" xfId="0" applyFont="1" applyFill="1" applyBorder="1" applyAlignment="1">
      <alignment horizontal="left" vertical="center" wrapText="1"/>
    </xf>
    <xf numFmtId="0" fontId="4" fillId="0" borderId="4" xfId="0" applyFont="1" applyBorder="1" applyAlignment="1">
      <alignment vertical="center"/>
    </xf>
    <xf numFmtId="0" fontId="5" fillId="0" borderId="4" xfId="0" applyFont="1" applyBorder="1" applyAlignment="1">
      <alignment vertical="center" wrapText="1"/>
    </xf>
    <xf numFmtId="0" fontId="5" fillId="0" borderId="10" xfId="0" applyFont="1" applyBorder="1" applyAlignment="1">
      <alignment vertical="center" wrapText="1"/>
    </xf>
    <xf numFmtId="0" fontId="4" fillId="0" borderId="4" xfId="0" applyFont="1" applyBorder="1" applyAlignment="1">
      <alignment horizontal="left" vertical="center" wrapText="1"/>
    </xf>
    <xf numFmtId="0" fontId="4" fillId="0" borderId="10" xfId="0" applyFont="1" applyBorder="1" applyAlignment="1">
      <alignment horizontal="left" vertical="center" wrapText="1"/>
    </xf>
    <xf numFmtId="49" fontId="4" fillId="0" borderId="10" xfId="0" applyNumberFormat="1" applyFont="1" applyBorder="1" applyAlignment="1">
      <alignment vertical="center" wrapText="1"/>
    </xf>
    <xf numFmtId="0" fontId="4" fillId="0" borderId="10" xfId="0" applyFont="1" applyBorder="1" applyAlignment="1">
      <alignment vertical="center" wrapText="1"/>
    </xf>
    <xf numFmtId="0" fontId="4" fillId="0" borderId="10" xfId="0" applyFont="1" applyBorder="1" applyAlignment="1">
      <alignment horizontal="center" vertical="center" wrapText="1"/>
    </xf>
    <xf numFmtId="49" fontId="4" fillId="0" borderId="4" xfId="0" applyNumberFormat="1" applyFont="1" applyBorder="1" applyAlignment="1">
      <alignment vertical="center" wrapText="1"/>
    </xf>
    <xf numFmtId="0" fontId="0" fillId="16" borderId="5" xfId="0" applyFill="1" applyBorder="1" applyAlignment="1">
      <alignment vertical="center" wrapText="1"/>
    </xf>
    <xf numFmtId="0" fontId="1" fillId="16" borderId="3" xfId="0" applyFont="1" applyFill="1" applyBorder="1" applyAlignment="1">
      <alignment vertical="center" wrapText="1"/>
    </xf>
    <xf numFmtId="0" fontId="1" fillId="16" borderId="16" xfId="0" applyFont="1" applyFill="1" applyBorder="1" applyAlignment="1">
      <alignment vertical="center" wrapText="1"/>
    </xf>
    <xf numFmtId="0" fontId="0" fillId="16" borderId="16" xfId="0" applyFill="1" applyBorder="1" applyAlignment="1">
      <alignment vertical="center" wrapText="1"/>
    </xf>
    <xf numFmtId="0" fontId="0" fillId="16" borderId="16" xfId="0" applyFill="1" applyBorder="1" applyAlignment="1">
      <alignment horizontal="left" vertical="center" wrapText="1"/>
    </xf>
    <xf numFmtId="0" fontId="1" fillId="16" borderId="16" xfId="0" applyFont="1" applyFill="1" applyBorder="1" applyAlignment="1">
      <alignment horizontal="center" vertical="center" wrapText="1"/>
    </xf>
    <xf numFmtId="49" fontId="0" fillId="16" borderId="3" xfId="0" applyNumberFormat="1" applyFill="1" applyBorder="1" applyAlignment="1">
      <alignment vertical="center" wrapText="1"/>
    </xf>
    <xf numFmtId="0" fontId="0" fillId="16" borderId="3" xfId="0" applyFill="1" applyBorder="1" applyAlignment="1">
      <alignment vertical="center" wrapText="1"/>
    </xf>
    <xf numFmtId="0" fontId="10" fillId="16" borderId="3" xfId="0" applyFont="1" applyFill="1" applyBorder="1" applyAlignment="1">
      <alignment vertical="center" wrapText="1"/>
    </xf>
    <xf numFmtId="0" fontId="0" fillId="16" borderId="3" xfId="0" applyFill="1" applyBorder="1" applyAlignment="1">
      <alignment horizontal="center" vertical="center" wrapText="1"/>
    </xf>
    <xf numFmtId="0" fontId="0" fillId="16" borderId="0" xfId="0" applyFill="1" applyAlignment="1">
      <alignment vertical="center" wrapText="1"/>
    </xf>
    <xf numFmtId="49" fontId="0" fillId="16" borderId="16" xfId="0" applyNumberFormat="1" applyFill="1" applyBorder="1" applyAlignment="1">
      <alignment vertical="center" wrapText="1"/>
    </xf>
    <xf numFmtId="0" fontId="10" fillId="16" borderId="16" xfId="0" applyFont="1" applyFill="1" applyBorder="1" applyAlignment="1">
      <alignment vertical="center" wrapText="1"/>
    </xf>
    <xf numFmtId="0" fontId="0" fillId="16" borderId="16" xfId="0" applyFill="1" applyBorder="1" applyAlignment="1">
      <alignment horizontal="center" vertical="center" wrapText="1"/>
    </xf>
    <xf numFmtId="0" fontId="5" fillId="0" borderId="11" xfId="0" applyFont="1" applyBorder="1" applyAlignment="1">
      <alignment vertical="center" wrapText="1"/>
    </xf>
    <xf numFmtId="0" fontId="4" fillId="0" borderId="9" xfId="0" applyFont="1" applyBorder="1" applyAlignment="1">
      <alignment vertical="center"/>
    </xf>
    <xf numFmtId="0" fontId="4" fillId="0" borderId="11" xfId="0" applyFont="1" applyBorder="1" applyAlignment="1">
      <alignment horizontal="left" vertical="center" wrapText="1"/>
    </xf>
    <xf numFmtId="0" fontId="5" fillId="0" borderId="9" xfId="0" applyFont="1" applyBorder="1" applyAlignment="1">
      <alignment horizontal="center" vertical="center" wrapText="1"/>
    </xf>
    <xf numFmtId="0" fontId="4" fillId="0" borderId="9" xfId="0" applyFont="1" applyBorder="1" applyAlignment="1">
      <alignment vertical="center" wrapText="1"/>
    </xf>
    <xf numFmtId="0" fontId="1" fillId="20" borderId="4" xfId="0" applyFont="1" applyFill="1" applyBorder="1" applyAlignment="1">
      <alignment vertical="center" wrapText="1"/>
    </xf>
    <xf numFmtId="0" fontId="0" fillId="20" borderId="4" xfId="0" applyFill="1" applyBorder="1" applyAlignment="1">
      <alignment horizontal="left" vertical="center" wrapText="1"/>
    </xf>
    <xf numFmtId="0" fontId="1" fillId="20" borderId="4" xfId="0" applyFont="1" applyFill="1" applyBorder="1" applyAlignment="1">
      <alignment horizontal="center" vertical="center" wrapText="1"/>
    </xf>
    <xf numFmtId="0" fontId="0" fillId="20" borderId="4" xfId="0" applyFill="1" applyBorder="1" applyAlignment="1">
      <alignment vertical="center" wrapText="1"/>
    </xf>
    <xf numFmtId="49" fontId="0" fillId="20" borderId="4" xfId="0" applyNumberFormat="1" applyFill="1" applyBorder="1" applyAlignment="1">
      <alignment vertical="center" wrapText="1"/>
    </xf>
    <xf numFmtId="0" fontId="0" fillId="20" borderId="4" xfId="0" applyFill="1" applyBorder="1" applyAlignment="1">
      <alignment horizontal="center" vertical="center" wrapText="1"/>
    </xf>
    <xf numFmtId="0" fontId="0" fillId="20" borderId="0" xfId="0" applyFill="1" applyAlignment="1">
      <alignment vertical="center" wrapText="1"/>
    </xf>
    <xf numFmtId="0" fontId="23" fillId="0" borderId="4" xfId="0" applyFont="1" applyBorder="1" applyAlignment="1">
      <alignment vertical="center" wrapText="1"/>
    </xf>
    <xf numFmtId="0" fontId="23" fillId="0" borderId="9" xfId="0" applyFont="1" applyBorder="1" applyAlignment="1">
      <alignment vertical="center" wrapText="1"/>
    </xf>
    <xf numFmtId="49" fontId="0" fillId="0" borderId="9" xfId="0" applyNumberFormat="1" applyBorder="1" applyAlignment="1">
      <alignment vertical="center" wrapText="1"/>
    </xf>
    <xf numFmtId="0" fontId="24" fillId="0" borderId="9" xfId="0" applyFont="1" applyBorder="1" applyAlignment="1">
      <alignment vertical="center" wrapText="1"/>
    </xf>
    <xf numFmtId="0" fontId="0" fillId="12" borderId="0" xfId="0" applyFill="1" applyAlignment="1">
      <alignment vertical="center"/>
    </xf>
    <xf numFmtId="0" fontId="1" fillId="12" borderId="4" xfId="0" applyFont="1" applyFill="1" applyBorder="1" applyAlignment="1">
      <alignment vertical="center" wrapText="1"/>
    </xf>
    <xf numFmtId="0" fontId="0" fillId="12" borderId="4" xfId="0" applyFill="1" applyBorder="1" applyAlignment="1">
      <alignment vertical="center"/>
    </xf>
    <xf numFmtId="0" fontId="3" fillId="12" borderId="1" xfId="0" applyFont="1" applyFill="1" applyBorder="1" applyAlignment="1">
      <alignment vertical="center" wrapText="1"/>
    </xf>
    <xf numFmtId="0" fontId="1" fillId="12" borderId="0" xfId="0" applyFont="1" applyFill="1" applyAlignment="1">
      <alignment vertical="center" wrapText="1"/>
    </xf>
    <xf numFmtId="0" fontId="0" fillId="29" borderId="4" xfId="0" applyFill="1" applyBorder="1"/>
    <xf numFmtId="0" fontId="0" fillId="39" borderId="0" xfId="0" applyFill="1"/>
    <xf numFmtId="0" fontId="0" fillId="39" borderId="4" xfId="0" applyFill="1" applyBorder="1"/>
    <xf numFmtId="0" fontId="41" fillId="10" borderId="4" xfId="0" applyFont="1" applyFill="1" applyBorder="1"/>
    <xf numFmtId="0" fontId="13" fillId="10" borderId="4" xfId="0" applyFont="1" applyFill="1" applyBorder="1" applyAlignment="1">
      <alignment vertical="center" wrapText="1"/>
    </xf>
    <xf numFmtId="0" fontId="13" fillId="10" borderId="9" xfId="0" applyFont="1" applyFill="1" applyBorder="1" applyAlignment="1">
      <alignment vertical="center" wrapText="1"/>
    </xf>
    <xf numFmtId="0" fontId="0" fillId="22" borderId="0" xfId="0" applyFill="1"/>
    <xf numFmtId="0" fontId="4" fillId="10" borderId="4" xfId="0" applyFont="1" applyFill="1" applyBorder="1"/>
    <xf numFmtId="0" fontId="4" fillId="21" borderId="4" xfId="0" applyFont="1" applyFill="1" applyBorder="1"/>
    <xf numFmtId="0" fontId="4" fillId="39" borderId="0" xfId="0" applyFont="1" applyFill="1"/>
    <xf numFmtId="0" fontId="4" fillId="21" borderId="0" xfId="0" applyFont="1" applyFill="1"/>
    <xf numFmtId="0" fontId="19" fillId="0" borderId="4" xfId="0" applyFont="1" applyBorder="1" applyAlignment="1">
      <alignment horizontal="center" vertical="center" wrapText="1"/>
    </xf>
    <xf numFmtId="0" fontId="42" fillId="0" borderId="4" xfId="0" applyFont="1" applyBorder="1" applyAlignment="1">
      <alignment vertical="center"/>
    </xf>
    <xf numFmtId="0" fontId="7" fillId="0" borderId="10" xfId="0" applyFont="1" applyBorder="1" applyAlignment="1">
      <alignment horizontal="left" vertical="center" wrapText="1"/>
    </xf>
    <xf numFmtId="0" fontId="7" fillId="0" borderId="4" xfId="0" applyFont="1" applyBorder="1" applyAlignment="1">
      <alignment horizontal="left" vertical="center" wrapText="1"/>
    </xf>
    <xf numFmtId="0" fontId="30" fillId="0" borderId="4" xfId="0" applyFont="1" applyBorder="1" applyAlignment="1">
      <alignment horizontal="left" vertical="center" wrapText="1"/>
    </xf>
    <xf numFmtId="0" fontId="41" fillId="0" borderId="4" xfId="0" applyFont="1" applyBorder="1" applyAlignment="1">
      <alignment vertical="center"/>
    </xf>
    <xf numFmtId="0" fontId="44" fillId="17" borderId="4" xfId="0" applyFont="1" applyFill="1" applyBorder="1" applyAlignment="1">
      <alignment vertical="center"/>
    </xf>
    <xf numFmtId="0" fontId="19" fillId="0" borderId="4" xfId="0" applyFont="1" applyBorder="1" applyAlignment="1">
      <alignment horizontal="center" vertical="center"/>
    </xf>
    <xf numFmtId="0" fontId="10" fillId="0" borderId="4" xfId="0" applyFont="1" applyBorder="1" applyAlignment="1">
      <alignment vertical="center"/>
    </xf>
    <xf numFmtId="0" fontId="13" fillId="0" borderId="4" xfId="0" applyFont="1" applyBorder="1" applyAlignment="1">
      <alignment horizontal="center" vertical="center"/>
    </xf>
    <xf numFmtId="0" fontId="8" fillId="0" borderId="4" xfId="0" applyFont="1" applyBorder="1" applyAlignment="1">
      <alignment vertical="center"/>
    </xf>
    <xf numFmtId="0" fontId="10" fillId="0" borderId="4" xfId="0" applyFont="1" applyBorder="1" applyAlignment="1">
      <alignment vertical="top" wrapText="1"/>
    </xf>
    <xf numFmtId="0" fontId="10" fillId="0" borderId="10" xfId="0" applyFont="1" applyBorder="1"/>
    <xf numFmtId="0" fontId="10" fillId="0" borderId="9" xfId="0" applyFont="1" applyBorder="1" applyAlignment="1">
      <alignment wrapText="1"/>
    </xf>
    <xf numFmtId="0" fontId="41" fillId="0" borderId="4" xfId="0" applyFont="1" applyBorder="1" applyAlignment="1">
      <alignment wrapText="1"/>
    </xf>
    <xf numFmtId="0" fontId="0" fillId="2" borderId="4" xfId="0" applyFill="1" applyBorder="1" applyAlignment="1">
      <alignment vertical="top" wrapText="1"/>
    </xf>
    <xf numFmtId="0" fontId="0" fillId="2" borderId="4" xfId="0" applyFill="1" applyBorder="1" applyAlignment="1">
      <alignment wrapText="1"/>
    </xf>
    <xf numFmtId="0" fontId="0" fillId="2" borderId="4" xfId="0" applyFill="1" applyBorder="1" applyAlignment="1">
      <alignment horizontal="center"/>
    </xf>
    <xf numFmtId="0" fontId="0" fillId="2" borderId="4" xfId="0" applyFill="1" applyBorder="1" applyAlignment="1">
      <alignment vertical="top"/>
    </xf>
    <xf numFmtId="0" fontId="0" fillId="0" borderId="9" xfId="0" applyBorder="1"/>
    <xf numFmtId="0" fontId="56" fillId="0" borderId="0" xfId="0" applyFont="1" applyAlignment="1">
      <alignment vertical="top"/>
    </xf>
    <xf numFmtId="0" fontId="57" fillId="0" borderId="0" xfId="0" applyFont="1" applyAlignment="1">
      <alignment vertical="top"/>
    </xf>
    <xf numFmtId="0" fontId="2" fillId="2" borderId="4" xfId="0" applyFont="1" applyFill="1" applyBorder="1" applyAlignment="1">
      <alignment vertical="top" wrapText="1"/>
    </xf>
    <xf numFmtId="0" fontId="2" fillId="2" borderId="4" xfId="0" applyFont="1" applyFill="1" applyBorder="1" applyAlignment="1">
      <alignment wrapText="1"/>
    </xf>
    <xf numFmtId="0" fontId="1" fillId="2" borderId="4" xfId="0" applyFont="1" applyFill="1" applyBorder="1"/>
    <xf numFmtId="0" fontId="0" fillId="7" borderId="3" xfId="0" applyFill="1" applyBorder="1" applyAlignment="1">
      <alignment wrapText="1"/>
    </xf>
    <xf numFmtId="0" fontId="9" fillId="0" borderId="0" xfId="0" applyFont="1" applyAlignment="1">
      <alignment wrapText="1"/>
    </xf>
    <xf numFmtId="0" fontId="9" fillId="0" borderId="12" xfId="0" applyFont="1" applyBorder="1" applyAlignment="1">
      <alignment wrapText="1"/>
    </xf>
    <xf numFmtId="0" fontId="3" fillId="21" borderId="2" xfId="0" applyFont="1" applyFill="1" applyBorder="1" applyAlignment="1">
      <alignment horizontal="center" wrapText="1"/>
    </xf>
    <xf numFmtId="0" fontId="3" fillId="17" borderId="4" xfId="0" applyFont="1" applyFill="1" applyBorder="1" applyAlignment="1">
      <alignment horizontal="center" wrapText="1"/>
    </xf>
    <xf numFmtId="0" fontId="3" fillId="17" borderId="3" xfId="0" applyFont="1" applyFill="1" applyBorder="1" applyAlignment="1">
      <alignment horizontal="center" wrapText="1"/>
    </xf>
    <xf numFmtId="0" fontId="27" fillId="0" borderId="4" xfId="0" applyFont="1" applyBorder="1" applyAlignment="1">
      <alignment horizontal="center" wrapText="1"/>
    </xf>
    <xf numFmtId="0" fontId="2" fillId="0" borderId="10" xfId="0" applyFont="1" applyBorder="1" applyAlignment="1">
      <alignment horizontal="center" wrapText="1"/>
    </xf>
    <xf numFmtId="0" fontId="2" fillId="0" borderId="16" xfId="0" applyFont="1" applyBorder="1" applyAlignment="1">
      <alignment horizontal="center" wrapText="1"/>
    </xf>
    <xf numFmtId="0" fontId="10" fillId="0" borderId="10" xfId="0" applyFont="1" applyBorder="1" applyAlignment="1">
      <alignment horizontal="center" wrapText="1"/>
    </xf>
    <xf numFmtId="0" fontId="10" fillId="0" borderId="16" xfId="0" applyFont="1" applyBorder="1" applyAlignment="1">
      <alignment horizontal="center" wrapText="1"/>
    </xf>
    <xf numFmtId="0" fontId="1" fillId="23" borderId="16" xfId="0" applyFont="1" applyFill="1" applyBorder="1" applyAlignment="1">
      <alignment horizontal="center" wrapText="1"/>
    </xf>
    <xf numFmtId="0" fontId="0" fillId="23" borderId="4" xfId="0" applyFill="1" applyBorder="1" applyAlignment="1">
      <alignment wrapText="1"/>
    </xf>
    <xf numFmtId="0" fontId="8" fillId="3" borderId="16" xfId="0" applyFont="1" applyFill="1" applyBorder="1" applyAlignment="1">
      <alignment horizontal="center" wrapText="1"/>
    </xf>
    <xf numFmtId="0" fontId="39" fillId="3" borderId="4" xfId="0" applyFont="1" applyFill="1" applyBorder="1" applyAlignment="1">
      <alignment horizontal="center" wrapText="1"/>
    </xf>
    <xf numFmtId="0" fontId="8" fillId="0" borderId="16" xfId="0" applyFont="1" applyBorder="1" applyAlignment="1">
      <alignment horizontal="center" wrapText="1"/>
    </xf>
    <xf numFmtId="0" fontId="39" fillId="0" borderId="4" xfId="0" applyFont="1" applyBorder="1" applyAlignment="1">
      <alignment horizontal="center" wrapText="1"/>
    </xf>
    <xf numFmtId="0" fontId="42" fillId="0" borderId="4" xfId="0" applyFont="1" applyBorder="1" applyAlignment="1">
      <alignment vertical="top" wrapText="1"/>
    </xf>
    <xf numFmtId="0" fontId="3" fillId="40" borderId="4" xfId="0" applyFont="1" applyFill="1" applyBorder="1" applyAlignment="1">
      <alignment horizontal="center" wrapText="1"/>
    </xf>
    <xf numFmtId="0" fontId="27" fillId="0" borderId="9" xfId="0" applyFont="1" applyBorder="1" applyAlignment="1">
      <alignment horizontal="center" wrapText="1"/>
    </xf>
    <xf numFmtId="0" fontId="27" fillId="0" borderId="10" xfId="0" applyFont="1" applyBorder="1" applyAlignment="1">
      <alignment horizontal="center" wrapText="1"/>
    </xf>
    <xf numFmtId="0" fontId="1" fillId="20" borderId="15" xfId="0" applyFont="1" applyFill="1" applyBorder="1" applyAlignment="1">
      <alignment horizontal="center" wrapText="1"/>
    </xf>
    <xf numFmtId="0" fontId="1" fillId="0" borderId="1" xfId="0" applyFont="1" applyBorder="1"/>
    <xf numFmtId="0" fontId="1" fillId="0" borderId="14" xfId="0" applyFont="1" applyBorder="1"/>
    <xf numFmtId="0" fontId="1" fillId="11" borderId="4" xfId="0" applyFont="1" applyFill="1" applyBorder="1" applyAlignment="1">
      <alignment wrapText="1"/>
    </xf>
    <xf numFmtId="0" fontId="0" fillId="11" borderId="4" xfId="0" applyFill="1" applyBorder="1" applyAlignment="1">
      <alignment wrapText="1"/>
    </xf>
    <xf numFmtId="0" fontId="1" fillId="11" borderId="4" xfId="0" applyFont="1" applyFill="1" applyBorder="1" applyAlignment="1">
      <alignment horizontal="center" wrapText="1"/>
    </xf>
    <xf numFmtId="0" fontId="0" fillId="24" borderId="4" xfId="0" applyFill="1" applyBorder="1"/>
    <xf numFmtId="0" fontId="1" fillId="11" borderId="4" xfId="0" applyFont="1" applyFill="1" applyBorder="1"/>
    <xf numFmtId="0" fontId="1" fillId="11" borderId="10" xfId="0" applyFont="1" applyFill="1" applyBorder="1" applyAlignment="1">
      <alignment wrapText="1"/>
    </xf>
    <xf numFmtId="49" fontId="0" fillId="11" borderId="4" xfId="0" applyNumberFormat="1" applyFill="1" applyBorder="1" applyAlignment="1">
      <alignment wrapText="1"/>
    </xf>
    <xf numFmtId="0" fontId="2" fillId="11" borderId="4" xfId="0" applyFont="1" applyFill="1" applyBorder="1" applyAlignment="1">
      <alignment wrapText="1"/>
    </xf>
    <xf numFmtId="0" fontId="0" fillId="11" borderId="4" xfId="0" applyFill="1" applyBorder="1" applyAlignment="1">
      <alignment horizontal="center" wrapText="1"/>
    </xf>
    <xf numFmtId="0" fontId="0" fillId="11" borderId="0" xfId="0" applyFill="1" applyAlignment="1">
      <alignment wrapText="1"/>
    </xf>
    <xf numFmtId="0" fontId="1" fillId="11" borderId="0" xfId="0" applyFont="1" applyFill="1" applyAlignment="1">
      <alignment wrapText="1"/>
    </xf>
    <xf numFmtId="0" fontId="0" fillId="10" borderId="12" xfId="0" applyFill="1" applyBorder="1" applyAlignment="1">
      <alignment horizontal="center" wrapText="1"/>
    </xf>
    <xf numFmtId="0" fontId="0" fillId="41" borderId="0" xfId="0" applyFill="1" applyAlignment="1">
      <alignment vertical="center"/>
    </xf>
    <xf numFmtId="0" fontId="0" fillId="41" borderId="0" xfId="0" applyFill="1" applyAlignment="1">
      <alignment horizontal="left" vertical="center"/>
    </xf>
    <xf numFmtId="0" fontId="1" fillId="41" borderId="4" xfId="0" applyFont="1" applyFill="1" applyBorder="1" applyAlignment="1">
      <alignment horizontal="center"/>
    </xf>
    <xf numFmtId="0" fontId="1" fillId="41" borderId="4" xfId="0" applyFont="1" applyFill="1" applyBorder="1"/>
    <xf numFmtId="0" fontId="1" fillId="41" borderId="4" xfId="0" applyFont="1" applyFill="1" applyBorder="1" applyAlignment="1">
      <alignment vertical="center"/>
    </xf>
    <xf numFmtId="0" fontId="1" fillId="41" borderId="4" xfId="0" applyFont="1" applyFill="1" applyBorder="1" applyAlignment="1">
      <alignment horizontal="center" vertical="center"/>
    </xf>
    <xf numFmtId="0" fontId="1" fillId="41" borderId="4" xfId="0" applyFont="1" applyFill="1" applyBorder="1" applyAlignment="1">
      <alignment horizontal="center" vertical="center" wrapText="1"/>
    </xf>
    <xf numFmtId="0" fontId="0" fillId="41" borderId="4" xfId="0" applyFill="1" applyBorder="1" applyAlignment="1">
      <alignment vertical="center" wrapText="1"/>
    </xf>
    <xf numFmtId="0" fontId="0" fillId="41" borderId="4" xfId="0" applyFill="1" applyBorder="1" applyAlignment="1">
      <alignment horizontal="left" vertical="center" wrapText="1"/>
    </xf>
    <xf numFmtId="0" fontId="0" fillId="41" borderId="4" xfId="0" applyFill="1" applyBorder="1" applyAlignment="1">
      <alignment horizontal="center" vertical="center" wrapText="1"/>
    </xf>
    <xf numFmtId="0" fontId="0" fillId="41" borderId="0" xfId="0" applyFill="1" applyAlignment="1">
      <alignment vertical="center" wrapText="1"/>
    </xf>
    <xf numFmtId="0" fontId="1" fillId="11" borderId="4" xfId="0" applyFont="1" applyFill="1" applyBorder="1" applyAlignment="1">
      <alignment vertical="center"/>
    </xf>
    <xf numFmtId="0" fontId="2" fillId="11" borderId="4" xfId="0" applyFont="1" applyFill="1" applyBorder="1" applyAlignment="1">
      <alignment horizontal="left" vertical="center" wrapText="1"/>
    </xf>
    <xf numFmtId="0" fontId="0" fillId="11" borderId="4" xfId="0" applyFill="1" applyBorder="1" applyAlignment="1">
      <alignment vertical="center" wrapText="1"/>
    </xf>
    <xf numFmtId="0" fontId="0" fillId="11" borderId="4" xfId="0" applyFill="1" applyBorder="1" applyAlignment="1">
      <alignment horizontal="center" vertical="center" wrapText="1"/>
    </xf>
    <xf numFmtId="0" fontId="0" fillId="11" borderId="0" xfId="0" applyFill="1" applyAlignment="1">
      <alignment vertical="center" wrapText="1"/>
    </xf>
    <xf numFmtId="0" fontId="2" fillId="41" borderId="4" xfId="0" applyFont="1" applyFill="1" applyBorder="1" applyAlignment="1">
      <alignment horizontal="left" vertical="center" wrapText="1"/>
    </xf>
    <xf numFmtId="0" fontId="1" fillId="41" borderId="4" xfId="0" applyFont="1" applyFill="1" applyBorder="1" applyAlignment="1">
      <alignment horizontal="left" vertical="center" wrapText="1"/>
    </xf>
    <xf numFmtId="0" fontId="0" fillId="41" borderId="4" xfId="0" applyFill="1" applyBorder="1" applyAlignment="1">
      <alignment vertical="center"/>
    </xf>
    <xf numFmtId="0" fontId="0" fillId="41" borderId="4" xfId="0" applyFill="1" applyBorder="1" applyAlignment="1">
      <alignment horizontal="center" vertical="center"/>
    </xf>
    <xf numFmtId="0" fontId="47" fillId="41" borderId="4" xfId="0" applyFont="1" applyFill="1" applyBorder="1"/>
    <xf numFmtId="0" fontId="22" fillId="41" borderId="1" xfId="0" applyFont="1" applyFill="1" applyBorder="1" applyAlignment="1">
      <alignment vertical="center" wrapText="1"/>
    </xf>
    <xf numFmtId="0" fontId="3" fillId="41" borderId="2" xfId="0" applyFont="1" applyFill="1" applyBorder="1" applyAlignment="1">
      <alignment vertical="center" wrapText="1"/>
    </xf>
    <xf numFmtId="0" fontId="3" fillId="41" borderId="2" xfId="0" applyFont="1" applyFill="1" applyBorder="1" applyAlignment="1">
      <alignment vertical="center"/>
    </xf>
    <xf numFmtId="0" fontId="27" fillId="41" borderId="2" xfId="0" applyFont="1" applyFill="1" applyBorder="1" applyAlignment="1">
      <alignment vertical="center" wrapText="1"/>
    </xf>
    <xf numFmtId="0" fontId="0" fillId="41" borderId="0" xfId="0" applyFill="1" applyAlignment="1">
      <alignment horizontal="left" wrapText="1"/>
    </xf>
    <xf numFmtId="0" fontId="27" fillId="41" borderId="0" xfId="0" applyFont="1" applyFill="1" applyAlignment="1">
      <alignment wrapText="1"/>
    </xf>
    <xf numFmtId="0" fontId="0" fillId="41" borderId="2" xfId="0" applyFill="1" applyBorder="1" applyAlignment="1">
      <alignment vertical="center" wrapText="1"/>
    </xf>
    <xf numFmtId="49" fontId="2" fillId="41" borderId="2" xfId="0" applyNumberFormat="1" applyFont="1" applyFill="1" applyBorder="1" applyAlignment="1">
      <alignment vertical="center" wrapText="1"/>
    </xf>
    <xf numFmtId="0" fontId="2" fillId="41" borderId="2" xfId="0" applyFont="1" applyFill="1" applyBorder="1" applyAlignment="1">
      <alignment vertical="center" wrapText="1"/>
    </xf>
    <xf numFmtId="0" fontId="1" fillId="41" borderId="2" xfId="0" applyFont="1" applyFill="1" applyBorder="1" applyAlignment="1">
      <alignment vertical="center" wrapText="1"/>
    </xf>
    <xf numFmtId="0" fontId="0" fillId="41" borderId="2" xfId="0" applyFill="1" applyBorder="1" applyAlignment="1">
      <alignment horizontal="center" vertical="center" wrapText="1"/>
    </xf>
    <xf numFmtId="0" fontId="1" fillId="41" borderId="3" xfId="0" applyFont="1" applyFill="1" applyBorder="1" applyAlignment="1">
      <alignment vertical="center" wrapText="1"/>
    </xf>
    <xf numFmtId="0" fontId="1" fillId="41" borderId="0" xfId="0" applyFont="1" applyFill="1" applyAlignment="1">
      <alignment wrapText="1"/>
    </xf>
    <xf numFmtId="0" fontId="1" fillId="41" borderId="12" xfId="0" applyFont="1" applyFill="1" applyBorder="1" applyAlignment="1">
      <alignment wrapText="1"/>
    </xf>
    <xf numFmtId="0" fontId="0" fillId="41" borderId="0" xfId="0" applyFill="1"/>
    <xf numFmtId="0" fontId="3" fillId="41" borderId="0" xfId="0" applyFont="1" applyFill="1" applyAlignment="1">
      <alignment wrapText="1"/>
    </xf>
    <xf numFmtId="49" fontId="3" fillId="41" borderId="0" xfId="0" applyNumberFormat="1" applyFont="1" applyFill="1" applyAlignment="1">
      <alignment wrapText="1"/>
    </xf>
    <xf numFmtId="0" fontId="1" fillId="24" borderId="4" xfId="0" applyFont="1" applyFill="1" applyBorder="1" applyAlignment="1">
      <alignment wrapText="1"/>
    </xf>
    <xf numFmtId="0" fontId="3" fillId="24" borderId="4" xfId="0" applyFont="1" applyFill="1" applyBorder="1" applyAlignment="1">
      <alignment wrapText="1"/>
    </xf>
    <xf numFmtId="0" fontId="27" fillId="24" borderId="4" xfId="0" applyFont="1" applyFill="1" applyBorder="1" applyAlignment="1">
      <alignment wrapText="1"/>
    </xf>
    <xf numFmtId="0" fontId="0" fillId="9" borderId="4" xfId="0" applyFill="1" applyBorder="1"/>
    <xf numFmtId="0" fontId="1" fillId="9" borderId="4" xfId="0" applyFont="1" applyFill="1" applyBorder="1" applyAlignment="1">
      <alignment wrapText="1"/>
    </xf>
    <xf numFmtId="0" fontId="3" fillId="9" borderId="4" xfId="0" applyFont="1" applyFill="1" applyBorder="1" applyAlignment="1">
      <alignment wrapText="1"/>
    </xf>
    <xf numFmtId="0" fontId="0" fillId="41" borderId="4" xfId="0" applyFill="1" applyBorder="1"/>
    <xf numFmtId="0" fontId="1" fillId="41" borderId="4" xfId="0" applyFont="1" applyFill="1" applyBorder="1" applyAlignment="1">
      <alignment wrapText="1"/>
    </xf>
    <xf numFmtId="0" fontId="3" fillId="41" borderId="4" xfId="0" applyFont="1" applyFill="1" applyBorder="1" applyAlignment="1">
      <alignment wrapText="1"/>
    </xf>
    <xf numFmtId="0" fontId="27" fillId="41" borderId="4" xfId="0" applyFont="1" applyFill="1" applyBorder="1" applyAlignment="1">
      <alignment wrapText="1"/>
    </xf>
    <xf numFmtId="49" fontId="3" fillId="24" borderId="4" xfId="0" applyNumberFormat="1" applyFont="1" applyFill="1" applyBorder="1" applyAlignment="1">
      <alignment wrapText="1"/>
    </xf>
    <xf numFmtId="0" fontId="59" fillId="0" borderId="4" xfId="0" applyFont="1" applyBorder="1" applyAlignment="1">
      <alignment vertical="center" wrapText="1"/>
    </xf>
    <xf numFmtId="0" fontId="61" fillId="0" borderId="4" xfId="0" applyFont="1" applyBorder="1" applyAlignment="1">
      <alignment horizontal="center" vertical="center" wrapText="1"/>
    </xf>
    <xf numFmtId="0" fontId="59" fillId="0" borderId="4" xfId="0" applyFont="1" applyBorder="1"/>
    <xf numFmtId="0" fontId="59" fillId="10" borderId="4" xfId="0" applyFont="1" applyFill="1" applyBorder="1" applyAlignment="1">
      <alignment wrapText="1"/>
    </xf>
    <xf numFmtId="0" fontId="61" fillId="0" borderId="4" xfId="0" applyFont="1" applyBorder="1" applyAlignment="1">
      <alignment wrapText="1"/>
    </xf>
    <xf numFmtId="0" fontId="62" fillId="0" borderId="4" xfId="0" applyFont="1" applyBorder="1" applyAlignment="1">
      <alignment wrapText="1"/>
    </xf>
    <xf numFmtId="0" fontId="62" fillId="0" borderId="4" xfId="0" applyFont="1" applyBorder="1"/>
    <xf numFmtId="0" fontId="59" fillId="0" borderId="4" xfId="0" applyFont="1" applyBorder="1" applyAlignment="1">
      <alignment wrapText="1"/>
    </xf>
    <xf numFmtId="0" fontId="61" fillId="10" borderId="4" xfId="0" applyFont="1" applyFill="1" applyBorder="1" applyAlignment="1">
      <alignment wrapText="1"/>
    </xf>
    <xf numFmtId="0" fontId="62" fillId="13" borderId="15" xfId="0" applyFont="1" applyFill="1" applyBorder="1" applyAlignment="1">
      <alignment wrapText="1"/>
    </xf>
    <xf numFmtId="0" fontId="61" fillId="0" borderId="16" xfId="0" applyFont="1" applyBorder="1" applyAlignment="1">
      <alignment wrapText="1"/>
    </xf>
    <xf numFmtId="0" fontId="59" fillId="0" borderId="16" xfId="0" applyFont="1" applyBorder="1" applyAlignment="1">
      <alignment vertical="center" wrapText="1"/>
    </xf>
    <xf numFmtId="49" fontId="60" fillId="24" borderId="0" xfId="0" applyNumberFormat="1" applyFont="1" applyFill="1" applyAlignment="1">
      <alignment vertical="center" wrapText="1"/>
    </xf>
    <xf numFmtId="0" fontId="59" fillId="10" borderId="4" xfId="0" applyFont="1" applyFill="1" applyBorder="1" applyAlignment="1">
      <alignment vertical="center" wrapText="1"/>
    </xf>
    <xf numFmtId="0" fontId="59" fillId="0" borderId="3" xfId="0" applyFont="1" applyBorder="1" applyAlignment="1">
      <alignment vertical="center" wrapText="1"/>
    </xf>
    <xf numFmtId="49" fontId="60" fillId="24" borderId="0" xfId="0" applyNumberFormat="1" applyFont="1" applyFill="1" applyAlignment="1">
      <alignment wrapText="1"/>
    </xf>
    <xf numFmtId="0" fontId="59" fillId="10" borderId="3" xfId="0" applyFont="1" applyFill="1" applyBorder="1" applyAlignment="1">
      <alignment wrapText="1"/>
    </xf>
    <xf numFmtId="0" fontId="59" fillId="0" borderId="3" xfId="0" applyFont="1" applyBorder="1" applyAlignment="1">
      <alignment wrapText="1"/>
    </xf>
    <xf numFmtId="0" fontId="62" fillId="0" borderId="4" xfId="0" applyFont="1" applyBorder="1" applyAlignment="1">
      <alignment vertical="center"/>
    </xf>
    <xf numFmtId="0" fontId="61" fillId="10" borderId="4" xfId="0" applyFont="1" applyFill="1" applyBorder="1" applyAlignment="1">
      <alignment vertical="center" wrapText="1"/>
    </xf>
    <xf numFmtId="0" fontId="61" fillId="10" borderId="3" xfId="0" applyFont="1" applyFill="1" applyBorder="1" applyAlignment="1">
      <alignment vertical="center" wrapText="1"/>
    </xf>
    <xf numFmtId="0" fontId="59" fillId="0" borderId="16" xfId="0" applyFont="1" applyBorder="1" applyAlignment="1">
      <alignment wrapText="1"/>
    </xf>
    <xf numFmtId="0" fontId="0" fillId="10" borderId="3" xfId="0" applyFill="1" applyBorder="1"/>
    <xf numFmtId="0" fontId="0" fillId="13" borderId="4" xfId="0" applyFill="1" applyBorder="1"/>
    <xf numFmtId="0" fontId="0" fillId="14" borderId="0" xfId="0" applyFill="1"/>
    <xf numFmtId="0" fontId="1" fillId="14" borderId="9" xfId="0" applyFont="1" applyFill="1" applyBorder="1" applyAlignment="1">
      <alignment horizontal="left" vertical="center"/>
    </xf>
    <xf numFmtId="0" fontId="1" fillId="14" borderId="7" xfId="0" applyFont="1" applyFill="1" applyBorder="1" applyAlignment="1">
      <alignment horizontal="left" vertical="center"/>
    </xf>
    <xf numFmtId="0" fontId="17" fillId="14" borderId="6" xfId="0" applyFont="1" applyFill="1" applyBorder="1" applyAlignment="1">
      <alignment horizontal="center" vertical="center" wrapText="1"/>
    </xf>
    <xf numFmtId="0" fontId="1" fillId="14" borderId="7" xfId="0" applyFont="1" applyFill="1" applyBorder="1" applyAlignment="1">
      <alignment horizontal="center" vertical="center" wrapText="1"/>
    </xf>
    <xf numFmtId="0" fontId="1" fillId="14" borderId="9" xfId="0" applyFont="1" applyFill="1" applyBorder="1" applyAlignment="1">
      <alignment horizontal="center" vertical="center"/>
    </xf>
    <xf numFmtId="0" fontId="1" fillId="13" borderId="1" xfId="0" applyFont="1" applyFill="1" applyBorder="1" applyAlignment="1">
      <alignment vertical="center"/>
    </xf>
    <xf numFmtId="0" fontId="1" fillId="13" borderId="0" xfId="0" applyFont="1" applyFill="1" applyAlignment="1">
      <alignment vertical="center"/>
    </xf>
    <xf numFmtId="0" fontId="1" fillId="13" borderId="5" xfId="0" applyFont="1" applyFill="1" applyBorder="1" applyAlignment="1">
      <alignment vertical="center"/>
    </xf>
    <xf numFmtId="0" fontId="1" fillId="13" borderId="8" xfId="0" applyFont="1" applyFill="1" applyBorder="1" applyAlignment="1">
      <alignment vertical="center"/>
    </xf>
    <xf numFmtId="0" fontId="1" fillId="13" borderId="11" xfId="0" applyFont="1" applyFill="1" applyBorder="1" applyAlignment="1">
      <alignment vertical="center"/>
    </xf>
    <xf numFmtId="0" fontId="1" fillId="13" borderId="10" xfId="0" applyFont="1" applyFill="1" applyBorder="1"/>
    <xf numFmtId="0" fontId="1" fillId="13" borderId="0" xfId="0" applyFont="1" applyFill="1"/>
    <xf numFmtId="0" fontId="0" fillId="17" borderId="4" xfId="0" applyFill="1" applyBorder="1" applyAlignment="1">
      <alignment horizontal="center" vertical="center" wrapText="1"/>
    </xf>
    <xf numFmtId="0" fontId="0" fillId="17" borderId="4" xfId="0" applyFill="1" applyBorder="1" applyAlignment="1">
      <alignment vertical="center" wrapText="1"/>
    </xf>
    <xf numFmtId="0" fontId="1" fillId="17" borderId="1" xfId="0" applyFont="1" applyFill="1" applyBorder="1" applyAlignment="1">
      <alignment horizontal="center" wrapText="1"/>
    </xf>
    <xf numFmtId="0" fontId="1" fillId="17" borderId="2" xfId="0" applyFont="1" applyFill="1" applyBorder="1" applyAlignment="1">
      <alignment horizontal="center" wrapText="1"/>
    </xf>
    <xf numFmtId="0" fontId="1" fillId="17" borderId="4" xfId="0" applyFont="1" applyFill="1" applyBorder="1" applyAlignment="1">
      <alignment horizontal="center" wrapText="1"/>
    </xf>
    <xf numFmtId="0" fontId="0" fillId="25" borderId="4" xfId="0" applyFill="1" applyBorder="1" applyAlignment="1">
      <alignment wrapText="1"/>
    </xf>
    <xf numFmtId="0" fontId="7" fillId="3" borderId="4" xfId="0" applyFont="1" applyFill="1" applyBorder="1" applyAlignment="1">
      <alignment wrapText="1"/>
    </xf>
    <xf numFmtId="0" fontId="7" fillId="3" borderId="16" xfId="0" applyFont="1" applyFill="1" applyBorder="1" applyAlignment="1">
      <alignment wrapText="1"/>
    </xf>
    <xf numFmtId="0" fontId="7" fillId="0" borderId="16" xfId="0" applyFont="1" applyBorder="1" applyAlignment="1">
      <alignment wrapText="1"/>
    </xf>
    <xf numFmtId="0" fontId="7" fillId="0" borderId="10" xfId="0" applyFont="1" applyBorder="1" applyAlignment="1">
      <alignment horizontal="center" wrapText="1"/>
    </xf>
    <xf numFmtId="0" fontId="7" fillId="25" borderId="4" xfId="0" applyFont="1" applyFill="1" applyBorder="1" applyAlignment="1">
      <alignment horizontal="center" wrapText="1"/>
    </xf>
    <xf numFmtId="0" fontId="0" fillId="25" borderId="4" xfId="0" applyFill="1" applyBorder="1" applyAlignment="1">
      <alignment horizontal="center" wrapText="1"/>
    </xf>
    <xf numFmtId="0" fontId="8" fillId="25" borderId="10" xfId="0" applyFont="1" applyFill="1" applyBorder="1" applyAlignment="1">
      <alignment horizontal="center" wrapText="1"/>
    </xf>
    <xf numFmtId="0" fontId="7" fillId="25" borderId="4" xfId="0" applyFont="1" applyFill="1" applyBorder="1" applyAlignment="1">
      <alignment wrapText="1"/>
    </xf>
    <xf numFmtId="0" fontId="1" fillId="25" borderId="10" xfId="0" applyFont="1" applyFill="1" applyBorder="1" applyAlignment="1">
      <alignment horizontal="center" wrapText="1"/>
    </xf>
    <xf numFmtId="0" fontId="1" fillId="17" borderId="0" xfId="0" applyFont="1" applyFill="1" applyAlignment="1">
      <alignment wrapText="1"/>
    </xf>
    <xf numFmtId="0" fontId="1" fillId="17" borderId="0" xfId="0" applyFont="1" applyFill="1" applyAlignment="1">
      <alignment vertical="center" wrapText="1"/>
    </xf>
    <xf numFmtId="0" fontId="10" fillId="0" borderId="0" xfId="0" applyFont="1" applyAlignment="1">
      <alignment horizontal="center" vertical="center" wrapText="1"/>
    </xf>
    <xf numFmtId="0" fontId="13" fillId="0" borderId="0" xfId="0" applyFont="1" applyAlignment="1">
      <alignment horizontal="center" vertical="center" wrapText="1"/>
    </xf>
    <xf numFmtId="0" fontId="1" fillId="13" borderId="1" xfId="0" applyFont="1" applyFill="1" applyBorder="1" applyAlignment="1">
      <alignment horizontal="center" vertical="center" wrapText="1"/>
    </xf>
    <xf numFmtId="0" fontId="40" fillId="10" borderId="0" xfId="0" applyFont="1" applyFill="1" applyAlignment="1">
      <alignment horizontal="left" wrapText="1"/>
    </xf>
    <xf numFmtId="0" fontId="3" fillId="25" borderId="4" xfId="0" applyFont="1" applyFill="1" applyBorder="1" applyAlignment="1">
      <alignment horizontal="center" vertical="center" wrapText="1"/>
    </xf>
    <xf numFmtId="0" fontId="60" fillId="14" borderId="4" xfId="0" applyFont="1" applyFill="1" applyBorder="1" applyAlignment="1">
      <alignment horizontal="center" vertical="center" wrapText="1"/>
    </xf>
    <xf numFmtId="0" fontId="1" fillId="13" borderId="4" xfId="0" applyFont="1" applyFill="1" applyBorder="1" applyAlignment="1">
      <alignment horizontal="center" vertical="center" wrapText="1"/>
    </xf>
    <xf numFmtId="0" fontId="10" fillId="13" borderId="4" xfId="0" applyFont="1" applyFill="1" applyBorder="1" applyAlignment="1">
      <alignment horizontal="left" vertical="center" wrapText="1"/>
    </xf>
    <xf numFmtId="0" fontId="2" fillId="13" borderId="1" xfId="0" applyFont="1" applyFill="1" applyBorder="1" applyAlignment="1">
      <alignment horizontal="center" vertical="center" wrapText="1"/>
    </xf>
    <xf numFmtId="0" fontId="13" fillId="13" borderId="4" xfId="0" applyFont="1" applyFill="1" applyBorder="1" applyAlignment="1">
      <alignment horizontal="center" vertical="center" wrapText="1"/>
    </xf>
    <xf numFmtId="0" fontId="0" fillId="13" borderId="4" xfId="0" applyFill="1" applyBorder="1" applyAlignment="1">
      <alignment horizontal="center" vertical="center" wrapText="1"/>
    </xf>
    <xf numFmtId="0" fontId="0" fillId="18" borderId="0" xfId="0" applyFill="1" applyAlignment="1">
      <alignment vertical="center" wrapText="1"/>
    </xf>
    <xf numFmtId="0" fontId="2" fillId="18" borderId="4" xfId="0" applyFont="1" applyFill="1" applyBorder="1" applyAlignment="1">
      <alignment horizontal="center" vertical="center" wrapText="1"/>
    </xf>
    <xf numFmtId="0" fontId="1" fillId="18" borderId="1" xfId="0" applyFont="1" applyFill="1" applyBorder="1" applyAlignment="1">
      <alignment horizontal="center" vertical="center" wrapText="1"/>
    </xf>
    <xf numFmtId="0" fontId="1" fillId="18" borderId="4" xfId="0" applyFont="1" applyFill="1" applyBorder="1" applyAlignment="1">
      <alignment vertical="center" wrapText="1"/>
    </xf>
    <xf numFmtId="0" fontId="10" fillId="18" borderId="4" xfId="0" applyFont="1" applyFill="1" applyBorder="1" applyAlignment="1">
      <alignment horizontal="left" vertical="center" wrapText="1"/>
    </xf>
    <xf numFmtId="0" fontId="13" fillId="18" borderId="4" xfId="0" applyFont="1" applyFill="1" applyBorder="1" applyAlignment="1">
      <alignment horizontal="center" vertical="center" wrapText="1"/>
    </xf>
    <xf numFmtId="0" fontId="1" fillId="18" borderId="4" xfId="0" applyFont="1" applyFill="1" applyBorder="1" applyAlignment="1">
      <alignment horizontal="center" vertical="center" wrapText="1"/>
    </xf>
    <xf numFmtId="0" fontId="0" fillId="18" borderId="4" xfId="0" applyFill="1" applyBorder="1" applyAlignment="1">
      <alignment vertical="center" wrapText="1"/>
    </xf>
    <xf numFmtId="0" fontId="2" fillId="18" borderId="4" xfId="0" applyFont="1" applyFill="1" applyBorder="1" applyAlignment="1">
      <alignment vertical="center" wrapText="1"/>
    </xf>
    <xf numFmtId="0" fontId="0" fillId="18" borderId="4" xfId="0" applyFill="1" applyBorder="1" applyAlignment="1">
      <alignment horizontal="center" vertical="center" wrapText="1"/>
    </xf>
    <xf numFmtId="0" fontId="5" fillId="7" borderId="9" xfId="0" applyFont="1" applyFill="1" applyBorder="1" applyAlignment="1">
      <alignment vertical="center" wrapText="1"/>
    </xf>
    <xf numFmtId="0" fontId="1" fillId="25" borderId="3" xfId="0" applyFont="1" applyFill="1" applyBorder="1" applyAlignment="1">
      <alignment horizontal="left" vertical="center" wrapText="1"/>
    </xf>
    <xf numFmtId="0" fontId="4" fillId="10" borderId="4" xfId="0" applyFont="1" applyFill="1" applyBorder="1" applyAlignment="1">
      <alignment horizontal="left" vertical="center" wrapText="1"/>
    </xf>
    <xf numFmtId="0" fontId="1" fillId="25" borderId="4" xfId="0" applyFont="1" applyFill="1" applyBorder="1" applyAlignment="1">
      <alignment horizontal="center" vertical="center" wrapText="1"/>
    </xf>
    <xf numFmtId="0" fontId="32" fillId="10" borderId="0" xfId="0" applyFont="1" applyFill="1" applyAlignment="1">
      <alignment horizontal="left" vertical="center" wrapText="1"/>
    </xf>
    <xf numFmtId="0" fontId="4" fillId="18" borderId="4" xfId="0" applyFont="1" applyFill="1" applyBorder="1" applyAlignment="1">
      <alignment horizontal="center" vertical="center" wrapText="1"/>
    </xf>
    <xf numFmtId="0" fontId="5" fillId="7" borderId="4" xfId="0" applyFont="1" applyFill="1" applyBorder="1" applyAlignment="1">
      <alignment vertical="center" wrapText="1"/>
    </xf>
    <xf numFmtId="0" fontId="5" fillId="19" borderId="4" xfId="0" applyFont="1" applyFill="1" applyBorder="1" applyAlignment="1">
      <alignment vertical="center" wrapText="1"/>
    </xf>
    <xf numFmtId="0" fontId="5" fillId="7" borderId="4" xfId="0" applyFont="1" applyFill="1" applyBorder="1" applyAlignment="1">
      <alignment horizontal="left" vertical="center" wrapText="1"/>
    </xf>
    <xf numFmtId="0" fontId="4" fillId="19" borderId="4" xfId="0" applyFont="1" applyFill="1" applyBorder="1" applyAlignment="1">
      <alignment horizontal="center" vertical="center" wrapText="1"/>
    </xf>
    <xf numFmtId="0" fontId="20" fillId="19" borderId="4" xfId="0" applyFont="1" applyFill="1" applyBorder="1" applyAlignment="1">
      <alignment horizontal="left" vertical="center" wrapText="1"/>
    </xf>
    <xf numFmtId="0" fontId="2" fillId="19" borderId="4" xfId="0" applyFont="1" applyFill="1" applyBorder="1" applyAlignment="1">
      <alignment horizontal="center" vertical="center" wrapText="1"/>
    </xf>
    <xf numFmtId="0" fontId="5" fillId="19" borderId="4" xfId="0" applyFont="1" applyFill="1" applyBorder="1" applyAlignment="1">
      <alignment horizontal="center" vertical="center" wrapText="1"/>
    </xf>
    <xf numFmtId="0" fontId="4" fillId="19" borderId="4" xfId="0" applyFont="1" applyFill="1" applyBorder="1" applyAlignment="1">
      <alignment vertical="center" wrapText="1"/>
    </xf>
    <xf numFmtId="0" fontId="0" fillId="19" borderId="4" xfId="0" applyFill="1" applyBorder="1" applyAlignment="1">
      <alignment horizontal="center" vertical="center" wrapText="1"/>
    </xf>
    <xf numFmtId="0" fontId="1" fillId="19" borderId="4" xfId="0" applyFont="1" applyFill="1" applyBorder="1" applyAlignment="1">
      <alignment vertical="center" wrapText="1"/>
    </xf>
    <xf numFmtId="0" fontId="10" fillId="19" borderId="4" xfId="0" applyFont="1" applyFill="1" applyBorder="1" applyAlignment="1">
      <alignment horizontal="left" vertical="center" wrapText="1"/>
    </xf>
    <xf numFmtId="0" fontId="13" fillId="19" borderId="4" xfId="0" applyFont="1" applyFill="1" applyBorder="1" applyAlignment="1">
      <alignment horizontal="center" vertical="center" wrapText="1"/>
    </xf>
    <xf numFmtId="0" fontId="1" fillId="19" borderId="4" xfId="0" applyFont="1" applyFill="1" applyBorder="1" applyAlignment="1">
      <alignment horizontal="center" vertical="center" wrapText="1"/>
    </xf>
    <xf numFmtId="0" fontId="0" fillId="19" borderId="4" xfId="0" applyFill="1" applyBorder="1" applyAlignment="1">
      <alignment vertical="center" wrapText="1"/>
    </xf>
    <xf numFmtId="0" fontId="10" fillId="0" borderId="4" xfId="0" applyFont="1" applyBorder="1" applyAlignment="1">
      <alignment horizontal="center" vertical="center"/>
    </xf>
    <xf numFmtId="0" fontId="2" fillId="19" borderId="4" xfId="0" applyFont="1" applyFill="1" applyBorder="1" applyAlignment="1">
      <alignment vertical="center" wrapText="1"/>
    </xf>
    <xf numFmtId="0" fontId="10" fillId="18" borderId="4" xfId="0" applyFont="1" applyFill="1" applyBorder="1" applyAlignment="1">
      <alignment horizontal="center" vertical="center" wrapText="1"/>
    </xf>
    <xf numFmtId="0" fontId="13" fillId="18" borderId="17" xfId="0" applyFont="1" applyFill="1" applyBorder="1" applyAlignment="1">
      <alignment horizontal="center" vertical="center" wrapText="1"/>
    </xf>
    <xf numFmtId="0" fontId="1" fillId="10" borderId="0" xfId="0" applyFont="1" applyFill="1" applyAlignment="1">
      <alignment horizontal="center" vertical="center" wrapText="1"/>
    </xf>
    <xf numFmtId="0" fontId="62" fillId="25" borderId="4" xfId="0" applyFont="1" applyFill="1" applyBorder="1" applyAlignment="1">
      <alignment horizontal="center" vertical="center" wrapText="1"/>
    </xf>
    <xf numFmtId="0" fontId="18" fillId="10" borderId="4" xfId="0" applyFont="1" applyFill="1" applyBorder="1" applyAlignment="1">
      <alignment horizontal="center" vertical="center" wrapText="1"/>
    </xf>
    <xf numFmtId="0" fontId="18" fillId="10" borderId="0" xfId="0" applyFont="1" applyFill="1" applyAlignment="1">
      <alignment horizontal="center" vertical="center" wrapText="1"/>
    </xf>
    <xf numFmtId="0" fontId="1" fillId="7" borderId="4" xfId="0" applyFont="1" applyFill="1" applyBorder="1" applyAlignment="1">
      <alignment vertical="center" wrapText="1"/>
    </xf>
    <xf numFmtId="0" fontId="16" fillId="10" borderId="4" xfId="0" applyFont="1" applyFill="1" applyBorder="1" applyAlignment="1">
      <alignment horizontal="left" vertical="center" wrapText="1"/>
    </xf>
    <xf numFmtId="0" fontId="10" fillId="10" borderId="4" xfId="0" applyFont="1" applyFill="1" applyBorder="1" applyAlignment="1">
      <alignment horizontal="left" vertical="center" wrapText="1"/>
    </xf>
    <xf numFmtId="0" fontId="28" fillId="10" borderId="0" xfId="0" applyFont="1" applyFill="1" applyAlignment="1">
      <alignment horizontal="center" vertical="center" wrapText="1"/>
    </xf>
    <xf numFmtId="0" fontId="2" fillId="25" borderId="4" xfId="0" applyFont="1" applyFill="1" applyBorder="1" applyAlignment="1">
      <alignment horizontal="left" vertical="center" wrapText="1"/>
    </xf>
    <xf numFmtId="0" fontId="28" fillId="10" borderId="4" xfId="0" applyFont="1" applyFill="1" applyBorder="1" applyAlignment="1">
      <alignment horizontal="center" vertical="center" wrapText="1"/>
    </xf>
    <xf numFmtId="0" fontId="29" fillId="24" borderId="4" xfId="0" applyFont="1" applyFill="1" applyBorder="1" applyAlignment="1">
      <alignment horizontal="center" vertical="center" wrapText="1"/>
    </xf>
    <xf numFmtId="0" fontId="29" fillId="19" borderId="4" xfId="0" applyFont="1" applyFill="1" applyBorder="1" applyAlignment="1">
      <alignment horizontal="center" vertical="center" wrapText="1"/>
    </xf>
    <xf numFmtId="0" fontId="7" fillId="24" borderId="4" xfId="0" applyFont="1" applyFill="1" applyBorder="1" applyAlignment="1">
      <alignment horizontal="center" vertical="center" wrapText="1"/>
    </xf>
    <xf numFmtId="0" fontId="10" fillId="0" borderId="18" xfId="0" applyFont="1" applyBorder="1" applyAlignment="1">
      <alignment horizontal="left" vertical="center" wrapText="1"/>
    </xf>
    <xf numFmtId="0" fontId="10" fillId="0" borderId="19" xfId="0" applyFont="1" applyBorder="1" applyAlignment="1">
      <alignment horizontal="left" vertical="center" wrapText="1"/>
    </xf>
    <xf numFmtId="0" fontId="1" fillId="14" borderId="9" xfId="0" applyFont="1" applyFill="1" applyBorder="1" applyAlignment="1">
      <alignment horizontal="left" vertical="center" wrapText="1"/>
    </xf>
    <xf numFmtId="0" fontId="13" fillId="14" borderId="4" xfId="0" applyFont="1" applyFill="1" applyBorder="1" applyAlignment="1">
      <alignment horizontal="left" vertical="center" wrapText="1"/>
    </xf>
    <xf numFmtId="0" fontId="1" fillId="14" borderId="4" xfId="0" applyFont="1" applyFill="1" applyBorder="1" applyAlignment="1">
      <alignment horizontal="center" vertical="center" wrapText="1"/>
    </xf>
    <xf numFmtId="0" fontId="1" fillId="14" borderId="3" xfId="0" applyFont="1" applyFill="1" applyBorder="1" applyAlignment="1">
      <alignment horizontal="center" vertical="center" wrapText="1"/>
    </xf>
    <xf numFmtId="0" fontId="0" fillId="7" borderId="4" xfId="0" applyFill="1" applyBorder="1" applyAlignment="1">
      <alignment vertical="center" wrapText="1"/>
    </xf>
    <xf numFmtId="0" fontId="2" fillId="7" borderId="4" xfId="0" applyFont="1" applyFill="1" applyBorder="1" applyAlignment="1">
      <alignment horizontal="left" vertical="center" wrapText="1"/>
    </xf>
    <xf numFmtId="0" fontId="4" fillId="7" borderId="4" xfId="0" applyFont="1" applyFill="1" applyBorder="1" applyAlignment="1">
      <alignment vertical="center" wrapText="1"/>
    </xf>
    <xf numFmtId="0" fontId="16" fillId="10" borderId="4" xfId="0" applyFont="1" applyFill="1" applyBorder="1" applyAlignment="1">
      <alignment horizontal="left" wrapText="1"/>
    </xf>
    <xf numFmtId="0" fontId="10" fillId="10" borderId="4" xfId="0" applyFont="1" applyFill="1" applyBorder="1" applyAlignment="1">
      <alignment horizontal="left" wrapText="1"/>
    </xf>
    <xf numFmtId="0" fontId="2" fillId="6" borderId="4" xfId="0" applyFont="1" applyFill="1" applyBorder="1" applyAlignment="1">
      <alignment vertical="center" wrapText="1"/>
    </xf>
    <xf numFmtId="0" fontId="10" fillId="0" borderId="20" xfId="0" applyFont="1" applyBorder="1" applyAlignment="1">
      <alignment horizontal="left" vertical="center" wrapText="1"/>
    </xf>
    <xf numFmtId="0" fontId="1" fillId="14" borderId="0" xfId="0" applyFont="1" applyFill="1"/>
    <xf numFmtId="0" fontId="1" fillId="13" borderId="4" xfId="0" applyFont="1" applyFill="1" applyBorder="1" applyAlignment="1">
      <alignment horizontal="center"/>
    </xf>
    <xf numFmtId="0" fontId="1" fillId="13" borderId="8" xfId="0" applyFont="1" applyFill="1" applyBorder="1" applyAlignment="1">
      <alignment horizontal="center" vertical="center"/>
    </xf>
    <xf numFmtId="0" fontId="49" fillId="0" borderId="3" xfId="0" applyFont="1" applyBorder="1" applyAlignment="1">
      <alignment wrapText="1"/>
    </xf>
    <xf numFmtId="0" fontId="1" fillId="17" borderId="4" xfId="0" applyFont="1" applyFill="1" applyBorder="1" applyAlignment="1">
      <alignment wrapText="1"/>
    </xf>
    <xf numFmtId="0" fontId="7" fillId="0" borderId="4" xfId="0" applyFont="1" applyBorder="1"/>
    <xf numFmtId="0" fontId="13" fillId="17" borderId="4" xfId="0" applyFont="1" applyFill="1" applyBorder="1"/>
    <xf numFmtId="0" fontId="8" fillId="17" borderId="4" xfId="0" applyFont="1" applyFill="1" applyBorder="1"/>
    <xf numFmtId="0" fontId="19" fillId="17" borderId="4" xfId="0" applyFont="1" applyFill="1" applyBorder="1"/>
    <xf numFmtId="0" fontId="19" fillId="17" borderId="4" xfId="0" applyFont="1" applyFill="1" applyBorder="1" applyAlignment="1">
      <alignment wrapText="1"/>
    </xf>
    <xf numFmtId="0" fontId="19" fillId="13" borderId="1" xfId="0" applyFont="1" applyFill="1" applyBorder="1" applyAlignment="1">
      <alignment vertical="center"/>
    </xf>
    <xf numFmtId="0" fontId="0" fillId="10" borderId="0" xfId="0" applyFill="1" applyAlignment="1">
      <alignment horizontal="left" wrapText="1"/>
    </xf>
    <xf numFmtId="0" fontId="16" fillId="10" borderId="0" xfId="0" applyFont="1" applyFill="1" applyAlignment="1">
      <alignment horizontal="center" wrapText="1"/>
    </xf>
    <xf numFmtId="0" fontId="46" fillId="17" borderId="4" xfId="0" applyFont="1" applyFill="1" applyBorder="1"/>
    <xf numFmtId="0" fontId="1" fillId="25" borderId="0" xfId="0" applyFont="1" applyFill="1"/>
    <xf numFmtId="0" fontId="1" fillId="25" borderId="0" xfId="0" applyFont="1" applyFill="1" applyAlignment="1">
      <alignment horizontal="center"/>
    </xf>
    <xf numFmtId="0" fontId="0" fillId="25" borderId="0" xfId="0" applyFill="1"/>
    <xf numFmtId="0" fontId="41" fillId="0" borderId="4" xfId="0" applyFont="1" applyBorder="1" applyAlignment="1">
      <alignment horizontal="center" wrapText="1"/>
    </xf>
    <xf numFmtId="0" fontId="16" fillId="10" borderId="0" xfId="0" applyFont="1" applyFill="1" applyAlignment="1">
      <alignment horizontal="left" wrapText="1"/>
    </xf>
    <xf numFmtId="0" fontId="8" fillId="13" borderId="1" xfId="0" applyFont="1" applyFill="1" applyBorder="1" applyAlignment="1">
      <alignment vertical="center"/>
    </xf>
    <xf numFmtId="0" fontId="53" fillId="10" borderId="0" xfId="0" applyFont="1" applyFill="1" applyAlignment="1">
      <alignment vertical="center" wrapText="1"/>
    </xf>
    <xf numFmtId="0" fontId="1" fillId="2" borderId="4" xfId="0" applyFont="1" applyFill="1" applyBorder="1" applyAlignment="1">
      <alignment horizontal="center" vertical="center" wrapText="1"/>
    </xf>
    <xf numFmtId="0" fontId="62" fillId="14" borderId="4" xfId="0" applyFont="1" applyFill="1" applyBorder="1" applyAlignment="1">
      <alignment horizontal="center" vertical="center" wrapText="1"/>
    </xf>
    <xf numFmtId="0" fontId="1" fillId="13" borderId="1" xfId="0" applyFont="1" applyFill="1" applyBorder="1" applyAlignment="1">
      <alignment horizontal="center" vertical="center"/>
    </xf>
    <xf numFmtId="0" fontId="1" fillId="13" borderId="3" xfId="0" applyFont="1" applyFill="1" applyBorder="1" applyAlignment="1">
      <alignment horizontal="left" vertical="center" wrapText="1"/>
    </xf>
    <xf numFmtId="0" fontId="1" fillId="13" borderId="9" xfId="0" applyFont="1" applyFill="1" applyBorder="1" applyAlignment="1">
      <alignment horizontal="center" vertical="center" wrapText="1"/>
    </xf>
    <xf numFmtId="0" fontId="1" fillId="13" borderId="8" xfId="0" applyFont="1" applyFill="1" applyBorder="1" applyAlignment="1">
      <alignment horizontal="left" vertical="center" wrapText="1"/>
    </xf>
    <xf numFmtId="0" fontId="10" fillId="0" borderId="9" xfId="0" applyFont="1" applyBorder="1" applyAlignment="1">
      <alignment horizontal="left" vertical="center" wrapText="1"/>
    </xf>
    <xf numFmtId="0" fontId="1" fillId="13" borderId="6" xfId="0" applyFont="1" applyFill="1" applyBorder="1" applyAlignment="1">
      <alignment horizontal="center" vertical="center" wrapText="1"/>
    </xf>
    <xf numFmtId="0" fontId="10" fillId="10" borderId="10" xfId="0" applyFont="1" applyFill="1" applyBorder="1" applyAlignment="1">
      <alignment vertical="center" wrapText="1"/>
    </xf>
    <xf numFmtId="0" fontId="10" fillId="10" borderId="4" xfId="0" applyFont="1" applyFill="1" applyBorder="1" applyAlignment="1">
      <alignment vertical="center" wrapText="1"/>
    </xf>
    <xf numFmtId="0" fontId="41" fillId="0" borderId="4" xfId="0" applyFont="1" applyBorder="1" applyAlignment="1">
      <alignment vertical="center" wrapText="1"/>
    </xf>
    <xf numFmtId="0" fontId="1" fillId="17" borderId="4" xfId="0" applyFont="1" applyFill="1" applyBorder="1" applyAlignment="1">
      <alignment vertical="center"/>
    </xf>
    <xf numFmtId="0" fontId="42" fillId="0" borderId="4" xfId="0" applyFont="1" applyBorder="1" applyAlignment="1">
      <alignment horizontal="left" vertical="center"/>
    </xf>
    <xf numFmtId="0" fontId="0" fillId="10" borderId="0" xfId="0" applyFill="1" applyAlignment="1">
      <alignment horizontal="left" vertical="center" wrapText="1"/>
    </xf>
    <xf numFmtId="0" fontId="8" fillId="17" borderId="4" xfId="0" applyFont="1" applyFill="1" applyBorder="1" applyAlignment="1">
      <alignment vertical="center"/>
    </xf>
    <xf numFmtId="0" fontId="16" fillId="10" borderId="0" xfId="0" applyFont="1" applyFill="1" applyAlignment="1">
      <alignment horizontal="left" vertical="center" wrapText="1"/>
    </xf>
    <xf numFmtId="0" fontId="19" fillId="17" borderId="4" xfId="0" applyFont="1" applyFill="1" applyBorder="1" applyAlignment="1">
      <alignment vertical="center"/>
    </xf>
    <xf numFmtId="0" fontId="7" fillId="0" borderId="4" xfId="0" applyFont="1" applyBorder="1" applyAlignment="1">
      <alignment vertical="center"/>
    </xf>
    <xf numFmtId="0" fontId="7" fillId="0" borderId="4" xfId="0" applyFont="1" applyBorder="1" applyAlignment="1">
      <alignment horizontal="center" vertical="center"/>
    </xf>
    <xf numFmtId="0" fontId="7" fillId="0" borderId="4" xfId="0" applyFont="1" applyBorder="1" applyAlignment="1">
      <alignment vertical="center" wrapText="1"/>
    </xf>
    <xf numFmtId="0" fontId="13" fillId="13" borderId="4" xfId="0" applyFont="1" applyFill="1" applyBorder="1" applyAlignment="1">
      <alignment horizontal="left" vertical="center" wrapText="1"/>
    </xf>
    <xf numFmtId="0" fontId="28" fillId="10" borderId="0" xfId="0" applyFont="1" applyFill="1" applyAlignment="1">
      <alignment horizontal="left" vertical="center" wrapText="1"/>
    </xf>
    <xf numFmtId="0" fontId="28" fillId="10" borderId="4" xfId="0" applyFont="1" applyFill="1" applyBorder="1" applyAlignment="1">
      <alignment horizontal="left" vertical="center" wrapText="1"/>
    </xf>
    <xf numFmtId="0" fontId="29" fillId="24" borderId="4" xfId="0" applyFont="1" applyFill="1" applyBorder="1" applyAlignment="1">
      <alignment horizontal="left" vertical="center" wrapText="1"/>
    </xf>
    <xf numFmtId="0" fontId="7" fillId="24" borderId="4" xfId="0" applyFont="1" applyFill="1" applyBorder="1" applyAlignment="1">
      <alignment horizontal="left" vertical="center" wrapText="1"/>
    </xf>
    <xf numFmtId="0" fontId="1" fillId="13" borderId="0" xfId="0" applyFont="1" applyFill="1" applyAlignment="1">
      <alignment horizontal="center"/>
    </xf>
    <xf numFmtId="0" fontId="7" fillId="8" borderId="4" xfId="0" applyFont="1" applyFill="1" applyBorder="1" applyAlignment="1">
      <alignment vertical="center"/>
    </xf>
    <xf numFmtId="0" fontId="7" fillId="8" borderId="10" xfId="0" applyFont="1" applyFill="1" applyBorder="1" applyAlignment="1">
      <alignment vertical="center"/>
    </xf>
    <xf numFmtId="0" fontId="55" fillId="24" borderId="4" xfId="0" applyFont="1" applyFill="1" applyBorder="1" applyAlignment="1">
      <alignment horizontal="left" wrapText="1"/>
    </xf>
    <xf numFmtId="0" fontId="54" fillId="24" borderId="4" xfId="0" applyFont="1" applyFill="1" applyBorder="1" applyAlignment="1">
      <alignment horizontal="left" wrapText="1"/>
    </xf>
    <xf numFmtId="0" fontId="55" fillId="24" borderId="0" xfId="0" applyFont="1" applyFill="1" applyAlignment="1">
      <alignment horizontal="left" wrapText="1"/>
    </xf>
    <xf numFmtId="0" fontId="18" fillId="10" borderId="4" xfId="0" applyFont="1" applyFill="1" applyBorder="1" applyAlignment="1">
      <alignment horizontal="left" wrapText="1"/>
    </xf>
    <xf numFmtId="0" fontId="1" fillId="14" borderId="4" xfId="0" applyFont="1" applyFill="1" applyBorder="1" applyAlignment="1">
      <alignment horizontal="center" vertical="center"/>
    </xf>
    <xf numFmtId="0" fontId="17" fillId="14" borderId="4" xfId="0" applyFont="1" applyFill="1" applyBorder="1" applyAlignment="1">
      <alignment horizontal="center" vertical="center" wrapText="1"/>
    </xf>
    <xf numFmtId="0" fontId="16" fillId="10" borderId="4" xfId="0" applyFont="1" applyFill="1" applyBorder="1" applyAlignment="1">
      <alignment horizontal="left" vertical="top" wrapText="1"/>
    </xf>
    <xf numFmtId="0" fontId="1" fillId="13" borderId="4" xfId="0" applyFont="1" applyFill="1" applyBorder="1" applyAlignment="1">
      <alignment vertical="top"/>
    </xf>
    <xf numFmtId="0" fontId="58" fillId="10" borderId="4" xfId="0" applyFont="1" applyFill="1" applyBorder="1" applyAlignment="1">
      <alignment horizontal="left" vertical="top" wrapText="1"/>
    </xf>
    <xf numFmtId="0" fontId="0" fillId="13" borderId="4" xfId="0" applyFill="1" applyBorder="1" applyAlignment="1">
      <alignment vertical="top" wrapText="1"/>
    </xf>
    <xf numFmtId="0" fontId="0" fillId="13" borderId="4" xfId="0" applyFill="1" applyBorder="1" applyAlignment="1">
      <alignment wrapText="1"/>
    </xf>
    <xf numFmtId="0" fontId="16" fillId="13" borderId="4" xfId="0" applyFont="1" applyFill="1" applyBorder="1" applyAlignment="1">
      <alignment horizontal="left" vertical="top" wrapText="1"/>
    </xf>
    <xf numFmtId="0" fontId="0" fillId="13" borderId="4" xfId="0" applyFill="1" applyBorder="1" applyAlignment="1">
      <alignment horizontal="center"/>
    </xf>
    <xf numFmtId="0" fontId="0" fillId="17" borderId="4" xfId="0" applyFill="1" applyBorder="1" applyAlignment="1">
      <alignment vertical="top" wrapText="1"/>
    </xf>
    <xf numFmtId="0" fontId="1" fillId="17" borderId="4" xfId="0" applyFont="1" applyFill="1" applyBorder="1" applyAlignment="1">
      <alignment horizontal="center" vertical="center" wrapText="1"/>
    </xf>
    <xf numFmtId="0" fontId="16" fillId="17" borderId="4" xfId="0" applyFont="1" applyFill="1" applyBorder="1" applyAlignment="1">
      <alignment horizontal="left" vertical="top" wrapText="1"/>
    </xf>
    <xf numFmtId="0" fontId="0" fillId="17" borderId="4" xfId="0" applyFill="1" applyBorder="1" applyAlignment="1">
      <alignment wrapText="1"/>
    </xf>
    <xf numFmtId="0" fontId="0" fillId="17" borderId="4" xfId="0" applyFill="1" applyBorder="1"/>
    <xf numFmtId="0" fontId="0" fillId="17" borderId="4" xfId="0" applyFill="1" applyBorder="1" applyAlignment="1">
      <alignment horizontal="center"/>
    </xf>
    <xf numFmtId="0" fontId="1" fillId="17" borderId="4" xfId="0" applyFont="1" applyFill="1" applyBorder="1" applyAlignment="1">
      <alignment horizontal="center" vertical="center"/>
    </xf>
    <xf numFmtId="0" fontId="1" fillId="17" borderId="4" xfId="0" applyFont="1" applyFill="1" applyBorder="1" applyAlignment="1">
      <alignment vertical="top"/>
    </xf>
    <xf numFmtId="0" fontId="0" fillId="17" borderId="4" xfId="0" applyFill="1" applyBorder="1" applyAlignment="1">
      <alignment vertical="center"/>
    </xf>
    <xf numFmtId="0" fontId="0" fillId="17" borderId="4" xfId="0" applyFill="1" applyBorder="1" applyAlignment="1">
      <alignment vertical="top"/>
    </xf>
    <xf numFmtId="0" fontId="1" fillId="17" borderId="1" xfId="0" applyFont="1" applyFill="1" applyBorder="1" applyAlignment="1">
      <alignment vertical="center"/>
    </xf>
    <xf numFmtId="0" fontId="0" fillId="17" borderId="3" xfId="0" applyFill="1" applyBorder="1" applyAlignment="1">
      <alignment vertical="center"/>
    </xf>
    <xf numFmtId="0" fontId="63" fillId="10" borderId="4" xfId="0" applyFont="1" applyFill="1" applyBorder="1" applyAlignment="1">
      <alignment horizontal="left" vertical="top" wrapText="1"/>
    </xf>
    <xf numFmtId="0" fontId="1" fillId="13" borderId="4" xfId="0" applyFont="1" applyFill="1" applyBorder="1"/>
    <xf numFmtId="0" fontId="0" fillId="17" borderId="3" xfId="0" applyFill="1" applyBorder="1" applyAlignment="1">
      <alignment vertical="top" wrapText="1"/>
    </xf>
    <xf numFmtId="0" fontId="1" fillId="17" borderId="2" xfId="0" applyFont="1" applyFill="1" applyBorder="1" applyAlignment="1">
      <alignment vertical="center" wrapText="1"/>
    </xf>
    <xf numFmtId="0" fontId="1" fillId="13" borderId="4" xfId="0" applyFont="1" applyFill="1" applyBorder="1" applyAlignment="1">
      <alignment horizontal="center" vertical="center"/>
    </xf>
    <xf numFmtId="0" fontId="0" fillId="13" borderId="4" xfId="0" applyFill="1" applyBorder="1" applyAlignment="1">
      <alignment vertical="top"/>
    </xf>
    <xf numFmtId="0" fontId="1" fillId="13" borderId="1" xfId="0" applyFont="1" applyFill="1" applyBorder="1" applyAlignment="1">
      <alignment horizontal="center" wrapText="1"/>
    </xf>
    <xf numFmtId="0" fontId="1" fillId="14" borderId="4" xfId="0" applyFont="1" applyFill="1" applyBorder="1" applyAlignment="1">
      <alignment horizontal="left" vertical="center" wrapText="1"/>
    </xf>
    <xf numFmtId="49" fontId="1" fillId="14" borderId="3" xfId="0" applyNumberFormat="1" applyFont="1" applyFill="1" applyBorder="1" applyAlignment="1">
      <alignment horizontal="center" vertical="center" wrapText="1"/>
    </xf>
    <xf numFmtId="0" fontId="2" fillId="13" borderId="3" xfId="0" applyFont="1" applyFill="1" applyBorder="1" applyAlignment="1">
      <alignment wrapText="1"/>
    </xf>
    <xf numFmtId="0" fontId="2" fillId="13" borderId="4" xfId="0" applyFont="1" applyFill="1" applyBorder="1" applyAlignment="1">
      <alignment wrapText="1"/>
    </xf>
    <xf numFmtId="0" fontId="0" fillId="13" borderId="4" xfId="0" applyFill="1" applyBorder="1" applyAlignment="1">
      <alignment horizontal="center" wrapText="1"/>
    </xf>
    <xf numFmtId="0" fontId="0" fillId="19" borderId="4" xfId="0" applyFill="1" applyBorder="1" applyAlignment="1">
      <alignment wrapText="1"/>
    </xf>
    <xf numFmtId="0" fontId="0" fillId="7" borderId="4" xfId="0" applyFill="1" applyBorder="1" applyAlignment="1">
      <alignment wrapText="1"/>
    </xf>
    <xf numFmtId="0" fontId="4" fillId="7" borderId="4" xfId="0" applyFont="1" applyFill="1" applyBorder="1" applyAlignment="1">
      <alignment wrapText="1"/>
    </xf>
    <xf numFmtId="0" fontId="1" fillId="14" borderId="7" xfId="0" applyFont="1" applyFill="1" applyBorder="1" applyAlignment="1">
      <alignment horizontal="left" vertical="center" wrapText="1"/>
    </xf>
    <xf numFmtId="0" fontId="1" fillId="14" borderId="9" xfId="0" applyFont="1" applyFill="1" applyBorder="1" applyAlignment="1">
      <alignment horizontal="center" vertical="center" wrapText="1"/>
    </xf>
    <xf numFmtId="0" fontId="1" fillId="13" borderId="1" xfId="0" applyFont="1" applyFill="1" applyBorder="1" applyAlignment="1">
      <alignment vertical="center" wrapText="1"/>
    </xf>
    <xf numFmtId="0" fontId="1" fillId="13" borderId="11" xfId="0" applyFont="1" applyFill="1" applyBorder="1" applyAlignment="1">
      <alignment vertical="center" wrapText="1"/>
    </xf>
    <xf numFmtId="0" fontId="1" fillId="13" borderId="8" xfId="0" applyFont="1" applyFill="1" applyBorder="1" applyAlignment="1">
      <alignment vertical="center" wrapText="1"/>
    </xf>
    <xf numFmtId="0" fontId="1" fillId="13" borderId="0" xfId="0" applyFont="1" applyFill="1" applyAlignment="1">
      <alignment wrapText="1"/>
    </xf>
    <xf numFmtId="0" fontId="1" fillId="13" borderId="0" xfId="0" applyFont="1" applyFill="1" applyAlignment="1">
      <alignment horizontal="center" wrapText="1"/>
    </xf>
    <xf numFmtId="0" fontId="8" fillId="13" borderId="4" xfId="0" applyFont="1" applyFill="1" applyBorder="1" applyAlignment="1">
      <alignment wrapText="1"/>
    </xf>
    <xf numFmtId="0" fontId="1" fillId="13" borderId="4" xfId="0" applyFont="1" applyFill="1" applyBorder="1" applyAlignment="1">
      <alignment horizontal="center" wrapText="1"/>
    </xf>
    <xf numFmtId="0" fontId="62" fillId="13" borderId="4" xfId="0" applyFont="1" applyFill="1" applyBorder="1" applyAlignment="1">
      <alignment wrapText="1"/>
    </xf>
    <xf numFmtId="0" fontId="62" fillId="13" borderId="4" xfId="0" applyFont="1" applyFill="1" applyBorder="1" applyAlignment="1">
      <alignment vertical="center" wrapText="1"/>
    </xf>
    <xf numFmtId="0" fontId="1" fillId="13" borderId="10" xfId="0" applyFont="1" applyFill="1" applyBorder="1" applyAlignment="1">
      <alignment horizontal="center" wrapText="1"/>
    </xf>
    <xf numFmtId="0" fontId="62" fillId="13" borderId="10" xfId="0" applyFont="1" applyFill="1" applyBorder="1" applyAlignment="1">
      <alignment wrapText="1"/>
    </xf>
    <xf numFmtId="0" fontId="1" fillId="13" borderId="14" xfId="0" applyFont="1" applyFill="1" applyBorder="1" applyAlignment="1">
      <alignment wrapText="1"/>
    </xf>
    <xf numFmtId="0" fontId="10" fillId="10" borderId="0" xfId="0" applyFont="1" applyFill="1" applyAlignment="1">
      <alignment horizontal="left" wrapText="1"/>
    </xf>
    <xf numFmtId="0" fontId="62" fillId="13" borderId="0" xfId="0" applyFont="1" applyFill="1" applyAlignment="1">
      <alignment wrapText="1"/>
    </xf>
    <xf numFmtId="0" fontId="1" fillId="13" borderId="2" xfId="0" applyFont="1" applyFill="1" applyBorder="1" applyAlignment="1">
      <alignment vertical="center" wrapText="1"/>
    </xf>
    <xf numFmtId="0" fontId="1" fillId="13" borderId="3" xfId="0" applyFont="1" applyFill="1" applyBorder="1" applyAlignment="1">
      <alignment vertical="center" wrapText="1"/>
    </xf>
    <xf numFmtId="0" fontId="59" fillId="10" borderId="0" xfId="0" applyFont="1" applyFill="1" applyAlignment="1">
      <alignment horizontal="left" wrapText="1"/>
    </xf>
    <xf numFmtId="0" fontId="2" fillId="13" borderId="0" xfId="0" applyFont="1" applyFill="1" applyAlignment="1">
      <alignment wrapText="1"/>
    </xf>
    <xf numFmtId="0" fontId="0" fillId="10" borderId="5" xfId="0" applyFill="1" applyBorder="1"/>
    <xf numFmtId="0" fontId="1" fillId="10" borderId="3" xfId="0" applyFont="1" applyFill="1" applyBorder="1" applyAlignment="1">
      <alignment wrapText="1"/>
    </xf>
    <xf numFmtId="0" fontId="1" fillId="10" borderId="3" xfId="0" applyFont="1" applyFill="1" applyBorder="1" applyAlignment="1">
      <alignment horizontal="right" wrapText="1"/>
    </xf>
    <xf numFmtId="0" fontId="0" fillId="10" borderId="3" xfId="0" applyFill="1" applyBorder="1" applyAlignment="1">
      <alignment wrapText="1"/>
    </xf>
    <xf numFmtId="0" fontId="61" fillId="13" borderId="4" xfId="0" applyFont="1" applyFill="1" applyBorder="1" applyAlignment="1">
      <alignment vertical="center" wrapText="1"/>
    </xf>
    <xf numFmtId="0" fontId="0" fillId="14" borderId="0" xfId="0" applyFill="1" applyAlignment="1">
      <alignment vertical="center"/>
    </xf>
    <xf numFmtId="0" fontId="1" fillId="14" borderId="11" xfId="0" applyFont="1" applyFill="1" applyBorder="1" applyAlignment="1">
      <alignment horizontal="left" vertical="center"/>
    </xf>
    <xf numFmtId="0" fontId="1" fillId="14" borderId="5" xfId="0" applyFont="1" applyFill="1" applyBorder="1" applyAlignment="1">
      <alignment horizontal="left" vertical="center"/>
    </xf>
    <xf numFmtId="0" fontId="17" fillId="14" borderId="8" xfId="0" applyFont="1" applyFill="1" applyBorder="1" applyAlignment="1">
      <alignment horizontal="center" vertical="center" wrapText="1"/>
    </xf>
    <xf numFmtId="0" fontId="1" fillId="14" borderId="5" xfId="0" applyFont="1" applyFill="1" applyBorder="1" applyAlignment="1">
      <alignment horizontal="center" vertical="center" wrapText="1"/>
    </xf>
    <xf numFmtId="0" fontId="1" fillId="14" borderId="11" xfId="0" applyFont="1" applyFill="1" applyBorder="1" applyAlignment="1">
      <alignment horizontal="center" vertical="center"/>
    </xf>
    <xf numFmtId="0" fontId="16" fillId="10" borderId="9" xfId="0" applyFont="1" applyFill="1" applyBorder="1" applyAlignment="1">
      <alignment horizontal="left" vertical="center" wrapText="1"/>
    </xf>
    <xf numFmtId="0" fontId="1" fillId="13" borderId="10" xfId="0" applyFont="1" applyFill="1" applyBorder="1" applyAlignment="1">
      <alignment horizontal="center" vertical="center"/>
    </xf>
    <xf numFmtId="0" fontId="1" fillId="13" borderId="10" xfId="0" applyFont="1" applyFill="1" applyBorder="1" applyAlignment="1">
      <alignment horizontal="center" vertical="center" wrapText="1"/>
    </xf>
    <xf numFmtId="0" fontId="25" fillId="17" borderId="3" xfId="0" applyFont="1" applyFill="1" applyBorder="1" applyAlignment="1">
      <alignment vertical="center" wrapText="1"/>
    </xf>
    <xf numFmtId="0" fontId="27" fillId="0" borderId="2" xfId="0" applyFont="1" applyBorder="1" applyAlignment="1">
      <alignment vertical="center" wrapText="1"/>
    </xf>
    <xf numFmtId="0" fontId="3" fillId="13" borderId="12" xfId="0" applyFont="1" applyFill="1" applyBorder="1" applyAlignment="1">
      <alignment vertical="center" wrapText="1"/>
    </xf>
    <xf numFmtId="0" fontId="21" fillId="17" borderId="1" xfId="0" applyFont="1" applyFill="1" applyBorder="1" applyAlignment="1">
      <alignment vertical="center" wrapText="1"/>
    </xf>
    <xf numFmtId="0" fontId="61" fillId="17" borderId="3" xfId="0" applyFont="1" applyFill="1" applyBorder="1" applyAlignment="1">
      <alignment vertical="center" wrapText="1"/>
    </xf>
    <xf numFmtId="0" fontId="2" fillId="17" borderId="4" xfId="0" applyFont="1" applyFill="1" applyBorder="1" applyAlignment="1">
      <alignment vertical="center" wrapText="1"/>
    </xf>
    <xf numFmtId="0" fontId="1" fillId="17" borderId="4" xfId="0" applyFont="1" applyFill="1" applyBorder="1" applyAlignment="1">
      <alignment vertical="center" wrapText="1"/>
    </xf>
    <xf numFmtId="0" fontId="23" fillId="0" borderId="16" xfId="0" applyFont="1" applyBorder="1" applyAlignment="1">
      <alignment vertical="center" wrapText="1"/>
    </xf>
    <xf numFmtId="0" fontId="24" fillId="0" borderId="16" xfId="0" applyFont="1" applyBorder="1" applyAlignment="1">
      <alignment vertical="center" wrapText="1"/>
    </xf>
    <xf numFmtId="0" fontId="24" fillId="0" borderId="16" xfId="0" applyFont="1" applyBorder="1" applyAlignment="1">
      <alignment horizontal="left" vertical="center" wrapText="1"/>
    </xf>
    <xf numFmtId="0" fontId="24" fillId="25" borderId="16" xfId="0" applyFont="1" applyFill="1" applyBorder="1" applyAlignment="1">
      <alignment vertical="center" wrapText="1"/>
    </xf>
    <xf numFmtId="0" fontId="24" fillId="0" borderId="4" xfId="0" applyFont="1" applyBorder="1" applyAlignment="1">
      <alignment vertical="center" wrapText="1"/>
    </xf>
    <xf numFmtId="0" fontId="24" fillId="0" borderId="4" xfId="0" applyFont="1" applyBorder="1" applyAlignment="1">
      <alignment horizontal="left" vertical="center" wrapText="1"/>
    </xf>
    <xf numFmtId="0" fontId="3" fillId="13" borderId="4" xfId="0" applyFont="1" applyFill="1" applyBorder="1" applyAlignment="1">
      <alignment vertical="center" wrapText="1"/>
    </xf>
    <xf numFmtId="0" fontId="0" fillId="25" borderId="4" xfId="0" applyFill="1" applyBorder="1" applyAlignment="1">
      <alignment vertical="center" wrapText="1"/>
    </xf>
    <xf numFmtId="0" fontId="27" fillId="24" borderId="0" xfId="0" applyFont="1" applyFill="1" applyAlignment="1">
      <alignment vertical="center" wrapText="1"/>
    </xf>
    <xf numFmtId="0" fontId="3" fillId="17" borderId="1" xfId="0" applyFont="1" applyFill="1" applyBorder="1" applyAlignment="1">
      <alignment vertical="center" wrapText="1"/>
    </xf>
    <xf numFmtId="0" fontId="3" fillId="17" borderId="4" xfId="0" applyFont="1" applyFill="1" applyBorder="1" applyAlignment="1">
      <alignment vertical="center" wrapText="1"/>
    </xf>
    <xf numFmtId="0" fontId="1" fillId="17" borderId="10" xfId="0" applyFont="1" applyFill="1" applyBorder="1" applyAlignment="1">
      <alignment vertical="center" wrapText="1"/>
    </xf>
    <xf numFmtId="0" fontId="1" fillId="17" borderId="2" xfId="0" applyFont="1" applyFill="1" applyBorder="1" applyAlignment="1">
      <alignment horizontal="left" vertical="center" wrapText="1"/>
    </xf>
    <xf numFmtId="49" fontId="0" fillId="17" borderId="4" xfId="0" applyNumberFormat="1" applyFill="1" applyBorder="1" applyAlignment="1">
      <alignment vertical="center" wrapText="1"/>
    </xf>
    <xf numFmtId="0" fontId="0" fillId="17" borderId="0" xfId="0" applyFill="1" applyAlignment="1">
      <alignment vertical="center" wrapText="1"/>
    </xf>
    <xf numFmtId="0" fontId="18" fillId="10" borderId="0" xfId="0" applyFont="1" applyFill="1" applyAlignment="1">
      <alignment horizontal="left" vertical="center" wrapText="1"/>
    </xf>
    <xf numFmtId="0" fontId="8" fillId="22" borderId="4" xfId="0" applyFont="1" applyFill="1" applyBorder="1" applyAlignment="1">
      <alignment horizontal="center" vertical="center" wrapText="1"/>
    </xf>
    <xf numFmtId="0" fontId="21" fillId="17" borderId="4" xfId="0" applyFont="1" applyFill="1" applyBorder="1" applyAlignment="1">
      <alignment vertical="center" wrapText="1"/>
    </xf>
    <xf numFmtId="0" fontId="36" fillId="17" borderId="0" xfId="0" applyFont="1" applyFill="1" applyAlignment="1">
      <alignment vertical="center"/>
    </xf>
    <xf numFmtId="0" fontId="21" fillId="17" borderId="0" xfId="0" applyFont="1" applyFill="1" applyAlignment="1">
      <alignment vertical="center"/>
    </xf>
    <xf numFmtId="49" fontId="0" fillId="25" borderId="4" xfId="0" applyNumberFormat="1" applyFill="1" applyBorder="1" applyAlignment="1">
      <alignment vertical="center" wrapText="1"/>
    </xf>
    <xf numFmtId="0" fontId="0" fillId="17" borderId="2" xfId="0" applyFill="1" applyBorder="1" applyAlignment="1">
      <alignment vertical="center" wrapText="1"/>
    </xf>
    <xf numFmtId="0" fontId="0" fillId="17" borderId="2" xfId="0" applyFill="1" applyBorder="1" applyAlignment="1">
      <alignment horizontal="left" vertical="center" wrapText="1"/>
    </xf>
    <xf numFmtId="0" fontId="1" fillId="17" borderId="2" xfId="0" applyFont="1" applyFill="1" applyBorder="1" applyAlignment="1">
      <alignment horizontal="center" vertical="center" wrapText="1"/>
    </xf>
    <xf numFmtId="0" fontId="59" fillId="17" borderId="4" xfId="0" applyFont="1" applyFill="1" applyBorder="1" applyAlignment="1">
      <alignment vertical="center" wrapText="1"/>
    </xf>
    <xf numFmtId="0" fontId="61" fillId="17" borderId="4" xfId="0" applyFont="1" applyFill="1" applyBorder="1" applyAlignment="1">
      <alignment vertical="center" wrapText="1"/>
    </xf>
    <xf numFmtId="0" fontId="10" fillId="17" borderId="4" xfId="0" applyFont="1" applyFill="1" applyBorder="1" applyAlignment="1">
      <alignment vertical="center" wrapText="1"/>
    </xf>
    <xf numFmtId="0" fontId="11" fillId="0" borderId="4" xfId="0" applyFont="1" applyBorder="1" applyAlignment="1">
      <alignment vertical="center" wrapText="1"/>
    </xf>
    <xf numFmtId="0" fontId="34" fillId="0" borderId="4" xfId="0" applyFont="1" applyBorder="1" applyAlignment="1">
      <alignment vertical="center" wrapText="1"/>
    </xf>
    <xf numFmtId="0" fontId="1" fillId="17" borderId="6" xfId="0" applyFont="1" applyFill="1" applyBorder="1" applyAlignment="1">
      <alignment vertical="center" wrapText="1"/>
    </xf>
    <xf numFmtId="0" fontId="1" fillId="17" borderId="13" xfId="0" applyFont="1" applyFill="1" applyBorder="1" applyAlignment="1">
      <alignment vertical="center" wrapText="1"/>
    </xf>
    <xf numFmtId="0" fontId="1" fillId="17" borderId="4" xfId="0" applyFont="1" applyFill="1" applyBorder="1" applyAlignment="1">
      <alignment horizontal="left" vertical="center" wrapText="1"/>
    </xf>
    <xf numFmtId="0" fontId="0" fillId="25" borderId="4" xfId="0" applyFill="1" applyBorder="1" applyAlignment="1">
      <alignment horizontal="left" vertical="center" wrapText="1"/>
    </xf>
    <xf numFmtId="0" fontId="2" fillId="17" borderId="3" xfId="0" applyFont="1" applyFill="1" applyBorder="1" applyAlignment="1">
      <alignment vertical="center" wrapText="1"/>
    </xf>
    <xf numFmtId="0" fontId="24" fillId="25" borderId="9" xfId="0" applyFont="1" applyFill="1" applyBorder="1" applyAlignment="1">
      <alignment vertical="center" wrapText="1"/>
    </xf>
    <xf numFmtId="0" fontId="24" fillId="0" borderId="9" xfId="0" applyFont="1" applyBorder="1" applyAlignment="1">
      <alignment horizontal="left" vertical="center" wrapText="1"/>
    </xf>
    <xf numFmtId="0" fontId="0" fillId="25" borderId="9" xfId="0" applyFill="1" applyBorder="1" applyAlignment="1">
      <alignment vertical="center" wrapText="1"/>
    </xf>
    <xf numFmtId="0" fontId="25" fillId="17" borderId="4" xfId="0" applyFont="1" applyFill="1" applyBorder="1" applyAlignment="1">
      <alignment vertical="center" wrapText="1"/>
    </xf>
    <xf numFmtId="0" fontId="0" fillId="17" borderId="2" xfId="0" applyFill="1" applyBorder="1" applyAlignment="1">
      <alignment horizontal="left" vertical="center"/>
    </xf>
    <xf numFmtId="0" fontId="0" fillId="17" borderId="2" xfId="0" applyFill="1" applyBorder="1" applyAlignment="1">
      <alignment vertical="center"/>
    </xf>
    <xf numFmtId="49" fontId="61" fillId="17" borderId="4" xfId="0" applyNumberFormat="1" applyFont="1" applyFill="1" applyBorder="1" applyAlignment="1">
      <alignment vertical="center" wrapText="1"/>
    </xf>
    <xf numFmtId="0" fontId="22" fillId="13" borderId="1" xfId="0" applyFont="1" applyFill="1" applyBorder="1" applyAlignment="1">
      <alignment vertical="center" wrapText="1"/>
    </xf>
    <xf numFmtId="0" fontId="0" fillId="13" borderId="2" xfId="0" applyFill="1" applyBorder="1" applyAlignment="1">
      <alignment vertical="center" wrapText="1"/>
    </xf>
    <xf numFmtId="49" fontId="2" fillId="13" borderId="2" xfId="0" applyNumberFormat="1" applyFont="1" applyFill="1" applyBorder="1" applyAlignment="1">
      <alignment vertical="center" wrapText="1"/>
    </xf>
    <xf numFmtId="0" fontId="2" fillId="13" borderId="2" xfId="0" applyFont="1" applyFill="1" applyBorder="1" applyAlignment="1">
      <alignment vertical="center" wrapText="1"/>
    </xf>
    <xf numFmtId="0" fontId="0" fillId="13" borderId="2" xfId="0" applyFill="1" applyBorder="1" applyAlignment="1">
      <alignment horizontal="center" vertical="center" wrapText="1"/>
    </xf>
    <xf numFmtId="0" fontId="27" fillId="24" borderId="4" xfId="0" applyFont="1" applyFill="1" applyBorder="1" applyAlignment="1">
      <alignment horizontal="left" wrapText="1"/>
    </xf>
    <xf numFmtId="0" fontId="48" fillId="24" borderId="4" xfId="0" applyFont="1" applyFill="1" applyBorder="1" applyAlignment="1">
      <alignment horizontal="left" wrapText="1"/>
    </xf>
    <xf numFmtId="0" fontId="27" fillId="9" borderId="4" xfId="0" applyFont="1" applyFill="1" applyBorder="1" applyAlignment="1">
      <alignment wrapText="1"/>
    </xf>
    <xf numFmtId="0" fontId="1" fillId="17" borderId="1" xfId="0" applyFont="1" applyFill="1" applyBorder="1" applyAlignment="1">
      <alignment wrapText="1"/>
    </xf>
    <xf numFmtId="0" fontId="21" fillId="17" borderId="1" xfId="0" applyFont="1" applyFill="1" applyBorder="1" applyAlignment="1">
      <alignment wrapText="1"/>
    </xf>
    <xf numFmtId="0" fontId="0" fillId="17" borderId="2" xfId="0" applyFill="1" applyBorder="1" applyAlignment="1">
      <alignment wrapText="1"/>
    </xf>
    <xf numFmtId="0" fontId="59" fillId="17" borderId="4" xfId="0" applyFont="1" applyFill="1" applyBorder="1" applyAlignment="1">
      <alignment wrapText="1"/>
    </xf>
    <xf numFmtId="0" fontId="0" fillId="17" borderId="4" xfId="0" applyFill="1" applyBorder="1" applyAlignment="1">
      <alignment horizontal="center" wrapText="1"/>
    </xf>
    <xf numFmtId="0" fontId="61" fillId="17" borderId="4" xfId="0" applyFont="1" applyFill="1" applyBorder="1" applyAlignment="1">
      <alignment wrapText="1"/>
    </xf>
    <xf numFmtId="0" fontId="10" fillId="17" borderId="4" xfId="0" applyFont="1" applyFill="1" applyBorder="1" applyAlignment="1">
      <alignment wrapText="1"/>
    </xf>
    <xf numFmtId="0" fontId="11" fillId="0" borderId="4" xfId="0" applyFont="1" applyBorder="1" applyAlignment="1">
      <alignment wrapText="1"/>
    </xf>
    <xf numFmtId="0" fontId="1" fillId="17" borderId="10" xfId="0" applyFont="1" applyFill="1" applyBorder="1" applyAlignment="1">
      <alignment wrapText="1"/>
    </xf>
    <xf numFmtId="0" fontId="1" fillId="17" borderId="2" xfId="0" applyFont="1" applyFill="1" applyBorder="1" applyAlignment="1">
      <alignment wrapText="1"/>
    </xf>
    <xf numFmtId="0" fontId="2" fillId="17" borderId="4" xfId="0" applyFont="1" applyFill="1" applyBorder="1" applyAlignment="1">
      <alignment wrapText="1"/>
    </xf>
    <xf numFmtId="0" fontId="34" fillId="0" borderId="4" xfId="0" applyFont="1" applyBorder="1" applyAlignment="1">
      <alignment wrapText="1"/>
    </xf>
    <xf numFmtId="0" fontId="1" fillId="17" borderId="6" xfId="0" applyFont="1" applyFill="1" applyBorder="1" applyAlignment="1">
      <alignment wrapText="1"/>
    </xf>
    <xf numFmtId="0" fontId="1" fillId="17" borderId="13" xfId="0" applyFont="1" applyFill="1" applyBorder="1" applyAlignment="1">
      <alignment wrapText="1"/>
    </xf>
    <xf numFmtId="49" fontId="0" fillId="17" borderId="4" xfId="0" applyNumberFormat="1" applyFill="1" applyBorder="1" applyAlignment="1">
      <alignment wrapText="1"/>
    </xf>
    <xf numFmtId="0" fontId="10" fillId="0" borderId="4" xfId="0" applyFont="1" applyBorder="1" applyAlignment="1">
      <alignment horizontal="left" wrapText="1"/>
    </xf>
    <xf numFmtId="0" fontId="0" fillId="25" borderId="4" xfId="0" applyFill="1" applyBorder="1" applyAlignment="1">
      <alignment horizontal="left" wrapText="1"/>
    </xf>
    <xf numFmtId="0" fontId="2" fillId="17" borderId="3" xfId="0" applyFont="1" applyFill="1" applyBorder="1" applyAlignment="1">
      <alignment wrapText="1"/>
    </xf>
    <xf numFmtId="0" fontId="24" fillId="0" borderId="4" xfId="0" applyFont="1" applyBorder="1" applyAlignment="1">
      <alignment wrapText="1"/>
    </xf>
    <xf numFmtId="0" fontId="24" fillId="25" borderId="9" xfId="0" applyFont="1" applyFill="1" applyBorder="1" applyAlignment="1">
      <alignment wrapText="1"/>
    </xf>
    <xf numFmtId="0" fontId="0" fillId="25" borderId="9" xfId="0" applyFill="1" applyBorder="1" applyAlignment="1">
      <alignment wrapText="1"/>
    </xf>
    <xf numFmtId="0" fontId="25" fillId="17" borderId="4" xfId="0" applyFont="1" applyFill="1" applyBorder="1" applyAlignment="1">
      <alignment wrapText="1"/>
    </xf>
    <xf numFmtId="0" fontId="0" fillId="17" borderId="2" xfId="0" applyFill="1" applyBorder="1"/>
    <xf numFmtId="0" fontId="0" fillId="17" borderId="3" xfId="0" applyFill="1" applyBorder="1"/>
    <xf numFmtId="49" fontId="61" fillId="17" borderId="4" xfId="0" applyNumberFormat="1" applyFont="1" applyFill="1" applyBorder="1" applyAlignment="1">
      <alignment wrapText="1"/>
    </xf>
    <xf numFmtId="0" fontId="0" fillId="17" borderId="0" xfId="0" applyFill="1" applyAlignment="1">
      <alignment wrapText="1"/>
    </xf>
    <xf numFmtId="0" fontId="13" fillId="13" borderId="1" xfId="0" applyFont="1" applyFill="1" applyBorder="1" applyAlignment="1">
      <alignment vertical="center"/>
    </xf>
    <xf numFmtId="0" fontId="2" fillId="38" borderId="4" xfId="0" applyFont="1" applyFill="1" applyBorder="1"/>
    <xf numFmtId="0" fontId="7" fillId="10" borderId="4" xfId="0" applyFont="1" applyFill="1" applyBorder="1"/>
    <xf numFmtId="0" fontId="62" fillId="17" borderId="4" xfId="0" applyFont="1" applyFill="1" applyBorder="1" applyAlignment="1">
      <alignment vertical="center"/>
    </xf>
    <xf numFmtId="0" fontId="59" fillId="17" borderId="4" xfId="0" applyFont="1" applyFill="1" applyBorder="1" applyAlignment="1">
      <alignment vertical="center"/>
    </xf>
    <xf numFmtId="0" fontId="1" fillId="25" borderId="9" xfId="0" applyFont="1" applyFill="1" applyBorder="1" applyAlignment="1">
      <alignment horizontal="center" vertical="center"/>
    </xf>
    <xf numFmtId="0" fontId="1" fillId="17" borderId="9" xfId="0" applyFont="1" applyFill="1" applyBorder="1" applyAlignment="1">
      <alignment vertical="center"/>
    </xf>
    <xf numFmtId="0" fontId="0" fillId="17" borderId="9" xfId="0" applyFill="1" applyBorder="1" applyAlignment="1">
      <alignment vertical="center" wrapText="1"/>
    </xf>
    <xf numFmtId="0" fontId="1" fillId="17" borderId="9" xfId="0" applyFont="1" applyFill="1" applyBorder="1" applyAlignment="1">
      <alignment vertical="center" wrapText="1"/>
    </xf>
    <xf numFmtId="0" fontId="59" fillId="17" borderId="9" xfId="0" applyFont="1" applyFill="1" applyBorder="1" applyAlignment="1">
      <alignment vertical="center" wrapText="1"/>
    </xf>
    <xf numFmtId="0" fontId="18" fillId="6" borderId="14" xfId="0" applyFont="1" applyFill="1" applyBorder="1" applyAlignment="1">
      <alignment horizontal="center" vertical="center" wrapText="1"/>
    </xf>
    <xf numFmtId="0" fontId="1" fillId="17" borderId="1" xfId="0" applyFont="1" applyFill="1" applyBorder="1" applyAlignment="1">
      <alignment horizontal="center" vertical="center"/>
    </xf>
    <xf numFmtId="0" fontId="25" fillId="17" borderId="3" xfId="0" applyFont="1" applyFill="1" applyBorder="1" applyAlignment="1">
      <alignment wrapText="1"/>
    </xf>
    <xf numFmtId="0" fontId="3" fillId="13" borderId="12" xfId="0" applyFont="1" applyFill="1" applyBorder="1" applyAlignment="1">
      <alignment wrapText="1"/>
    </xf>
    <xf numFmtId="0" fontId="61" fillId="17" borderId="3" xfId="0" applyFont="1" applyFill="1" applyBorder="1" applyAlignment="1">
      <alignment wrapText="1"/>
    </xf>
    <xf numFmtId="0" fontId="0" fillId="17" borderId="3" xfId="0" applyFill="1" applyBorder="1" applyAlignment="1">
      <alignment horizontal="center"/>
    </xf>
    <xf numFmtId="0" fontId="21" fillId="17" borderId="2" xfId="0" applyFont="1" applyFill="1" applyBorder="1" applyAlignment="1">
      <alignment horizontal="right" wrapText="1"/>
    </xf>
    <xf numFmtId="0" fontId="23" fillId="0" borderId="16" xfId="0" applyFont="1" applyBorder="1" applyAlignment="1">
      <alignment wrapText="1"/>
    </xf>
    <xf numFmtId="0" fontId="24" fillId="0" borderId="16" xfId="0" applyFont="1" applyBorder="1" applyAlignment="1">
      <alignment wrapText="1"/>
    </xf>
    <xf numFmtId="0" fontId="24" fillId="25" borderId="16" xfId="0" applyFont="1" applyFill="1" applyBorder="1" applyAlignment="1">
      <alignment wrapText="1"/>
    </xf>
    <xf numFmtId="0" fontId="3" fillId="13" borderId="4" xfId="0" applyFont="1" applyFill="1" applyBorder="1" applyAlignment="1">
      <alignment wrapText="1"/>
    </xf>
    <xf numFmtId="0" fontId="3" fillId="17" borderId="1" xfId="0" applyFont="1" applyFill="1" applyBorder="1" applyAlignment="1">
      <alignment wrapText="1"/>
    </xf>
    <xf numFmtId="0" fontId="3" fillId="17" borderId="4" xfId="0" applyFont="1" applyFill="1" applyBorder="1" applyAlignment="1">
      <alignment wrapText="1"/>
    </xf>
    <xf numFmtId="0" fontId="18" fillId="10" borderId="0" xfId="0" applyFont="1" applyFill="1" applyAlignment="1">
      <alignment horizontal="left" wrapText="1"/>
    </xf>
    <xf numFmtId="0" fontId="8" fillId="22" borderId="4" xfId="0" applyFont="1" applyFill="1" applyBorder="1" applyAlignment="1">
      <alignment horizontal="center" wrapText="1"/>
    </xf>
    <xf numFmtId="0" fontId="21" fillId="17" borderId="4" xfId="0" applyFont="1" applyFill="1" applyBorder="1" applyAlignment="1">
      <alignment wrapText="1"/>
    </xf>
    <xf numFmtId="0" fontId="36" fillId="17" borderId="0" xfId="0" applyFont="1" applyFill="1"/>
    <xf numFmtId="0" fontId="21" fillId="17" borderId="0" xfId="0" applyFont="1" applyFill="1"/>
    <xf numFmtId="49" fontId="0" fillId="25" borderId="4" xfId="0" applyNumberFormat="1" applyFill="1" applyBorder="1" applyAlignment="1">
      <alignment wrapText="1"/>
    </xf>
    <xf numFmtId="0" fontId="1" fillId="13" borderId="0" xfId="0" applyFont="1" applyFill="1" applyAlignment="1">
      <alignment horizontal="center"/>
    </xf>
    <xf numFmtId="0" fontId="1" fillId="13" borderId="0" xfId="0" applyFont="1" applyFill="1" applyAlignment="1">
      <alignment vertical="center"/>
    </xf>
    <xf numFmtId="0" fontId="1" fillId="13" borderId="5" xfId="0" applyFont="1" applyFill="1" applyBorder="1" applyAlignment="1">
      <alignment vertical="center"/>
    </xf>
    <xf numFmtId="0" fontId="1" fillId="13" borderId="8" xfId="0" applyFont="1" applyFill="1" applyBorder="1" applyAlignment="1">
      <alignment horizontal="center" vertical="center"/>
    </xf>
    <xf numFmtId="0" fontId="1" fillId="13" borderId="11" xfId="0" applyFont="1" applyFill="1" applyBorder="1" applyAlignment="1">
      <alignment vertical="center"/>
    </xf>
    <xf numFmtId="0" fontId="1" fillId="13" borderId="8" xfId="0" applyFont="1" applyFill="1" applyBorder="1" applyAlignment="1">
      <alignment vertical="center"/>
    </xf>
    <xf numFmtId="0" fontId="1" fillId="2" borderId="0" xfId="0" applyFont="1" applyFill="1" applyAlignment="1">
      <alignment vertical="center"/>
    </xf>
    <xf numFmtId="0" fontId="1" fillId="2" borderId="5" xfId="0" applyFont="1" applyFill="1" applyBorder="1" applyAlignment="1">
      <alignment vertical="center"/>
    </xf>
    <xf numFmtId="0" fontId="1" fillId="2" borderId="8" xfId="0" applyFont="1" applyFill="1" applyBorder="1" applyAlignment="1">
      <alignment vertical="center"/>
    </xf>
    <xf numFmtId="0" fontId="1" fillId="2" borderId="11" xfId="0" applyFont="1" applyFill="1" applyBorder="1" applyAlignment="1">
      <alignment vertical="center"/>
    </xf>
    <xf numFmtId="0" fontId="1" fillId="13" borderId="0" xfId="0" applyFont="1" applyFill="1"/>
    <xf numFmtId="0" fontId="9" fillId="0" borderId="0" xfId="0" applyFont="1" applyAlignment="1">
      <alignment wrapText="1"/>
    </xf>
    <xf numFmtId="0" fontId="3" fillId="14" borderId="0" xfId="0" applyFont="1" applyFill="1" applyAlignment="1">
      <alignment wrapText="1"/>
    </xf>
    <xf numFmtId="0" fontId="3" fillId="7" borderId="1" xfId="0" applyFont="1" applyFill="1" applyBorder="1" applyAlignment="1">
      <alignment horizontal="center" wrapText="1"/>
    </xf>
    <xf numFmtId="0" fontId="3" fillId="7" borderId="3" xfId="0" applyFont="1" applyFill="1" applyBorder="1" applyAlignment="1">
      <alignment horizontal="center" wrapText="1"/>
    </xf>
    <xf numFmtId="0" fontId="3" fillId="21" borderId="4" xfId="0" applyFont="1" applyFill="1" applyBorder="1" applyAlignment="1">
      <alignment horizontal="center" wrapText="1"/>
    </xf>
    <xf numFmtId="0" fontId="3" fillId="21" borderId="1" xfId="0" applyFont="1" applyFill="1" applyBorder="1" applyAlignment="1">
      <alignment horizontal="center" wrapText="1"/>
    </xf>
    <xf numFmtId="0" fontId="3" fillId="3" borderId="1" xfId="0" applyFont="1" applyFill="1" applyBorder="1" applyAlignment="1">
      <alignment horizontal="center" wrapText="1"/>
    </xf>
    <xf numFmtId="0" fontId="3" fillId="3" borderId="3" xfId="0" applyFont="1" applyFill="1" applyBorder="1" applyAlignment="1">
      <alignment horizontal="center" wrapText="1"/>
    </xf>
    <xf numFmtId="0" fontId="1" fillId="17" borderId="1" xfId="0" applyFont="1" applyFill="1" applyBorder="1" applyAlignment="1">
      <alignment horizontal="center" wrapText="1"/>
    </xf>
    <xf numFmtId="0" fontId="1" fillId="17" borderId="2" xfId="0" applyFont="1" applyFill="1" applyBorder="1" applyAlignment="1">
      <alignment horizontal="center" wrapText="1"/>
    </xf>
    <xf numFmtId="0" fontId="1" fillId="17" borderId="3" xfId="0" applyFont="1" applyFill="1" applyBorder="1" applyAlignment="1">
      <alignment horizontal="center" wrapText="1"/>
    </xf>
    <xf numFmtId="0" fontId="1" fillId="20" borderId="1" xfId="0" applyFont="1" applyFill="1" applyBorder="1" applyAlignment="1">
      <alignment wrapText="1"/>
    </xf>
    <xf numFmtId="0" fontId="1" fillId="20" borderId="2" xfId="0" applyFont="1" applyFill="1" applyBorder="1" applyAlignment="1">
      <alignment wrapText="1"/>
    </xf>
    <xf numFmtId="0" fontId="1" fillId="20" borderId="4" xfId="0" applyFont="1" applyFill="1" applyBorder="1" applyAlignment="1">
      <alignment wrapText="1"/>
    </xf>
    <xf numFmtId="0" fontId="0" fillId="20" borderId="9" xfId="0" applyFill="1" applyBorder="1" applyAlignment="1">
      <alignment horizontal="center" vertical="center" wrapText="1"/>
    </xf>
    <xf numFmtId="0" fontId="0" fillId="20" borderId="11" xfId="0" applyFill="1" applyBorder="1" applyAlignment="1">
      <alignment horizontal="center" vertical="center" wrapText="1"/>
    </xf>
    <xf numFmtId="0" fontId="0" fillId="20" borderId="10" xfId="0" applyFill="1" applyBorder="1" applyAlignment="1">
      <alignment horizontal="center" vertical="center" wrapText="1"/>
    </xf>
    <xf numFmtId="0" fontId="0" fillId="0" borderId="6" xfId="0" applyBorder="1" applyAlignment="1">
      <alignment vertical="center" wrapText="1"/>
    </xf>
    <xf numFmtId="0" fontId="0" fillId="0" borderId="13"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0" xfId="0" applyAlignment="1">
      <alignment vertical="center" wrapText="1"/>
    </xf>
    <xf numFmtId="0" fontId="0" fillId="0" borderId="5" xfId="0" applyBorder="1" applyAlignment="1">
      <alignment vertical="center" wrapText="1"/>
    </xf>
    <xf numFmtId="0" fontId="0" fillId="0" borderId="14" xfId="0" applyBorder="1" applyAlignment="1">
      <alignment vertical="center" wrapText="1"/>
    </xf>
    <xf numFmtId="0" fontId="0" fillId="0" borderId="15" xfId="0" applyBorder="1" applyAlignment="1">
      <alignment vertical="center" wrapText="1"/>
    </xf>
    <xf numFmtId="0" fontId="0" fillId="0" borderId="16" xfId="0" applyBorder="1" applyAlignment="1">
      <alignment vertical="center" wrapText="1"/>
    </xf>
    <xf numFmtId="0" fontId="8" fillId="25" borderId="9" xfId="0" applyFont="1" applyFill="1" applyBorder="1" applyAlignment="1">
      <alignment horizontal="center" wrapText="1"/>
    </xf>
    <xf numFmtId="0" fontId="8" fillId="25" borderId="11" xfId="0" applyFont="1" applyFill="1" applyBorder="1" applyAlignment="1">
      <alignment horizontal="center" wrapText="1"/>
    </xf>
    <xf numFmtId="0" fontId="8" fillId="25" borderId="10" xfId="0" applyFont="1" applyFill="1" applyBorder="1" applyAlignment="1">
      <alignment horizontal="center" wrapText="1"/>
    </xf>
    <xf numFmtId="0" fontId="2" fillId="23" borderId="9" xfId="0" applyFont="1" applyFill="1" applyBorder="1" applyAlignment="1">
      <alignment horizontal="center" vertical="center" wrapText="1"/>
    </xf>
    <xf numFmtId="0" fontId="2" fillId="23" borderId="11" xfId="0" applyFont="1" applyFill="1" applyBorder="1" applyAlignment="1">
      <alignment horizontal="center" vertical="center" wrapText="1"/>
    </xf>
    <xf numFmtId="0" fontId="2" fillId="23" borderId="10" xfId="0" applyFont="1" applyFill="1" applyBorder="1" applyAlignment="1">
      <alignment horizontal="center" vertical="center" wrapText="1"/>
    </xf>
    <xf numFmtId="0" fontId="7" fillId="3" borderId="9" xfId="0" applyFont="1" applyFill="1" applyBorder="1" applyAlignment="1">
      <alignment horizontal="center" vertical="center" wrapText="1"/>
    </xf>
    <xf numFmtId="0" fontId="7" fillId="3" borderId="11" xfId="0" applyFont="1" applyFill="1" applyBorder="1" applyAlignment="1">
      <alignment horizontal="center" vertical="center" wrapText="1"/>
    </xf>
    <xf numFmtId="0" fontId="7" fillId="3" borderId="10" xfId="0" applyFont="1" applyFill="1" applyBorder="1" applyAlignment="1">
      <alignment horizontal="center" vertical="center" wrapText="1"/>
    </xf>
    <xf numFmtId="0" fontId="0" fillId="0" borderId="4" xfId="0" applyBorder="1" applyAlignment="1">
      <alignment vertical="center" wrapText="1"/>
    </xf>
    <xf numFmtId="0" fontId="33" fillId="14" borderId="4" xfId="0" applyFont="1" applyFill="1" applyBorder="1" applyAlignment="1">
      <alignment horizontal="center" vertical="center" wrapText="1"/>
    </xf>
    <xf numFmtId="0" fontId="33" fillId="14" borderId="4" xfId="0" applyFont="1" applyFill="1" applyBorder="1" applyAlignment="1">
      <alignment horizontal="center"/>
    </xf>
    <xf numFmtId="0" fontId="26" fillId="25" borderId="4" xfId="0" applyFont="1" applyFill="1" applyBorder="1" applyAlignment="1">
      <alignment horizontal="center" vertical="center" wrapText="1"/>
    </xf>
    <xf numFmtId="0" fontId="1" fillId="13" borderId="1" xfId="0" applyFont="1" applyFill="1" applyBorder="1" applyAlignment="1">
      <alignment horizontal="center" vertical="center" wrapText="1"/>
    </xf>
    <xf numFmtId="0" fontId="1" fillId="13" borderId="2" xfId="0" applyFont="1" applyFill="1" applyBorder="1" applyAlignment="1">
      <alignment horizontal="center" vertical="center" wrapText="1"/>
    </xf>
    <xf numFmtId="0" fontId="1" fillId="13" borderId="3" xfId="0" applyFont="1" applyFill="1" applyBorder="1" applyAlignment="1">
      <alignment horizontal="center" vertical="center" wrapText="1"/>
    </xf>
    <xf numFmtId="0" fontId="35" fillId="25" borderId="1" xfId="0" applyFont="1" applyFill="1" applyBorder="1" applyAlignment="1">
      <alignment horizontal="center" vertical="center" wrapText="1"/>
    </xf>
    <xf numFmtId="0" fontId="35" fillId="25" borderId="3" xfId="0" applyFont="1" applyFill="1" applyBorder="1" applyAlignment="1">
      <alignment horizontal="center" vertical="center" wrapText="1"/>
    </xf>
    <xf numFmtId="0" fontId="1" fillId="10" borderId="9" xfId="0" applyFont="1" applyFill="1" applyBorder="1" applyAlignment="1">
      <alignment vertical="center" wrapText="1"/>
    </xf>
    <xf numFmtId="0" fontId="1" fillId="10" borderId="11" xfId="0" applyFont="1" applyFill="1" applyBorder="1" applyAlignment="1">
      <alignment vertical="center" wrapText="1"/>
    </xf>
    <xf numFmtId="0" fontId="1" fillId="10" borderId="4" xfId="0" applyFont="1" applyFill="1" applyBorder="1" applyAlignment="1">
      <alignment vertical="center" wrapText="1"/>
    </xf>
    <xf numFmtId="0" fontId="7" fillId="0" borderId="0" xfId="0" applyFont="1" applyAlignment="1">
      <alignment horizontal="center" vertical="center" wrapText="1"/>
    </xf>
    <xf numFmtId="0" fontId="34" fillId="0" borderId="0" xfId="0" applyFont="1" applyAlignment="1">
      <alignment horizontal="center" vertical="center" wrapText="1"/>
    </xf>
    <xf numFmtId="0" fontId="2" fillId="0" borderId="9" xfId="0" applyFont="1" applyBorder="1" applyAlignment="1">
      <alignment horizontal="left" vertical="center" wrapText="1"/>
    </xf>
    <xf numFmtId="0" fontId="2" fillId="0" borderId="11" xfId="0" applyFont="1" applyBorder="1"/>
    <xf numFmtId="0" fontId="4" fillId="0" borderId="10" xfId="0" applyFont="1" applyBorder="1"/>
    <xf numFmtId="0" fontId="5" fillId="10" borderId="0" xfId="0" applyFont="1" applyFill="1" applyAlignment="1">
      <alignment vertical="center" wrapText="1"/>
    </xf>
    <xf numFmtId="0" fontId="5" fillId="10" borderId="0" xfId="0" applyFont="1" applyFill="1"/>
    <xf numFmtId="0" fontId="1" fillId="10" borderId="0" xfId="0" applyFont="1" applyFill="1" applyAlignment="1">
      <alignment vertical="center" wrapText="1"/>
    </xf>
    <xf numFmtId="0" fontId="2" fillId="0" borderId="4" xfId="0" applyFont="1" applyBorder="1" applyAlignment="1">
      <alignment horizontal="left" vertical="center" wrapText="1"/>
    </xf>
    <xf numFmtId="0" fontId="2" fillId="0" borderId="4" xfId="0" applyFont="1" applyBorder="1"/>
    <xf numFmtId="0" fontId="1" fillId="10" borderId="0" xfId="0" applyFont="1" applyFill="1"/>
    <xf numFmtId="0" fontId="8" fillId="25" borderId="0" xfId="0" applyFont="1" applyFill="1" applyAlignment="1">
      <alignment horizontal="center" vertical="center" wrapText="1"/>
    </xf>
    <xf numFmtId="0" fontId="8" fillId="25" borderId="0" xfId="0" applyFont="1" applyFill="1" applyAlignment="1">
      <alignment horizontal="center"/>
    </xf>
    <xf numFmtId="0" fontId="1" fillId="10" borderId="10" xfId="0" applyFont="1" applyFill="1" applyBorder="1" applyAlignment="1">
      <alignment vertical="center" wrapText="1"/>
    </xf>
    <xf numFmtId="0" fontId="10" fillId="0" borderId="4" xfId="0" applyFont="1" applyBorder="1" applyAlignment="1">
      <alignment horizontal="left" vertical="center" wrapText="1"/>
    </xf>
    <xf numFmtId="0" fontId="0" fillId="0" borderId="4" xfId="0" applyBorder="1"/>
    <xf numFmtId="0" fontId="0" fillId="10" borderId="0" xfId="0" applyFill="1" applyAlignment="1">
      <alignment vertical="center" wrapText="1"/>
    </xf>
    <xf numFmtId="0" fontId="0" fillId="10" borderId="0" xfId="0" applyFill="1"/>
    <xf numFmtId="0" fontId="0" fillId="10" borderId="9" xfId="0" applyFill="1" applyBorder="1" applyAlignment="1">
      <alignment vertical="center" wrapText="1"/>
    </xf>
    <xf numFmtId="0" fontId="0" fillId="10" borderId="11" xfId="0" applyFill="1" applyBorder="1"/>
    <xf numFmtId="0" fontId="0" fillId="10" borderId="4" xfId="0" applyFill="1" applyBorder="1"/>
    <xf numFmtId="0" fontId="2" fillId="10" borderId="0" xfId="0" applyFont="1" applyFill="1" applyAlignment="1">
      <alignment vertical="center" wrapText="1"/>
    </xf>
    <xf numFmtId="0" fontId="1" fillId="13" borderId="1" xfId="0" applyFont="1" applyFill="1" applyBorder="1" applyAlignment="1">
      <alignment horizontal="center"/>
    </xf>
    <xf numFmtId="0" fontId="1" fillId="13" borderId="2" xfId="0" applyFont="1" applyFill="1" applyBorder="1" applyAlignment="1">
      <alignment horizontal="center"/>
    </xf>
    <xf numFmtId="0" fontId="1" fillId="13" borderId="3" xfId="0" applyFont="1" applyFill="1" applyBorder="1" applyAlignment="1">
      <alignment horizontal="center"/>
    </xf>
    <xf numFmtId="0" fontId="19" fillId="13" borderId="0" xfId="0" applyFont="1" applyFill="1" applyAlignment="1">
      <alignment vertical="center"/>
    </xf>
    <xf numFmtId="0" fontId="19" fillId="13" borderId="5" xfId="0" applyFont="1" applyFill="1" applyBorder="1" applyAlignment="1">
      <alignment vertical="center"/>
    </xf>
    <xf numFmtId="0" fontId="19" fillId="13" borderId="8" xfId="0" applyFont="1" applyFill="1" applyBorder="1" applyAlignment="1">
      <alignment horizontal="center" vertical="center"/>
    </xf>
    <xf numFmtId="0" fontId="19" fillId="13" borderId="11" xfId="0" applyFont="1" applyFill="1" applyBorder="1" applyAlignment="1">
      <alignment vertical="center"/>
    </xf>
    <xf numFmtId="0" fontId="19" fillId="13" borderId="8" xfId="0" applyFont="1" applyFill="1" applyBorder="1" applyAlignment="1">
      <alignment vertical="center"/>
    </xf>
    <xf numFmtId="0" fontId="8" fillId="13" borderId="0" xfId="0" applyFont="1" applyFill="1" applyAlignment="1">
      <alignment vertical="center"/>
    </xf>
    <xf numFmtId="0" fontId="8" fillId="13" borderId="5" xfId="0" applyFont="1" applyFill="1" applyBorder="1" applyAlignment="1">
      <alignment vertical="center"/>
    </xf>
    <xf numFmtId="0" fontId="8" fillId="13" borderId="8" xfId="0" applyFont="1" applyFill="1" applyBorder="1" applyAlignment="1">
      <alignment horizontal="center" vertical="center"/>
    </xf>
    <xf numFmtId="0" fontId="8" fillId="13" borderId="11" xfId="0" applyFont="1" applyFill="1" applyBorder="1" applyAlignment="1">
      <alignment vertical="center"/>
    </xf>
    <xf numFmtId="0" fontId="8" fillId="13" borderId="8" xfId="0" applyFont="1" applyFill="1" applyBorder="1" applyAlignment="1">
      <alignment vertical="center"/>
    </xf>
    <xf numFmtId="0" fontId="53" fillId="10" borderId="0" xfId="0" applyFont="1" applyFill="1" applyAlignment="1">
      <alignment vertical="center" wrapText="1"/>
    </xf>
    <xf numFmtId="0" fontId="53" fillId="10" borderId="0" xfId="0" applyFont="1" applyFill="1"/>
    <xf numFmtId="0" fontId="53" fillId="10" borderId="0" xfId="0" applyFont="1" applyFill="1" applyAlignment="1">
      <alignment vertical="center"/>
    </xf>
    <xf numFmtId="0" fontId="1" fillId="2" borderId="4" xfId="0" applyFont="1" applyFill="1" applyBorder="1" applyAlignment="1">
      <alignment vertical="center"/>
    </xf>
    <xf numFmtId="0" fontId="1" fillId="13" borderId="1" xfId="0" applyFont="1" applyFill="1" applyBorder="1" applyAlignment="1">
      <alignment horizontal="left" vertical="center" wrapText="1"/>
    </xf>
    <xf numFmtId="0" fontId="1" fillId="13" borderId="2" xfId="0" applyFont="1" applyFill="1" applyBorder="1" applyAlignment="1">
      <alignment horizontal="left" vertical="center" wrapText="1"/>
    </xf>
    <xf numFmtId="0" fontId="1" fillId="13" borderId="3" xfId="0" applyFont="1" applyFill="1" applyBorder="1" applyAlignment="1">
      <alignment horizontal="left" vertical="center" wrapText="1"/>
    </xf>
    <xf numFmtId="0" fontId="1" fillId="13" borderId="0" xfId="0" applyFont="1" applyFill="1" applyAlignment="1">
      <alignment horizontal="left" vertical="center" wrapText="1"/>
    </xf>
    <xf numFmtId="0" fontId="1" fillId="13" borderId="11" xfId="0" applyFont="1" applyFill="1" applyBorder="1" applyAlignment="1">
      <alignment horizontal="left" vertical="center" wrapText="1"/>
    </xf>
    <xf numFmtId="0" fontId="1" fillId="13" borderId="8" xfId="0" applyFont="1" applyFill="1" applyBorder="1" applyAlignment="1">
      <alignment horizontal="left" vertical="center" wrapText="1"/>
    </xf>
    <xf numFmtId="0" fontId="2" fillId="0" borderId="0" xfId="0" applyFont="1" applyAlignment="1">
      <alignment horizontal="center" vertical="center" wrapText="1"/>
    </xf>
    <xf numFmtId="0" fontId="1" fillId="0" borderId="0" xfId="0" applyFont="1" applyAlignment="1">
      <alignment horizontal="center" vertical="center" wrapText="1"/>
    </xf>
    <xf numFmtId="0" fontId="13" fillId="10" borderId="9" xfId="0" applyFont="1" applyFill="1" applyBorder="1" applyAlignment="1">
      <alignment vertical="center" wrapText="1"/>
    </xf>
    <xf numFmtId="0" fontId="13" fillId="10" borderId="11" xfId="0" applyFont="1" applyFill="1" applyBorder="1" applyAlignment="1">
      <alignment vertical="center" wrapText="1"/>
    </xf>
    <xf numFmtId="0" fontId="13" fillId="10" borderId="4" xfId="0" applyFont="1" applyFill="1" applyBorder="1" applyAlignment="1">
      <alignment vertical="center" wrapText="1"/>
    </xf>
    <xf numFmtId="0" fontId="62" fillId="25" borderId="0" xfId="0" applyFont="1" applyFill="1" applyAlignment="1">
      <alignment vertical="center" wrapText="1"/>
    </xf>
    <xf numFmtId="0" fontId="8" fillId="25" borderId="0" xfId="0" applyFont="1" applyFill="1" applyAlignment="1">
      <alignment vertical="center" wrapText="1"/>
    </xf>
    <xf numFmtId="0" fontId="7" fillId="0" borderId="0" xfId="0" applyFont="1" applyAlignment="1">
      <alignment horizontal="left" vertical="center" wrapText="1"/>
    </xf>
    <xf numFmtId="0" fontId="8" fillId="13" borderId="1" xfId="0" applyFont="1" applyFill="1" applyBorder="1" applyAlignment="1">
      <alignment horizontal="left" vertical="center" wrapText="1"/>
    </xf>
    <xf numFmtId="0" fontId="8" fillId="13" borderId="2" xfId="0" applyFont="1" applyFill="1" applyBorder="1" applyAlignment="1">
      <alignment horizontal="left" vertical="center" wrapText="1"/>
    </xf>
    <xf numFmtId="0" fontId="8" fillId="13" borderId="3" xfId="0" applyFont="1" applyFill="1" applyBorder="1" applyAlignment="1">
      <alignment horizontal="left" vertical="center" wrapText="1"/>
    </xf>
    <xf numFmtId="0" fontId="13" fillId="10" borderId="0" xfId="0" applyFont="1" applyFill="1" applyAlignment="1">
      <alignment vertical="center" wrapText="1"/>
    </xf>
    <xf numFmtId="0" fontId="2" fillId="0" borderId="10" xfId="0" applyFont="1" applyBorder="1" applyAlignment="1">
      <alignment horizontal="left" vertical="center" wrapText="1"/>
    </xf>
    <xf numFmtId="0" fontId="2" fillId="0" borderId="4" xfId="0" applyFont="1" applyBorder="1" applyAlignment="1">
      <alignment vertical="center"/>
    </xf>
    <xf numFmtId="0" fontId="13" fillId="13" borderId="4" xfId="0" applyFont="1" applyFill="1" applyBorder="1" applyAlignment="1">
      <alignment horizontal="left" vertical="center" wrapText="1"/>
    </xf>
    <xf numFmtId="0" fontId="1" fillId="0" borderId="4" xfId="0" applyFont="1" applyBorder="1"/>
    <xf numFmtId="0" fontId="1" fillId="0" borderId="4" xfId="0" applyFont="1" applyBorder="1" applyAlignment="1">
      <alignment vertical="center"/>
    </xf>
    <xf numFmtId="0" fontId="13" fillId="10" borderId="12" xfId="0" applyFont="1" applyFill="1" applyBorder="1" applyAlignment="1">
      <alignment vertical="center" wrapText="1"/>
    </xf>
    <xf numFmtId="0" fontId="0" fillId="0" borderId="0" xfId="0" applyAlignment="1">
      <alignment horizontal="center" vertical="center" wrapText="1"/>
    </xf>
    <xf numFmtId="0" fontId="0" fillId="0" borderId="0" xfId="0"/>
    <xf numFmtId="0" fontId="13" fillId="10" borderId="0" xfId="0" applyFont="1" applyFill="1" applyAlignment="1">
      <alignment vertical="center"/>
    </xf>
    <xf numFmtId="0" fontId="0" fillId="0" borderId="0" xfId="0" applyAlignment="1">
      <alignment vertical="center"/>
    </xf>
    <xf numFmtId="0" fontId="8" fillId="25" borderId="0" xfId="0" applyFont="1" applyFill="1" applyAlignment="1">
      <alignment horizontal="center" vertical="center"/>
    </xf>
    <xf numFmtId="0" fontId="1" fillId="13" borderId="4" xfId="0" applyFont="1" applyFill="1" applyBorder="1" applyAlignment="1">
      <alignment horizontal="left" wrapText="1"/>
    </xf>
    <xf numFmtId="0" fontId="18" fillId="13" borderId="4" xfId="0" applyFont="1" applyFill="1" applyBorder="1" applyAlignment="1">
      <alignment horizontal="left" wrapText="1"/>
    </xf>
    <xf numFmtId="0" fontId="19" fillId="8" borderId="4" xfId="0" applyFont="1" applyFill="1" applyBorder="1"/>
    <xf numFmtId="0" fontId="0" fillId="8" borderId="4" xfId="0" applyFill="1" applyBorder="1"/>
    <xf numFmtId="0" fontId="2" fillId="8" borderId="4" xfId="0" applyFont="1" applyFill="1" applyBorder="1"/>
    <xf numFmtId="0" fontId="0" fillId="0" borderId="1" xfId="0" applyBorder="1"/>
    <xf numFmtId="0" fontId="0" fillId="0" borderId="2" xfId="0" applyBorder="1"/>
    <xf numFmtId="0" fontId="0" fillId="0" borderId="3" xfId="0" applyBorder="1"/>
    <xf numFmtId="0" fontId="2" fillId="8" borderId="0" xfId="0" applyFont="1" applyFill="1"/>
    <xf numFmtId="0" fontId="1" fillId="8" borderId="4" xfId="0" applyFont="1" applyFill="1" applyBorder="1" applyAlignment="1">
      <alignment vertical="center" wrapText="1"/>
    </xf>
    <xf numFmtId="0" fontId="1" fillId="8" borderId="4" xfId="0" applyFont="1" applyFill="1" applyBorder="1"/>
    <xf numFmtId="0" fontId="1" fillId="13" borderId="4" xfId="0" applyFont="1" applyFill="1" applyBorder="1" applyAlignment="1">
      <alignment vertical="center"/>
    </xf>
    <xf numFmtId="0" fontId="0" fillId="8" borderId="4" xfId="0" applyFill="1" applyBorder="1" applyAlignment="1">
      <alignment wrapText="1"/>
    </xf>
    <xf numFmtId="0" fontId="0" fillId="10" borderId="1" xfId="0" applyFill="1" applyBorder="1" applyAlignment="1">
      <alignment vertical="center"/>
    </xf>
    <xf numFmtId="0" fontId="0" fillId="10" borderId="3" xfId="0" applyFill="1" applyBorder="1"/>
    <xf numFmtId="0" fontId="0" fillId="10" borderId="2" xfId="0" applyFill="1" applyBorder="1"/>
    <xf numFmtId="0" fontId="0" fillId="13" borderId="0" xfId="0" applyFill="1" applyAlignment="1">
      <alignment vertical="center"/>
    </xf>
    <xf numFmtId="0" fontId="0" fillId="13" borderId="0" xfId="0" applyFill="1" applyAlignment="1">
      <alignment vertical="center" wrapText="1"/>
    </xf>
    <xf numFmtId="0" fontId="0" fillId="13" borderId="4" xfId="0" applyFill="1" applyBorder="1" applyAlignment="1">
      <alignment vertical="center" wrapText="1"/>
    </xf>
    <xf numFmtId="0" fontId="0" fillId="13" borderId="4" xfId="0" applyFill="1" applyBorder="1"/>
    <xf numFmtId="0" fontId="0" fillId="8" borderId="0" xfId="0" applyFill="1"/>
    <xf numFmtId="0" fontId="1" fillId="2" borderId="5" xfId="0" applyFont="1" applyFill="1" applyBorder="1" applyAlignment="1">
      <alignment vertical="top"/>
    </xf>
    <xf numFmtId="0" fontId="1" fillId="2" borderId="11" xfId="0" applyFont="1" applyFill="1" applyBorder="1" applyAlignment="1">
      <alignment vertical="top"/>
    </xf>
    <xf numFmtId="0" fontId="1" fillId="0" borderId="0" xfId="0" applyFont="1"/>
    <xf numFmtId="0" fontId="2" fillId="2" borderId="0" xfId="0" applyFont="1" applyFill="1"/>
    <xf numFmtId="0" fontId="1" fillId="2" borderId="4" xfId="0" applyFont="1" applyFill="1" applyBorder="1" applyAlignment="1">
      <alignment vertical="top"/>
    </xf>
    <xf numFmtId="0" fontId="1" fillId="17" borderId="0" xfId="0" applyFont="1" applyFill="1" applyAlignment="1">
      <alignment vertical="center"/>
    </xf>
    <xf numFmtId="0" fontId="1" fillId="17" borderId="0" xfId="0" applyFont="1" applyFill="1" applyAlignment="1">
      <alignment vertical="top"/>
    </xf>
    <xf numFmtId="0" fontId="1" fillId="17" borderId="4" xfId="0" applyFont="1" applyFill="1" applyBorder="1" applyAlignment="1">
      <alignment vertical="center"/>
    </xf>
    <xf numFmtId="0" fontId="0" fillId="17" borderId="4" xfId="0" applyFill="1" applyBorder="1" applyAlignment="1">
      <alignment vertical="center"/>
    </xf>
    <xf numFmtId="0" fontId="0" fillId="17" borderId="4" xfId="0" applyFill="1" applyBorder="1" applyAlignment="1">
      <alignment vertical="top"/>
    </xf>
    <xf numFmtId="0" fontId="1" fillId="17" borderId="1" xfId="0" applyFont="1" applyFill="1" applyBorder="1" applyAlignment="1">
      <alignment vertical="center"/>
    </xf>
    <xf numFmtId="0" fontId="0" fillId="17" borderId="3" xfId="0" applyFill="1" applyBorder="1" applyAlignment="1">
      <alignment vertical="center"/>
    </xf>
    <xf numFmtId="0" fontId="1" fillId="17" borderId="4" xfId="0" applyFont="1" applyFill="1" applyBorder="1"/>
    <xf numFmtId="0" fontId="1" fillId="17" borderId="0" xfId="0" applyFont="1" applyFill="1"/>
    <xf numFmtId="0" fontId="1" fillId="2" borderId="0" xfId="0" applyFont="1" applyFill="1"/>
    <xf numFmtId="0" fontId="1" fillId="13" borderId="4" xfId="0" applyFont="1" applyFill="1" applyBorder="1" applyAlignment="1">
      <alignment vertical="top"/>
    </xf>
    <xf numFmtId="0" fontId="1" fillId="17" borderId="1" xfId="0" applyFont="1" applyFill="1" applyBorder="1" applyAlignment="1">
      <alignment vertical="center" wrapText="1"/>
    </xf>
    <xf numFmtId="0" fontId="1" fillId="17" borderId="2" xfId="0" applyFont="1" applyFill="1" applyBorder="1" applyAlignment="1">
      <alignment vertical="center" wrapText="1"/>
    </xf>
    <xf numFmtId="0" fontId="1" fillId="17" borderId="3" xfId="0" applyFont="1" applyFill="1" applyBorder="1" applyAlignment="1">
      <alignment vertical="center" wrapText="1"/>
    </xf>
    <xf numFmtId="0" fontId="1" fillId="13" borderId="1" xfId="0" applyFont="1" applyFill="1" applyBorder="1" applyAlignment="1">
      <alignment horizontal="center" wrapText="1"/>
    </xf>
    <xf numFmtId="0" fontId="1" fillId="13" borderId="2" xfId="0" applyFont="1" applyFill="1" applyBorder="1" applyAlignment="1">
      <alignment horizontal="center" wrapText="1"/>
    </xf>
    <xf numFmtId="0" fontId="1" fillId="13" borderId="3" xfId="0" applyFont="1" applyFill="1" applyBorder="1" applyAlignment="1">
      <alignment horizontal="center" wrapText="1"/>
    </xf>
    <xf numFmtId="0" fontId="1" fillId="13" borderId="0" xfId="0" applyFont="1" applyFill="1" applyAlignment="1">
      <alignment vertical="center" wrapText="1"/>
    </xf>
    <xf numFmtId="0" fontId="1" fillId="13" borderId="5" xfId="0" applyFont="1" applyFill="1" applyBorder="1" applyAlignment="1">
      <alignment vertical="center" wrapText="1"/>
    </xf>
    <xf numFmtId="0" fontId="1" fillId="13" borderId="8" xfId="0" applyFont="1" applyFill="1" applyBorder="1" applyAlignment="1">
      <alignment horizontal="center" vertical="center" wrapText="1"/>
    </xf>
    <xf numFmtId="0" fontId="1" fillId="13" borderId="11" xfId="0" applyFont="1" applyFill="1" applyBorder="1" applyAlignment="1">
      <alignment vertical="center" wrapText="1"/>
    </xf>
    <xf numFmtId="0" fontId="1" fillId="13" borderId="8" xfId="0" applyFont="1" applyFill="1" applyBorder="1" applyAlignment="1">
      <alignment vertical="center" wrapText="1"/>
    </xf>
    <xf numFmtId="0" fontId="1" fillId="13" borderId="0" xfId="0" applyFont="1" applyFill="1" applyAlignment="1">
      <alignment wrapText="1"/>
    </xf>
    <xf numFmtId="0" fontId="1" fillId="13" borderId="0" xfId="0" applyFont="1" applyFill="1" applyAlignment="1">
      <alignment horizontal="center" wrapText="1"/>
    </xf>
    <xf numFmtId="0" fontId="1" fillId="13" borderId="4" xfId="0" applyFont="1" applyFill="1" applyBorder="1" applyAlignment="1">
      <alignment vertical="center" wrapText="1"/>
    </xf>
    <xf numFmtId="0" fontId="1" fillId="13" borderId="4" xfId="0" applyFont="1" applyFill="1" applyBorder="1" applyAlignment="1">
      <alignment horizontal="center" vertical="center" wrapText="1"/>
    </xf>
    <xf numFmtId="0" fontId="1" fillId="13" borderId="4" xfId="0" applyFont="1" applyFill="1" applyBorder="1" applyAlignment="1">
      <alignment wrapText="1"/>
    </xf>
    <xf numFmtId="0" fontId="13" fillId="13" borderId="0" xfId="0" applyFont="1" applyFill="1" applyAlignment="1">
      <alignment wrapText="1"/>
    </xf>
    <xf numFmtId="0" fontId="13" fillId="13" borderId="0" xfId="0" applyFont="1" applyFill="1" applyAlignment="1">
      <alignment horizontal="center" wrapText="1"/>
    </xf>
    <xf numFmtId="0" fontId="1" fillId="13" borderId="1" xfId="0" applyFont="1" applyFill="1" applyBorder="1" applyAlignment="1">
      <alignment wrapText="1"/>
    </xf>
    <xf numFmtId="0" fontId="1" fillId="13" borderId="2" xfId="0" applyFont="1" applyFill="1" applyBorder="1" applyAlignment="1">
      <alignment wrapText="1"/>
    </xf>
    <xf numFmtId="0" fontId="1" fillId="13" borderId="3" xfId="0" applyFont="1" applyFill="1" applyBorder="1" applyAlignment="1">
      <alignment wrapText="1"/>
    </xf>
    <xf numFmtId="0" fontId="1" fillId="13" borderId="1" xfId="0" applyFont="1" applyFill="1" applyBorder="1" applyAlignment="1">
      <alignment vertical="center" wrapText="1"/>
    </xf>
    <xf numFmtId="0" fontId="1" fillId="13" borderId="2" xfId="0" applyFont="1" applyFill="1" applyBorder="1" applyAlignment="1">
      <alignment vertical="center" wrapText="1"/>
    </xf>
    <xf numFmtId="0" fontId="1" fillId="13" borderId="3" xfId="0" applyFont="1" applyFill="1" applyBorder="1" applyAlignment="1">
      <alignment vertical="center" wrapText="1"/>
    </xf>
    <xf numFmtId="0" fontId="1" fillId="27" borderId="1" xfId="0" applyFont="1" applyFill="1" applyBorder="1" applyAlignment="1">
      <alignment wrapText="1"/>
    </xf>
    <xf numFmtId="0" fontId="1" fillId="27" borderId="2" xfId="0" applyFont="1" applyFill="1" applyBorder="1" applyAlignment="1">
      <alignment wrapText="1"/>
    </xf>
    <xf numFmtId="0" fontId="1" fillId="27" borderId="3" xfId="0" applyFont="1" applyFill="1" applyBorder="1" applyAlignment="1">
      <alignment wrapText="1"/>
    </xf>
    <xf numFmtId="0" fontId="1" fillId="13" borderId="4" xfId="0" applyFont="1" applyFill="1" applyBorder="1" applyAlignment="1">
      <alignment horizontal="center" wrapText="1"/>
    </xf>
    <xf numFmtId="0" fontId="13" fillId="13" borderId="4" xfId="0" applyFont="1" applyFill="1" applyBorder="1" applyAlignment="1">
      <alignment wrapText="1"/>
    </xf>
    <xf numFmtId="0" fontId="13" fillId="13" borderId="4" xfId="0" applyFont="1" applyFill="1" applyBorder="1" applyAlignment="1">
      <alignment horizontal="center" wrapText="1"/>
    </xf>
    <xf numFmtId="0" fontId="10" fillId="0" borderId="4" xfId="0" applyFont="1" applyBorder="1"/>
    <xf numFmtId="0" fontId="1" fillId="2" borderId="5" xfId="0" applyFont="1" applyFill="1" applyBorder="1" applyAlignment="1">
      <alignment horizontal="left" vertical="center"/>
    </xf>
    <xf numFmtId="0" fontId="22" fillId="31" borderId="1" xfId="0" applyFont="1" applyFill="1" applyBorder="1" applyAlignment="1">
      <alignment vertical="center"/>
    </xf>
    <xf numFmtId="0" fontId="22" fillId="31" borderId="2" xfId="0" applyFont="1" applyFill="1" applyBorder="1" applyAlignment="1">
      <alignment vertical="center"/>
    </xf>
    <xf numFmtId="0" fontId="22" fillId="31" borderId="2" xfId="0" applyFont="1" applyFill="1" applyBorder="1" applyAlignment="1">
      <alignment horizontal="left" vertical="center"/>
    </xf>
    <xf numFmtId="0" fontId="22" fillId="31" borderId="3" xfId="0" applyFont="1" applyFill="1" applyBorder="1" applyAlignment="1">
      <alignment vertical="center"/>
    </xf>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2" xfId="0" applyFont="1" applyFill="1" applyBorder="1" applyAlignment="1">
      <alignment horizontal="left" vertical="center"/>
    </xf>
    <xf numFmtId="0" fontId="3" fillId="2" borderId="3" xfId="0" applyFont="1" applyFill="1" applyBorder="1" applyAlignment="1">
      <alignment vertical="center"/>
    </xf>
    <xf numFmtId="0" fontId="3" fillId="13" borderId="0" xfId="0" applyFont="1" applyFill="1" applyAlignment="1">
      <alignment vertical="center"/>
    </xf>
    <xf numFmtId="0" fontId="3" fillId="13" borderId="0" xfId="0" applyFont="1" applyFill="1" applyAlignment="1">
      <alignment horizontal="left" vertical="center"/>
    </xf>
    <xf numFmtId="0" fontId="3" fillId="13" borderId="0" xfId="0" applyFont="1" applyFill="1" applyAlignment="1">
      <alignment horizontal="center"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center" vertical="center"/>
    </xf>
    <xf numFmtId="0" fontId="1" fillId="41" borderId="1" xfId="0" applyFont="1" applyFill="1" applyBorder="1" applyAlignment="1">
      <alignment horizontal="left" vertical="center" wrapText="1"/>
    </xf>
    <xf numFmtId="0" fontId="1" fillId="41" borderId="2" xfId="0" applyFont="1" applyFill="1" applyBorder="1" applyAlignment="1">
      <alignment horizontal="left" vertical="center" wrapText="1"/>
    </xf>
    <xf numFmtId="0" fontId="1" fillId="41" borderId="3" xfId="0" applyFont="1" applyFill="1" applyBorder="1" applyAlignment="1">
      <alignment horizontal="left" vertical="center" wrapText="1"/>
    </xf>
    <xf numFmtId="0" fontId="3" fillId="13" borderId="0" xfId="0" applyFont="1" applyFill="1" applyAlignment="1">
      <alignment vertical="center" wrapText="1"/>
    </xf>
    <xf numFmtId="0" fontId="3" fillId="13" borderId="0" xfId="0" applyFont="1" applyFill="1" applyAlignment="1">
      <alignment horizontal="left" vertical="center" wrapText="1"/>
    </xf>
    <xf numFmtId="0" fontId="3" fillId="13" borderId="0" xfId="0" applyFont="1" applyFill="1" applyAlignment="1">
      <alignment horizontal="center" vertical="center" wrapText="1"/>
    </xf>
    <xf numFmtId="0" fontId="3" fillId="13" borderId="5" xfId="0" applyFont="1" applyFill="1" applyBorder="1" applyAlignment="1">
      <alignment vertical="center" wrapText="1"/>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3" fillId="2" borderId="2" xfId="0" applyFont="1" applyFill="1" applyBorder="1" applyAlignment="1">
      <alignment horizontal="left" vertical="center" wrapText="1"/>
    </xf>
    <xf numFmtId="0" fontId="3" fillId="2" borderId="3" xfId="0" applyFont="1" applyFill="1" applyBorder="1" applyAlignment="1">
      <alignment vertical="center" wrapText="1"/>
    </xf>
    <xf numFmtId="0" fontId="21" fillId="17" borderId="2" xfId="0" applyFont="1" applyFill="1" applyBorder="1" applyAlignment="1">
      <alignment vertical="center" wrapText="1"/>
    </xf>
    <xf numFmtId="0" fontId="25" fillId="17" borderId="2" xfId="0" applyFont="1" applyFill="1" applyBorder="1" applyAlignment="1">
      <alignment vertical="center" wrapText="1"/>
    </xf>
    <xf numFmtId="0" fontId="25" fillId="17" borderId="2" xfId="0" applyFont="1" applyFill="1" applyBorder="1" applyAlignment="1">
      <alignment horizontal="left" vertical="center" wrapText="1"/>
    </xf>
    <xf numFmtId="0" fontId="25" fillId="17" borderId="3" xfId="0" applyFont="1" applyFill="1" applyBorder="1" applyAlignment="1">
      <alignment vertical="center" wrapText="1"/>
    </xf>
    <xf numFmtId="0" fontId="3" fillId="13" borderId="15" xfId="0" applyFont="1" applyFill="1" applyBorder="1" applyAlignment="1">
      <alignment vertical="center" wrapText="1"/>
    </xf>
    <xf numFmtId="0" fontId="3" fillId="13" borderId="15" xfId="0" applyFont="1" applyFill="1" applyBorder="1" applyAlignment="1">
      <alignment horizontal="left" vertical="center" wrapText="1"/>
    </xf>
    <xf numFmtId="49" fontId="3" fillId="13" borderId="15" xfId="0" applyNumberFormat="1" applyFont="1" applyFill="1" applyBorder="1" applyAlignment="1">
      <alignment vertical="center" wrapText="1"/>
    </xf>
    <xf numFmtId="0" fontId="3" fillId="13" borderId="16" xfId="0" applyFont="1" applyFill="1" applyBorder="1" applyAlignment="1">
      <alignment vertical="center" wrapText="1"/>
    </xf>
    <xf numFmtId="0" fontId="25" fillId="17" borderId="1" xfId="0" applyFont="1" applyFill="1" applyBorder="1" applyAlignment="1">
      <alignment vertical="center" wrapText="1"/>
    </xf>
    <xf numFmtId="0" fontId="21" fillId="17" borderId="15" xfId="0" applyFont="1" applyFill="1" applyBorder="1" applyAlignment="1">
      <alignment vertical="center" wrapText="1"/>
    </xf>
    <xf numFmtId="0" fontId="0" fillId="0" borderId="0" xfId="0" applyAlignment="1">
      <alignment horizontal="left" vertical="center"/>
    </xf>
    <xf numFmtId="0" fontId="3" fillId="13" borderId="4" xfId="0" applyFont="1" applyFill="1" applyBorder="1" applyAlignment="1">
      <alignment vertical="center" wrapText="1"/>
    </xf>
    <xf numFmtId="0" fontId="3" fillId="13" borderId="4" xfId="0" applyFont="1" applyFill="1" applyBorder="1" applyAlignment="1">
      <alignment horizontal="left" vertical="center" wrapText="1"/>
    </xf>
    <xf numFmtId="49" fontId="3" fillId="13" borderId="4" xfId="0" applyNumberFormat="1" applyFont="1" applyFill="1" applyBorder="1" applyAlignment="1">
      <alignment vertical="center" wrapText="1"/>
    </xf>
    <xf numFmtId="0" fontId="38" fillId="17" borderId="2" xfId="0" applyFont="1" applyFill="1" applyBorder="1" applyAlignment="1">
      <alignment vertical="center" wrapText="1"/>
    </xf>
    <xf numFmtId="0" fontId="3" fillId="17" borderId="2" xfId="0" applyFont="1" applyFill="1" applyBorder="1" applyAlignment="1">
      <alignment vertical="center" wrapText="1"/>
    </xf>
    <xf numFmtId="0" fontId="3" fillId="17" borderId="4" xfId="0" applyFont="1" applyFill="1" applyBorder="1" applyAlignment="1">
      <alignment horizontal="left" vertical="center" wrapText="1"/>
    </xf>
    <xf numFmtId="0" fontId="3" fillId="17" borderId="4" xfId="0" applyFont="1" applyFill="1" applyBorder="1" applyAlignment="1">
      <alignment vertical="center" wrapText="1"/>
    </xf>
    <xf numFmtId="49" fontId="3" fillId="17" borderId="4" xfId="0" applyNumberFormat="1" applyFont="1" applyFill="1" applyBorder="1" applyAlignment="1">
      <alignment vertical="center" wrapText="1"/>
    </xf>
    <xf numFmtId="0" fontId="1" fillId="17" borderId="2" xfId="0" applyFont="1" applyFill="1" applyBorder="1" applyAlignment="1">
      <alignment horizontal="left" vertical="center" wrapText="1"/>
    </xf>
    <xf numFmtId="0" fontId="1" fillId="25" borderId="1" xfId="0" applyFont="1" applyFill="1" applyBorder="1" applyAlignment="1">
      <alignment vertical="center" wrapText="1"/>
    </xf>
    <xf numFmtId="0" fontId="1" fillId="25" borderId="2" xfId="0" applyFont="1" applyFill="1" applyBorder="1" applyAlignment="1">
      <alignment vertical="center" wrapText="1"/>
    </xf>
    <xf numFmtId="0" fontId="1" fillId="25" borderId="2" xfId="0" applyFont="1" applyFill="1" applyBorder="1" applyAlignment="1">
      <alignment horizontal="left" vertical="center" wrapText="1"/>
    </xf>
    <xf numFmtId="0" fontId="1" fillId="25" borderId="3" xfId="0" applyFont="1" applyFill="1" applyBorder="1" applyAlignment="1">
      <alignment vertical="center" wrapText="1"/>
    </xf>
    <xf numFmtId="0" fontId="1" fillId="9" borderId="0" xfId="0" applyFont="1" applyFill="1" applyAlignment="1">
      <alignment vertical="center" wrapText="1"/>
    </xf>
    <xf numFmtId="0" fontId="1" fillId="9" borderId="0" xfId="0" applyFont="1" applyFill="1" applyAlignment="1">
      <alignment horizontal="left" vertical="center" wrapText="1"/>
    </xf>
    <xf numFmtId="0" fontId="3" fillId="17" borderId="0" xfId="0" applyFont="1" applyFill="1" applyAlignment="1">
      <alignment vertical="center" wrapText="1"/>
    </xf>
    <xf numFmtId="0" fontId="3" fillId="17" borderId="0" xfId="0" applyFont="1" applyFill="1" applyAlignment="1">
      <alignment horizontal="left" vertical="center" wrapText="1"/>
    </xf>
    <xf numFmtId="49" fontId="3" fillId="17" borderId="0" xfId="0" applyNumberFormat="1" applyFont="1" applyFill="1" applyAlignment="1">
      <alignment vertical="center" wrapText="1"/>
    </xf>
    <xf numFmtId="0" fontId="21" fillId="17" borderId="1" xfId="0" applyFont="1" applyFill="1" applyBorder="1" applyAlignment="1">
      <alignment vertical="center"/>
    </xf>
    <xf numFmtId="0" fontId="21" fillId="17" borderId="2" xfId="0" applyFont="1" applyFill="1" applyBorder="1" applyAlignment="1">
      <alignment vertical="center"/>
    </xf>
    <xf numFmtId="0" fontId="21" fillId="17" borderId="2" xfId="0" applyFont="1" applyFill="1" applyBorder="1" applyAlignment="1">
      <alignment horizontal="left" vertical="center"/>
    </xf>
    <xf numFmtId="49" fontId="21" fillId="17" borderId="2" xfId="0" applyNumberFormat="1" applyFont="1" applyFill="1" applyBorder="1" applyAlignment="1">
      <alignment vertical="center"/>
    </xf>
    <xf numFmtId="0" fontId="21" fillId="17" borderId="3" xfId="0" applyFont="1" applyFill="1" applyBorder="1" applyAlignment="1">
      <alignment vertical="center"/>
    </xf>
    <xf numFmtId="0" fontId="1" fillId="0" borderId="0" xfId="0" applyFont="1" applyAlignment="1">
      <alignment vertical="center" wrapText="1"/>
    </xf>
    <xf numFmtId="0" fontId="1" fillId="0" borderId="0" xfId="0" applyFont="1" applyAlignment="1">
      <alignment horizontal="left" vertical="center" wrapText="1"/>
    </xf>
    <xf numFmtId="0" fontId="21" fillId="17" borderId="1" xfId="0" applyFont="1" applyFill="1" applyBorder="1" applyAlignment="1">
      <alignment vertical="center" wrapText="1"/>
    </xf>
    <xf numFmtId="0" fontId="1" fillId="17" borderId="4" xfId="0" applyFont="1" applyFill="1" applyBorder="1" applyAlignment="1">
      <alignment vertical="center" wrapText="1"/>
    </xf>
    <xf numFmtId="0" fontId="1" fillId="17" borderId="4" xfId="0" applyFont="1" applyFill="1" applyBorder="1" applyAlignment="1">
      <alignment horizontal="left" vertical="center"/>
    </xf>
    <xf numFmtId="0" fontId="1" fillId="17" borderId="0" xfId="0" applyFont="1" applyFill="1" applyAlignment="1">
      <alignment vertical="center" wrapText="1"/>
    </xf>
    <xf numFmtId="0" fontId="1" fillId="17" borderId="0" xfId="0" applyFont="1" applyFill="1" applyAlignment="1">
      <alignment horizontal="left" vertical="center"/>
    </xf>
    <xf numFmtId="0" fontId="3" fillId="24" borderId="0" xfId="0" applyFont="1" applyFill="1" applyAlignment="1">
      <alignment vertical="center" wrapText="1"/>
    </xf>
    <xf numFmtId="0" fontId="1" fillId="17" borderId="4" xfId="0" applyFont="1" applyFill="1" applyBorder="1" applyAlignment="1">
      <alignment horizontal="left" vertical="center" wrapText="1"/>
    </xf>
    <xf numFmtId="0" fontId="21" fillId="17" borderId="0" xfId="0" applyFont="1" applyFill="1" applyAlignment="1">
      <alignment vertical="center" wrapText="1"/>
    </xf>
    <xf numFmtId="0" fontId="21" fillId="17" borderId="0" xfId="0" applyFont="1" applyFill="1" applyAlignment="1">
      <alignment horizontal="left" vertical="center" wrapText="1"/>
    </xf>
    <xf numFmtId="0" fontId="37" fillId="17" borderId="0" xfId="0" applyFont="1" applyFill="1" applyAlignment="1">
      <alignment vertical="center" wrapText="1"/>
    </xf>
    <xf numFmtId="0" fontId="21" fillId="17" borderId="8" xfId="0" applyFont="1" applyFill="1" applyBorder="1" applyAlignment="1">
      <alignment vertical="center" wrapText="1"/>
    </xf>
    <xf numFmtId="0" fontId="3" fillId="12" borderId="1" xfId="0" applyFont="1" applyFill="1" applyBorder="1" applyAlignment="1">
      <alignment vertical="center" wrapText="1"/>
    </xf>
    <xf numFmtId="0" fontId="3" fillId="12" borderId="2" xfId="0" applyFont="1" applyFill="1" applyBorder="1" applyAlignment="1">
      <alignment vertical="center" wrapText="1"/>
    </xf>
    <xf numFmtId="0" fontId="3" fillId="12" borderId="2" xfId="0" applyFont="1" applyFill="1" applyBorder="1" applyAlignment="1">
      <alignment horizontal="left" vertical="center" wrapText="1"/>
    </xf>
    <xf numFmtId="0" fontId="3" fillId="12" borderId="4" xfId="0" applyFont="1" applyFill="1" applyBorder="1" applyAlignment="1">
      <alignment vertical="center" wrapText="1"/>
    </xf>
    <xf numFmtId="49" fontId="3" fillId="12" borderId="4" xfId="0" applyNumberFormat="1" applyFont="1" applyFill="1" applyBorder="1" applyAlignment="1">
      <alignment vertical="center" wrapText="1"/>
    </xf>
    <xf numFmtId="0" fontId="3" fillId="13" borderId="2" xfId="0" applyFont="1" applyFill="1" applyBorder="1" applyAlignment="1">
      <alignment vertical="center" wrapText="1"/>
    </xf>
    <xf numFmtId="0" fontId="21" fillId="17" borderId="1" xfId="0" applyFont="1" applyFill="1" applyBorder="1" applyAlignment="1">
      <alignment wrapText="1"/>
    </xf>
    <xf numFmtId="0" fontId="25" fillId="17" borderId="2" xfId="0" applyFont="1" applyFill="1" applyBorder="1" applyAlignment="1">
      <alignment wrapText="1"/>
    </xf>
    <xf numFmtId="0" fontId="1" fillId="17" borderId="4" xfId="0" applyFont="1" applyFill="1" applyBorder="1" applyAlignment="1">
      <alignment wrapText="1"/>
    </xf>
    <xf numFmtId="0" fontId="1" fillId="17" borderId="0" xfId="0" applyFont="1" applyFill="1" applyAlignment="1">
      <alignment wrapText="1"/>
    </xf>
    <xf numFmtId="0" fontId="1" fillId="17" borderId="1" xfId="0" applyFont="1" applyFill="1" applyBorder="1" applyAlignment="1">
      <alignment wrapText="1"/>
    </xf>
    <xf numFmtId="0" fontId="1" fillId="17" borderId="2" xfId="0" applyFont="1" applyFill="1" applyBorder="1" applyAlignment="1">
      <alignment wrapText="1"/>
    </xf>
    <xf numFmtId="0" fontId="1" fillId="17" borderId="3" xfId="0" applyFont="1" applyFill="1" applyBorder="1" applyAlignment="1">
      <alignment wrapText="1"/>
    </xf>
    <xf numFmtId="0" fontId="3" fillId="24" borderId="0" xfId="0" applyFont="1" applyFill="1" applyAlignment="1">
      <alignment wrapText="1"/>
    </xf>
    <xf numFmtId="0" fontId="37" fillId="17" borderId="0" xfId="0" applyFont="1" applyFill="1" applyAlignment="1">
      <alignment wrapText="1"/>
    </xf>
    <xf numFmtId="0" fontId="21" fillId="17" borderId="0" xfId="0" applyFont="1" applyFill="1" applyAlignment="1">
      <alignment wrapText="1"/>
    </xf>
    <xf numFmtId="0" fontId="21" fillId="17" borderId="8" xfId="0" applyFont="1" applyFill="1" applyBorder="1" applyAlignment="1">
      <alignment wrapText="1"/>
    </xf>
    <xf numFmtId="0" fontId="3" fillId="12" borderId="1" xfId="0" applyFont="1" applyFill="1" applyBorder="1" applyAlignment="1">
      <alignment wrapText="1"/>
    </xf>
    <xf numFmtId="0" fontId="3" fillId="12" borderId="2" xfId="0" applyFont="1" applyFill="1" applyBorder="1" applyAlignment="1">
      <alignment wrapText="1"/>
    </xf>
    <xf numFmtId="0" fontId="3" fillId="12" borderId="4" xfId="0" applyFont="1" applyFill="1" applyBorder="1" applyAlignment="1">
      <alignment wrapText="1"/>
    </xf>
    <xf numFmtId="49" fontId="3" fillId="12" borderId="4" xfId="0" applyNumberFormat="1" applyFont="1" applyFill="1" applyBorder="1" applyAlignment="1">
      <alignment wrapText="1"/>
    </xf>
    <xf numFmtId="0" fontId="21" fillId="17" borderId="2" xfId="0" applyFont="1" applyFill="1" applyBorder="1"/>
    <xf numFmtId="0" fontId="13" fillId="13" borderId="0" xfId="0" applyFont="1" applyFill="1" applyAlignment="1">
      <alignment vertical="center"/>
    </xf>
    <xf numFmtId="0" fontId="13" fillId="13" borderId="5" xfId="0" applyFont="1" applyFill="1" applyBorder="1" applyAlignment="1">
      <alignment vertical="center"/>
    </xf>
    <xf numFmtId="0" fontId="13" fillId="13" borderId="8" xfId="0" applyFont="1" applyFill="1" applyBorder="1" applyAlignment="1">
      <alignment horizontal="center" vertical="center"/>
    </xf>
    <xf numFmtId="0" fontId="13" fillId="13" borderId="11" xfId="0" applyFont="1" applyFill="1" applyBorder="1" applyAlignment="1">
      <alignment vertical="center"/>
    </xf>
    <xf numFmtId="0" fontId="13" fillId="13" borderId="8" xfId="0" applyFont="1" applyFill="1" applyBorder="1" applyAlignment="1">
      <alignment vertical="center"/>
    </xf>
    <xf numFmtId="0" fontId="1" fillId="10" borderId="0" xfId="0" applyFont="1" applyFill="1" applyAlignment="1">
      <alignment vertical="center"/>
    </xf>
    <xf numFmtId="0" fontId="1" fillId="10" borderId="5" xfId="0" applyFont="1" applyFill="1" applyBorder="1" applyAlignment="1">
      <alignment vertical="center"/>
    </xf>
    <xf numFmtId="0" fontId="1" fillId="10" borderId="8" xfId="0" applyFont="1" applyFill="1" applyBorder="1" applyAlignment="1">
      <alignment horizontal="center" vertical="center"/>
    </xf>
    <xf numFmtId="0" fontId="1" fillId="10" borderId="11" xfId="0" applyFont="1" applyFill="1" applyBorder="1" applyAlignment="1">
      <alignment vertical="center"/>
    </xf>
    <xf numFmtId="0" fontId="1" fillId="10" borderId="8" xfId="0" applyFont="1" applyFill="1" applyBorder="1" applyAlignment="1">
      <alignment vertical="center"/>
    </xf>
    <xf numFmtId="0" fontId="0" fillId="33" borderId="13" xfId="0" applyFill="1" applyBorder="1" applyAlignment="1">
      <alignment vertical="center" wrapText="1"/>
    </xf>
    <xf numFmtId="0" fontId="2" fillId="33" borderId="7" xfId="0" applyFont="1" applyFill="1" applyBorder="1" applyAlignment="1">
      <alignment vertical="center" wrapText="1"/>
    </xf>
    <xf numFmtId="0" fontId="59" fillId="6" borderId="15" xfId="0" applyFont="1" applyFill="1" applyBorder="1" applyAlignment="1">
      <alignment vertical="center" wrapText="1"/>
    </xf>
    <xf numFmtId="0" fontId="0" fillId="6" borderId="15" xfId="0" applyFill="1" applyBorder="1" applyAlignment="1">
      <alignment vertical="center"/>
    </xf>
    <xf numFmtId="0" fontId="0" fillId="6" borderId="16" xfId="0" applyFill="1" applyBorder="1" applyAlignment="1">
      <alignment vertical="center"/>
    </xf>
    <xf numFmtId="0" fontId="21" fillId="17" borderId="2" xfId="0" applyFont="1" applyFill="1" applyBorder="1" applyAlignment="1">
      <alignment wrapText="1"/>
    </xf>
    <xf numFmtId="0" fontId="25" fillId="17" borderId="3" xfId="0" applyFont="1" applyFill="1" applyBorder="1" applyAlignment="1">
      <alignment wrapText="1"/>
    </xf>
    <xf numFmtId="0" fontId="3" fillId="13" borderId="15" xfId="0" applyFont="1" applyFill="1" applyBorder="1" applyAlignment="1">
      <alignment wrapText="1"/>
    </xf>
    <xf numFmtId="49" fontId="3" fillId="13" borderId="15" xfId="0" applyNumberFormat="1" applyFont="1" applyFill="1" applyBorder="1" applyAlignment="1">
      <alignment wrapText="1"/>
    </xf>
    <xf numFmtId="0" fontId="3" fillId="13" borderId="16" xfId="0" applyFont="1" applyFill="1" applyBorder="1" applyAlignment="1">
      <alignment wrapText="1"/>
    </xf>
    <xf numFmtId="0" fontId="25" fillId="17" borderId="1" xfId="0" applyFont="1" applyFill="1" applyBorder="1" applyAlignment="1">
      <alignment wrapText="1"/>
    </xf>
    <xf numFmtId="0" fontId="21" fillId="17" borderId="15" xfId="0" applyFont="1" applyFill="1" applyBorder="1" applyAlignment="1">
      <alignment wrapText="1"/>
    </xf>
    <xf numFmtId="0" fontId="0" fillId="17" borderId="0" xfId="0" applyFill="1"/>
    <xf numFmtId="0" fontId="3" fillId="13" borderId="4" xfId="0" applyFont="1" applyFill="1" applyBorder="1" applyAlignment="1">
      <alignment wrapText="1"/>
    </xf>
    <xf numFmtId="49" fontId="3" fillId="13" borderId="4" xfId="0" applyNumberFormat="1" applyFont="1" applyFill="1" applyBorder="1" applyAlignment="1">
      <alignment wrapText="1"/>
    </xf>
    <xf numFmtId="0" fontId="38" fillId="17" borderId="2" xfId="0" applyFont="1" applyFill="1" applyBorder="1" applyAlignment="1">
      <alignment wrapText="1"/>
    </xf>
    <xf numFmtId="0" fontId="3" fillId="17" borderId="2" xfId="0" applyFont="1" applyFill="1" applyBorder="1" applyAlignment="1">
      <alignment wrapText="1"/>
    </xf>
    <xf numFmtId="0" fontId="3" fillId="17" borderId="4" xfId="0" applyFont="1" applyFill="1" applyBorder="1" applyAlignment="1">
      <alignment wrapText="1"/>
    </xf>
    <xf numFmtId="49" fontId="3" fillId="17" borderId="4" xfId="0" applyNumberFormat="1" applyFont="1" applyFill="1" applyBorder="1" applyAlignment="1">
      <alignment wrapText="1"/>
    </xf>
    <xf numFmtId="0" fontId="1" fillId="25" borderId="1" xfId="0" applyFont="1" applyFill="1" applyBorder="1" applyAlignment="1">
      <alignment wrapText="1"/>
    </xf>
    <xf numFmtId="0" fontId="1" fillId="25" borderId="2" xfId="0" applyFont="1" applyFill="1" applyBorder="1" applyAlignment="1">
      <alignment wrapText="1"/>
    </xf>
    <xf numFmtId="0" fontId="1" fillId="25" borderId="3" xfId="0" applyFont="1" applyFill="1" applyBorder="1" applyAlignment="1">
      <alignment wrapText="1"/>
    </xf>
    <xf numFmtId="0" fontId="1" fillId="9" borderId="0" xfId="0" applyFont="1" applyFill="1" applyAlignment="1">
      <alignment wrapText="1"/>
    </xf>
    <xf numFmtId="0" fontId="3" fillId="17" borderId="0" xfId="0" applyFont="1" applyFill="1" applyAlignment="1">
      <alignment wrapText="1"/>
    </xf>
    <xf numFmtId="49" fontId="3" fillId="17" borderId="0" xfId="0" applyNumberFormat="1" applyFont="1" applyFill="1" applyAlignment="1">
      <alignment wrapText="1"/>
    </xf>
    <xf numFmtId="0" fontId="21" fillId="17" borderId="1" xfId="0" applyFont="1" applyFill="1" applyBorder="1"/>
    <xf numFmtId="49" fontId="21" fillId="17" borderId="2" xfId="0" applyNumberFormat="1" applyFont="1" applyFill="1" applyBorder="1"/>
    <xf numFmtId="0" fontId="21" fillId="17" borderId="3" xfId="0" applyFont="1" applyFill="1" applyBorder="1"/>
    <xf numFmtId="0" fontId="1" fillId="0" borderId="0" xfId="0" applyFont="1" applyAlignment="1">
      <alignment wrapText="1"/>
    </xf>
  </cellXfs>
  <cellStyles count="1">
    <cellStyle name="Standard" xfId="0" builtinId="0"/>
  </cellStyles>
  <dxfs count="42">
    <dxf>
      <fill>
        <patternFill patternType="solid">
          <bgColor rgb="FFFA8282"/>
        </patternFill>
      </fill>
    </dxf>
    <dxf>
      <fill>
        <patternFill patternType="solid">
          <bgColor rgb="FF00B23B"/>
        </patternFill>
      </fill>
    </dxf>
    <dxf>
      <fill>
        <patternFill patternType="solid">
          <bgColor rgb="FFFA8282"/>
        </patternFill>
      </fill>
    </dxf>
    <dxf>
      <fill>
        <patternFill patternType="solid">
          <bgColor rgb="FF00B23B"/>
        </patternFill>
      </fill>
    </dxf>
    <dxf>
      <fill>
        <patternFill patternType="solid">
          <bgColor rgb="FFFA8282"/>
        </patternFill>
      </fill>
    </dxf>
    <dxf>
      <fill>
        <patternFill patternType="solid">
          <bgColor rgb="FF00B23B"/>
        </patternFill>
      </fill>
    </dxf>
    <dxf>
      <fill>
        <patternFill patternType="solid">
          <bgColor rgb="FFFA8282"/>
        </patternFill>
      </fill>
    </dxf>
    <dxf>
      <fill>
        <patternFill patternType="solid">
          <bgColor rgb="FF00B23B"/>
        </patternFill>
      </fill>
    </dxf>
    <dxf>
      <fill>
        <patternFill patternType="solid">
          <bgColor rgb="FFFA8282"/>
        </patternFill>
      </fill>
    </dxf>
    <dxf>
      <fill>
        <patternFill patternType="solid">
          <bgColor rgb="FF00B23B"/>
        </patternFill>
      </fill>
    </dxf>
    <dxf>
      <fill>
        <patternFill patternType="solid">
          <bgColor rgb="FFFA8282"/>
        </patternFill>
      </fill>
    </dxf>
    <dxf>
      <fill>
        <patternFill patternType="solid">
          <bgColor rgb="FF00B23B"/>
        </patternFill>
      </fill>
    </dxf>
    <dxf>
      <fill>
        <patternFill patternType="solid">
          <bgColor rgb="FFFA8282"/>
        </patternFill>
      </fill>
    </dxf>
    <dxf>
      <fill>
        <patternFill patternType="solid">
          <bgColor rgb="FF00B23B"/>
        </patternFill>
      </fill>
    </dxf>
    <dxf>
      <fill>
        <patternFill patternType="solid">
          <bgColor rgb="FFFA8282"/>
        </patternFill>
      </fill>
    </dxf>
    <dxf>
      <fill>
        <patternFill patternType="solid">
          <bgColor rgb="FF00B23B"/>
        </patternFill>
      </fill>
    </dxf>
    <dxf>
      <fill>
        <patternFill patternType="solid">
          <bgColor rgb="FFFA8282"/>
        </patternFill>
      </fill>
    </dxf>
    <dxf>
      <fill>
        <patternFill patternType="solid">
          <bgColor rgb="FF00B23B"/>
        </patternFill>
      </fill>
    </dxf>
    <dxf>
      <fill>
        <patternFill patternType="solid">
          <bgColor rgb="FFFA8282"/>
        </patternFill>
      </fill>
    </dxf>
    <dxf>
      <fill>
        <patternFill patternType="solid">
          <bgColor rgb="FF00B23B"/>
        </patternFill>
      </fill>
    </dxf>
    <dxf>
      <fill>
        <patternFill patternType="solid">
          <bgColor rgb="FFFA8282"/>
        </patternFill>
      </fill>
    </dxf>
    <dxf>
      <fill>
        <patternFill patternType="solid">
          <bgColor rgb="FF00B23B"/>
        </patternFill>
      </fill>
    </dxf>
    <dxf>
      <fill>
        <patternFill patternType="solid">
          <bgColor rgb="FFFA8282"/>
        </patternFill>
      </fill>
    </dxf>
    <dxf>
      <fill>
        <patternFill patternType="solid">
          <bgColor rgb="FF00B23B"/>
        </patternFill>
      </fill>
    </dxf>
    <dxf>
      <fill>
        <patternFill patternType="solid">
          <bgColor rgb="FFFA8282"/>
        </patternFill>
      </fill>
    </dxf>
    <dxf>
      <fill>
        <patternFill patternType="solid">
          <bgColor rgb="FF00B23B"/>
        </patternFill>
      </fill>
    </dxf>
    <dxf>
      <fill>
        <patternFill patternType="solid">
          <bgColor rgb="FFFA8282"/>
        </patternFill>
      </fill>
    </dxf>
    <dxf>
      <fill>
        <patternFill patternType="solid">
          <bgColor rgb="FF00B23B"/>
        </patternFill>
      </fill>
    </dxf>
    <dxf>
      <fill>
        <patternFill patternType="solid">
          <bgColor rgb="FFFA8282"/>
        </patternFill>
      </fill>
    </dxf>
    <dxf>
      <fill>
        <patternFill patternType="solid">
          <bgColor rgb="FF00B23B"/>
        </patternFill>
      </fill>
    </dxf>
    <dxf>
      <fill>
        <patternFill patternType="solid">
          <bgColor rgb="FFFA8282"/>
        </patternFill>
      </fill>
    </dxf>
    <dxf>
      <fill>
        <patternFill patternType="solid">
          <bgColor rgb="FF00B23B"/>
        </patternFill>
      </fill>
    </dxf>
    <dxf>
      <fill>
        <patternFill patternType="solid">
          <bgColor rgb="FFFA8282"/>
        </patternFill>
      </fill>
    </dxf>
    <dxf>
      <fill>
        <patternFill patternType="solid">
          <bgColor rgb="FF00B23B"/>
        </patternFill>
      </fill>
    </dxf>
    <dxf>
      <fill>
        <patternFill patternType="solid">
          <bgColor rgb="FFFA8282"/>
        </patternFill>
      </fill>
    </dxf>
    <dxf>
      <fill>
        <patternFill patternType="solid">
          <bgColor rgb="FF00B23B"/>
        </patternFill>
      </fill>
    </dxf>
    <dxf>
      <fill>
        <patternFill patternType="solid">
          <bgColor rgb="FFFA8282"/>
        </patternFill>
      </fill>
    </dxf>
    <dxf>
      <fill>
        <patternFill patternType="solid">
          <bgColor rgb="FF00B23B"/>
        </patternFill>
      </fill>
    </dxf>
    <dxf>
      <fill>
        <patternFill patternType="solid">
          <bgColor rgb="FFFA8282"/>
        </patternFill>
      </fill>
    </dxf>
    <dxf>
      <fill>
        <patternFill patternType="solid">
          <bgColor rgb="FF00B23B"/>
        </patternFill>
      </fill>
    </dxf>
    <dxf>
      <fill>
        <patternFill patternType="solid">
          <bgColor rgb="FFFA8282"/>
        </patternFill>
      </fill>
    </dxf>
    <dxf>
      <fill>
        <patternFill patternType="solid">
          <bgColor rgb="FF00B23B"/>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user1030" id="{B50A6D27-CDC8-F7E1-74A7-987BFF50E6C4}" userId="1030" providerId="AD"/>
  <person displayName="Max.März" id="{94653740-0231-EBF9-31F2-379C77CF08FF}" userId="1032" providerId="AD"/>
  <person displayName="Jasmin Alves - Inaktiv" id="{838507D9-03AB-3A1B-95FB-51380B84EB73}" userId="1034" providerId="AD"/>
  <person displayName="Axel Mäder" id="{74263586-A56E-85A0-710F-3CD3A17CDAAA}" userId="1042" providerId="AD"/>
  <person displayName="Simon.Jahn" id="{6C8718C9-9592-BF87-F501-11159EE2988E}" userId="1045" providerId="AD"/>
  <person displayName="nadine.lehnhardt" id="{013DE1DA-173E-4D08-AC74-9BC71E0D5018}" userId="1051" providerId="AD"/>
  <person displayName="stefan.hertwig" id="{457263E7-94F2-8D42-8A2A-D097E599D403}" userId="1078" providerId="AD"/>
  <person displayName="Mandy Klaaßen" id="{1A198205-C43B-4661-4DB8-1605131C618E}" userId="1109" providerId="AD"/>
  <person displayName="Franziska.Düßdorf" id="{379CD8D8-299E-2734-CA6F-D960F2C7CDCD}" userId="1118" providerId="AD"/>
  <person displayName="user1120" id="{AD6B7170-986B-BD96-C105-823DB1AFB2B5}" userId="1120" providerId="AD"/>
  <person displayName="user1147" id="{68998B2A-950C-F4C2-B044-BA20817FD8A7}" userId="114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5" dT="2023-11-09T12:54:33.00" personId="{838507D9-03AB-3A1B-95FB-51380B84EB73}" id="{D5B8614C-F848-DB3E-BA98-98CFD4C63861}">
    <text>Überprüfen, was hier genau gemeint war</text>
    <extLst>
      <ext uri="urn:synology:office:spreadsheet">
        <commentJson>{"id": "3b44f0e11c215f5a", "author": 1034, "status": 0, "text": "\u00dcberpr\u00fcfen, was hier genau gemeint war", "timestamp": 1699534473910, "lastModified": 1699534473910, "type": 0, "row": 54, "col": 3, "sheetId": "sh_18", "cellText": "Personen im Unternehmen - Bildungsmanagement"}</commentJson>
      </ext>
    </extLst>
  </threadedComment>
  <threadedComment ref="D56" dT="2023-11-09T12:26:22.00" personId="{838507D9-03AB-3A1B-95FB-51380B84EB73}" id="{72DBDC9E-3437-CE62-F432-901E949F74DC}">
    <text>Funktionsweisen erklären lassen.</text>
    <extLst>
      <ext uri="urn:synology:office:spreadsheet">
        <commentJson>{"id": "0a6f8a2b1a1cd313", "author": 1034, "status": 0, "text": "Funktionsweisen erkl\u00e4ren lassen.", "timestamp": 1699532782164, "lastModified": 1699532782164, "type": 0, "row": 55, "col": 3, "sheetId": "sh_18", "cellText": "Unternehmen - Kostentr\u00e4ger"}</commentJson>
      </ext>
    </extLst>
  </threadedComment>
  <threadedComment ref="D57" dT="2023-11-09T12:56:04.00" personId="{838507D9-03AB-3A1B-95FB-51380B84EB73}" id="{842B4920-81C1-BDB4-6928-A6973D14CC7E}">
    <text>Überprüfen, was damit gemeint war</text>
    <extLst>
      <ext uri="urn:synology:office:spreadsheet">
        <commentJson>{"id": "a0ff6c7aa7236b19", "author": 1034, "status": 0, "text": "\u00dcberpr\u00fcfen, was damit gemeint war", "timestamp": 1699534564352, "lastModified": 1699534564352, "type": 0, "row": 56, "col": 3, "sheetId": "sh_18", "cellText": "Personen im Unternehmen - Event-Planung"}</commentJson>
      </ext>
    </extLst>
  </threadedComment>
  <threadedComment ref="B62" dT="2023-11-09T13:00:04.00" personId="{838507D9-03AB-3A1B-95FB-51380B84EB73}" id="{FA07CCCC-FB5E-58F9-2805-B1D444D33327}">
    <text>Funktionsweisen müssen nochmal überprüft werden (ONboarding)</text>
    <extLst>
      <ext uri="urn:synology:office:spreadsheet">
        <commentJson>{"id": "92b734e7f1365feb", "author": 1034, "status": 0, "text": "Funktionsweisen m\u00fcssen nochmal \u00fcberpr\u00fcft werden (ONboarding)", "timestamp": 1699534804632, "lastModified": 1699534804632, "type": 0, "row": 61, "col": 1, "sheetId": "sh_18", "cellText": "P\nPerson"}</commentJson>
      </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J5" dT="2023-06-20T09:46:55.00" personId="{AD6B7170-986B-BD96-C105-823DB1AFB2B5}" id="{0C1E1FB6-4540-E10A-1F4C-D7B878A4695C}">
    <text>@:stefan.hertwig:user:1078 @:Simon.Jahn:user:1045 @:sabine.patzelt:user:1051 @:stephanie.schmid:user:1147 : LILA: Trifft m.E. auf 90% der Fälle zu! Ggf. ist eine Differenzierung zwischen übergebend, aktiv zusammenarbeitend/Teilprozess gestaltend und neue Schnittstelle/Rolle künftig zu def. sinnvoll!</text>
    <extLst>
      <ext uri="urn:synology:office:spreadsheet">
        <commentJson>{"id": "7b1806236cb5648b", "author": 1120, "status": 0, "text": "@:stefan.hertwig:user:1078 @:Simon.Jahn:user:1045 @:sabine.patzelt:user:1051 @:stephanie.schmid:user:1147 : LILA: Trifft m.E. auf 90% der F\u00e4lle zu! Ggf. ist eine Differenzierung zwischen \u00fcbergebend, aktiv zusammenarbeitend/Teilprozess gestaltend und neue Schnittstelle/Rolle k\u00fcnftig zu def. sinnvoll!", "timestamp": 1687254415965, "lastModified": 1687258219609, "type": 0, "row": 4, "col": 9, "sheetId": "sh_12", "cellText": "\u00dcbergreifende Aufgabenverteilung - SCHRIFTfarbe dient zur schnelleren visuellen Erfassung, dass ein \u00fcbergreifender Use-Case vorhanden ist oder abgestimmt werden muss."}</commentJson>
      </ext>
    </extLst>
  </threadedComment>
  <threadedComment ref="J5" dT="2023-06-20T10:45:10.00" personId="{013DE1DA-173E-4D08-AC74-9BC71E0D5018}" id="{FACF891C-C852-DBF7-7614-39C040D40A98}" parentId="{0C1E1FB6-4540-E10A-1F4C-D7B878A4695C}">
    <text>@:patrick.arnold:user:1120  Ich hatte den Use Case rosa markiert, wenn tatsächlich ein MA aus einer anderen Abteilung (z.B. MA-LO oder MA-PER) ein To Do hat. Bei gleichzeitiger Involvierung von MA-SB2G und MA-VB2G habe ich nicht markiert, da sonst wirklich fast alles rosa wäre.</text>
    <extLst>
      <ext uri="urn:synology:office:spreadsheet">
        <commentJson>{"id": "4df4895656542688", "author": 1051, "status": 0, "text": "@:patrick.arnold:user:1120  Ich hatte den Use Case rosa markiert, wenn tats\u00e4chlich ein MA aus einer anderen Abteilung (z.B. MA-LO oder MA-PER) ein To Do hat. Bei gleichzeitiger Involvierung von MA-SB2G und MA-VB2G habe ich nicht markiert, da sonst wirklich fast alles rosa w\u00e4re.", "timestamp": 1687257910455, "lastModified": 1687257940093}</commentJson>
      </ext>
    </extLst>
  </threadedComment>
  <threadedComment ref="J5" dT="2023-06-20T10:50:19.00" personId="{AD6B7170-986B-BD96-C105-823DB1AFB2B5}" id="{D8FFF6E9-E5FC-14A5-E374-7A659AAA189A}" parentId="{0C1E1FB6-4540-E10A-1F4C-D7B878A4695C}">
    <text>Ok, top! Allerdings wäre dann wirklich alles ein einziger Flamingo... mir geht es  nur darum, dass künftig bei all den Schnittstellen im AZAV-Bereich niemand von vorneherein aus der Pflicht genommen wird und stattdessen entsprechende Rollen, ggf. neu,  in Prozesse gegossen werden. Am Ende soll niemand sagen können, dass die Teilhabe/Aufgabe nicht bekannt war und was künftig mit wem, wie zu tun ist... ;-)</text>
    <extLst>
      <ext uri="urn:synology:office:spreadsheet">
        <commentJson>{"id": "759598e2ceac680a", "author": 1120, "status": 0, "text": "Ok, top! Allerdings w\u00e4re dann wirklich alles ein einziger Flamingo... mir geht es  nur darum, dass k\u00fcnftig bei all den Schnittstellen im AZAV-Bereich niemand von vorneherein aus der Pflicht genommen wird und stattdessen entsprechende Rollen, ggf. neu,  in Prozesse gegossen werden. Am Ende soll niemand sagen k\u00f6nnen, dass die Teilhabe/Aufgabe nicht bekannt war und was k\u00fcnftig mit wem, wie zu tun ist... ;-)", "timestamp": 1687258219609, "lastModified": 1687258219609}</commentJson>
      </ext>
    </extLst>
  </threadedComment>
  <threadedComment ref="N9" dT="2023-05-16T05:30:49.00" personId="{AD6B7170-986B-BD96-C105-823DB1AFB2B5}" id="{E732EF07-20FE-F111-DCDC-1A1721FE73B5}">
    <text>GENERELL: 
1. M.E. sollten  die Prozesse, anstatt in Einzelwikis unter einem (Sub-)Themenkomplex kumuliert, in einem Gesamtprozess des (Teil-)Teams zusammengefasst werden.
2. Die Gesamtprozesse der (Teil-)Teams sollten in einer Prozesskarte, aus der die Schnittstellen, Absprache- und Vorrangregelungen sowie übergreifende Prozessketten, z.B. bei Beschwerden, hervorgehen, ersichtlich sein.</text>
    <extLst>
      <ext uri="urn:synology:office:spreadsheet">
        <commentJson>{"id": "4bb2ed50ce931f6d", "author": 1120, "status": 0, "text": "GENERELL: \n1. M.E. sollten  die Prozesse, anstatt in Einzelwikis unter einem (Sub-)Themenkomplex kumuliert, in einem Gesamtprozess des (Teil-)Teams zusammengefasst werden.\n2. Die Gesamtprozesse der (Teil-)Teams sollten in einer Prozesskarte, aus der die Schnittstellen, Absprache- und Vorrangregelungen sowie \u00fcbergreifende Prozessketten, z.B. bei Beschwerden, hervorgehen, ersichtlich sein.", "timestamp": 1684215049764, "lastModified": 1684215049764, "type": 0, "row": 8, "col": 13, "sheetId": "sh_12", "cellText": "\u00dcberbegriff Themenbereich im QMH"}</commentJson>
      </ext>
    </extLst>
  </threadedComment>
  <threadedComment ref="K10" dT="2023-05-10T14:22:24.00" personId="{B50A6D27-CDC8-F7E1-74A7-987BFF50E6C4}" id="{3EBF57A9-BA55-0F22-A7D9-0542EDA7BAAE}" done="1">
    <text>@:patrick.arnold:user:1120 - viel zu viel Content ;) Bitte auf den unten üblichen Umfang komprimieren. Wenn es Unterschiede bezüglich ALG1&amp;2 gibt, dann muss dies konkret in den entsprechenden Prozessen wie Zeile 12 "Bedarfsanalyse" hinterlegt werden und nicht beim Kernprozess.</text>
    <extLst>
      <ext uri="urn:synology:office:spreadsheet">
        <commentJson>{"id": "939d210dd6ad12f4", "author": 1030, "status": 1, "text": "@:patrick.arnold:user:1120 - viel zu viel Content ;) Bitte auf den unten \u00fcblichen Umfang komprimieren. Wenn es Unterschiede bez\u00fcglich ALG1&amp;2 gibt, dann muss dies konkret in den entsprechenden Prozessen wie Zeile 12 \"Bedarfsanalyse\" hinterlegt werden und nicht beim Kernprozess.", "timestamp": 1683728544295, "lastModified": 1683779778340, "type": 0, "row": 9, "col": 10, "sheetId": "sh_12", "cellText": "Dieser Prozess umfasst die Beratung von Interessenten, die Unterst\u00fctzung bei der Antragsstellung f\u00fcr den Bildungsgutschein und die Kl\u00e4rung von Fragen zur F\u00f6rderung \u00fcber einen Bildungsgutschein. Hierzu geh\u00f6ren auch die Beratung \u00fcber die rechtlichen Paramenter, z.B., dass \n-ALG1-Bezug  sich um die Dauer der Weiterbildung verl\u00e4ngert und \n-ALG2-Bez\u00fcge w\u00e4hrend der Weiterbildung/Umschulung k\u00fcnftig aufgestockt werden: https://www.meistertask.com/app/task/dQheJ7FT/auskuftspflicht-jc-burgergeld-sowie-weitere-anderungen-im-burgergeld-ab-01-01-2023 und \n-welche F\u00f6rderungen i.R. des QCG m\u00f6glich sind, z.B. analog: https://synology.bildungscampus-backnang.de:50823/?launchApp=SYNO.SDS.Drive.Application#file_id=722341229443988558. \n=&gt;Ggf. w\u00e4ren hierzu Checklisten/komprimierte Infos sinnvoll, die Erstanrufern vor dem BG-Erhalt i.R. eines automatisch erstellten Beratungsprotokolls automatisch zugesandt werden. Karrieretutor hat eine sehr sch\u00f6ne Checkliste auf der HP: https://www.karrieretutor.de/weiterbildung-mit-bildungsgutschein/?utm_term=&amp;utm_campaign=Performance+Max-2_Lead-Conv.&amp;utm_source=adwords&amp;utm_medium=ppc&amp;hsa_acc=7340944047&amp;hsa_cam=15238792544&amp;hsa_grp=&amp;hsa_ad=&amp;hsa_src=x&amp;hsa_tgt=&amp;hsa_kw=&amp;hsa_mt=&amp;hsa_net=adwords&amp;hsa_ver=3&amp;gclid=CjwKCAjwge2iBhBBEiwAfXDBRyysFAGWN1NsjNKbIIiK1Pt7a310RmKxXWhzraRMQpHTLUoBlWRT5RoCUG4QAvD_BwE"}</commentJson>
      </ext>
    </extLst>
  </threadedComment>
  <threadedComment ref="K10" dT="2023-05-10T17:42:11.00" personId="{B50A6D27-CDC8-F7E1-74A7-987BFF50E6C4}" id="{7DF8D73C-3ED0-8254-6B2B-D11E4CB1B7DF}" parentId="{3EBF57A9-BA55-0F22-A7D9-0542EDA7BAAE}" done="1">
    <text>Ergänzend...so weit in Ebenen runterbrechen, bis konkrete, einzelne Use-Cases entstehen.</text>
    <extLst>
      <ext uri="urn:synology:office:spreadsheet">
        <commentJson>{"id": "839cf724348f5dd1", "author": 1030, "status": 0, "text": "Erg\u00e4nzend...so weit in Ebenen runterbrechen, bis konkrete, einzelne Use-Cases entstehen.", "timestamp": 1683740531616, "lastModified": 1683740531616}</commentJson>
      </ext>
    </extLst>
  </threadedComment>
  <threadedComment ref="K10" dT="2023-05-11T04:36:18.00" personId="{AD6B7170-986B-BD96-C105-823DB1AFB2B5}" id="{F9AC26AB-2414-43C9-F62E-9CE8377703DA}" parentId="{3EBF57A9-BA55-0F22-A7D9-0542EDA7BAAE}" done="1">
    <text/>
    <extLst>
      <ext uri="urn:synology:office:spreadsheet">
        <commentJson>{"id": "c3dd3eb05e1f5203", "author": 1120, "status": 1, "text": "", "timestamp": 1683779778340, "lastModified": 1683779778340}</commentJson>
      </ext>
    </extLst>
  </threadedComment>
  <threadedComment ref="J12" dT="2023-05-17T06:14:24.00" personId="{B50A6D27-CDC8-F7E1-74A7-987BFF50E6C4}" id="{F45B66A8-F15C-2EF8-3C02-30A07C2930AE}" done="1">
    <text>@:stefan.hertwig:user:1078 - ich würde hier bereits als neue Zeile zwischen 8 und 9 einfügen "Personendatensatz anlegen"</text>
    <extLst>
      <ext uri="urn:synology:office:spreadsheet">
        <commentJson>{"id": "3758fcad40e5d07a", "author": 1030, "status": 1, "text": "@:stefan.hertwig:user:1078 - ich w\u00fcrde hier bereits als neue Zeile zwischen 8 und 9 einf\u00fcgen \"Personendatensatz anlegen\"", "timestamp": 1684304064164, "lastModified": 1684307044294, "type": 0, "row": 11, "col": 9, "sheetId": "sh_12", "cellText": "Bedarfsanalyse durchf\u00fchren"}</commentJson>
      </ext>
    </extLst>
  </threadedComment>
  <threadedComment ref="J12" dT="2023-05-17T07:04:04.00" personId="{457263E7-94F2-8D42-8A2A-D097E599D403}" id="{BAF15886-26B3-8DA3-4466-37C33803CA1B}" parentId="{F45B66A8-F15C-2EF8-3C02-30A07C2930AE}" done="1">
    <text/>
    <extLst>
      <ext uri="urn:synology:office:spreadsheet">
        <commentJson>{"id": "a2b37fd0f4aa627b", "author": 1078, "status": 1, "text": "", "timestamp": 1684307044294, "lastModified": 1684307044294}</commentJson>
      </ext>
    </extLst>
  </threadedComment>
  <threadedComment ref="K12" dT="2023-05-11T08:36:25.00" personId="{457263E7-94F2-8D42-8A2A-D097E599D403}" id="{6010FB55-3829-3364-7E78-1A92FD92B8BE}" done="1">
    <text>Die Bedarfsanalyse ist ein wichtiger Schritt in der Planung und Durchführung einer Maßnahme und hilft sicherzustellen, dass die Bedürfnisse der Teilnehmenden berücksichtigt werden und das Bildungsziel erreicht wird.</text>
    <extLst>
      <ext uri="urn:synology:office:spreadsheet">
        <commentJson>{"id": "1a4a520be56a33c6", "author": 1078, "status": 1, "text": "Die Bedarfsanalyse ist ein wichtiger Schritt in der Planung und Durchf\u00fchrung einer Ma\u00dfnahme und hilft sicherzustellen, dass die Bed\u00fcrfnisse der Teilnehmenden ber\u00fccksichtigt werden und das Bildungsziel erreicht wird.", "timestamp": 1683794185811, "lastModified": 1683878315330, "type": 0, "row": 11, "col": 10, "sheetId": "sh_12", "cellText": "-Ermittlung der individuellen Bildungsbed\u00fcrfnisse und -ziele der Interessenten durch pers\u00f6nliches Telefonat. Hierzu Eignungsfeststellung modifizieren (i.R.d. Audits ist ebenfalls die hohe Abbruchquote angesprochen worden): \n=&gt;neben den allgemeinen Sprachkenntnissen, fallbezogen/themenabh\u00e4ngig, ggf. st\u00e4rker auf spez. Vokabular oder fachliche Anforderungen eingehen. Z.B. wenn die Weiterbildung anatomische Kenntnisse umfasst, genauer pr\u00fcfen, ob das Sprachniveau, auch wenn ansonsten i.O., den Lernerfolg verspricht. Z.B. anhand Vokabelliste o.\u00e4. Z.B.: \"Wissen Sie, was Patellasehne bedeutet\" o.\u00e4.\n=&gt;Ggf. Eignungsfeststellung thematisch/zielgruppenorientiert clustern.\n=&gt;Ggf. w\u00e4ren hierzu Checklisten/komprimierte Infos sinnvoll, die Erstanrufern vor dem BG-Erhalt i.R. eines automatisch erstellten Beratungsprotokolls automatisch zugesandt werden. Karrieretutor hat eine sehr sch\u00f6ne Liste z.T. BG auf der HP: https://www.karrieretutor.de/weiterbildung-mit-bildungsgutschein/?utm_term=&amp;utm_campaign=Performance+Max-2_Lead-Conv.&amp;utm_source=adwords&amp;utm_medium=ppc&amp;hsa_acc=7340944047&amp;hsa_cam=15238792544&amp;hsa_grp=&amp;hsa_ad=&amp;hsa_src=x&amp;hsa_tgt=&amp;hsa_kw=&amp;hsa_mt=&amp;hsa_net=adwords&amp;hsa_ver=3&amp;gclid=CjwKCAjwge2iBhBBEiwAfXDBRyysFAGWN1NsjNKbIIiK1Pt7a310RmKxXWhzraRMQpHTLUoBlWRT5RoCUG4QAvD_BwE\n-Rechtskreisspezifika st\u00e4rker betonen und Infomaterial dazu: \n=&gt;ALG1-Bezug  sich um die Dauer der Weiterbildung verl\u00e4ngert und \n=&gt;ALG2-Bez\u00fcge w\u00e4hrend der Weiterbildung/Umschulung k\u00fcnftig aufgestockt werden: https://www.meistertask.com/app/task/dQheJ7FT/auskuftspflicht-jc-burgergeld-sowie-weitere-anderungen-im-burgergeld-ab-01-01-2023 und \n=&gt;welche F\u00f6rderungen i.R. des QCG m\u00f6glich sind, z.B. analog: https://synology.bildungscampus-backnang.de:50823/?launchApp=SYNO.SDS.Drive.Application#file_id=722341229443988558. \n"}</commentJson>
      </ext>
    </extLst>
  </threadedComment>
  <threadedComment ref="K12" dT="2023-05-12T07:58:35.00" personId="{457263E7-94F2-8D42-8A2A-D097E599D403}" id="{8B437D9A-3F3A-017F-06C5-05CFCB953788}" parentId="{6010FB55-3829-3364-7E78-1A92FD92B8BE}" done="1">
    <text/>
    <extLst>
      <ext uri="urn:synology:office:spreadsheet">
        <commentJson>{"id": "c1523d1ed364c5d8", "author": 1078, "status": 1, "text": "", "timestamp": 1683878315330, "lastModified": 1683878315330}</commentJson>
      </ext>
    </extLst>
  </threadedComment>
  <threadedComment ref="K17" dT="2023-05-11T08:20:30.00" personId="{457263E7-94F2-8D42-8A2A-D097E599D403}" id="{D1993204-D18E-715B-2908-E48685D9E086}" done="1">
    <text>Kick-off Veranstaltung steht im Fokus, keine Messe</text>
    <extLst>
      <ext uri="urn:synology:office:spreadsheet">
        <commentJson>{"id": "49042bea3e481ef6", "author": 1078, "status": 1, "text": "Kick-off Veranstaltung steht im Fokus, keine Messe", "timestamp": 1683793230176, "lastModified": 1684154402346, "type": 0, "row": 16, "col": 10, "sheetId": "sh_12", "cellText": "-Bundesweite Teilnahme an relevanten AZAV-Messen zur TN-Generierung UND Kontaktpflege zu Weiterbildungsverantwortlichen. Entsprechend regionaler Cluster (Arbeitsmarktsituation, interne Buchungssituation, bei Quoten, relative/absolute Zahlen als Argumente zur strategischen Schwerpunktsetzung, als Argumentation vs. Kostentr\u00e4ger, z.B. bei h\u00e4ufiger Regionaller Nichtbuchung, trotz Beratung u.v.m.  \n=&gt; viel detaillierter via ELA auswertbar gestalten (Filter/Cluster i.V.)). \n-Eigene hybride Bildungsmesse mit Vertreter von Kostentr\u00e4gern (FbW-Koordinatoren, AGS, Vermittler) und deren Kunden (Einladungsmailings/Postings/Flyer), Kammern und Arbeitgebern."}</commentJson>
      </ext>
    </extLst>
  </threadedComment>
  <threadedComment ref="K17" dT="2023-05-15T12:40:02.00" personId="{457263E7-94F2-8D42-8A2A-D097E599D403}" id="{01130132-42F6-9EC6-BCA6-A94BF931A906}" parentId="{D1993204-D18E-715B-2908-E48685D9E086}" done="1">
    <text/>
    <extLst>
      <ext uri="urn:synology:office:spreadsheet">
        <commentJson>{"id": "e9502b2559d82b37", "author": 1078, "status": 1, "text": "", "timestamp": 1684154402346, "lastModified": 1684154402346}</commentJson>
      </ext>
    </extLst>
  </threadedComment>
  <threadedComment ref="J20" dT="2023-05-11T09:59:29.00" personId="{6C8718C9-9592-BF87-F501-11159EE2988E}" id="{BECD322B-7130-71F2-D9E6-FCBCA5EE1A0E}" done="1">
    <text>boom</text>
    <extLst>
      <ext uri="urn:synology:office:spreadsheet">
        <commentJson>{"id": "236fb20f335185f0", "author": 1045, "status": 1, "text": "boom", "timestamp": 1683799169273, "lastModified": 1683799193161, "type": 0, "row": 19, "col": 9, "sheetId": "sh_12", "cellText": "Antragsunterst\u00fctzung"}</commentJson>
      </ext>
    </extLst>
  </threadedComment>
  <threadedComment ref="J20" dT="2023-05-11T09:59:53.00" personId="{457263E7-94F2-8D42-8A2A-D097E599D403}" id="{1F92E54C-2A75-E0B7-30B2-7465453DB3A8}" parentId="{BECD322B-7130-71F2-D9E6-FCBCA5EE1A0E}" done="1">
    <text/>
    <extLst>
      <ext uri="urn:synology:office:spreadsheet">
        <commentJson>{"id": "1b81da1d0ba2f204", "author": 1078, "status": 1, "text": "", "timestamp": 1683799193161, "lastModified": 1683799193161}</commentJson>
      </ext>
    </extLst>
  </threadedComment>
  <threadedComment ref="K24" dT="2023-05-12T07:09:31.00" personId="{457263E7-94F2-8D42-8A2A-D097E599D403}" id="{BE596D57-CBAE-51A6-1925-5CCB2B821FB9}" done="1">
    <text>Dashboard mit Kalenderfunktion etc.</text>
    <extLst>
      <ext uri="urn:synology:office:spreadsheet">
        <commentJson>{"id": "b3190d2af2d2fd14", "author": 1078, "status": 1, "text": "Dashboard mit Kalenderfunktion etc.", "timestamp": 1683875371523, "lastModified": 1684167004558, "type": 0, "row": 23, "col": 10, "sheetId": "sh_12", "cellText": ""}</commentJson>
      </ext>
    </extLst>
  </threadedComment>
  <threadedComment ref="K24" dT="2023-05-15T16:10:04.00" personId="{457263E7-94F2-8D42-8A2A-D097E599D403}" id="{B013E0B3-4E62-FF7E-2E73-9280D2D954D1}" parentId="{BE596D57-CBAE-51A6-1925-5CCB2B821FB9}" done="1">
    <text/>
    <extLst>
      <ext uri="urn:synology:office:spreadsheet">
        <commentJson>{"id": "23997b409a2e32ba", "author": 1078, "status": 1, "text": "", "timestamp": 1684167004558, "lastModified": 1684167004558}</commentJson>
      </ext>
    </extLst>
  </threadedComment>
  <threadedComment ref="J42" dT="2023-05-17T12:18:10.00" personId="{B50A6D27-CDC8-F7E1-74A7-987BFF50E6C4}" id="{B4785FB8-DDBE-4A10-72DB-73546D5C20A4}" done="1">
    <text>@:stefan.hertwig:user:1078 / @:Simon.Jahn:user:1045 - Wording-Feintuning -&gt; es existiert zukünftig nur noch ein Personendatensatz. Wird aus einem Interessent ein Teilnehmer, wird diesem Datensatz lediglich durch das Einbuchen eines Produktes zusätzlich die Rolle "Teilnehmer" zugeordnet.</text>
    <extLst>
      <ext uri="urn:synology:office:spreadsheet">
        <commentJson>{"id": "836595d790ecc752", "author": 1030, "status": 1, "text": "@:stefan.hertwig:user:1078 / @:Simon.Jahn:user:1045 - Wording-Feintuning -&gt; es existiert zuk\u00fcnftig nur noch ein Personendatensatz. Wird aus einem Interessent ein Teilnehmer, wird diesem Datensatz lediglich durch das Einbuchen eines Produktes zus\u00e4tzlich die Rolle \"Teilnehmer\" zugeordnet.", "timestamp": 1684325890719, "lastModified": 1684341697304, "type": 0, "row": 41, "col": 9, "sheetId": "sh_12", "cellText": "TN-Datensatz anlegen"}</commentJson>
      </ext>
    </extLst>
  </threadedComment>
  <threadedComment ref="J42" dT="2023-05-17T13:03:01.00" personId="{457263E7-94F2-8D42-8A2A-D097E599D403}" id="{8D86C9D7-BC90-FBC2-6273-821814535752}" parentId="{B4785FB8-DDBE-4A10-72DB-73546D5C20A4}" done="1">
    <text/>
    <extLst>
      <ext uri="urn:synology:office:spreadsheet">
        <commentJson>{"id": "670bdde5f511b35a", "author": 1078, "status": 1, "text": "", "timestamp": 1684328581095, "lastModified": 1684328581095}</commentJson>
      </ext>
    </extLst>
  </threadedComment>
  <threadedComment ref="J42" dT="2023-05-17T16:40:55.00" personId="{457263E7-94F2-8D42-8A2A-D097E599D403}" id="{F3A54596-F78A-EEF0-D457-0D5DF6711112}" parentId="{B4785FB8-DDBE-4A10-72DB-73546D5C20A4}" done="1">
    <text/>
    <extLst>
      <ext uri="urn:synology:office:spreadsheet">
        <commentJson>{"id": "d360b49cfe77036a", "author": 1078, "status": 2, "text": "", "timestamp": 1684341655242, "lastModified": 1684341655242}</commentJson>
      </ext>
    </extLst>
  </threadedComment>
  <threadedComment ref="J42" dT="2023-05-17T16:41:12.00" personId="{457263E7-94F2-8D42-8A2A-D097E599D403}" id="{15834817-1820-84A7-FD98-A5FD8576CFE4}" parentId="{B4785FB8-DDBE-4A10-72DB-73546D5C20A4}" done="1">
    <text/>
    <extLst>
      <ext uri="urn:synology:office:spreadsheet">
        <commentJson>{"id": "93e27ee9fa95dd5a", "author": 1078, "status": 1, "text": "", "timestamp": 1684341672721, "lastModified": 1684341672721}</commentJson>
      </ext>
    </extLst>
  </threadedComment>
  <threadedComment ref="J42" dT="2023-05-17T16:41:29.00" personId="{457263E7-94F2-8D42-8A2A-D097E599D403}" id="{F588D248-E1BB-9775-4654-9E6EC172817B}" parentId="{B4785FB8-DDBE-4A10-72DB-73546D5C20A4}" done="1">
    <text/>
    <extLst>
      <ext uri="urn:synology:office:spreadsheet">
        <commentJson>{"id": "28c93142709635e5", "author": 1078, "status": 2, "text": "", "timestamp": 1684341689601, "lastModified": 1684341689601}</commentJson>
      </ext>
    </extLst>
  </threadedComment>
  <threadedComment ref="J42" dT="2023-05-17T16:41:37.00" personId="{457263E7-94F2-8D42-8A2A-D097E599D403}" id="{A07DA16F-068D-1549-2FAE-8529EAB7EEA9}" parentId="{B4785FB8-DDBE-4A10-72DB-73546D5C20A4}" done="1">
    <text/>
    <extLst>
      <ext uri="urn:synology:office:spreadsheet">
        <commentJson>{"id": "51a3397fff480acb", "author": 1078, "status": 1, "text": "", "timestamp": 1684341697304, "lastModified": 1684341697304}</commentJson>
      </ext>
    </extLst>
  </threadedComment>
  <threadedComment ref="J48" dT="2023-05-16T06:23:46.00" personId="{B50A6D27-CDC8-F7E1-74A7-987BFF50E6C4}" id="{0D51C5F1-C5A4-FE2D-721B-7065A755ED3E}" done="1">
    <text>@:stefan.hertwig:user:1078 - ist dieser Punkt "Buchungsbestätigung erstellen"?</text>
    <extLst>
      <ext uri="urn:synology:office:spreadsheet">
        <commentJson>{"id": "6122b47da4cf1b79", "author": 1030, "status": 1, "text": "@:stefan.hertwig:user:1078 - ist dieser Punkt \"Buchungsbest\u00e4tigung erstellen\"?", "timestamp": 1684218226000, "lastModified": 1684229768937, "type": 0, "row": 47, "col": 9, "sheetId": "sh_12", "cellText": "Lern- und Lehrmittel freischalten"}</commentJson>
      </ext>
    </extLst>
  </threadedComment>
  <threadedComment ref="J48" dT="2023-05-16T09:36:08.00" personId="{457263E7-94F2-8D42-8A2A-D097E599D403}" id="{40B7181E-89A2-358C-50DC-DE7C78ED6A81}" parentId="{0D51C5F1-C5A4-FE2D-721B-7065A755ED3E}" done="1">
    <text/>
    <extLst>
      <ext uri="urn:synology:office:spreadsheet">
        <commentJson>{"id": "3355a13a2674c7d8", "author": 1078, "status": 1, "text": "", "timestamp": 1684229768937, "lastModified": 1684229768937}</commentJson>
      </ext>
    </extLst>
  </threadedComment>
  <threadedComment ref="O48" dT="2023-05-17T04:44:13.00" personId="{AD6B7170-986B-BD96-C105-823DB1AFB2B5}" id="{B64D2A8D-D8F3-7994-6AB8-3EE16882C69A}">
    <text>Neuralgische Stelle, die exakt def. werden sollte.</text>
    <extLst>
      <ext uri="urn:synology:office:spreadsheet">
        <commentJson>{"id": "c561aa6d91f4e89d", "author": 1120, "status": 0, "text": "Neuralgische Stelle, die exakt def. werden sollte.", "timestamp": 1684298653185, "lastModified": 1684298653185, "type": 0, "row": 47, "col": 14, "sheetId": "sh_12", "cellText": "MA-VB2G\n=&gt;\u00dcbergabe an MA-SB2G"}</commentJson>
      </ext>
    </extLst>
  </threadedComment>
  <threadedComment ref="J52" dT="2023-05-17T06:59:57.00" personId="{B50A6D27-CDC8-F7E1-74A7-987BFF50E6C4}" id="{FF17E7C4-5117-161B-5787-244440E7331B}" done="1">
    <text>@:stefan.hertwig:user:1078 - ich würde hieraus "Leihgerät - Laptop" machen und darunter auch den Punkt Bezug (Bestellung der Geräte) aufnehmen.</text>
    <extLst>
      <ext uri="urn:synology:office:spreadsheet">
        <commentJson>{"id": "def7db7794f86ec3", "author": 1030, "status": 1, "text": "@:stefan.hertwig:user:1078 - ich w\u00fcrde hieraus \"Leihger\u00e4t - Laptop\" machen und darunter auch den Punkt Bezug (Bestellung der Ger\u00e4te) aufnehmen.", "timestamp": 1684306797773, "lastModified": 1684307025155, "type": 0, "row": 51, "col": 9, "sheetId": "sh_12", "cellText": "Leihger\u00e4t anfordern"}</commentJson>
      </ext>
    </extLst>
  </threadedComment>
  <threadedComment ref="J52" dT="2023-05-17T07:03:45.00" personId="{457263E7-94F2-8D42-8A2A-D097E599D403}" id="{5AEAFA6E-948F-6653-ABF1-57DC9E22997F}" parentId="{FF17E7C4-5117-161B-5787-244440E7331B}" done="1">
    <text/>
    <extLst>
      <ext uri="urn:synology:office:spreadsheet">
        <commentJson>{"id": "c0695d5220b518de", "author": 1078, "status": 1, "text": "", "timestamp": 1684307025155, "lastModified": 1684307025155}</commentJson>
      </ext>
    </extLst>
  </threadedComment>
  <threadedComment ref="J53" dT="2023-05-17T07:01:32.00" personId="{B50A6D27-CDC8-F7E1-74A7-987BFF50E6C4}" id="{3171F43D-2E2A-3BF6-136F-9BBD5B1711BF}" done="1">
    <text>@:stefan.hertwig:user:1078 - nur "Leihgerät aufsetzen", da ja auch Rückläufer komplett neu aufgesetzt werden sollten. Logistik würde ich unter "Leihgerät versenden" (Zeile darunter) behandeln.</text>
    <extLst>
      <ext uri="urn:synology:office:spreadsheet">
        <commentJson>{"id": "ea75a9876de98765", "author": 1030, "status": 1, "text": "@:stefan.hertwig:user:1078 - nur \"Leihger\u00e4t aufsetzen\", da ja auch R\u00fcckl\u00e4ufer komplett neu aufgesetzt werden sollten. Logistik w\u00fcrde ich unter \"Leihger\u00e4t versenden\" (Zeile darunter) behandeln.", "timestamp": 1684306892713, "lastModified": 1684307011556, "type": 0, "row": 52, "col": 9, "sheetId": "sh_12", "cellText": "Leihger\u00e4t aufsetzen und an Logistik \u00fcbergeben"}</commentJson>
      </ext>
    </extLst>
  </threadedComment>
  <threadedComment ref="J53" dT="2023-05-17T07:03:31.00" personId="{457263E7-94F2-8D42-8A2A-D097E599D403}" id="{788DD528-9613-7A3D-B72A-D2264F8C971A}" parentId="{3171F43D-2E2A-3BF6-136F-9BBD5B1711BF}" done="1">
    <text/>
    <extLst>
      <ext uri="urn:synology:office:spreadsheet">
        <commentJson>{"id": "9dad639d496cd9d8", "author": 1078, "status": 1, "text": "", "timestamp": 1684307011556, "lastModified": 1684307011556}</commentJson>
      </ext>
    </extLst>
  </threadedComment>
  <threadedComment ref="J56" dT="2023-05-25T20:06:30.00" personId="{B50A6D27-CDC8-F7E1-74A7-987BFF50E6C4}" id="{B686F7BB-D3A0-74DD-22E3-F8BA3F91FD33}">
    <text>@:stefan.hertwig:user:1078 - worin liegt der Unterschied zu "Lern- und Lehrmittel freischalten"?</text>
    <extLst>
      <ext uri="urn:synology:office:spreadsheet">
        <commentJson>{"id": "cd15bc25b8d4366e", "author": 1030, "status": 0, "text": "@:stefan.hertwig:user:1078 - worin liegt der Unterschied zu \"Lern- und Lehrmittel freischalten\"?", "timestamp": 1685045190393, "lastModified": 1685045190393, "type": 0, "row": 55, "col": 9, "sheetId": "sh_12", "cellText": "Buchungsbest\u00e4tigung erstellen"}</commentJson>
      </ext>
    </extLst>
  </threadedComment>
  <threadedComment ref="J57" dT="2023-05-25T20:07:48.00" personId="{B50A6D27-CDC8-F7E1-74A7-987BFF50E6C4}" id="{B95841C1-C115-4C2B-8EAB-0BF8D054851D}">
    <text>@:stefan.hertwig:user:1078 - mir wurde diese Woche gesagt, dass aktuell Zahlungen manuell für AZAV-Teilnehmende angepasst werden müssen. Was sind denn die konkreten Voraussetzungen diesbezüglich?</text>
    <extLst>
      <ext uri="urn:synology:office:spreadsheet">
        <commentJson>{"id": "d7cf9f45259e2c74", "author": 1030, "status": 0, "text": "@:stefan.hertwig:user:1078 - mir wurde diese Woche gesagt, dass aktuell Zahlungen manuell f\u00fcr AZAV-Teilnehmende angepasst werden m\u00fcssen. Was sind denn die konkreten Voraussetzungen diesbez\u00fcglich?", "timestamp": 1685045268654, "lastModified": 1685045268654, "type": 0, "row": 56, "col": 9, "sheetId": "sh_12", "cellText": "TN-Unterlagen an F\u00f6rdermittelgeber + TN versenden und archivieren"}</commentJson>
      </ext>
    </extLst>
  </threadedComment>
  <threadedComment ref="K206" dT="2023-06-20T10:28:43.00" personId="{AD6B7170-986B-BD96-C105-823DB1AFB2B5}" id="{0F5020E3-5398-09DC-C6B7-07C43BDA269D}">
    <text>Bei IHK-Abschluss muss doch auch IHK-Zugangsvoraussetzung vorliegen, z.B. Berufserfahrung etc.</text>
    <extLst>
      <ext uri="urn:synology:office:spreadsheet">
        <commentJson>{"id": "53e9df5b305faefc", "author": 1120, "status": 0, "text": "Bei IHK-Abschluss muss doch auch IHK-Zugangsvoraussetzung vorliegen, z.B. Berufserfahrung etc.", "timestamp": 1687256923968, "lastModified": 1687256923968, "type": 0, "row": 205, "col": 10, "sheetId": "sh_12", "cellText": "TN-B2G werden wie AZAV-TN-B2G behandelt\n(Keine Eignungsfeststellung und IHK-Zulassung vorgesehen)"}</commentJson>
      </ext>
    </extLst>
  </threadedComment>
  <threadedComment ref="K210" dT="2023-05-10T14:25:08.00" personId="{B50A6D27-CDC8-F7E1-74A7-987BFF50E6C4}" id="{F9AB7D5D-44AF-1142-A896-842FE9CD9B8E}" done="1">
    <text>@:patrick.arnold:user:1120 - auch hier - viel zu viel Content bei diesem Punkt. Dann füge weitere Zeilen ein und schlüssle Personen weiter auf.</text>
    <extLst>
      <ext uri="urn:synology:office:spreadsheet">
        <commentJson>{"id": "3dc13015b368151a", "author": 1030, "status": 1, "text": "@:patrick.arnold:user:1120 - auch hier - viel zu viel Content bei diesem Punkt. Dann f\u00fcge weitere Zeilen ein und schl\u00fcssle Personen weiter auf.", "timestamp": 1683728708908, "lastModified": 1683780412729, "type": 0, "row": 209, "col": 10, "sheetId": "sh_12", "cellText": "Regelm\u00e4\u00dfige Schulungen und Weiterbildungen f\u00fcr Tutoren und Lernbegleiter, um ihre fachlichen und p\u00e4dagogischen Kompetenzen zu erweitern und auf dem neuesten Stand zu halten.\nInterne Audits: zur Vereinfachung des Systems in RS mit dem Auditor, wurde folgender, einfacherer Prozess, als praktikabel und rechtskonform besprochen (letztes Jahr hatte ich einen Auditbogen eingebracht, den Max M. in den bestehenden eingearbeitet hatte).\n1. Externe MA (idealerweise durch Personalrefrenten):\n1.1. Neue Dozenten/Tutoren obligatorisch.\n1.2. Bereits eingesetzte Dozenten bei Wechsel des Einsatz-/Themengebiets.\n1.3. Dozenten bei Beschwerden/schlechten Bewertungen (zu def.).\nWICHTIG ist der Dakks nur, dass \"\u00dcberpr\u00fcfungen stattfinden\".\nD.h. wenn 1.1. - 1.3. nicht der Fall, k\u00f6nnten z.B. auch einfach stichprobenartig Audits in Form von Dokumentenpr\u00fcfungen stattfinden, z.B. das Nachkommen der Dokumentationspflichten etc. Es sollten nur ein paar im laufenden Jahr gemacht werden. \n2. Interne MA nur bei Beschwerden/(groben), AZAV-relevanten, Fehlern (zu def.). \n=&gt; Anlassbezug durch Vorgesetzten; Auditor auch noch zu def. Ggf. Vorgesetzter i.V.m. AZAV-Beauftragtem (z.B. dok. Prozesspr\u00fcfung, in dem der \"Fehler\" auftrat + kurzes Verst\u00e4ndnis-/Fachgespr\u00e4ch zum \"Fehler\") \n=&gt;Prozess hierf\u00fcr speziell def.\n-Z.T. wurde auch bzgl. der Kontrolle der Weiterbildung der Lehrgangsleiter zur  Prozessausarbeitung geraten und i.R. des Audits zur Erf\u00fcllung der Grundanforderungen angepasst: http://wiki.academyofsports.online/tiki-index.php?page=Unternehmensleits%C3%A4tze\n=&gt;Ggf. k\u00f6nnte ein transparenter Prozess entwickelt werden, der Dozenten/Tutoren bei stufenweiser zunehmender Durchf\u00fchrung von UEs (z.B. alle 500) und Absolvierung bestimmter, von uns geforderter Weiterbildungen, automatisch das Honorar angepasst wird. Quasi vgl. Entgelttabelle im \u00d6D.\n-R\u00fcckgriff auf Alumni: gerade \u00e4ltere TN aus \u201ekomplexeren\u201c Weiterbildungen sind oft sehr offen f\u00fcr entsprechende Angebote bzw. forcieren dies proaktiv.\n=&gt;Anwerbe- und Einf\u00fchrungsprozess, z.B. Hospitationen, Beratung bei den Schritten in die Selbstst\u00e4ndigkeit usw."}</commentJson>
      </ext>
    </extLst>
  </threadedComment>
  <threadedComment ref="K210" dT="2023-05-11T04:46:52.00" personId="{AD6B7170-986B-BD96-C105-823DB1AFB2B5}" id="{49FFD484-8965-0696-F2B3-D70AA1B032BE}" parentId="{F9AB7D5D-44AF-1142-A896-842FE9CD9B8E}" done="1">
    <text/>
    <extLst>
      <ext uri="urn:synology:office:spreadsheet">
        <commentJson>{"id": "1d95da5c7910c986", "author": 1120, "status": 1, "text": "", "timestamp": 1683780412729, "lastModified": 1683780412729}</commentJson>
      </ext>
    </extLst>
  </threadedComment>
  <threadedComment ref="K219" dT="2023-05-16T06:27:56.00" personId="{B50A6D27-CDC8-F7E1-74A7-987BFF50E6C4}" id="{70E2F571-D0B4-E158-3C54-0E505A1438C3}" done="1">
    <text>@:stefan.hertwig:user:1078 / @:patrick.arnold:user:1120 - dieses Feld (bzw. eigentlich generell) würde ich nicht zusammenfügen. Jeder dieser drei Prozesse ist doch spezifisch. Ebenso würde ich z. B. Tutoren und Dozenten trennen, da Feedbackbogen und Ablauf unterschiedlich sind.</text>
    <extLst>
      <ext uri="urn:synology:office:spreadsheet">
        <commentJson>{"id": "10688fb4b2bf3682", "author": 1030, "status": 1, "text": "@:stefan.hertwig:user:1078 / @:patrick.arnold:user:1120 - dieses Feld (bzw. eigentlich generell) w\u00fcrde ich nicht zusammenf\u00fcgen. Jeder dieser drei Prozesse ist doch spezifisch. Ebenso w\u00fcrde ich z. B. Tutoren und Dozenten trennen, da Feedbackbogen und Ablauf unterschiedlich sind.", "timestamp": 1684218476675, "lastModified": 1684301673738, "type": 0, "row": 218, "col": 10, "sheetId": "sh_12", "cellText": "Sammlung von Feedback der Teilnehmer zu den Fernlehrg\u00e4ngen, um deren Qualit\u00e4t und Wirksamkeit zu beurteilen in jedem Baustein sowie der Gesamtma\u00dfnahme. \n=&gt;Direkt nach Abschluss wird ein Evaluationsbogen mit Fragen, die i.R. einer Lickert-Skala zu beantworten sind, generiert. Ohne AW, eine automatische Erinnerungsmail. \n=&gt;Analog zum Abschluss, bei Nichtantwort, erneuter Versand mit Integrationsbefragung (IQ)en nach 3 und 6 Monaten. =&gt;Ggf. Stimuli setzen."}</commentJson>
      </ext>
    </extLst>
  </threadedComment>
  <threadedComment ref="K219" dT="2023-05-17T05:34:33.00" personId="{AD6B7170-986B-BD96-C105-823DB1AFB2B5}" id="{82EAAEBF-8271-64D6-919F-5F362D3AF5FC}" parentId="{70E2F571-D0B4-E158-3C54-0E505A1438C3}" done="1">
    <text/>
    <extLst>
      <ext uri="urn:synology:office:spreadsheet">
        <commentJson>{"id": "16af02c36f9b27af", "author": 1120, "status": 1, "text": "", "timestamp": 1684301673738, "lastModified": 1684301673738}</commentJson>
      </ext>
    </extLst>
  </threadedComment>
  <threadedComment ref="M219" dT="2023-05-17T12:59:34.00" personId="{AD6B7170-986B-BD96-C105-823DB1AFB2B5}" id="{33ECDD48-2D89-751E-0924-3AA7C6231D8F}">
    <text>Dieser Prozess, den ich bereits letztes Jahr begonnen habe auszuarbeiten und so ähnlich schon beim JC LB für die Vermittler aufgesetzt hatte, ist mir sehr wichtig! Ggf. ergänzen, aber der Sinn muss erhalten beleben, da er exhaustiv ziemlich alles umfasst, was mir als AZAV-Datengrundlage wichtig ist!.</text>
    <extLst>
      <ext uri="urn:synology:office:spreadsheet">
        <commentJson>{"id": "ea7976586643b49c", "author": 1120, "status": 0, "text": "Dieser Prozess, den ich bereits letztes Jahr begonnen habe auszuarbeiten und so \u00e4hnlich schon beim JC LB f\u00fcr die Vermittler aufgesetzt hatte, ist mir sehr wichtig! Ggf. erg\u00e4nzen, aber der Sinn muss erhalten beleben, da er exhaustiv ziemlich alles umfasst, was mir als AZAV-Datengrundlage wichtig ist!.", "timestamp": 1684328374505, "lastModified": 1684328374505, "type": 0, "row": 218, "col": 12, "sheetId": "sh_12", "cellText": "Vorschlag Patrick zur Integrationsbefragung"}</commentJson>
      </ext>
    </extLst>
  </threadedComment>
  <threadedComment ref="K231" dT="2023-05-10T14:27:24.00" personId="{B50A6D27-CDC8-F7E1-74A7-987BFF50E6C4}" id="{7ABF41C9-31DA-EB4A-990A-73D20F0EF62B}" done="1">
    <text>@:patrick.arnold:user:1120 - bitte die ganze Tabelle im Blick behalten. z.B. Eingliederungsbefragung wäre irgendwas bei Zeile 91 "Erfolgsmessung der Alumni"</text>
    <extLst>
      <ext uri="urn:synology:office:spreadsheet">
        <commentJson>{"id": "4d4f7a36c96ee67c", "author": 1030, "status": 1, "text": "@:patrick.arnold:user:1120 - bitte die ganze Tabelle im Blick behalten. z.B. Eingliederungsbefragung w\u00e4re irgendwas bei Zeile 91 \"Erfolgsmessung der Alumni\"", "timestamp": 1683728844668, "lastModified": 1683779885796, "type": 0, "row": 230, "col": 10, "sheetId": "sh_12", "cellText": "-I.R. der IHK-Weiterbildungen sind Firmenkontakte Pflicht. TN sollten bei Suche nach geeigneten Betrieben durch regionale Listen unterst\u00fctzt. \n-Ggf. sollte die Eignung bei der zust\u00e4ndigen IHK vor Ort unsererseits als Seviceleistung abgefragt werden. \n-WBT z.T. Praktikum, analog B\u00fcromanagement allgemein ODER spezifisch zu allen Themenbereichen.\n-Zudem macht es Sinn, Alumni i.R. der Eingliederungsbefragung nach 3 UND 6 Monaten nach Ihrem AG und den Rahmenbedingungen (Zufriedenheit Gehalt, Nachhaltigkeit der Besch\u00e4ftigung u.v.m.) zu befragen, regional zu clustern und Kontakte \u00e4hnlichen TN-Profilen zuzuordnen."}</commentJson>
      </ext>
    </extLst>
  </threadedComment>
  <threadedComment ref="K231" dT="2023-05-11T04:38:05.00" personId="{AD6B7170-986B-BD96-C105-823DB1AFB2B5}" id="{B27DC41B-603A-DB60-83E3-71237500B558}" parentId="{7ABF41C9-31DA-EB4A-990A-73D20F0EF62B}" done="1">
    <text/>
    <extLst>
      <ext uri="urn:synology:office:spreadsheet">
        <commentJson>{"id": "d2ff696c100aecc4", "author": 1120, "status": 1, "text": "", "timestamp": 1683779885796, "lastModified": 1683779885796}</commentJson>
      </ext>
    </extLst>
  </threadedComment>
  <threadedComment ref="J232" dT="2023-05-18T19:16:21.00" personId="{B50A6D27-CDC8-F7E1-74A7-987BFF50E6C4}" id="{4781F5B5-D9F4-067C-6381-B5C7224B1765}">
    <text>@Patrick / @"Stefan Hertwig" - der ergänzende, kostenfreie Fernlehrgang "richtig bewerben" sollte doch genügen, dass Absolventen eine ordentliche Bewerbung erstellen. Wir werden hier keine synchrone Zeit investieren. Bitte Prozess umformulieren und auch technisch nichts angehen.</text>
    <extLst>
      <ext uri="urn:synology:office:spreadsheet">
        <commentJson>{"id": "6a1a69e8ca8f9536", "author": 1030, "status": 0, "text": "@Patrick / @\"Stefan Hertwig\" - der erg\u00e4nzende, kostenfreie Fernlehrgang \"richtig bewerben\" sollte doch gen\u00fcgen, dass Absolventen eine ordentliche Bewerbung erstellen. Wir werden hier keine synchrone Zeit investieren. Bitte Prozess umformulieren und auch technisch nichts angehen.", "timestamp": 1684437381267, "lastModified": 1684734062215, "type": 0, "row": 231, "col": 9, "sheetId": "sh_12", "cellText": "Erstellung von Bewerbungsunterlagen"}</commentJson>
      </ext>
    </extLst>
  </threadedComment>
  <threadedComment ref="J232" dT="2023-05-22T05:41:02.00" personId="{AD6B7170-986B-BD96-C105-823DB1AFB2B5}" id="{C41BAECA-275D-7D8A-DBD8-6C9750479851}" parentId="{4781F5B5-D9F4-067C-6381-B5C7224B1765}">
    <text>Ja, sollte, wenn konsequent umgesetzt. Mir persönlich geht es um die weitere optionale Hilfestellung, um die IQ zu erhöhen.</text>
    <extLst>
      <ext uri="urn:synology:office:spreadsheet">
        <commentJson>{"id": "005f9e219191d2a6", "author": 1120, "status": 0, "text": "Ja, sollte, wenn konsequent umgesetzt. Mir pers\u00f6nlich geht es um die weitere optionale Hilfestellung, um die IQ zu erh\u00f6hen.", "timestamp": 1684734062215, "lastModified": 1684734062215}</commentJson>
      </ext>
    </extLst>
  </threadedComment>
  <threadedComment ref="J239" dT="2023-05-16T06:29:42.00" personId="{B50A6D27-CDC8-F7E1-74A7-987BFF50E6C4}" id="{1E8461A9-9D2A-E9EE-2D3D-CBE95AA9ABA8}">
    <text>@:stefan.hertwig:user:1078 - ist dies nicht bereits oben behandelt? Dies ist doch "Buchungsbestätigung"</text>
    <extLst>
      <ext uri="urn:synology:office:spreadsheet">
        <commentJson>{"id": "630040b1b580132e", "author": 1030, "status": 0, "text": "@:stefan.hertwig:user:1078 - ist dies nicht bereits oben behandelt? Dies ist doch \"Buchungsbest\u00e4tigung\"", "timestamp": 1684218582653, "lastModified": 1684218582653, "type": 0, "row": 238, "col": 9, "sheetId": "sh_12", "cellText": "Zugang zu Lernmaterialien und Ressourcen"}</commentJson>
      </ext>
    </extLst>
  </threadedComment>
  <threadedComment ref="K304" dT="2023-05-10T14:28:46.00" personId="{B50A6D27-CDC8-F7E1-74A7-987BFF50E6C4}" id="{915758B8-567C-DE01-2F84-AD46684EAAAC}" done="1">
    <text>@:patrick.arnold:user:1120 - mit Ebene 4 weitere Zeilen darunter einfügen und jeden Prüfpunkt eines internen Audits separat erfassen.</text>
    <extLst>
      <ext uri="urn:synology:office:spreadsheet">
        <commentJson>{"id": "2c956d65339e2100", "author": 1030, "status": 1, "text": "@:patrick.arnold:user:1120 - mit Ebene 4 weitere Zeilen darunter einf\u00fcgen und jeden Pr\u00fcfpunkt eines internen Audits separat erfassen.", "timestamp": 1683728926752, "lastModified": 1683780261106, "type": 0, "row": 303, "col": 10, "sheetId": "sh_12", "cellText": "Zur Vereinfachung des Systems in RS mit dem Auditor, wurde folgender, einfacherer Prozess, als praktikabel und rechtskonform besprochen (letztes Jahr hatte ich einen Auditbogen eingebracht, den Max M. in den bestehenden eingearbeitet hatte).\n1. Externe MA (idealerweise durch Personalrefrenten):\n1.1. Neue Dozenten/Tutoren obligatorisch.\n1.2. Bereits eingesetzte Dozenten bei Wechsel des Einsatz-/Themengebiets.\n1.3. Dozenten bei Beschwerden/schlechten Bewertungen (zu def.).\nWICHTIG ist der Dakks nur, dass \"\u00dcberpr\u00fcfungen stattfinden\".\nD.h. wenn 1.1. - 1.3. nicht der Fall, k\u00f6nnten z.B. auch einfach stichprobenartig Audits in Form von Dokumentenpr\u00fcfungen stattfinden, z.B. das Nachkommen der Dokumentationspflichten etc. Es sollten nur ein paar im laufenden Jahr gemacht werden. "}</commentJson>
      </ext>
    </extLst>
  </threadedComment>
  <threadedComment ref="K304" dT="2023-05-11T04:44:21.00" personId="{AD6B7170-986B-BD96-C105-823DB1AFB2B5}" id="{F65430BB-E04B-A14D-4A7C-BAC79A3E73C4}" parentId="{915758B8-567C-DE01-2F84-AD46684EAAAC}" done="1">
    <text/>
    <extLst>
      <ext uri="urn:synology:office:spreadsheet">
        <commentJson>{"id": "418f257a0f926f05", "author": 1120, "status": 1, "text": "", "timestamp": 1683780261106, "lastModified": 1683780261106}</commentJson>
      </ext>
    </extLst>
  </threadedComment>
  <threadedComment ref="N325" dT="2023-05-15T10:00:24.00" personId="{AD6B7170-986B-BD96-C105-823DB1AFB2B5}" id="{0FE6898F-C2C7-CFF8-383C-5EB05FF99AB5}">
    <text>Nur als Wiki vorhanden, wird für Audit vorausgesetzt und sollte ausgearbeitet werden. Das verlinkte wurde während des Audits erstellt, um Mind.anf. zu erfüllen.</text>
    <extLst>
      <ext uri="urn:synology:office:spreadsheet">
        <commentJson>{"id": "4cc817dab2d94fa9", "author": 1120, "status": 0, "text": "Nur als Wiki vorhanden, wird f\u00fcr Audit vorausgesetzt und sollte ausgearbeitet werden. Das verlinkte wurde w\u00e4hrend des Audits erstellt, um Mind.anf. zu erf\u00fcllen.", "timestamp": 1684144824977, "lastModified": 1684144824977, "type": 0, "row": 324, "col": 13, "sheetId": "sh_12", "cellText": "WIKI: \u00dcberpr\u00fcfung und Festlegung der Qualit\u00e4ts- und Unternehmensziele"}</commentJson>
      </ext>
    </extLst>
  </threadedComment>
  <threadedComment ref="O345" dT="2023-05-15T06:36:45.00" personId="{AD6B7170-986B-BD96-C105-823DB1AFB2B5}" id="{E73B7FBE-454D-C0CA-727D-E5E2B81AEB6A}">
    <text>GENERELL: AZAV-rel. Zahlen/Cluster etc. sollten übergreifend ausgewertet werden bzw. Analyseziele mit AZAV-B. + GF abgesprochen werden, Schlüsse gem. gezogen und Umsetzung in Fachabteilung erfolgen =&gt;PROZESS DEF.!!!</text>
    <extLst>
      <ext uri="urn:synology:office:spreadsheet">
        <commentJson>{"id": "50f9ca0a6fa18ce7", "author": 1120, "status": 0, "text": "GENERELL: AZAV-rel. Zahlen/Cluster etc. sollten \u00fcbergreifend ausgewertet werden bzw. Analyseziele mit AZAV-B. + GF abgesprochen werden, Schl\u00fcsse gem. gezogen und Umsetzung in Fachabteilung erfolgen =&gt;PROZESS DEF.!!!", "timestamp": 1684132605147, "lastModified": 1684132605147, "type": 0, "row": 344, "col": 14, "sheetId": "sh_12", "cellText": "Marketing"}</commentJson>
      </ext>
    </extLst>
  </threadedComment>
  <threadedComment ref="O349" dT="2023-05-15T06:43:51.00" personId="{AD6B7170-986B-BD96-C105-823DB1AFB2B5}" id="{8D32920D-529F-0C43-E789-797658117B55}">
    <text>AZAV-rel. Inhalte sollten mit AZAV-B. (abgesehen von Vertriebsperformance) abgestimmt werden, ggf. Texte (Ins. bzg. Wording/Recht/Zielgruppenadressierung etc.</text>
    <extLst>
      <ext uri="urn:synology:office:spreadsheet">
        <commentJson>{"id": "d500b484af29fb74", "author": 1120, "status": 0, "text": "AZAV-rel. Inhalte sollten mit AZAV-B. (abgesehen von Vertriebsperformance) abgestimmt werden, ggf. Texte (Ins. bzg. Wording/Recht/Zielgruppenadressierung etc.", "timestamp": 1684133031759, "lastModified": 1684133031759, "type": 0, "row": 348, "col": 14, "sheetId": "sh_12", "cellText": "Marketing"}</commentJson>
      </ext>
    </extLst>
  </threadedComment>
  <extLst>
    <ext uri="urn:synology:office:spreadsheet" ref="D8" id="663c17f31993ef27">
      <threadText>@:Jasmin Alves:user:1034 / @:Axel Mäder:user:1042 - was ist mit Prozess-ID gemeint? Ebene?
-user1030
@:tobias.wenninger:user:1030 : Wie bereits besprochen, korrekt. Ebeneen.
-Axel Mäder
-Axel Mäder</threadText>
      <threadJson>{"id": "663c17f31993ef27", "author": 1030, "status": 1, "text": "@:Jasmin Alves:user:1034 / @:Axel M\u00e4der:user:1042 - was ist mit Prozess-ID gemeint? Ebene?", "timestamp": 1683182911866, "lastModified": 1683266873947, "type": 0, "row": 7, "col": 3, "sheetId": "sh_12", "cellText": "Prozess-ID", "replies": [{"id": "4a15b174e27062e3", "author": 1042, "status": 0, "text": "@:tobias.wenninger:user:1030 : Wie bereits besprochen, korrekt. Ebeneen.", "timestamp": 1683266872425, "lastModified": 1683266872425}, {"id": "7dd43d3808cb3c04", "author": 1042, "status": 1, "text": "", "timestamp": 1683266873947, "lastModified": 1683266873947}]}</threadJson>
    </ext>
    <ext uri="urn:synology:office:spreadsheet" ref="P9" id="0c1fa3c5a3fcb5c8">
      <threadText>Ich würde hier keine Wikis als Vorlagen nehmen, da tlw. widersprüchlich und an den Nahtstellen zu anderen Themen und z.T. inhaltlich nicht aktuell bzw. nur notdürftig erstellt, z.B. KPI.
BESSER: Die Themenbereiche, wie in Spalte K hinterlegt, nutzen und einen stringenten Prozess mit neuen Etappen in Form von Wikis aufsetzen sowie Verweise auf synchrone Prozesse aus anderen Arbeitsbereichen, die dann an den Nahtstellen in einer Gesamtprozesslandschaft abgebildet sind.
-user1120</threadText>
      <threadJson>{"id": "0c1fa3c5a3fcb5c8", "author": 1120, "status": 0, "text": "Ich w\u00fcrde hier keine Wikis als Vorlagen nehmen, da tlw. widerspr\u00fcchlich und an den Nahtstellen zu anderen Themen und z.T. inhaltlich nicht aktuell bzw. nur notd\u00fcrftig erstellt, z.B. KPI.\nBESSER: Die Themenbereiche, wie in Spalte K hinterlegt, nutzen und einen stringenten Prozess mit neuen Etappen in Form von Wikis aufsetzen sowie Verweise auf synchrone Prozesse aus anderen Arbeitsbereichen, die dann an den Nahtstellen in einer Gesamtprozesslandschaft abgebildet sind.", "timestamp": 1684300097656, "lastModified": 1684738695230, "type": 0, "row": 8, "col": 15, "sheetId": "sh_12", "cellText": "Bisherige Verfahrens-anweisung", "replies": []}</threadJson>
    </ext>
  </extLst>
</ThreadedComments>
</file>

<file path=xl/threadedComments/threadedComment3.xml><?xml version="1.0" encoding="utf-8"?>
<ThreadedComments xmlns="http://schemas.microsoft.com/office/spreadsheetml/2018/threadedcomments" xmlns:x="http://schemas.openxmlformats.org/spreadsheetml/2006/main">
  <threadedComment ref="Q156" dT="2023-06-19T12:39:11.00" personId="{94653740-0231-EBF9-31F2-379C77CF08FF}" id="{FB081A00-3FC4-791D-79AB-CD704D94CFCB}">
    <text>Neu formulieren</text>
    <extLst>
      <ext uri="urn:synology:office:spreadsheet">
        <commentJson>{"id": "81722e196ebd9165", "author": 1032, "status": 0, "text": "Neu formulieren", "timestamp": 1687178351097, "lastModified": 1687178351097, "type": 0, "row": 155, "col": 16, "sheetId": "sh_41", "cellText": "KO schlie\u00dft Korrektur ab. Sonst l\u00e4uft CUS_EXA_005 weiter"}</commentJson>
      </ext>
    </extLst>
  </threadedComment>
</ThreadedComments>
</file>

<file path=xl/threadedComments/threadedComment4.xml><?xml version="1.0" encoding="utf-8"?>
<ThreadedComments xmlns="http://schemas.microsoft.com/office/spreadsheetml/2018/threadedcomments" xmlns:x="http://schemas.openxmlformats.org/spreadsheetml/2006/main">
  <threadedComment ref="E39" dT="2023-06-15T13:07:24.00" personId="{1A198205-C43B-4661-4DB8-1605131C618E}" id="{0E518500-C7DC-9D25-EC3A-573812BDE05B}" done="1">
    <text>@:Franziska.Düßdorf:user:1118  Sollen wir das hier aufführen oder läuft das wieder gleich ab wie bei Autoren?</text>
    <extLst>
      <ext uri="urn:synology:office:spreadsheet">
        <commentJson>{"id": "9a860d6fab06e748", "author": 1109, "status": 1, "text": "@:Franziska.D\u00fc\u00dfdorf:user:1118  Sollen wir das hier auff\u00fchren oder l\u00e4uft das wieder gleich ab wie bei Autoren?", "timestamp": 1686834444414, "lastModified": 1687347446400, "type": 0, "row": 38, "col": 4, "sheetId": "sh_47", "cellText": "Teilprojekt Begutachtung: Abschluss"}</commentJson>
      </ext>
    </extLst>
  </threadedComment>
  <threadedComment ref="E39" dT="2023-06-15T13:41:24.00" personId="{379CD8D8-299E-2734-CA6F-D960F2C7CDCD}" id="{61B4CF8C-EE41-DE80-477E-2520D9AA423A}" parentId="{0E518500-C7DC-9D25-EC3A-573812BDE05B}" done="1">
    <text>@:Mandy Klaaßen:user:1109 ich würde es hier mit aufnehmen :)</text>
    <extLst>
      <ext uri="urn:synology:office:spreadsheet">
        <commentJson>{"id": "e7e4bfe462f3fa1b", "author": 1118, "status": 0, "text": "@:Mandy Klaa\u00dfen:user:1109 ich w\u00fcrde es hier mit aufnehmen :)", "timestamp": 1686836484197, "lastModified": 1686836484197}</commentJson>
      </ext>
    </extLst>
  </threadedComment>
  <threadedComment ref="E39" dT="2023-06-21T11:37:26.00" personId="{1A198205-C43B-4661-4DB8-1605131C618E}" id="{90242333-1901-EC90-BDF8-931E42A121D1}" parentId="{0E518500-C7DC-9D25-EC3A-573812BDE05B}" done="1">
    <text/>
    <extLst>
      <ext uri="urn:synology:office:spreadsheet">
        <commentJson>{"id": "fb623b30a2431681", "author": 1109, "status": 1, "text": "", "timestamp": 1687347446400, "lastModified": 1687347446400}</commentJson>
      </ext>
    </extLst>
  </threadedComment>
</ThreadedComments>
</file>

<file path=xl/threadedComments/threadedComment5.xml><?xml version="1.0" encoding="utf-8"?>
<ThreadedComments xmlns="http://schemas.microsoft.com/office/spreadsheetml/2018/threadedcomments" xmlns:x="http://schemas.openxmlformats.org/spreadsheetml/2006/main">
  <threadedComment ref="A1" dT="2023-06-16T06:44:57.00" personId="{AD6B7170-986B-BD96-C105-823DB1AFB2B5}" id="{8D58924B-801A-A768-24B9-0C2D659CBB7B}" done="1">
    <text>Prioritätsintern farblich anhand Aufwand infolge Quantität und effizientem Zugang gestaffelt.</text>
    <extLst>
      <ext uri="urn:synology:office:spreadsheet">
        <commentJson>{"id": "711038fa6b477300", "author": 1120, "status": 1, "text": "Priorit\u00e4tsintern farblich anhand Aufwand infolge Quantit\u00e4t und effizientem Zugang gestaffelt.", "timestamp": 1686897897034, "lastModified": 1687254481001, "type": 0, "row": 0, "col": 0, "sheetId": "sh_45", "cellText": "Bemessungspriorit\u00e4t"}</commentJson>
      </ext>
    </extLst>
  </threadedComment>
  <threadedComment ref="A1" dT="2023-06-20T09:48:01.00" personId="{68998B2A-950C-F4C2-B044-BA20817FD8A7}" id="{30934F1A-3B11-7EB0-6692-7AADD1118562}" parentId="{8D58924B-801A-A768-24B9-0C2D659CBB7B}" done="1">
    <text/>
    <extLst>
      <ext uri="urn:synology:office:spreadsheet">
        <commentJson>{"id": "afd1b34c1495cc9e", "author": 1147, "status": 1, "text": "", "timestamp": 1687254481001, "lastModified": 1687254481001}</commentJson>
      </ext>
    </extLst>
  </threadedComment>
  <threadedComment ref="A2" dT="2023-06-20T05:12:17.00" personId="{AD6B7170-986B-BD96-C105-823DB1AFB2B5}" id="{7F4B3825-4AAB-9DF9-4BA7-3B2BAE54573D}">
    <text>Absolute Primärquelle.</text>
    <extLst>
      <ext uri="urn:synology:office:spreadsheet">
        <commentJson>{"id": "8d0cdaf0103cf6a9", "author": 1120, "status": 0, "text": "Absolute Prim\u00e4rquelle.", "timestamp": 1687237937259, "lastModified": 1687237937259, "type": 0, "row": 1, "col": 0, "sheetId": "sh_45", "cellText": "1"}</commentJson>
      </ext>
    </extLst>
  </threadedComment>
  <threadedComment ref="A4" dT="2023-06-19T06:39:31.00" personId="{AD6B7170-986B-BD96-C105-823DB1AFB2B5}" id="{F27063DF-A1B0-E614-DC3E-A536DEE2F2D3}">
    <text>Einschränkend, da hoher Aufwand.</text>
    <extLst>
      <ext uri="urn:synology:office:spreadsheet">
        <commentJson>{"id": "7f457a3a3fe8f897", "author": 1120, "status": 0, "text": "Einschr\u00e4nkend, da hoher Aufwand.", "timestamp": 1687156771425, "lastModified": 1687156771425, "type": 0, "row": 3, "col": 0, "sheetId": "sh_45", "cellText": "2"}</commentJson>
      </ext>
    </extLst>
  </threadedComment>
  <threadedComment ref="A8" dT="2023-06-20T05:11:15.00" personId="{AD6B7170-986B-BD96-C105-823DB1AFB2B5}" id="{5097A2E2-8B6C-B7BC-58E6-17D78CE7A83C}">
    <text>Kategorie 3 dient primär zur Hypothesenstützung.</text>
    <extLst>
      <ext uri="urn:synology:office:spreadsheet">
        <commentJson>{"id": "f2076dd5a59bc806", "author": 1120, "status": 0, "text": "Kategorie 3 dient prim\u00e4r zur Hypothesenst\u00fctzung.", "timestamp": 1687237875046, "lastModified": 1687237875046, "type": 0, "row": 7, "col": 0, "sheetId": "sh_45", "cellText": "3"}</commentJson>
      </ext>
    </extLst>
  </threadedComment>
  <threadedComment ref="A11" dT="2023-06-19T09:38:39.00" personId="{AD6B7170-986B-BD96-C105-823DB1AFB2B5}" id="{6ABB96BF-5F96-FD9A-C1B8-2D178447AE3C}">
    <text>Prinzipiell bei Clusterung höher zu bewerten, jedoch oft nur punktueller bzw. subjektiver Eindruck durch Selection Bias innerhalb eigenem Netzwerk.</text>
    <extLst>
      <ext uri="urn:synology:office:spreadsheet">
        <commentJson>{"id": "f9c2d39e32fcc519", "author": 1120, "status": 0, "text": "Prinzipiell bei Clusterung h\u00f6her zu bewerten, jedoch oft nur punktueller bzw. subjektiver Eindruck durch Selection Bias innerhalb eigenem Netzwerk.", "timestamp": 1687167519533, "lastModified": 1688035647148, "type": 0, "row": 10, "col": 0, "sheetId": "sh_45", "cellText": "4"}</commentJson>
      </ext>
    </extLst>
  </threadedComment>
  <threadedComment ref="A12" dT="2023-06-20T05:03:42.00" personId="{AD6B7170-986B-BD96-C105-823DB1AFB2B5}" id="{F0DF5FA7-DA61-3323-53FB-7F4ED6EB80CF}">
    <text>Derzeit von sehr wenigen BA angeboten und aktuell kaum Resonanz.</text>
    <extLst>
      <ext uri="urn:synology:office:spreadsheet">
        <commentJson>{"id": "06a96b951033645b", "author": 1120, "status": 0, "text": "Derzeit von sehr wenigen BA angeboten und aktuell kaum Resonanz.", "timestamp": 1687237422405, "lastModified": 1687237422405, "type": 0, "row": 11, "col": 0, "sheetId": "sh_45", "cellText": "5\n(perspektivisch, Entwicklung unter Beobachtung)"}</commentJson>
      </ext>
    </extLst>
  </threadedComment>
</ThreadedComments>
</file>

<file path=xl/threadedComments/threadedComment6.xml><?xml version="1.0" encoding="utf-8"?>
<ThreadedComments xmlns="http://schemas.microsoft.com/office/spreadsheetml/2018/threadedcomments" xmlns:x="http://schemas.openxmlformats.org/spreadsheetml/2006/main">
  <threadedComment ref="J30" dT="2023-05-30T08:36:49.00" personId="{1A198205-C43B-4661-4DB8-1605131C618E}" id="{AAB3F46F-F1B7-3EAF-FE96-BE00A4E03B45}">
    <text>@:Axel Mäder:user:1042 @:Franziska.Düßdorf:user:1118  AZAV hier gleich Partner B2G?</text>
    <extLst>
      <ext uri="urn:synology:office:spreadsheet">
        <commentJson>{"id": "b8030549938883fd", "author": 1109, "status": 0, "text": "@:Axel M\u00e4der:user:1042 @:Franziska.D\u00fc\u00dfdorf:user:1118  AZAV hier gleich Partner B2G?", "timestamp": 1685435809334, "lastModified": 1685944179110, "type": 0, "row": 29, "col": 9, "sheetId": "sh_32", "cellText": "AZAV Vorabrecherche einholen"}</commentJson>
      </ext>
    </extLst>
  </threadedComment>
  <threadedComment ref="J30" dT="2023-06-05T05:49:39.00" personId="{379CD8D8-299E-2734-CA6F-D960F2C7CDCD}" id="{519E4233-7A5F-C5B0-CA40-A2E4CC146108}" parentId="{AAB3F46F-F1B7-3EAF-FE96-BE00A4E03B45}">
    <text>@:Mandy Klaaßen:user:1109 korrekt</text>
    <extLst>
      <ext uri="urn:synology:office:spreadsheet">
        <commentJson>{"id": "18201b3c84999315", "author": 1118, "status": 0, "text": "@:Mandy Klaa\u00dfen:user:1109 korrekt", "timestamp": 1685944179110, "lastModified": 1685944179110}</commentJson>
      </ext>
    </extLst>
  </threadedComment>
  <threadedComment ref="J35" dT="2023-05-30T08:39:23.00" personId="{1A198205-C43B-4661-4DB8-1605131C618E}" id="{BE8E0E40-18A7-3057-57B2-42517A09E866}">
    <text>die Umsetzungsentscheidung an für sich gehört nicht zur päd. sondern zu BCB.</text>
    <extLst>
      <ext uri="urn:synology:office:spreadsheet">
        <commentJson>{"id": "6b9a0054b12488e4", "author": 1109, "status": 0, "text": "die Umsetzungsentscheidung an f\u00fcr sich geh\u00f6rt nicht zur p\u00e4d. sondern zu BCB.", "timestamp": 1685435963122, "lastModified": 1685435963122, "type": 0, "row": 34, "col": 9, "sheetId": "sh_32", "cellText": "Beurteilung und Entscheidung (= MEILENSTEIN)"}</commentJson>
      </ext>
    </extLst>
  </threadedComment>
  <threadedComment ref="L39" dT="2023-06-20T05:41:47.00" personId="{379CD8D8-299E-2734-CA6F-D960F2C7CDCD}" id="{99205951-CCF2-10A8-ED09-4B064485462A}">
    <text>Das sehe ich anders. Als PM arbeite ich mit Fachexperten, bin es aber nicht - zumindest nicht für alle meine Produkte. Das kann ich gar nicht leisten, dafür ist die Palette bei mir zu breit. Die Rollendefinitionen sollten mMn nicht um zusätzliche Titel erweitert werden, das wird unübersichtlich.</text>
    <extLst>
      <ext uri="urn:synology:office:spreadsheet">
        <commentJson>{"id": "a70bfed31a18f3c7", "author": 1118, "status": 0, "text": "Das sehe ich anders. Als PM arbeite ich mit Fachexperten, bin es aber nicht - zumindest nicht f\u00fcr alle meine Produkte. Das kann ich gar nicht leisten, daf\u00fcr ist die Palette bei mir zu breit. Die Rollendefinitionen sollten mMn nicht um zus\u00e4tzliche Titel erweitert werden, das wird un\u00fcbersichtlich.", "timestamp": 1687239707171, "lastModified": 1687239707171, "type": 0, "row": 38, "col": 11, "sheetId": "sh_32", "cellText": "MA-P -&gt; hier sollten wir vom Fachexperten sprechen."}</commentJson>
      </ext>
    </extLst>
  </threadedComment>
  <threadedComment ref="J40" dT="2023-05-30T08:58:24.00" personId="{1A198205-C43B-4661-4DB8-1605131C618E}" id="{BF97E8DF-E219-06EC-6D6A-394E9FF41858}" done="1">
    <text>ist die Berechnung hier bereits sinnvoll und zielführend möglich?</text>
    <extLst>
      <ext uri="urn:synology:office:spreadsheet">
        <commentJson>{"id": "5df15be2f1b7e747", "author": 1109, "status": 1, "text": "ist die Berechnung hier bereits sinnvoll und zielf\u00fchrend m\u00f6glich?", "timestamp": 1685437104219, "lastModified": 1685438244111, "type": 0, "row": 39, "col": 9, "sheetId": "sh_32", "cellText": "Produktberechnungen im Ablaufplan)"}</commentJson>
      </ext>
    </extLst>
  </threadedComment>
  <threadedComment ref="J40" dT="2023-05-30T09:17:24.00" personId="{1A198205-C43B-4661-4DB8-1605131C618E}" id="{CCF1ACC7-55EA-DD71-6ECB-5AC4E133D3FE}" parentId="{BF97E8DF-E219-06EC-6D6A-394E9FF41858}" done="1">
    <text/>
    <extLst>
      <ext uri="urn:synology:office:spreadsheet">
        <commentJson>{"id": "781db1fe2a42a6cd", "author": 1109, "status": 1, "text": "", "timestamp": 1685438244111, "lastModified": 1685438244111}</commentJson>
      </ext>
    </extLst>
  </threadedComment>
  <threadedComment ref="J41" dT="2023-05-30T09:20:10.00" personId="{1A198205-C43B-4661-4DB8-1605131C618E}" id="{B37EDF11-AB01-B6DA-56C1-DD9D4D158B69}" done="1">
    <text>@:Franziska.Düßdorf:user:1118 @:Axel Mäder:user:1042 sollen Lehrmaterialpläne hier schon mit anlegen?</text>
    <extLst>
      <ext uri="urn:synology:office:spreadsheet">
        <commentJson>{"id": "824749c5c9ce01fb", "author": 1109, "status": 1, "text": "@:Franziska.D\u00fc\u00dfdorf:user:1118 @:Axel M\u00e4der:user:1042 sollen Lehrmaterialpl\u00e4ne hier schon mit anlegen?", "timestamp": 1685438410620, "lastModified": 1685438548258, "type": 0, "row": 40, "col": 9, "sheetId": "sh_32", "cellText": "Grober Ablaufplan (anhand des Projektplans ggf. in Zusammenarbeit mit Fachexperten)"}</commentJson>
      </ext>
    </extLst>
  </threadedComment>
  <threadedComment ref="J41" dT="2023-05-30T09:22:28.00" personId="{1A198205-C43B-4661-4DB8-1605131C618E}" id="{82B584DE-F5F4-7D1C-BFE6-95A8E66F2111}" parentId="{B37EDF11-AB01-B6DA-56C1-DD9D4D158B69}" done="1">
    <text/>
    <extLst>
      <ext uri="urn:synology:office:spreadsheet">
        <commentJson>{"id": "930673a9ddd7ac78", "author": 1109, "status": 1, "text": "", "timestamp": 1685438548258, "lastModified": 1685438548258}</commentJson>
      </ext>
    </extLst>
  </threadedComment>
  <threadedComment ref="G62" dT="2023-05-30T08:24:27.00" personId="{1A198205-C43B-4661-4DB8-1605131C618E}" id="{DBC17822-1FE9-6C42-33E5-FDEBB996A1FB}" done="1">
    <text>muss definiert werden wie viel % der Lehrmedien vorhanden sind.</text>
    <extLst>
      <ext uri="urn:synology:office:spreadsheet">
        <commentJson>{"id": "12048ae3afc62ca6", "author": 1109, "status": 1, "text": "muss definiert werden wie viel % der Lehrmedien vorhanden sind.", "timestamp": 1685435067872, "lastModified": 1702994476751, "type": 0, "row": 61, "col": 6, "sheetId": "sh_32", "cellText": "Zulassung"}</commentJson>
      </ext>
    </extLst>
  </threadedComment>
  <threadedComment ref="G62" dT="2023-12-19T14:01:16.00" personId="{74263586-A56E-85A0-710F-3CD3A17CDAAA}" id="{737431B6-6B1C-BEA7-E905-1C706A1DE49E}" parentId="{DBC17822-1FE9-6C42-33E5-FDEBB996A1FB}" done="1">
    <text/>
    <extLst>
      <ext uri="urn:synology:office:spreadsheet">
        <commentJson>{"id": "c1712b76d17cde9c", "author": 1042, "status": 1, "text": "", "timestamp": 1702994476751, "lastModified": 1702994476751}</commentJson>
      </ext>
    </extLst>
  </threadedComment>
  <threadedComment ref="G71" dT="2023-05-30T09:33:10.00" personId="{1A198205-C43B-4661-4DB8-1605131C618E}" id="{090E7F85-9525-6A3F-736B-97C05394AA9F}">
    <text>kommt das in den Prozess der LEhrmaterialerstellun mit rein und hier raus?</text>
    <extLst>
      <ext uri="urn:synology:office:spreadsheet">
        <commentJson>{"id": "abe0778b920d808b", "author": 1109, "status": 0, "text": "kommt das in den Prozess der LEhrmaterialerstellun mit rein und hier raus?", "timestamp": 1685439190695, "lastModified": 1685439190695, "type": 0, "row": 70, "col": 6, "sheetId": "sh_32", "cellText": "Produktleseprobe"}</commentJson>
      </ext>
    </extLs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3.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4.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23.xml"/><Relationship Id="rId1" Type="http://schemas.openxmlformats.org/officeDocument/2006/relationships/vmlDrawing" Target="../drawings/vmlDrawing2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55"/>
  <sheetViews>
    <sheetView workbookViewId="0">
      <pane ySplit="9" topLeftCell="A10" activePane="bottomLeft" state="frozen"/>
      <selection pane="bottomLeft"/>
    </sheetView>
  </sheetViews>
  <sheetFormatPr baseColWidth="10" defaultColWidth="14.5703125" defaultRowHeight="15" x14ac:dyDescent="0.25"/>
  <cols>
    <col min="1" max="1" width="3.42578125" customWidth="1"/>
    <col min="2" max="2" width="11.7109375" customWidth="1"/>
    <col min="3" max="3" width="14.42578125" customWidth="1"/>
    <col min="4" max="4" width="6.140625" customWidth="1"/>
    <col min="5" max="10" width="3.42578125" customWidth="1"/>
    <col min="11" max="11" width="42.7109375" customWidth="1"/>
    <col min="12" max="12" width="59" customWidth="1"/>
    <col min="13" max="13" width="23.140625" customWidth="1"/>
    <col min="14" max="18" width="17" customWidth="1"/>
    <col min="19" max="19" width="17.7109375" customWidth="1"/>
    <col min="21" max="21" width="14.42578125" customWidth="1"/>
    <col min="22" max="22" width="13.85546875" customWidth="1"/>
    <col min="23" max="24" width="31.85546875" customWidth="1"/>
    <col min="25" max="25" width="14.42578125" customWidth="1"/>
  </cols>
  <sheetData>
    <row r="2" spans="1:25" x14ac:dyDescent="0.25">
      <c r="J2" s="736"/>
      <c r="K2" t="s">
        <v>0</v>
      </c>
    </row>
    <row r="3" spans="1:25" x14ac:dyDescent="0.25">
      <c r="J3" s="43"/>
      <c r="K3" t="s">
        <v>1</v>
      </c>
    </row>
    <row r="4" spans="1:25" x14ac:dyDescent="0.25">
      <c r="J4" s="42"/>
      <c r="K4" t="s">
        <v>2</v>
      </c>
    </row>
    <row r="5" spans="1:25" x14ac:dyDescent="0.25">
      <c r="J5" s="106"/>
      <c r="K5" t="s">
        <v>3</v>
      </c>
    </row>
    <row r="6" spans="1:25" x14ac:dyDescent="0.25">
      <c r="J6" s="121"/>
      <c r="K6" t="s">
        <v>4</v>
      </c>
    </row>
    <row r="8" spans="1:25" x14ac:dyDescent="0.25">
      <c r="B8" s="122" t="s">
        <v>5</v>
      </c>
      <c r="C8" s="122" t="s">
        <v>6</v>
      </c>
      <c r="D8" s="122" t="s">
        <v>7</v>
      </c>
      <c r="E8" s="1077" t="s">
        <v>8</v>
      </c>
      <c r="F8" s="1077"/>
      <c r="G8" s="1077"/>
      <c r="H8" s="1077"/>
      <c r="I8" s="1077"/>
      <c r="J8" s="1077"/>
      <c r="K8" s="1077"/>
      <c r="L8" s="1078"/>
      <c r="M8" s="1079"/>
      <c r="N8" s="1080"/>
      <c r="O8" s="1080"/>
      <c r="P8" s="1080"/>
      <c r="Q8" s="1080"/>
      <c r="R8" s="1080"/>
      <c r="S8" s="1080"/>
      <c r="T8" s="1080"/>
      <c r="U8" s="1080"/>
      <c r="V8" s="1080"/>
      <c r="W8" s="1080"/>
      <c r="X8" s="1080"/>
      <c r="Y8" s="1079"/>
    </row>
    <row r="9" spans="1:25" s="2" customFormat="1" ht="36.75" customHeight="1" x14ac:dyDescent="0.25">
      <c r="A9"/>
      <c r="B9" s="7"/>
      <c r="C9" s="7"/>
      <c r="D9" s="7"/>
      <c r="E9" s="7" t="s">
        <v>9</v>
      </c>
      <c r="F9" s="32" t="s">
        <v>10</v>
      </c>
      <c r="G9" s="32" t="s">
        <v>11</v>
      </c>
      <c r="H9" s="32" t="s">
        <v>12</v>
      </c>
      <c r="I9" s="32" t="s">
        <v>13</v>
      </c>
      <c r="J9" s="32" t="s">
        <v>14</v>
      </c>
      <c r="K9" s="737" t="s">
        <v>15</v>
      </c>
      <c r="L9" s="738" t="s">
        <v>16</v>
      </c>
      <c r="M9" s="739" t="s">
        <v>17</v>
      </c>
      <c r="N9" s="740" t="s">
        <v>18</v>
      </c>
      <c r="O9" s="740" t="s">
        <v>19</v>
      </c>
      <c r="P9" s="33" t="s">
        <v>20</v>
      </c>
      <c r="Q9" s="740" t="s">
        <v>21</v>
      </c>
      <c r="R9" s="740" t="s">
        <v>22</v>
      </c>
      <c r="S9" s="740" t="s">
        <v>23</v>
      </c>
      <c r="T9" s="741" t="s">
        <v>24</v>
      </c>
      <c r="U9" s="34" t="s">
        <v>25</v>
      </c>
      <c r="V9" s="34" t="s">
        <v>26</v>
      </c>
      <c r="W9" s="35" t="s">
        <v>27</v>
      </c>
      <c r="X9" s="34" t="s">
        <v>28</v>
      </c>
      <c r="Y9" s="34" t="s">
        <v>29</v>
      </c>
    </row>
    <row r="10" spans="1:25" s="2" customFormat="1" ht="20.25" customHeight="1" x14ac:dyDescent="0.25">
      <c r="A10"/>
      <c r="B10" s="742"/>
      <c r="C10" s="742"/>
      <c r="D10" s="742"/>
      <c r="E10" s="742">
        <v>1</v>
      </c>
      <c r="F10" s="1072" t="s">
        <v>30</v>
      </c>
      <c r="G10" s="1072"/>
      <c r="H10" s="1072"/>
      <c r="I10" s="1072"/>
      <c r="J10" s="1072"/>
      <c r="K10" s="1072"/>
      <c r="L10" s="1073"/>
      <c r="M10" s="1076"/>
      <c r="N10" s="1075"/>
      <c r="O10" s="1075"/>
      <c r="P10" s="1075"/>
      <c r="Q10" s="1075"/>
      <c r="R10" s="1075"/>
      <c r="S10" s="1075"/>
      <c r="T10" s="1075"/>
      <c r="U10" s="1075"/>
      <c r="V10" s="1075"/>
      <c r="W10" s="1075"/>
      <c r="X10" s="1075"/>
      <c r="Y10" s="1076"/>
    </row>
    <row r="11" spans="1:25" s="2" customFormat="1" x14ac:dyDescent="0.25">
      <c r="A11"/>
      <c r="B11" s="3"/>
      <c r="C11" s="3"/>
      <c r="D11" s="3"/>
      <c r="E11" s="3"/>
      <c r="F11" s="747">
        <v>2</v>
      </c>
      <c r="G11" s="1081"/>
      <c r="H11" s="1081"/>
      <c r="I11" s="1081"/>
      <c r="J11" s="1081"/>
      <c r="K11" s="1081"/>
      <c r="L11" s="1081"/>
      <c r="M11" s="1081"/>
      <c r="N11" s="1081"/>
      <c r="O11" s="1081"/>
      <c r="P11" s="1081"/>
      <c r="Q11" s="1081"/>
      <c r="R11" s="1081"/>
      <c r="S11" s="1081"/>
      <c r="T11" s="1081"/>
      <c r="U11" s="1081"/>
      <c r="V11" s="1081"/>
      <c r="W11" s="1081"/>
      <c r="X11" s="1081"/>
      <c r="Y11" s="1081"/>
    </row>
    <row r="12" spans="1:25" s="2" customFormat="1" x14ac:dyDescent="0.25">
      <c r="A12"/>
      <c r="B12" s="3"/>
      <c r="C12" s="3"/>
      <c r="D12" s="3"/>
      <c r="E12" s="3"/>
      <c r="F12" s="3"/>
      <c r="G12" s="3"/>
      <c r="H12" s="3"/>
      <c r="I12" s="3"/>
      <c r="J12" s="3"/>
      <c r="K12" s="6"/>
      <c r="L12" s="6"/>
      <c r="M12" s="6"/>
      <c r="N12" s="6"/>
      <c r="O12" s="10"/>
      <c r="P12" s="10"/>
      <c r="Q12" s="6"/>
      <c r="R12" s="6"/>
      <c r="S12" s="10"/>
      <c r="T12" s="3"/>
      <c r="U12" s="4" t="s">
        <v>31</v>
      </c>
      <c r="V12" s="4" t="s">
        <v>31</v>
      </c>
      <c r="W12" s="3"/>
      <c r="X12" s="3"/>
      <c r="Y12" s="3"/>
    </row>
    <row r="13" spans="1:25" s="2" customFormat="1" x14ac:dyDescent="0.25">
      <c r="A13"/>
      <c r="B13" s="3"/>
      <c r="C13" s="3"/>
      <c r="D13" s="3"/>
      <c r="E13" s="3"/>
      <c r="F13" s="3"/>
      <c r="G13" s="3"/>
      <c r="H13" s="3"/>
      <c r="I13" s="3"/>
      <c r="J13" s="3"/>
      <c r="K13" s="6"/>
      <c r="L13" s="6"/>
      <c r="M13" s="5"/>
      <c r="N13" s="6"/>
      <c r="O13" s="10"/>
      <c r="P13" s="10"/>
      <c r="Q13" s="6"/>
      <c r="R13" s="6"/>
      <c r="S13" s="10"/>
      <c r="T13" s="3"/>
      <c r="U13" s="4"/>
      <c r="V13" s="4"/>
      <c r="W13" s="3"/>
      <c r="X13" s="3"/>
      <c r="Y13" s="3"/>
    </row>
    <row r="14" spans="1:25" s="2" customFormat="1" x14ac:dyDescent="0.25">
      <c r="A14"/>
      <c r="B14" s="3"/>
      <c r="C14" s="3"/>
      <c r="D14" s="3"/>
      <c r="E14" s="3"/>
      <c r="F14" s="3"/>
      <c r="G14" s="3"/>
      <c r="H14" s="3"/>
      <c r="I14" s="3"/>
      <c r="J14" s="3"/>
      <c r="K14" s="6"/>
      <c r="L14" s="6"/>
      <c r="M14" s="5"/>
      <c r="N14" s="6"/>
      <c r="O14" s="10"/>
      <c r="P14" s="10"/>
      <c r="Q14" s="6"/>
      <c r="R14" s="6"/>
      <c r="S14" s="10"/>
      <c r="T14" s="3"/>
      <c r="U14" s="4"/>
      <c r="V14" s="4"/>
      <c r="W14" s="3"/>
      <c r="X14" s="3"/>
      <c r="Y14" s="3"/>
    </row>
    <row r="15" spans="1:25" s="2" customFormat="1" x14ac:dyDescent="0.25">
      <c r="A15"/>
      <c r="B15" s="3"/>
      <c r="C15" s="3"/>
      <c r="D15" s="3"/>
      <c r="E15" s="3"/>
      <c r="F15" s="3"/>
      <c r="G15" s="3"/>
      <c r="H15" s="3"/>
      <c r="I15" s="3"/>
      <c r="J15" s="3"/>
      <c r="K15" s="6"/>
      <c r="L15" s="6"/>
      <c r="M15" s="5"/>
      <c r="N15" s="6"/>
      <c r="O15" s="10"/>
      <c r="P15" s="10"/>
      <c r="Q15" s="6"/>
      <c r="R15" s="6"/>
      <c r="S15" s="10"/>
      <c r="T15" s="3"/>
      <c r="U15" s="4"/>
      <c r="V15" s="4"/>
      <c r="W15" s="3"/>
      <c r="X15" s="3"/>
      <c r="Y15" s="3"/>
    </row>
    <row r="16" spans="1:25" x14ac:dyDescent="0.25">
      <c r="B16" s="3"/>
      <c r="C16" s="3"/>
      <c r="D16" s="1"/>
      <c r="E16" s="1"/>
      <c r="F16" s="1"/>
      <c r="G16" s="1"/>
      <c r="H16" s="1"/>
      <c r="I16" s="1"/>
      <c r="J16" s="1"/>
      <c r="K16" s="6"/>
      <c r="L16" s="6"/>
      <c r="M16" s="8"/>
      <c r="N16" s="6"/>
      <c r="O16" s="6"/>
      <c r="P16" s="6"/>
      <c r="Q16" s="6"/>
      <c r="R16" s="6"/>
      <c r="S16" s="6"/>
      <c r="T16" s="1"/>
      <c r="U16" s="4"/>
      <c r="V16" s="4"/>
      <c r="W16" s="1"/>
      <c r="X16" s="1"/>
      <c r="Y16" s="1"/>
    </row>
    <row r="17" spans="2:25" x14ac:dyDescent="0.25">
      <c r="B17" s="3"/>
      <c r="C17" s="3"/>
      <c r="D17" s="1"/>
      <c r="E17" s="1"/>
      <c r="F17" s="1"/>
      <c r="G17" s="1"/>
      <c r="H17" s="1"/>
      <c r="I17" s="1"/>
      <c r="J17" s="1"/>
      <c r="K17" s="6"/>
      <c r="L17" s="6"/>
      <c r="M17" s="8"/>
      <c r="N17" s="6"/>
      <c r="O17" s="6"/>
      <c r="P17" s="6"/>
      <c r="Q17" s="6"/>
      <c r="R17" s="6"/>
      <c r="S17" s="6"/>
      <c r="T17" s="1"/>
      <c r="U17" s="4"/>
      <c r="V17" s="4"/>
      <c r="W17" s="1"/>
      <c r="X17" s="1"/>
      <c r="Y17" s="1"/>
    </row>
    <row r="18" spans="2:25" x14ac:dyDescent="0.25">
      <c r="B18" s="3"/>
      <c r="C18" s="3"/>
      <c r="D18" s="1"/>
      <c r="E18" s="1"/>
      <c r="F18" s="1"/>
      <c r="G18" s="1"/>
      <c r="H18" s="1"/>
      <c r="I18" s="1"/>
      <c r="J18" s="1"/>
      <c r="K18" s="6"/>
      <c r="L18" s="6"/>
      <c r="M18" s="8"/>
      <c r="N18" s="6"/>
      <c r="O18" s="6"/>
      <c r="P18" s="6"/>
      <c r="Q18" s="6"/>
      <c r="R18" s="6"/>
      <c r="S18" s="6"/>
      <c r="T18" s="1"/>
      <c r="U18" s="4"/>
      <c r="V18" s="4"/>
      <c r="W18" s="1"/>
      <c r="X18" s="1"/>
      <c r="Y18" s="1"/>
    </row>
    <row r="19" spans="2:25" x14ac:dyDescent="0.25">
      <c r="B19" s="3"/>
      <c r="C19" s="3"/>
      <c r="D19" s="1"/>
      <c r="E19" s="1"/>
      <c r="F19" s="1"/>
      <c r="G19" s="1"/>
      <c r="H19" s="1"/>
      <c r="I19" s="1"/>
      <c r="J19" s="1"/>
      <c r="K19" s="1"/>
      <c r="L19" s="1"/>
      <c r="M19" s="5"/>
      <c r="N19" s="1"/>
      <c r="O19" s="1"/>
      <c r="P19" s="1"/>
      <c r="Q19" s="1"/>
      <c r="R19" s="1"/>
      <c r="S19" s="1"/>
      <c r="T19" s="1"/>
      <c r="U19" s="4"/>
      <c r="V19" s="4"/>
      <c r="W19" s="1"/>
      <c r="X19" s="1"/>
      <c r="Y19" s="1"/>
    </row>
    <row r="20" spans="2:25" x14ac:dyDescent="0.25">
      <c r="B20" s="3"/>
      <c r="C20" s="3"/>
      <c r="D20" s="1"/>
      <c r="E20" s="1"/>
      <c r="F20" s="1"/>
      <c r="G20" s="1"/>
      <c r="H20" s="1"/>
      <c r="I20" s="1"/>
      <c r="J20" s="1"/>
      <c r="K20" s="1"/>
      <c r="L20" s="1"/>
      <c r="M20" s="5"/>
      <c r="N20" s="1"/>
      <c r="O20" s="1"/>
      <c r="P20" s="1"/>
      <c r="Q20" s="1"/>
      <c r="R20" s="1"/>
      <c r="S20" s="1"/>
      <c r="T20" s="1"/>
      <c r="U20" s="4"/>
      <c r="V20" s="4"/>
      <c r="W20" s="1"/>
      <c r="X20" s="1"/>
      <c r="Y20" s="1"/>
    </row>
    <row r="21" spans="2:25" x14ac:dyDescent="0.25">
      <c r="B21" s="3"/>
      <c r="C21" s="3"/>
      <c r="D21" s="1"/>
      <c r="E21" s="1"/>
      <c r="F21" s="1"/>
      <c r="G21" s="1"/>
      <c r="H21" s="1"/>
      <c r="I21" s="1"/>
      <c r="J21" s="1"/>
      <c r="K21" s="1"/>
      <c r="L21" s="1"/>
      <c r="M21" s="5"/>
      <c r="N21" s="1"/>
      <c r="O21" s="1"/>
      <c r="P21" s="1"/>
      <c r="Q21" s="1"/>
      <c r="R21" s="1"/>
      <c r="S21" s="1"/>
      <c r="T21" s="1"/>
      <c r="U21" s="4"/>
      <c r="V21" s="4"/>
      <c r="W21" s="1"/>
      <c r="X21" s="1"/>
      <c r="Y21" s="1"/>
    </row>
    <row r="22" spans="2:25" x14ac:dyDescent="0.25">
      <c r="B22" s="3"/>
      <c r="C22" s="3"/>
      <c r="D22" s="1"/>
      <c r="E22" s="1"/>
      <c r="F22" s="1"/>
      <c r="G22" s="1"/>
      <c r="H22" s="1"/>
      <c r="I22" s="1"/>
      <c r="J22" s="1"/>
      <c r="K22" s="1"/>
      <c r="L22" s="1"/>
      <c r="M22" s="5"/>
      <c r="N22" s="1"/>
      <c r="O22" s="1"/>
      <c r="P22" s="1"/>
      <c r="Q22" s="1"/>
      <c r="R22" s="1"/>
      <c r="S22" s="1"/>
      <c r="T22" s="1"/>
      <c r="U22" s="4"/>
      <c r="V22" s="4"/>
      <c r="W22" s="1"/>
      <c r="X22" s="1"/>
      <c r="Y22" s="1"/>
    </row>
    <row r="23" spans="2:25" x14ac:dyDescent="0.25">
      <c r="B23" s="3"/>
      <c r="C23" s="3"/>
      <c r="D23" s="1"/>
      <c r="E23" s="1"/>
      <c r="F23" s="1"/>
      <c r="G23" s="1"/>
      <c r="H23" s="1"/>
      <c r="I23" s="1"/>
      <c r="J23" s="1"/>
      <c r="K23" s="1"/>
      <c r="L23" s="1"/>
      <c r="M23" s="5"/>
      <c r="N23" s="1"/>
      <c r="O23" s="1"/>
      <c r="P23" s="1"/>
      <c r="Q23" s="1"/>
      <c r="R23" s="1"/>
      <c r="S23" s="1"/>
      <c r="T23" s="1"/>
      <c r="U23" s="4"/>
      <c r="V23" s="4"/>
      <c r="W23" s="1"/>
      <c r="X23" s="1"/>
      <c r="Y23" s="1"/>
    </row>
    <row r="24" spans="2:25" x14ac:dyDescent="0.25">
      <c r="B24" s="3"/>
      <c r="C24" s="3"/>
      <c r="D24" s="1"/>
      <c r="E24" s="1"/>
      <c r="F24" s="1"/>
      <c r="G24" s="1"/>
      <c r="H24" s="1"/>
      <c r="I24" s="1"/>
      <c r="J24" s="1"/>
      <c r="K24" s="1"/>
      <c r="L24" s="1"/>
      <c r="M24" s="5"/>
      <c r="N24" s="1"/>
      <c r="O24" s="1"/>
      <c r="P24" s="1"/>
      <c r="Q24" s="1"/>
      <c r="R24" s="1"/>
      <c r="S24" s="1"/>
      <c r="T24" s="1"/>
      <c r="U24" s="4"/>
      <c r="V24" s="4"/>
      <c r="W24" s="1"/>
      <c r="X24" s="1"/>
      <c r="Y24" s="1"/>
    </row>
    <row r="25" spans="2:25" x14ac:dyDescent="0.25">
      <c r="B25" s="3"/>
      <c r="C25" s="3"/>
      <c r="D25" s="1"/>
      <c r="E25" s="1"/>
      <c r="F25" s="1"/>
      <c r="G25" s="1"/>
      <c r="H25" s="1"/>
      <c r="I25" s="1"/>
      <c r="J25" s="1"/>
      <c r="K25" s="1"/>
      <c r="L25" s="1"/>
      <c r="M25" s="5"/>
      <c r="N25" s="1"/>
      <c r="O25" s="1"/>
      <c r="P25" s="1"/>
      <c r="Q25" s="1"/>
      <c r="R25" s="1"/>
      <c r="S25" s="1"/>
      <c r="T25" s="1"/>
      <c r="U25" s="4"/>
      <c r="V25" s="4"/>
      <c r="W25" s="1"/>
      <c r="X25" s="1"/>
      <c r="Y25" s="1"/>
    </row>
    <row r="26" spans="2:25" x14ac:dyDescent="0.25">
      <c r="B26" s="3"/>
      <c r="C26" s="3"/>
      <c r="D26" s="1"/>
      <c r="E26" s="1"/>
      <c r="F26" s="1"/>
      <c r="G26" s="1"/>
      <c r="H26" s="1"/>
      <c r="I26" s="1"/>
      <c r="J26" s="1"/>
      <c r="K26" s="1"/>
      <c r="L26" s="6"/>
      <c r="M26" s="5"/>
      <c r="N26" s="1"/>
      <c r="O26" s="1"/>
      <c r="P26" s="1"/>
      <c r="Q26" s="1"/>
      <c r="R26" s="1"/>
      <c r="S26" s="1"/>
      <c r="T26" s="1"/>
      <c r="U26" s="4"/>
      <c r="V26" s="4"/>
      <c r="W26" s="1"/>
      <c r="X26" s="1"/>
      <c r="Y26" s="1"/>
    </row>
    <row r="27" spans="2:25" x14ac:dyDescent="0.25">
      <c r="B27" s="3"/>
      <c r="C27" s="3"/>
      <c r="D27" s="1"/>
      <c r="E27" s="1"/>
      <c r="F27" s="1"/>
      <c r="G27" s="1"/>
      <c r="H27" s="1"/>
      <c r="I27" s="1"/>
      <c r="J27" s="1"/>
      <c r="K27" s="9"/>
      <c r="L27" s="5"/>
      <c r="M27" s="5"/>
      <c r="N27" s="1"/>
      <c r="O27" s="1"/>
      <c r="P27" s="1"/>
      <c r="Q27" s="1"/>
      <c r="R27" s="1"/>
      <c r="S27" s="1"/>
      <c r="T27" s="1"/>
      <c r="U27" s="4"/>
      <c r="V27" s="4"/>
      <c r="W27" s="1"/>
      <c r="X27" s="1"/>
      <c r="Y27" s="1"/>
    </row>
    <row r="28" spans="2:25" x14ac:dyDescent="0.25">
      <c r="B28" s="3"/>
      <c r="C28" s="3"/>
      <c r="D28" s="1"/>
      <c r="E28" s="1"/>
      <c r="F28" s="1"/>
      <c r="G28" s="1"/>
      <c r="H28" s="1"/>
      <c r="I28" s="1"/>
      <c r="J28" s="1"/>
      <c r="K28" s="1"/>
      <c r="L28" s="1"/>
      <c r="M28" s="5"/>
      <c r="N28" s="1"/>
      <c r="O28" s="1"/>
      <c r="P28" s="1"/>
      <c r="Q28" s="1"/>
      <c r="R28" s="1"/>
      <c r="S28" s="1"/>
      <c r="T28" s="1"/>
      <c r="U28" s="4"/>
      <c r="V28" s="4"/>
      <c r="W28" s="1"/>
      <c r="X28" s="1"/>
      <c r="Y28" s="1"/>
    </row>
    <row r="29" spans="2:25" x14ac:dyDescent="0.25">
      <c r="K29" s="2"/>
      <c r="M29" s="2"/>
    </row>
    <row r="30" spans="2:25" x14ac:dyDescent="0.25">
      <c r="C30" t="s">
        <v>32</v>
      </c>
    </row>
    <row r="31" spans="2:25" x14ac:dyDescent="0.25">
      <c r="C31" t="s">
        <v>33</v>
      </c>
      <c r="K31" s="2"/>
      <c r="M31" s="2"/>
    </row>
    <row r="32" spans="2:25" x14ac:dyDescent="0.25">
      <c r="C32" t="s">
        <v>34</v>
      </c>
    </row>
    <row r="33" spans="3:13" x14ac:dyDescent="0.25">
      <c r="C33" t="s">
        <v>35</v>
      </c>
      <c r="K33" s="2"/>
      <c r="M33" s="2"/>
    </row>
    <row r="34" spans="3:13" x14ac:dyDescent="0.25">
      <c r="C34" t="s">
        <v>36</v>
      </c>
    </row>
    <row r="35" spans="3:13" x14ac:dyDescent="0.25">
      <c r="C35" t="s">
        <v>37</v>
      </c>
      <c r="K35" s="2"/>
      <c r="M35" s="2"/>
    </row>
    <row r="36" spans="3:13" x14ac:dyDescent="0.25">
      <c r="C36" t="s">
        <v>38</v>
      </c>
    </row>
    <row r="37" spans="3:13" x14ac:dyDescent="0.25">
      <c r="C37" t="s">
        <v>39</v>
      </c>
      <c r="K37" s="2"/>
      <c r="M37" s="2"/>
    </row>
    <row r="38" spans="3:13" x14ac:dyDescent="0.25">
      <c r="C38" t="s">
        <v>40</v>
      </c>
    </row>
    <row r="39" spans="3:13" x14ac:dyDescent="0.25">
      <c r="C39" t="s">
        <v>41</v>
      </c>
      <c r="K39" s="2"/>
      <c r="M39" s="2"/>
    </row>
    <row r="40" spans="3:13" x14ac:dyDescent="0.25">
      <c r="C40" t="s">
        <v>42</v>
      </c>
    </row>
    <row r="41" spans="3:13" x14ac:dyDescent="0.25">
      <c r="C41" t="s">
        <v>43</v>
      </c>
      <c r="K41" s="2"/>
      <c r="M41" s="2"/>
    </row>
    <row r="42" spans="3:13" x14ac:dyDescent="0.25">
      <c r="C42" t="s">
        <v>44</v>
      </c>
    </row>
    <row r="43" spans="3:13" x14ac:dyDescent="0.25">
      <c r="C43" t="s">
        <v>45</v>
      </c>
      <c r="K43" s="2"/>
      <c r="M43" s="2"/>
    </row>
    <row r="44" spans="3:13" x14ac:dyDescent="0.25">
      <c r="C44" t="s">
        <v>46</v>
      </c>
    </row>
    <row r="45" spans="3:13" x14ac:dyDescent="0.25">
      <c r="C45" t="s">
        <v>47</v>
      </c>
      <c r="K45" s="2"/>
      <c r="M45" s="2"/>
    </row>
    <row r="46" spans="3:13" x14ac:dyDescent="0.25">
      <c r="C46" t="s">
        <v>48</v>
      </c>
    </row>
    <row r="47" spans="3:13" x14ac:dyDescent="0.25">
      <c r="C47" t="s">
        <v>49</v>
      </c>
      <c r="K47" s="2"/>
      <c r="M47" s="2"/>
    </row>
    <row r="48" spans="3:13" x14ac:dyDescent="0.25">
      <c r="C48" t="s">
        <v>50</v>
      </c>
    </row>
    <row r="49" spans="3:3" x14ac:dyDescent="0.25">
      <c r="C49" t="s">
        <v>51</v>
      </c>
    </row>
    <row r="50" spans="3:3" x14ac:dyDescent="0.25">
      <c r="C50" t="s">
        <v>52</v>
      </c>
    </row>
    <row r="51" spans="3:3" x14ac:dyDescent="0.25">
      <c r="C51" t="s">
        <v>53</v>
      </c>
    </row>
    <row r="52" spans="3:3" x14ac:dyDescent="0.25">
      <c r="C52" t="s">
        <v>54</v>
      </c>
    </row>
    <row r="53" spans="3:3" x14ac:dyDescent="0.25">
      <c r="C53" t="s">
        <v>55</v>
      </c>
    </row>
    <row r="54" spans="3:3" x14ac:dyDescent="0.25">
      <c r="C54" t="s">
        <v>56</v>
      </c>
    </row>
    <row r="55" spans="3:3" x14ac:dyDescent="0.25">
      <c r="C55" t="s">
        <v>57</v>
      </c>
    </row>
    <row r="56" spans="3:3" x14ac:dyDescent="0.25">
      <c r="C56" t="s">
        <v>58</v>
      </c>
    </row>
    <row r="100" spans="1:26" s="2" customFormat="1" x14ac:dyDescent="0.25">
      <c r="A100"/>
      <c r="B100"/>
      <c r="C100"/>
      <c r="D100"/>
      <c r="E100"/>
      <c r="F100"/>
      <c r="G100"/>
      <c r="H100"/>
      <c r="I100"/>
      <c r="J100"/>
      <c r="K100"/>
      <c r="L100"/>
      <c r="M100"/>
      <c r="N100"/>
      <c r="O100"/>
      <c r="P100"/>
      <c r="Q100"/>
      <c r="R100"/>
      <c r="S100"/>
      <c r="T100"/>
      <c r="U100"/>
      <c r="V100"/>
      <c r="W100"/>
      <c r="X100"/>
      <c r="Y100"/>
      <c r="Z100"/>
    </row>
    <row r="108" spans="1:26" s="2" customFormat="1" x14ac:dyDescent="0.25">
      <c r="A108"/>
      <c r="B108"/>
      <c r="C108"/>
      <c r="D108"/>
      <c r="E108"/>
      <c r="F108"/>
      <c r="G108"/>
      <c r="H108"/>
      <c r="I108"/>
      <c r="J108"/>
      <c r="K108"/>
      <c r="L108"/>
      <c r="M108"/>
      <c r="N108"/>
      <c r="O108"/>
      <c r="P108"/>
      <c r="Q108"/>
      <c r="R108"/>
      <c r="S108"/>
      <c r="T108"/>
      <c r="U108"/>
      <c r="V108"/>
      <c r="W108"/>
      <c r="X108"/>
      <c r="Y108"/>
      <c r="Z108"/>
    </row>
    <row r="155" spans="1:26" s="2" customFormat="1" x14ac:dyDescent="0.25">
      <c r="A155"/>
      <c r="B155"/>
      <c r="C155"/>
      <c r="D155"/>
      <c r="E155"/>
      <c r="F155"/>
      <c r="G155"/>
      <c r="H155"/>
      <c r="I155"/>
      <c r="J155"/>
      <c r="K155"/>
      <c r="L155"/>
      <c r="M155"/>
      <c r="N155"/>
      <c r="O155"/>
      <c r="P155"/>
      <c r="Q155"/>
      <c r="R155"/>
      <c r="S155"/>
      <c r="T155"/>
      <c r="U155"/>
      <c r="V155"/>
      <c r="W155"/>
      <c r="X155"/>
      <c r="Y155"/>
      <c r="Z155"/>
    </row>
  </sheetData>
  <mergeCells count="3">
    <mergeCell ref="E8:Y8"/>
    <mergeCell ref="F10:Y10"/>
    <mergeCell ref="G11:Y11"/>
  </mergeCells>
  <conditionalFormatting sqref="V1:Y8 T9:Y28 U29:Y276">
    <cfRule type="containsText" dxfId="41" priority="1" operator="containsText" text="ja">
      <formula>NOT(ISERROR(SEARCH(("ja"),(V1))))</formula>
    </cfRule>
    <cfRule type="containsText" dxfId="40" priority="2" operator="containsText" text="nein">
      <formula>NOT(ISERROR(SEARCH(("nein"),(V1))))</formula>
    </cfRule>
  </conditionalFormatting>
  <dataValidations count="4">
    <dataValidation type="list" errorStyle="warning" showErrorMessage="1" sqref="B15:B28 B11:B13" xr:uid="{00000000-0002-0000-0000-000000000000}">
      <formula1>"ja,nein"</formula1>
    </dataValidation>
    <dataValidation type="list" errorStyle="warning" showErrorMessage="1" sqref="Y12:Y15" xr:uid="{00000000-0002-0000-0000-000001000000}">
      <formula1>",Ready, CICD"</formula1>
    </dataValidation>
    <dataValidation type="list" errorStyle="warning" showErrorMessage="1" sqref="V16:V28 U16:U28 U12:V15" xr:uid="{00000000-0002-0000-0000-000002000000}">
      <formula1>"unbestimmt, ja, nein"</formula1>
    </dataValidation>
    <dataValidation type="list" errorStyle="warning" showErrorMessage="1" sqref="C11:C28" xr:uid="{00000000-0002-0000-0000-000003000000}">
      <formula1>"ELA,Meistertask,Cleverreach,Synology,Miro,Google,WhatsApp,Canva,Adobe,Contao,Wiki,ecoDMS,Wiki,Facebook,Instagram,TikTok,LinkedIn,Youtube,Xing,X,SalesForce,Lexware,Volksbank,Articulate,Outlook,easy2book,Domainfactory,1&amp;1"</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85"/>
  <sheetViews>
    <sheetView workbookViewId="0">
      <pane ySplit="5" topLeftCell="A6" activePane="bottomLeft" state="frozen"/>
      <selection pane="bottomLeft"/>
    </sheetView>
  </sheetViews>
  <sheetFormatPr baseColWidth="10" defaultColWidth="14.5703125" defaultRowHeight="15" x14ac:dyDescent="0.25"/>
  <cols>
    <col min="1" max="1" width="2.85546875" style="14" customWidth="1"/>
    <col min="2" max="2" width="22.140625" style="14" customWidth="1"/>
    <col min="3" max="3" width="11.85546875" style="14" customWidth="1"/>
    <col min="4" max="4" width="47.140625" style="14" customWidth="1"/>
    <col min="5" max="5" width="14.28515625" style="14" customWidth="1"/>
    <col min="6" max="6" width="12.28515625" style="14" customWidth="1"/>
    <col min="7" max="7" width="24.7109375" style="14" customWidth="1"/>
    <col min="8" max="8" width="25.85546875" style="14" customWidth="1"/>
    <col min="9" max="10" width="24.7109375" style="14" customWidth="1"/>
    <col min="11" max="11" width="74.7109375" style="14" customWidth="1"/>
    <col min="12" max="12" width="34.140625" style="14" customWidth="1"/>
    <col min="13" max="13" width="23.42578125" style="14" customWidth="1"/>
    <col min="14" max="14" width="14.5703125" style="14" customWidth="1"/>
    <col min="15" max="16384" width="14.5703125" style="14"/>
  </cols>
  <sheetData>
    <row r="1" spans="1:13" ht="21" x14ac:dyDescent="0.35">
      <c r="A1" s="628"/>
      <c r="B1" s="628"/>
    </row>
    <row r="2" spans="1:13" s="112" customFormat="1" ht="21" x14ac:dyDescent="0.35">
      <c r="A2" s="629"/>
      <c r="B2" s="1082" t="s">
        <v>59</v>
      </c>
      <c r="C2" s="1082"/>
      <c r="D2" s="1082"/>
    </row>
    <row r="3" spans="1:13" ht="15.75" x14ac:dyDescent="0.25">
      <c r="E3" s="240"/>
      <c r="F3" s="240"/>
      <c r="G3" s="240"/>
      <c r="H3" s="240"/>
      <c r="I3" s="240"/>
      <c r="J3" s="240"/>
      <c r="K3" s="240"/>
    </row>
    <row r="4" spans="1:13" s="112" customFormat="1" ht="15.75" x14ac:dyDescent="0.25">
      <c r="E4" s="1086" t="s">
        <v>60</v>
      </c>
      <c r="F4" s="1087"/>
      <c r="G4" s="1088" t="s">
        <v>61</v>
      </c>
      <c r="H4" s="1089"/>
      <c r="I4" s="630" t="s">
        <v>62</v>
      </c>
      <c r="J4" s="1084" t="s">
        <v>63</v>
      </c>
      <c r="K4" s="1085"/>
      <c r="L4" s="1083" t="s">
        <v>64</v>
      </c>
      <c r="M4" s="1083"/>
    </row>
    <row r="5" spans="1:13" ht="31.5" x14ac:dyDescent="0.25">
      <c r="B5" s="631" t="s">
        <v>65</v>
      </c>
      <c r="C5" s="632" t="s">
        <v>66</v>
      </c>
      <c r="D5" s="631" t="s">
        <v>67</v>
      </c>
      <c r="E5" s="631" t="s">
        <v>68</v>
      </c>
      <c r="F5" s="631" t="s">
        <v>69</v>
      </c>
      <c r="G5" s="239" t="s">
        <v>70</v>
      </c>
      <c r="H5" s="239" t="s">
        <v>71</v>
      </c>
      <c r="I5" s="239" t="s">
        <v>72</v>
      </c>
      <c r="J5" s="239" t="s">
        <v>73</v>
      </c>
      <c r="K5" s="239" t="s">
        <v>74</v>
      </c>
      <c r="L5" s="645" t="s">
        <v>71</v>
      </c>
      <c r="M5" s="645" t="s">
        <v>75</v>
      </c>
    </row>
    <row r="6" spans="1:13" s="25" customFormat="1" x14ac:dyDescent="0.25">
      <c r="B6" s="749"/>
      <c r="C6" s="750"/>
      <c r="D6" s="750"/>
      <c r="E6" s="750"/>
      <c r="F6" s="750"/>
      <c r="G6" s="750"/>
      <c r="H6" s="750"/>
      <c r="I6" s="750"/>
      <c r="J6" s="750"/>
      <c r="K6" s="750"/>
      <c r="L6" s="750"/>
      <c r="M6" s="750"/>
    </row>
    <row r="7" spans="1:13" s="25" customFormat="1" ht="60" x14ac:dyDescent="0.25">
      <c r="B7" s="26" t="s">
        <v>76</v>
      </c>
      <c r="C7" s="26" t="s">
        <v>77</v>
      </c>
      <c r="D7" s="12"/>
      <c r="E7" s="12"/>
      <c r="F7" s="12"/>
      <c r="G7" s="12" t="s">
        <v>78</v>
      </c>
      <c r="H7" s="12" t="s">
        <v>78</v>
      </c>
      <c r="I7" s="12" t="s">
        <v>79</v>
      </c>
      <c r="J7" s="712" t="str">
        <f>HYPERLINK("https://www.meisternote.com/app/note/hpFmJk8ecACN/administrationseinstellungen-ai-delst", "https://www.meisternote.com/app/note/hpFmJk8ecACN/administrationseinstellungen-ai-delst")</f>
        <v>https://www.meisternote.com/app/note/hpFmJk8ecACN/administrationseinstellungen-ai-delst</v>
      </c>
      <c r="K7" s="712" t="str">
        <f>HYPERLINK("https://www.meisternote.com/app/note/hpFmJk8ecACN/administrationseinstellungen-ai-delst", "https://www.meisternote.com/app/note/hpFmJk8ecACN/administrationseinstellungen-ai-delst")</f>
        <v>https://www.meisternote.com/app/note/hpFmJk8ecACN/administrationseinstellungen-ai-delst</v>
      </c>
      <c r="L7" s="12"/>
      <c r="M7" s="12"/>
    </row>
    <row r="8" spans="1:13" x14ac:dyDescent="0.25">
      <c r="B8" s="1090"/>
      <c r="C8" s="1091"/>
      <c r="D8" s="1091"/>
      <c r="E8" s="1091"/>
      <c r="F8" s="1091"/>
      <c r="G8" s="1091"/>
      <c r="H8" s="1091"/>
      <c r="I8" s="1091"/>
      <c r="J8" s="1091"/>
      <c r="K8" s="1091"/>
      <c r="L8" s="1091"/>
      <c r="M8" s="1092"/>
    </row>
    <row r="9" spans="1:13" ht="30" x14ac:dyDescent="0.25">
      <c r="B9" s="102" t="s">
        <v>80</v>
      </c>
      <c r="C9" s="200"/>
      <c r="D9" s="11"/>
      <c r="E9" s="633"/>
      <c r="F9" s="633"/>
      <c r="G9" s="131"/>
      <c r="H9" s="131"/>
      <c r="I9" s="131"/>
      <c r="J9" s="131"/>
      <c r="K9" s="131"/>
      <c r="L9" s="6"/>
      <c r="M9" s="6"/>
    </row>
    <row r="10" spans="1:13" ht="15.75" x14ac:dyDescent="0.25">
      <c r="B10" s="634" t="s">
        <v>81</v>
      </c>
      <c r="C10" s="635" t="s">
        <v>82</v>
      </c>
      <c r="D10" s="11"/>
      <c r="E10" s="633"/>
      <c r="F10" s="633"/>
      <c r="G10" s="131" t="s">
        <v>83</v>
      </c>
      <c r="H10" s="131" t="s">
        <v>83</v>
      </c>
      <c r="I10" s="131" t="s">
        <v>84</v>
      </c>
      <c r="J10" s="131"/>
      <c r="K10" s="131"/>
      <c r="L10" s="6"/>
      <c r="M10" s="6"/>
    </row>
    <row r="11" spans="1:13" ht="15.75" x14ac:dyDescent="0.25">
      <c r="B11" s="634" t="s">
        <v>81</v>
      </c>
      <c r="C11" s="133" t="s">
        <v>85</v>
      </c>
      <c r="D11" s="11"/>
      <c r="E11" s="633"/>
      <c r="F11" s="633"/>
      <c r="G11" s="131" t="s">
        <v>83</v>
      </c>
      <c r="H11" s="131" t="s">
        <v>86</v>
      </c>
      <c r="I11" s="131" t="s">
        <v>87</v>
      </c>
      <c r="J11" s="131"/>
      <c r="K11" s="131"/>
      <c r="L11" s="6"/>
      <c r="M11" s="6"/>
    </row>
    <row r="12" spans="1:13" ht="15.75" x14ac:dyDescent="0.25">
      <c r="B12" s="634" t="s">
        <v>81</v>
      </c>
      <c r="C12" s="133" t="s">
        <v>88</v>
      </c>
      <c r="D12" s="11"/>
      <c r="E12" s="633"/>
      <c r="F12" s="633"/>
      <c r="G12" s="131" t="s">
        <v>83</v>
      </c>
      <c r="H12" s="131" t="s">
        <v>83</v>
      </c>
      <c r="I12" s="131" t="s">
        <v>89</v>
      </c>
      <c r="J12" s="131"/>
      <c r="K12" s="131"/>
      <c r="L12" s="6"/>
      <c r="M12" s="6"/>
    </row>
    <row r="13" spans="1:13" x14ac:dyDescent="0.25">
      <c r="B13" s="1090"/>
      <c r="C13" s="1091"/>
      <c r="D13" s="1091"/>
      <c r="E13" s="1091"/>
      <c r="F13" s="1091"/>
      <c r="G13" s="1091"/>
      <c r="H13" s="1091"/>
      <c r="I13" s="1091"/>
      <c r="J13" s="1091"/>
      <c r="K13" s="1091"/>
      <c r="L13" s="1091"/>
      <c r="M13" s="1092"/>
    </row>
    <row r="14" spans="1:13" ht="30" x14ac:dyDescent="0.25">
      <c r="B14" s="102" t="s">
        <v>90</v>
      </c>
      <c r="C14" s="200"/>
      <c r="D14" s="11"/>
      <c r="E14" s="633"/>
      <c r="F14" s="633" t="s">
        <v>91</v>
      </c>
      <c r="G14" s="131" t="s">
        <v>92</v>
      </c>
      <c r="H14" s="131"/>
      <c r="I14" s="131"/>
      <c r="J14" s="131"/>
      <c r="K14" s="131"/>
      <c r="L14" s="6"/>
      <c r="M14" s="6"/>
    </row>
    <row r="15" spans="1:13" ht="15.75" x14ac:dyDescent="0.25">
      <c r="B15" s="634" t="s">
        <v>93</v>
      </c>
      <c r="C15" s="635" t="s">
        <v>82</v>
      </c>
      <c r="D15" s="11"/>
      <c r="E15" s="633"/>
      <c r="F15" s="633" t="s">
        <v>91</v>
      </c>
      <c r="G15" s="131" t="s">
        <v>92</v>
      </c>
      <c r="H15" s="131" t="s">
        <v>94</v>
      </c>
      <c r="I15" s="131" t="s">
        <v>94</v>
      </c>
      <c r="J15" s="131"/>
      <c r="K15" s="131"/>
      <c r="L15" s="6"/>
      <c r="M15" s="6"/>
    </row>
    <row r="16" spans="1:13" ht="15.75" x14ac:dyDescent="0.25">
      <c r="B16" s="634" t="s">
        <v>93</v>
      </c>
      <c r="C16" s="133" t="s">
        <v>85</v>
      </c>
      <c r="D16" s="11"/>
      <c r="E16" s="633"/>
      <c r="F16" s="633" t="s">
        <v>91</v>
      </c>
      <c r="G16" s="131" t="s">
        <v>92</v>
      </c>
      <c r="H16" s="131" t="s">
        <v>95</v>
      </c>
      <c r="I16" s="131" t="s">
        <v>96</v>
      </c>
      <c r="J16" s="131"/>
      <c r="K16" s="131"/>
      <c r="L16" s="6"/>
      <c r="M16" s="6"/>
    </row>
    <row r="17" spans="2:13" ht="15.75" x14ac:dyDescent="0.25">
      <c r="B17" s="634" t="s">
        <v>93</v>
      </c>
      <c r="C17" s="133" t="s">
        <v>88</v>
      </c>
      <c r="D17" s="11"/>
      <c r="E17" s="633"/>
      <c r="F17" s="633" t="s">
        <v>91</v>
      </c>
      <c r="G17" s="131" t="s">
        <v>92</v>
      </c>
      <c r="H17" s="131" t="s">
        <v>97</v>
      </c>
      <c r="I17" s="131" t="s">
        <v>98</v>
      </c>
      <c r="J17" s="131"/>
      <c r="K17" s="131"/>
      <c r="L17" s="6"/>
      <c r="M17" s="6"/>
    </row>
    <row r="18" spans="2:13" x14ac:dyDescent="0.25">
      <c r="B18" s="1090"/>
      <c r="C18" s="1091"/>
      <c r="D18" s="1091"/>
      <c r="E18" s="1091"/>
      <c r="F18" s="1091"/>
      <c r="G18" s="1091"/>
      <c r="H18" s="1091"/>
      <c r="I18" s="1091"/>
      <c r="J18" s="1091"/>
      <c r="K18" s="1091"/>
      <c r="L18" s="1091"/>
      <c r="M18" s="1092"/>
    </row>
    <row r="19" spans="2:13" ht="30" x14ac:dyDescent="0.25">
      <c r="B19" s="102" t="s">
        <v>99</v>
      </c>
      <c r="C19" s="200"/>
      <c r="D19" s="11"/>
      <c r="E19" s="633"/>
      <c r="F19" s="633"/>
      <c r="G19" s="131"/>
      <c r="H19" s="131"/>
      <c r="I19" s="131"/>
      <c r="J19" s="131"/>
      <c r="K19" s="131"/>
      <c r="L19" s="6"/>
      <c r="M19" s="6"/>
    </row>
    <row r="20" spans="2:13" ht="30" x14ac:dyDescent="0.25">
      <c r="B20" s="84" t="s">
        <v>100</v>
      </c>
      <c r="C20" s="133" t="s">
        <v>101</v>
      </c>
      <c r="D20" s="49" t="s">
        <v>102</v>
      </c>
      <c r="E20" s="646" t="s">
        <v>91</v>
      </c>
      <c r="F20" s="646"/>
      <c r="G20" s="130" t="s">
        <v>78</v>
      </c>
      <c r="H20" s="130"/>
      <c r="I20" s="130" t="s">
        <v>103</v>
      </c>
      <c r="J20" s="130"/>
      <c r="K20" s="130"/>
      <c r="L20" s="49"/>
      <c r="M20" s="6"/>
    </row>
    <row r="21" spans="2:13" x14ac:dyDescent="0.25">
      <c r="B21" s="1096" t="s">
        <v>100</v>
      </c>
      <c r="C21" s="648" t="s">
        <v>104</v>
      </c>
      <c r="D21" s="1093" t="s">
        <v>105</v>
      </c>
      <c r="E21" s="1094"/>
      <c r="F21" s="1094"/>
      <c r="G21" s="1094"/>
      <c r="H21" s="1094"/>
      <c r="I21" s="1094"/>
      <c r="J21" s="1094"/>
      <c r="K21" s="1094"/>
      <c r="L21" s="1094"/>
      <c r="M21" s="1095"/>
    </row>
    <row r="22" spans="2:13" ht="15.75" x14ac:dyDescent="0.25">
      <c r="B22" s="1097"/>
      <c r="C22" s="133" t="s">
        <v>106</v>
      </c>
      <c r="D22" s="82" t="s">
        <v>107</v>
      </c>
      <c r="E22" s="647" t="s">
        <v>91</v>
      </c>
      <c r="F22" s="647"/>
      <c r="G22" s="131" t="s">
        <v>108</v>
      </c>
      <c r="H22" s="131" t="s">
        <v>109</v>
      </c>
      <c r="I22" s="131" t="s">
        <v>110</v>
      </c>
      <c r="J22" s="131"/>
      <c r="K22" s="131"/>
      <c r="L22" s="82"/>
      <c r="M22" s="82"/>
    </row>
    <row r="23" spans="2:13" ht="15.75" x14ac:dyDescent="0.25">
      <c r="B23" s="1097"/>
      <c r="C23" s="133" t="s">
        <v>111</v>
      </c>
      <c r="D23" s="6" t="s">
        <v>112</v>
      </c>
      <c r="E23" s="633" t="s">
        <v>91</v>
      </c>
      <c r="F23" s="633"/>
      <c r="G23" s="131" t="s">
        <v>108</v>
      </c>
      <c r="H23" s="131" t="s">
        <v>109</v>
      </c>
      <c r="I23" s="131" t="s">
        <v>113</v>
      </c>
      <c r="J23" s="131"/>
      <c r="K23" s="131"/>
      <c r="L23" s="6"/>
      <c r="M23" s="6"/>
    </row>
    <row r="24" spans="2:13" ht="15.75" x14ac:dyDescent="0.25">
      <c r="B24" s="1097"/>
      <c r="C24" s="133" t="s">
        <v>114</v>
      </c>
      <c r="D24" s="6" t="s">
        <v>115</v>
      </c>
      <c r="E24" s="633" t="s">
        <v>91</v>
      </c>
      <c r="F24" s="633"/>
      <c r="G24" s="131" t="s">
        <v>108</v>
      </c>
      <c r="H24" s="131" t="s">
        <v>109</v>
      </c>
      <c r="I24" s="131" t="s">
        <v>116</v>
      </c>
      <c r="J24" s="131"/>
      <c r="K24" s="131"/>
      <c r="L24" s="6"/>
      <c r="M24" s="6"/>
    </row>
    <row r="25" spans="2:13" ht="15.75" x14ac:dyDescent="0.25">
      <c r="B25" s="1097"/>
      <c r="C25" s="133" t="s">
        <v>117</v>
      </c>
      <c r="D25" s="6" t="s">
        <v>118</v>
      </c>
      <c r="E25" s="633" t="s">
        <v>91</v>
      </c>
      <c r="F25" s="633"/>
      <c r="G25" s="131" t="s">
        <v>108</v>
      </c>
      <c r="H25" s="131" t="s">
        <v>109</v>
      </c>
      <c r="I25" s="131" t="s">
        <v>119</v>
      </c>
      <c r="J25" s="131"/>
      <c r="K25" s="131"/>
      <c r="L25" s="6"/>
      <c r="M25" s="6"/>
    </row>
    <row r="26" spans="2:13" ht="15.75" x14ac:dyDescent="0.25">
      <c r="B26" s="1098"/>
      <c r="C26" s="133" t="s">
        <v>120</v>
      </c>
      <c r="D26" s="6" t="s">
        <v>121</v>
      </c>
      <c r="E26" s="633" t="s">
        <v>91</v>
      </c>
      <c r="F26" s="633"/>
      <c r="G26" s="131" t="s">
        <v>108</v>
      </c>
      <c r="H26" s="131" t="s">
        <v>109</v>
      </c>
      <c r="I26" s="131" t="s">
        <v>122</v>
      </c>
      <c r="J26" s="131"/>
      <c r="K26" s="131"/>
      <c r="L26" s="6"/>
      <c r="M26" s="6"/>
    </row>
    <row r="27" spans="2:13" ht="15.75" x14ac:dyDescent="0.25">
      <c r="B27" s="84" t="s">
        <v>100</v>
      </c>
      <c r="C27" s="133" t="s">
        <v>123</v>
      </c>
      <c r="D27" s="6" t="s">
        <v>124</v>
      </c>
      <c r="E27" s="633" t="s">
        <v>91</v>
      </c>
      <c r="F27" s="633"/>
      <c r="G27" s="131" t="s">
        <v>125</v>
      </c>
      <c r="H27" s="131" t="s">
        <v>125</v>
      </c>
      <c r="I27" s="131" t="s">
        <v>126</v>
      </c>
      <c r="J27" s="131"/>
      <c r="K27" s="131"/>
      <c r="L27" s="6"/>
      <c r="M27" s="6"/>
    </row>
    <row r="28" spans="2:13" ht="30" x14ac:dyDescent="0.25">
      <c r="B28" s="84" t="s">
        <v>100</v>
      </c>
      <c r="C28" s="133" t="s">
        <v>127</v>
      </c>
      <c r="D28" s="6" t="s">
        <v>128</v>
      </c>
      <c r="E28" s="633" t="s">
        <v>91</v>
      </c>
      <c r="F28" s="633"/>
      <c r="G28" s="131" t="s">
        <v>129</v>
      </c>
      <c r="H28" s="131" t="s">
        <v>130</v>
      </c>
      <c r="I28" s="131" t="s">
        <v>130</v>
      </c>
      <c r="J28" s="131"/>
      <c r="K28" s="131"/>
      <c r="L28" s="6"/>
      <c r="M28" s="6"/>
    </row>
    <row r="29" spans="2:13" ht="15.75" x14ac:dyDescent="0.25">
      <c r="B29" s="84" t="s">
        <v>100</v>
      </c>
      <c r="C29" s="133" t="s">
        <v>131</v>
      </c>
      <c r="D29" s="6" t="s">
        <v>132</v>
      </c>
      <c r="E29" s="633" t="s">
        <v>91</v>
      </c>
      <c r="F29" s="633"/>
      <c r="G29" s="131" t="s">
        <v>83</v>
      </c>
      <c r="H29" s="131" t="s">
        <v>83</v>
      </c>
      <c r="I29" s="131" t="s">
        <v>84</v>
      </c>
      <c r="J29" s="131"/>
      <c r="K29" s="131" t="s">
        <v>133</v>
      </c>
      <c r="L29" s="6"/>
      <c r="M29" s="6"/>
    </row>
    <row r="30" spans="2:13" ht="15.75" x14ac:dyDescent="0.25">
      <c r="B30" s="84" t="s">
        <v>100</v>
      </c>
      <c r="C30" s="133" t="s">
        <v>134</v>
      </c>
      <c r="D30" s="6" t="s">
        <v>135</v>
      </c>
      <c r="E30" s="633" t="s">
        <v>91</v>
      </c>
      <c r="F30" s="633"/>
      <c r="G30" s="131" t="s">
        <v>83</v>
      </c>
      <c r="H30" s="131" t="s">
        <v>136</v>
      </c>
      <c r="I30" s="131" t="s">
        <v>137</v>
      </c>
      <c r="J30" s="131"/>
      <c r="K30" s="131" t="s">
        <v>138</v>
      </c>
      <c r="L30" s="6"/>
      <c r="M30" s="6"/>
    </row>
    <row r="31" spans="2:13" ht="15.75" x14ac:dyDescent="0.25">
      <c r="B31" s="84" t="s">
        <v>100</v>
      </c>
      <c r="C31" s="133" t="s">
        <v>139</v>
      </c>
      <c r="D31" s="6" t="s">
        <v>140</v>
      </c>
      <c r="E31" s="633" t="s">
        <v>91</v>
      </c>
      <c r="F31" s="633"/>
      <c r="G31" s="131" t="s">
        <v>83</v>
      </c>
      <c r="H31" s="131" t="s">
        <v>141</v>
      </c>
      <c r="I31" s="131" t="s">
        <v>142</v>
      </c>
      <c r="J31" s="131"/>
      <c r="K31" s="131" t="s">
        <v>143</v>
      </c>
      <c r="L31" s="6"/>
      <c r="M31" s="6"/>
    </row>
    <row r="32" spans="2:13" ht="15.75" x14ac:dyDescent="0.25">
      <c r="B32" s="84" t="s">
        <v>100</v>
      </c>
      <c r="C32" s="133" t="s">
        <v>144</v>
      </c>
      <c r="D32" s="6" t="s">
        <v>145</v>
      </c>
      <c r="E32" s="633" t="s">
        <v>91</v>
      </c>
      <c r="F32" s="633"/>
      <c r="G32" s="131" t="s">
        <v>83</v>
      </c>
      <c r="H32" s="131" t="s">
        <v>83</v>
      </c>
      <c r="I32" s="131" t="s">
        <v>146</v>
      </c>
      <c r="J32" s="131"/>
      <c r="K32" s="131" t="s">
        <v>147</v>
      </c>
      <c r="L32" s="6"/>
      <c r="M32" s="6"/>
    </row>
    <row r="33" spans="2:13" ht="15.75" x14ac:dyDescent="0.25">
      <c r="B33" s="84" t="s">
        <v>100</v>
      </c>
      <c r="C33" s="133" t="s">
        <v>148</v>
      </c>
      <c r="D33" s="6" t="s">
        <v>149</v>
      </c>
      <c r="E33" s="633" t="s">
        <v>91</v>
      </c>
      <c r="F33" s="633"/>
      <c r="G33" s="131" t="s">
        <v>92</v>
      </c>
      <c r="H33" s="131" t="s">
        <v>94</v>
      </c>
      <c r="I33" s="131" t="s">
        <v>94</v>
      </c>
      <c r="J33" s="131"/>
      <c r="K33" s="131" t="s">
        <v>150</v>
      </c>
      <c r="L33" s="6"/>
      <c r="M33" s="6"/>
    </row>
    <row r="34" spans="2:13" ht="15.75" x14ac:dyDescent="0.25">
      <c r="B34" s="84" t="s">
        <v>100</v>
      </c>
      <c r="C34" s="133" t="s">
        <v>151</v>
      </c>
      <c r="D34" s="6" t="s">
        <v>152</v>
      </c>
      <c r="E34" s="633" t="s">
        <v>91</v>
      </c>
      <c r="F34" s="633"/>
      <c r="G34" s="131" t="s">
        <v>92</v>
      </c>
      <c r="H34" s="131" t="s">
        <v>95</v>
      </c>
      <c r="I34" s="131" t="s">
        <v>95</v>
      </c>
      <c r="J34" s="131"/>
      <c r="K34" s="131" t="s">
        <v>153</v>
      </c>
      <c r="L34" s="6"/>
      <c r="M34" s="6"/>
    </row>
    <row r="35" spans="2:13" ht="15.75" x14ac:dyDescent="0.25">
      <c r="B35" s="84" t="s">
        <v>100</v>
      </c>
      <c r="C35" s="133" t="s">
        <v>154</v>
      </c>
      <c r="D35" s="6" t="s">
        <v>155</v>
      </c>
      <c r="E35" s="633" t="s">
        <v>91</v>
      </c>
      <c r="F35" s="633"/>
      <c r="G35" s="131" t="s">
        <v>92</v>
      </c>
      <c r="H35" s="131" t="s">
        <v>97</v>
      </c>
      <c r="I35" s="131" t="s">
        <v>98</v>
      </c>
      <c r="J35" s="131"/>
      <c r="K35" s="131" t="s">
        <v>156</v>
      </c>
      <c r="L35" s="6"/>
      <c r="M35" s="6"/>
    </row>
    <row r="36" spans="2:13" ht="15.75" x14ac:dyDescent="0.25">
      <c r="B36" s="84" t="s">
        <v>100</v>
      </c>
      <c r="C36" s="133" t="s">
        <v>157</v>
      </c>
      <c r="D36" s="6" t="s">
        <v>158</v>
      </c>
      <c r="E36" s="633" t="s">
        <v>91</v>
      </c>
      <c r="F36" s="633"/>
      <c r="G36" s="131" t="s">
        <v>92</v>
      </c>
      <c r="H36" s="131" t="s">
        <v>159</v>
      </c>
      <c r="I36" s="131" t="s">
        <v>159</v>
      </c>
      <c r="J36" s="131"/>
      <c r="K36" s="131" t="s">
        <v>147</v>
      </c>
      <c r="L36" s="6"/>
      <c r="M36" s="6"/>
    </row>
    <row r="37" spans="2:13" ht="30" x14ac:dyDescent="0.25">
      <c r="B37" s="84" t="s">
        <v>100</v>
      </c>
      <c r="C37" s="133" t="s">
        <v>160</v>
      </c>
      <c r="D37" s="290"/>
      <c r="E37" s="633" t="s">
        <v>91</v>
      </c>
      <c r="F37" s="633"/>
      <c r="G37" s="505" t="s">
        <v>161</v>
      </c>
      <c r="H37" s="131" t="s">
        <v>162</v>
      </c>
      <c r="I37" s="131" t="s">
        <v>162</v>
      </c>
      <c r="J37" s="131"/>
      <c r="K37" s="131"/>
      <c r="L37" s="6"/>
      <c r="M37" s="6"/>
    </row>
    <row r="38" spans="2:13" ht="30" x14ac:dyDescent="0.25">
      <c r="B38" s="636" t="s">
        <v>100</v>
      </c>
      <c r="C38" s="637" t="s">
        <v>163</v>
      </c>
      <c r="D38" s="24" t="s">
        <v>164</v>
      </c>
      <c r="E38" s="633" t="s">
        <v>91</v>
      </c>
      <c r="F38" s="633"/>
      <c r="G38" s="131" t="s">
        <v>165</v>
      </c>
      <c r="H38" s="131"/>
      <c r="I38" s="131" t="s">
        <v>166</v>
      </c>
      <c r="J38" s="131"/>
      <c r="K38" s="131"/>
      <c r="L38" s="6"/>
      <c r="M38" s="6"/>
    </row>
    <row r="39" spans="2:13" ht="15.75" x14ac:dyDescent="0.25">
      <c r="B39" s="84"/>
      <c r="C39" s="133"/>
      <c r="D39" s="6"/>
      <c r="E39" s="633"/>
      <c r="F39" s="633"/>
      <c r="G39" s="131"/>
      <c r="H39" s="131"/>
      <c r="I39" s="131"/>
      <c r="J39" s="131"/>
      <c r="K39" s="131"/>
      <c r="L39" s="6"/>
      <c r="M39" s="6"/>
    </row>
    <row r="40" spans="2:13" x14ac:dyDescent="0.25">
      <c r="B40" s="1090"/>
      <c r="C40" s="1091"/>
      <c r="D40" s="1091"/>
      <c r="E40" s="1091"/>
      <c r="F40" s="1091"/>
      <c r="G40" s="1091"/>
      <c r="H40" s="1091"/>
      <c r="I40" s="1091"/>
      <c r="J40" s="1091"/>
      <c r="K40" s="1091"/>
      <c r="L40" s="1091"/>
      <c r="M40" s="1092"/>
    </row>
    <row r="41" spans="2:13" ht="30" x14ac:dyDescent="0.25">
      <c r="B41" s="102" t="s">
        <v>167</v>
      </c>
      <c r="C41" s="200"/>
      <c r="D41" s="10" t="s">
        <v>168</v>
      </c>
      <c r="E41" s="633"/>
      <c r="F41" s="633" t="s">
        <v>91</v>
      </c>
      <c r="G41" s="131" t="s">
        <v>125</v>
      </c>
      <c r="H41" s="131" t="s">
        <v>125</v>
      </c>
      <c r="I41" s="131" t="s">
        <v>169</v>
      </c>
      <c r="J41" s="131"/>
      <c r="K41" s="131"/>
      <c r="L41" s="6"/>
      <c r="M41" s="6"/>
    </row>
    <row r="42" spans="2:13" x14ac:dyDescent="0.25">
      <c r="B42" s="1090"/>
      <c r="C42" s="1091"/>
      <c r="D42" s="1091"/>
      <c r="E42" s="1091"/>
      <c r="F42" s="1091"/>
      <c r="G42" s="1091"/>
      <c r="H42" s="1091"/>
      <c r="I42" s="1091"/>
      <c r="J42" s="1091"/>
      <c r="K42" s="1091"/>
      <c r="L42" s="1091"/>
      <c r="M42" s="1092"/>
    </row>
    <row r="43" spans="2:13" ht="30" x14ac:dyDescent="0.25">
      <c r="B43" s="102" t="s">
        <v>170</v>
      </c>
      <c r="C43" s="200"/>
      <c r="D43" s="10" t="s">
        <v>171</v>
      </c>
      <c r="E43" s="633"/>
      <c r="F43" s="633" t="s">
        <v>91</v>
      </c>
      <c r="G43" s="131" t="s">
        <v>125</v>
      </c>
      <c r="H43" s="131" t="s">
        <v>125</v>
      </c>
      <c r="I43" s="131" t="s">
        <v>169</v>
      </c>
      <c r="J43" s="131"/>
      <c r="K43" s="131"/>
      <c r="L43" s="6"/>
      <c r="M43" s="6"/>
    </row>
    <row r="44" spans="2:13" x14ac:dyDescent="0.25">
      <c r="B44" s="1090"/>
      <c r="C44" s="1091"/>
      <c r="D44" s="1091"/>
      <c r="E44" s="1091"/>
      <c r="F44" s="1091"/>
      <c r="G44" s="1091"/>
      <c r="H44" s="1091"/>
      <c r="I44" s="1091"/>
      <c r="J44" s="1091"/>
      <c r="K44" s="1091"/>
      <c r="L44" s="1091"/>
      <c r="M44" s="1092"/>
    </row>
    <row r="45" spans="2:13" ht="30" x14ac:dyDescent="0.25">
      <c r="B45" s="102" t="s">
        <v>172</v>
      </c>
      <c r="C45" s="200"/>
      <c r="D45" s="10" t="s">
        <v>173</v>
      </c>
      <c r="E45" s="633"/>
      <c r="F45" s="633" t="s">
        <v>91</v>
      </c>
      <c r="G45" s="131" t="s">
        <v>125</v>
      </c>
      <c r="H45" s="131" t="s">
        <v>125</v>
      </c>
      <c r="I45" s="131" t="s">
        <v>169</v>
      </c>
      <c r="J45" s="131"/>
      <c r="K45" s="131"/>
      <c r="L45" s="6"/>
      <c r="M45" s="6"/>
    </row>
    <row r="46" spans="2:13" x14ac:dyDescent="0.25">
      <c r="B46" s="1090"/>
      <c r="C46" s="1091"/>
      <c r="D46" s="1091"/>
      <c r="E46" s="1091"/>
      <c r="F46" s="1091"/>
      <c r="G46" s="1091"/>
      <c r="H46" s="1091"/>
      <c r="I46" s="1091"/>
      <c r="J46" s="1091"/>
      <c r="K46" s="1092"/>
      <c r="L46" s="751"/>
      <c r="M46" s="753"/>
    </row>
    <row r="47" spans="2:13" ht="30" x14ac:dyDescent="0.25">
      <c r="B47" s="102" t="s">
        <v>174</v>
      </c>
      <c r="C47" s="200"/>
      <c r="D47" s="6"/>
      <c r="E47" s="633"/>
      <c r="F47" s="633"/>
      <c r="G47" s="131"/>
      <c r="H47" s="131"/>
      <c r="I47" s="131"/>
      <c r="J47" s="131"/>
      <c r="K47" s="131"/>
      <c r="L47" s="6"/>
      <c r="M47" s="6"/>
    </row>
    <row r="48" spans="2:13" ht="30" x14ac:dyDescent="0.25">
      <c r="B48" s="102" t="s">
        <v>175</v>
      </c>
      <c r="C48" s="200" t="s">
        <v>77</v>
      </c>
      <c r="D48" s="6" t="s">
        <v>176</v>
      </c>
      <c r="E48" s="633"/>
      <c r="F48" s="633" t="s">
        <v>91</v>
      </c>
      <c r="G48" s="131" t="s">
        <v>129</v>
      </c>
      <c r="H48" s="131" t="s">
        <v>130</v>
      </c>
      <c r="I48" s="131" t="s">
        <v>177</v>
      </c>
      <c r="J48" s="131"/>
      <c r="K48" s="131"/>
      <c r="L48" s="6"/>
      <c r="M48" s="6"/>
    </row>
    <row r="49" spans="2:13" ht="30" x14ac:dyDescent="0.25">
      <c r="B49" s="102" t="s">
        <v>175</v>
      </c>
      <c r="C49" s="200" t="s">
        <v>178</v>
      </c>
      <c r="D49" s="6" t="s">
        <v>179</v>
      </c>
      <c r="E49" s="633"/>
      <c r="F49" s="633" t="s">
        <v>91</v>
      </c>
      <c r="G49" s="131" t="s">
        <v>129</v>
      </c>
      <c r="H49" s="131" t="s">
        <v>130</v>
      </c>
      <c r="I49" s="131" t="s">
        <v>130</v>
      </c>
      <c r="J49" s="131"/>
      <c r="K49" s="131"/>
      <c r="L49" s="6"/>
      <c r="M49" s="6"/>
    </row>
    <row r="50" spans="2:13" x14ac:dyDescent="0.25">
      <c r="B50" s="1090"/>
      <c r="C50" s="1091"/>
      <c r="D50" s="1091"/>
      <c r="E50" s="1091"/>
      <c r="F50" s="1091"/>
      <c r="G50" s="1091"/>
      <c r="H50" s="1091"/>
      <c r="I50" s="1091"/>
      <c r="J50" s="1091"/>
      <c r="K50" s="1091"/>
      <c r="L50" s="1091"/>
      <c r="M50" s="1092"/>
    </row>
    <row r="51" spans="2:13" ht="30" x14ac:dyDescent="0.25">
      <c r="B51" s="270" t="s">
        <v>180</v>
      </c>
      <c r="C51" s="200"/>
      <c r="D51" s="6"/>
      <c r="E51" s="633"/>
      <c r="F51" s="633"/>
      <c r="G51" s="131"/>
      <c r="H51" s="131"/>
      <c r="I51" s="131"/>
      <c r="J51" s="131"/>
      <c r="K51" s="131"/>
      <c r="L51" s="6"/>
      <c r="M51" s="6"/>
    </row>
    <row r="52" spans="2:13" ht="15.75" x14ac:dyDescent="0.25">
      <c r="B52" s="1111" t="s">
        <v>181</v>
      </c>
      <c r="C52" s="638" t="s">
        <v>77</v>
      </c>
      <c r="D52" s="639" t="s">
        <v>182</v>
      </c>
      <c r="E52" s="633"/>
      <c r="F52" s="633" t="s">
        <v>91</v>
      </c>
      <c r="G52" s="131" t="s">
        <v>125</v>
      </c>
      <c r="H52" s="131" t="s">
        <v>125</v>
      </c>
      <c r="I52" s="131" t="s">
        <v>126</v>
      </c>
      <c r="J52" s="131"/>
      <c r="K52" s="131"/>
      <c r="L52" s="6"/>
      <c r="M52" s="6"/>
    </row>
    <row r="53" spans="2:13" ht="15.75" x14ac:dyDescent="0.25">
      <c r="B53" s="1112"/>
      <c r="C53" s="200"/>
      <c r="D53" s="6" t="s">
        <v>183</v>
      </c>
      <c r="E53" s="633"/>
      <c r="F53" s="633" t="s">
        <v>91</v>
      </c>
      <c r="G53" s="131" t="s">
        <v>125</v>
      </c>
      <c r="H53" s="131" t="s">
        <v>125</v>
      </c>
      <c r="I53" s="131" t="s">
        <v>126</v>
      </c>
      <c r="J53" s="131"/>
      <c r="K53" s="131"/>
      <c r="L53" s="6"/>
      <c r="M53" s="6"/>
    </row>
    <row r="54" spans="2:13" ht="15.75" x14ac:dyDescent="0.25">
      <c r="B54" s="1112"/>
      <c r="C54" s="200"/>
      <c r="D54" s="6" t="s">
        <v>184</v>
      </c>
      <c r="E54" s="633"/>
      <c r="F54" s="633" t="s">
        <v>91</v>
      </c>
      <c r="G54" s="131" t="s">
        <v>125</v>
      </c>
      <c r="H54" s="131" t="s">
        <v>125</v>
      </c>
      <c r="I54" s="131" t="s">
        <v>126</v>
      </c>
      <c r="J54" s="131"/>
      <c r="K54" s="131"/>
      <c r="L54" s="6"/>
      <c r="M54" s="6"/>
    </row>
    <row r="55" spans="2:13" ht="15.75" x14ac:dyDescent="0.25">
      <c r="B55" s="1113"/>
      <c r="C55" s="200"/>
      <c r="D55" s="754" t="s">
        <v>185</v>
      </c>
      <c r="E55" s="633"/>
      <c r="F55" s="633" t="s">
        <v>91</v>
      </c>
      <c r="G55" s="131"/>
      <c r="H55" s="131"/>
      <c r="I55" s="131"/>
      <c r="J55" s="131"/>
      <c r="K55" s="131"/>
      <c r="L55" s="6"/>
      <c r="M55" s="6"/>
    </row>
    <row r="56" spans="2:13" ht="26.25" x14ac:dyDescent="0.25">
      <c r="B56" s="1114" t="s">
        <v>181</v>
      </c>
      <c r="C56" s="640" t="s">
        <v>186</v>
      </c>
      <c r="D56" s="755" t="s">
        <v>187</v>
      </c>
      <c r="E56" s="641"/>
      <c r="F56" s="641" t="s">
        <v>91</v>
      </c>
      <c r="G56" s="756" t="s">
        <v>188</v>
      </c>
      <c r="H56" s="131"/>
      <c r="I56" s="131"/>
      <c r="J56" s="131"/>
      <c r="K56" s="131"/>
      <c r="L56" s="6"/>
      <c r="M56" s="6"/>
    </row>
    <row r="57" spans="2:13" ht="15.75" x14ac:dyDescent="0.25">
      <c r="B57" s="1115"/>
      <c r="C57" s="642"/>
      <c r="D57" s="754" t="s">
        <v>183</v>
      </c>
      <c r="E57" s="643"/>
      <c r="F57" s="643" t="s">
        <v>91</v>
      </c>
      <c r="G57" s="757"/>
      <c r="H57" s="131"/>
      <c r="I57" s="131"/>
      <c r="J57" s="131"/>
      <c r="K57" s="131"/>
      <c r="L57" s="6"/>
      <c r="M57" s="6"/>
    </row>
    <row r="58" spans="2:13" ht="15.75" x14ac:dyDescent="0.25">
      <c r="B58" s="1115"/>
      <c r="C58" s="642"/>
      <c r="D58" s="6" t="s">
        <v>184</v>
      </c>
      <c r="E58" s="643"/>
      <c r="F58" s="643" t="s">
        <v>91</v>
      </c>
      <c r="G58" s="757"/>
      <c r="H58" s="131"/>
      <c r="I58" s="131"/>
      <c r="J58" s="131"/>
      <c r="K58" s="131"/>
      <c r="L58" s="6"/>
      <c r="M58" s="6"/>
    </row>
    <row r="59" spans="2:13" ht="15.75" x14ac:dyDescent="0.25">
      <c r="B59" s="1116"/>
      <c r="C59" s="642"/>
      <c r="D59" s="6" t="s">
        <v>185</v>
      </c>
      <c r="E59" s="643"/>
      <c r="F59" s="643" t="s">
        <v>91</v>
      </c>
      <c r="G59" s="131"/>
      <c r="H59" s="131"/>
      <c r="I59" s="131"/>
      <c r="J59" s="131"/>
      <c r="K59" s="131"/>
      <c r="L59" s="6"/>
      <c r="M59" s="6"/>
    </row>
    <row r="60" spans="2:13" ht="15.75" x14ac:dyDescent="0.25">
      <c r="B60" s="758"/>
      <c r="C60" s="642"/>
      <c r="D60" s="290"/>
      <c r="E60" s="643"/>
      <c r="F60" s="643"/>
      <c r="G60" s="757"/>
      <c r="H60" s="131"/>
      <c r="I60" s="131"/>
      <c r="J60" s="131"/>
      <c r="K60" s="131"/>
      <c r="L60" s="6"/>
      <c r="M60" s="6"/>
    </row>
    <row r="61" spans="2:13" x14ac:dyDescent="0.25">
      <c r="B61" s="1090"/>
      <c r="C61" s="1091"/>
      <c r="D61" s="1091"/>
      <c r="E61" s="1091"/>
      <c r="F61" s="1091"/>
      <c r="G61" s="1091"/>
      <c r="H61" s="1091"/>
      <c r="I61" s="1091"/>
      <c r="J61" s="1091"/>
      <c r="K61" s="1091"/>
      <c r="L61" s="1091"/>
      <c r="M61" s="1092"/>
    </row>
    <row r="62" spans="2:13" ht="30" x14ac:dyDescent="0.25">
      <c r="B62" s="759" t="s">
        <v>189</v>
      </c>
      <c r="C62" s="1108" t="s">
        <v>190</v>
      </c>
      <c r="D62" s="754"/>
      <c r="E62" s="633"/>
      <c r="F62" s="633"/>
      <c r="G62" s="131"/>
      <c r="H62" s="131"/>
      <c r="I62" s="131"/>
      <c r="J62" s="131"/>
      <c r="K62" s="131"/>
      <c r="L62" s="6"/>
      <c r="M62" s="6"/>
    </row>
    <row r="63" spans="2:13" ht="15.75" x14ac:dyDescent="0.25">
      <c r="B63" s="760"/>
      <c r="C63" s="1109"/>
      <c r="D63" s="754"/>
      <c r="E63" s="633"/>
      <c r="F63" s="633"/>
      <c r="G63" s="131"/>
      <c r="H63" s="131"/>
      <c r="I63" s="131"/>
      <c r="J63" s="131"/>
      <c r="K63" s="131"/>
      <c r="L63" s="6"/>
      <c r="M63" s="6"/>
    </row>
    <row r="64" spans="2:13" ht="26.25" x14ac:dyDescent="0.25">
      <c r="B64" s="761" t="s">
        <v>191</v>
      </c>
      <c r="C64" s="1109"/>
      <c r="D64" s="762" t="s">
        <v>183</v>
      </c>
      <c r="E64" s="633"/>
      <c r="F64" s="633"/>
      <c r="G64" s="131"/>
      <c r="H64" s="131"/>
      <c r="I64" s="131"/>
      <c r="J64" s="131"/>
      <c r="K64" s="131"/>
      <c r="L64" s="6"/>
      <c r="M64" s="6"/>
    </row>
    <row r="65" spans="2:13" ht="15.75" x14ac:dyDescent="0.25">
      <c r="B65" s="763"/>
      <c r="C65" s="1109"/>
      <c r="D65" s="762" t="s">
        <v>184</v>
      </c>
      <c r="E65" s="633"/>
      <c r="F65" s="633"/>
      <c r="G65" s="131"/>
      <c r="H65" s="131"/>
      <c r="I65" s="131"/>
      <c r="J65" s="131"/>
      <c r="K65" s="131"/>
      <c r="L65" s="6"/>
      <c r="M65" s="6"/>
    </row>
    <row r="66" spans="2:13" ht="15.75" x14ac:dyDescent="0.25">
      <c r="B66" s="763"/>
      <c r="C66" s="1110"/>
      <c r="D66" s="762" t="s">
        <v>185</v>
      </c>
      <c r="E66" s="633"/>
      <c r="F66" s="633"/>
      <c r="G66" s="131"/>
      <c r="H66" s="131"/>
      <c r="I66" s="131"/>
      <c r="J66" s="131"/>
      <c r="K66" s="131"/>
      <c r="L66" s="6"/>
      <c r="M66" s="6"/>
    </row>
    <row r="68" spans="2:13" x14ac:dyDescent="0.25">
      <c r="B68" s="764" t="s">
        <v>192</v>
      </c>
    </row>
    <row r="69" spans="2:13" x14ac:dyDescent="0.25">
      <c r="B69" s="1117" t="s">
        <v>193</v>
      </c>
      <c r="C69" s="1117"/>
      <c r="D69" s="1117"/>
      <c r="E69" s="1117"/>
    </row>
    <row r="70" spans="2:13" x14ac:dyDescent="0.25">
      <c r="B70" s="1117"/>
      <c r="C70" s="1117"/>
      <c r="D70" s="1117"/>
      <c r="E70" s="1117"/>
    </row>
    <row r="71" spans="2:13" x14ac:dyDescent="0.25">
      <c r="B71" s="1117"/>
      <c r="C71" s="1117"/>
      <c r="D71" s="1117"/>
      <c r="E71" s="1117"/>
    </row>
    <row r="73" spans="2:13" x14ac:dyDescent="0.25">
      <c r="B73" s="765" t="s">
        <v>194</v>
      </c>
    </row>
    <row r="74" spans="2:13" x14ac:dyDescent="0.25">
      <c r="B74" s="1099" t="s">
        <v>195</v>
      </c>
      <c r="C74" s="1100"/>
      <c r="D74" s="1100"/>
      <c r="E74" s="1101"/>
    </row>
    <row r="75" spans="2:13" x14ac:dyDescent="0.25">
      <c r="B75" s="1102"/>
      <c r="C75" s="1103"/>
      <c r="D75" s="1103"/>
      <c r="E75" s="1104"/>
    </row>
    <row r="76" spans="2:13" x14ac:dyDescent="0.25">
      <c r="B76" s="1105"/>
      <c r="C76" s="1106"/>
      <c r="D76" s="1106"/>
      <c r="E76" s="1107"/>
    </row>
    <row r="78" spans="2:13" x14ac:dyDescent="0.25">
      <c r="B78" s="764" t="s">
        <v>196</v>
      </c>
    </row>
    <row r="79" spans="2:13" x14ac:dyDescent="0.25">
      <c r="B79" s="1099" t="s">
        <v>197</v>
      </c>
      <c r="C79" s="1100"/>
      <c r="D79" s="1100"/>
      <c r="E79" s="1101"/>
    </row>
    <row r="80" spans="2:13" x14ac:dyDescent="0.25">
      <c r="B80" s="1105"/>
      <c r="C80" s="1106"/>
      <c r="D80" s="1106"/>
      <c r="E80" s="1107"/>
    </row>
    <row r="82" spans="2:5" x14ac:dyDescent="0.25">
      <c r="B82" s="764" t="s">
        <v>198</v>
      </c>
    </row>
    <row r="83" spans="2:5" x14ac:dyDescent="0.25">
      <c r="B83" s="1099" t="s">
        <v>199</v>
      </c>
      <c r="C83" s="1100"/>
      <c r="D83" s="1100"/>
      <c r="E83" s="1101"/>
    </row>
    <row r="84" spans="2:5" x14ac:dyDescent="0.25">
      <c r="B84" s="1102"/>
      <c r="C84" s="1103"/>
      <c r="D84" s="1103"/>
      <c r="E84" s="1104"/>
    </row>
    <row r="85" spans="2:5" x14ac:dyDescent="0.25">
      <c r="B85" s="1105"/>
      <c r="C85" s="1106"/>
      <c r="D85" s="1106"/>
      <c r="E85" s="1107"/>
    </row>
  </sheetData>
  <mergeCells count="23">
    <mergeCell ref="B83:E85"/>
    <mergeCell ref="B61:M61"/>
    <mergeCell ref="C62:C66"/>
    <mergeCell ref="B52:B55"/>
    <mergeCell ref="B56:B59"/>
    <mergeCell ref="B69:E71"/>
    <mergeCell ref="B74:E76"/>
    <mergeCell ref="B79:E80"/>
    <mergeCell ref="B40:M40"/>
    <mergeCell ref="B42:M42"/>
    <mergeCell ref="B44:M44"/>
    <mergeCell ref="B46:K46"/>
    <mergeCell ref="B50:M50"/>
    <mergeCell ref="B8:M8"/>
    <mergeCell ref="B13:M13"/>
    <mergeCell ref="B18:M18"/>
    <mergeCell ref="D21:M21"/>
    <mergeCell ref="B21:B26"/>
    <mergeCell ref="B2:D2"/>
    <mergeCell ref="L4:M4"/>
    <mergeCell ref="J4:K4"/>
    <mergeCell ref="E4:F4"/>
    <mergeCell ref="G4:H4"/>
  </mergeCell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45"/>
  <sheetViews>
    <sheetView workbookViewId="0">
      <pane xSplit="10" ySplit="5" topLeftCell="K6" activePane="bottomRight" state="frozen"/>
      <selection pane="topRight"/>
      <selection pane="bottomLeft"/>
      <selection pane="bottomRight"/>
    </sheetView>
  </sheetViews>
  <sheetFormatPr baseColWidth="10" defaultColWidth="14.5703125" defaultRowHeight="15" x14ac:dyDescent="0.25"/>
  <cols>
    <col min="1" max="8" width="3.42578125" style="25" customWidth="1"/>
    <col min="9" max="9" width="42.7109375" style="68" customWidth="1"/>
    <col min="10" max="10" width="97.28515625" style="306" customWidth="1"/>
    <col min="11" max="11" width="55.85546875" style="306" customWidth="1"/>
    <col min="12" max="12" width="54" style="187" customWidth="1"/>
    <col min="13" max="13" width="21.5703125" style="26" customWidth="1"/>
    <col min="14" max="14" width="30.28515625" style="212" customWidth="1"/>
    <col min="15" max="15" width="28.42578125" style="212" customWidth="1"/>
    <col min="16" max="16" width="25.5703125" style="25" customWidth="1"/>
    <col min="17" max="17" width="19.5703125" style="25" customWidth="1"/>
    <col min="18" max="18" width="22.7109375" style="25" customWidth="1"/>
    <col min="19" max="19" width="17" style="25" customWidth="1"/>
    <col min="20" max="20" width="14.5703125" style="25" customWidth="1"/>
    <col min="21" max="21" width="73.85546875" style="25" customWidth="1"/>
    <col min="22" max="22" width="14.42578125" style="25" customWidth="1"/>
    <col min="23" max="23" width="20.85546875" style="25" customWidth="1"/>
    <col min="24" max="25" width="31.85546875" style="25" customWidth="1"/>
    <col min="26" max="26" width="14.42578125" style="25" customWidth="1"/>
    <col min="27" max="27" width="14.5703125" style="25" customWidth="1"/>
    <col min="28" max="16384" width="14.5703125" style="25"/>
  </cols>
  <sheetData>
    <row r="1" spans="1:26" x14ac:dyDescent="0.25">
      <c r="J1" s="1120" t="s">
        <v>200</v>
      </c>
      <c r="K1" s="1118" t="s">
        <v>201</v>
      </c>
      <c r="M1" s="766"/>
    </row>
    <row r="2" spans="1:26" x14ac:dyDescent="0.25">
      <c r="J2" s="1120"/>
      <c r="K2" s="1119"/>
      <c r="M2" s="767"/>
      <c r="N2" s="211"/>
    </row>
    <row r="3" spans="1:26" x14ac:dyDescent="0.25">
      <c r="J3" s="1120"/>
      <c r="K3" s="1119"/>
      <c r="M3" s="766"/>
    </row>
    <row r="4" spans="1:26" s="212" customFormat="1" ht="49.5" customHeight="1" x14ac:dyDescent="0.2">
      <c r="C4" s="1121" t="s">
        <v>8</v>
      </c>
      <c r="D4" s="1122"/>
      <c r="E4" s="1122"/>
      <c r="F4" s="1122"/>
      <c r="G4" s="1122"/>
      <c r="H4" s="1123"/>
      <c r="I4" s="769"/>
      <c r="J4" s="1120"/>
      <c r="K4" s="1119"/>
      <c r="L4" s="216"/>
      <c r="M4" s="1124" t="s">
        <v>202</v>
      </c>
      <c r="N4" s="1125"/>
    </row>
    <row r="5" spans="1:26" s="224" customFormat="1" ht="51.75" customHeight="1" x14ac:dyDescent="0.25">
      <c r="A5" s="25"/>
      <c r="B5" s="122" t="s">
        <v>7</v>
      </c>
      <c r="C5" s="202" t="s">
        <v>9</v>
      </c>
      <c r="D5" s="202" t="s">
        <v>10</v>
      </c>
      <c r="E5" s="202" t="s">
        <v>11</v>
      </c>
      <c r="F5" s="202" t="s">
        <v>12</v>
      </c>
      <c r="G5" s="202" t="s">
        <v>13</v>
      </c>
      <c r="H5" s="202" t="s">
        <v>14</v>
      </c>
      <c r="I5" s="225" t="s">
        <v>203</v>
      </c>
      <c r="J5" s="225" t="s">
        <v>204</v>
      </c>
      <c r="K5" s="770" t="s">
        <v>205</v>
      </c>
      <c r="L5" s="771" t="str">
        <f>HYPERLINK("https://360.articulate.com/review/content/7a4811a3-0e69-4945-b15c-a156edf8a325/review", "Überbegriff bisherige Themenbereich im QMH")</f>
        <v>Überbegriff bisherige Themenbereich im QMH</v>
      </c>
      <c r="M5" s="225" t="s">
        <v>206</v>
      </c>
      <c r="N5" s="214" t="s">
        <v>207</v>
      </c>
      <c r="O5" s="225" t="s">
        <v>18</v>
      </c>
      <c r="P5" s="225" t="s">
        <v>19</v>
      </c>
      <c r="Q5" s="215" t="s">
        <v>20</v>
      </c>
      <c r="R5" s="225" t="s">
        <v>208</v>
      </c>
      <c r="S5" s="225" t="s">
        <v>22</v>
      </c>
      <c r="T5" s="225" t="s">
        <v>24</v>
      </c>
      <c r="U5" s="225" t="s">
        <v>209</v>
      </c>
      <c r="V5" s="215" t="s">
        <v>25</v>
      </c>
      <c r="W5" s="215" t="s">
        <v>26</v>
      </c>
      <c r="X5" s="215" t="s">
        <v>27</v>
      </c>
      <c r="Y5" s="215" t="s">
        <v>28</v>
      </c>
      <c r="Z5" s="215" t="s">
        <v>29</v>
      </c>
    </row>
    <row r="6" spans="1:26" s="211" customFormat="1" ht="20.25" customHeight="1" x14ac:dyDescent="0.25">
      <c r="A6" s="25"/>
      <c r="B6" s="742"/>
      <c r="C6" s="772"/>
      <c r="D6" s="772"/>
      <c r="E6" s="772"/>
      <c r="F6" s="772"/>
      <c r="G6" s="772"/>
      <c r="H6" s="772"/>
      <c r="I6" s="93"/>
      <c r="J6" s="773"/>
      <c r="K6" s="774"/>
      <c r="L6" s="774"/>
      <c r="M6" s="775"/>
      <c r="N6" s="768"/>
      <c r="O6" s="94"/>
      <c r="P6" s="94"/>
      <c r="Q6" s="94"/>
      <c r="R6" s="94"/>
      <c r="S6" s="94"/>
      <c r="T6" s="93"/>
      <c r="U6" s="94"/>
      <c r="V6" s="776"/>
      <c r="W6" s="776"/>
      <c r="X6" s="93"/>
      <c r="Y6" s="93"/>
      <c r="Z6" s="93"/>
    </row>
    <row r="7" spans="1:26" s="68" customFormat="1" ht="25.5" x14ac:dyDescent="0.25">
      <c r="A7" s="25"/>
      <c r="B7" s="25"/>
      <c r="C7" s="188" t="s">
        <v>50</v>
      </c>
      <c r="D7" s="188"/>
      <c r="E7" s="72"/>
      <c r="F7" s="72"/>
      <c r="G7" s="72"/>
      <c r="H7" s="205"/>
      <c r="I7" s="192" t="s">
        <v>210</v>
      </c>
      <c r="J7" s="472" t="s">
        <v>211</v>
      </c>
      <c r="K7" s="188" t="s">
        <v>212</v>
      </c>
      <c r="L7" s="188" t="s">
        <v>213</v>
      </c>
      <c r="M7" s="128" t="s">
        <v>214</v>
      </c>
      <c r="N7" s="72" t="s">
        <v>214</v>
      </c>
      <c r="O7" s="69"/>
      <c r="P7" s="69"/>
      <c r="Q7" s="69"/>
      <c r="R7" s="69"/>
      <c r="S7" s="69"/>
      <c r="T7" s="70"/>
      <c r="U7" s="69"/>
      <c r="V7" s="26"/>
      <c r="W7" s="26"/>
      <c r="X7" s="70"/>
      <c r="Y7" s="70"/>
      <c r="Z7" s="70"/>
    </row>
    <row r="8" spans="1:26" s="162" customFormat="1" x14ac:dyDescent="0.25">
      <c r="A8" s="777"/>
      <c r="B8" s="777"/>
      <c r="C8" s="778"/>
      <c r="D8" s="778" t="s">
        <v>50</v>
      </c>
      <c r="E8" s="778"/>
      <c r="F8" s="778"/>
      <c r="G8" s="778"/>
      <c r="H8" s="779"/>
      <c r="I8" s="780" t="s">
        <v>215</v>
      </c>
      <c r="J8" s="781"/>
      <c r="K8" s="778" t="s">
        <v>212</v>
      </c>
      <c r="L8" s="778"/>
      <c r="M8" s="782"/>
      <c r="N8" s="783"/>
      <c r="O8" s="784"/>
      <c r="P8" s="785"/>
      <c r="Q8" s="785"/>
      <c r="R8" s="784"/>
      <c r="S8" s="784"/>
      <c r="T8" s="780"/>
      <c r="U8" s="785"/>
      <c r="V8" s="786" t="s">
        <v>31</v>
      </c>
      <c r="W8" s="786" t="s">
        <v>31</v>
      </c>
      <c r="X8" s="780"/>
      <c r="Y8" s="780"/>
      <c r="Z8" s="780"/>
    </row>
    <row r="9" spans="1:26" s="68" customFormat="1" ht="38.25" x14ac:dyDescent="0.25">
      <c r="A9" s="25"/>
      <c r="B9" s="25"/>
      <c r="C9" s="188"/>
      <c r="D9" s="188"/>
      <c r="E9" s="188" t="s">
        <v>50</v>
      </c>
      <c r="F9" s="188"/>
      <c r="G9" s="188"/>
      <c r="H9" s="205"/>
      <c r="I9" s="192" t="s">
        <v>216</v>
      </c>
      <c r="J9" s="204" t="s">
        <v>217</v>
      </c>
      <c r="K9" s="204" t="s">
        <v>218</v>
      </c>
      <c r="L9" s="188" t="s">
        <v>213</v>
      </c>
      <c r="M9" s="128" t="s">
        <v>214</v>
      </c>
      <c r="N9" s="72" t="s">
        <v>214</v>
      </c>
      <c r="O9" s="12"/>
      <c r="P9" s="69"/>
      <c r="Q9" s="69"/>
      <c r="R9" s="12"/>
      <c r="S9" s="12"/>
      <c r="T9" s="70"/>
      <c r="U9" s="69"/>
      <c r="V9" s="26"/>
      <c r="W9" s="26"/>
      <c r="X9" s="70"/>
      <c r="Y9" s="70"/>
      <c r="Z9" s="70"/>
    </row>
    <row r="10" spans="1:26" s="68" customFormat="1" ht="25.5" x14ac:dyDescent="0.25">
      <c r="A10" s="25"/>
      <c r="B10" s="25"/>
      <c r="C10" s="188"/>
      <c r="D10" s="188"/>
      <c r="E10" s="188" t="s">
        <v>50</v>
      </c>
      <c r="F10" s="188"/>
      <c r="G10" s="188"/>
      <c r="H10" s="205"/>
      <c r="I10" s="192" t="s">
        <v>219</v>
      </c>
      <c r="J10" s="204" t="s">
        <v>220</v>
      </c>
      <c r="K10" s="204" t="s">
        <v>221</v>
      </c>
      <c r="L10" s="188" t="s">
        <v>213</v>
      </c>
      <c r="M10" s="128" t="s">
        <v>214</v>
      </c>
      <c r="N10" s="72" t="s">
        <v>214</v>
      </c>
      <c r="O10" s="12"/>
      <c r="P10" s="69"/>
      <c r="Q10" s="69"/>
      <c r="R10" s="12"/>
      <c r="S10" s="12"/>
      <c r="T10" s="70"/>
      <c r="U10" s="69"/>
      <c r="V10" s="26"/>
      <c r="W10" s="26"/>
      <c r="X10" s="70"/>
      <c r="Y10" s="70"/>
      <c r="Z10" s="70"/>
    </row>
    <row r="11" spans="1:26" s="68" customFormat="1" ht="57" x14ac:dyDescent="0.25">
      <c r="A11" s="25"/>
      <c r="B11" s="25"/>
      <c r="C11" s="188"/>
      <c r="D11" s="188"/>
      <c r="E11" s="188" t="s">
        <v>50</v>
      </c>
      <c r="F11" s="188"/>
      <c r="G11" s="188"/>
      <c r="H11" s="205"/>
      <c r="I11" s="192" t="s">
        <v>222</v>
      </c>
      <c r="J11" s="472" t="s">
        <v>223</v>
      </c>
      <c r="K11" s="204" t="s">
        <v>224</v>
      </c>
      <c r="L11" s="188" t="s">
        <v>225</v>
      </c>
      <c r="M11" s="128" t="s">
        <v>214</v>
      </c>
      <c r="N11" s="72" t="s">
        <v>214</v>
      </c>
      <c r="O11" s="12"/>
      <c r="P11" s="69"/>
      <c r="Q11" s="69"/>
      <c r="R11" s="12"/>
      <c r="S11" s="12"/>
      <c r="T11" s="70"/>
      <c r="U11" s="69"/>
      <c r="V11" s="26"/>
      <c r="W11" s="26"/>
      <c r="X11" s="70"/>
      <c r="Y11" s="70"/>
      <c r="Z11" s="70"/>
    </row>
    <row r="12" spans="1:26" s="162" customFormat="1" x14ac:dyDescent="0.25">
      <c r="A12" s="777"/>
      <c r="B12" s="777"/>
      <c r="C12" s="778"/>
      <c r="D12" s="778" t="s">
        <v>50</v>
      </c>
      <c r="E12" s="783"/>
      <c r="F12" s="783"/>
      <c r="G12" s="783"/>
      <c r="H12" s="779"/>
      <c r="I12" s="780" t="s">
        <v>226</v>
      </c>
      <c r="J12" s="781"/>
      <c r="K12" s="778" t="s">
        <v>212</v>
      </c>
      <c r="L12" s="778"/>
      <c r="M12" s="782"/>
      <c r="N12" s="783"/>
      <c r="O12" s="785"/>
      <c r="P12" s="785"/>
      <c r="Q12" s="785"/>
      <c r="R12" s="785"/>
      <c r="S12" s="785"/>
      <c r="T12" s="780"/>
      <c r="U12" s="785"/>
      <c r="V12" s="786"/>
      <c r="W12" s="786"/>
      <c r="X12" s="780"/>
      <c r="Y12" s="780"/>
      <c r="Z12" s="780"/>
    </row>
    <row r="13" spans="1:26" s="68" customFormat="1" ht="51" x14ac:dyDescent="0.25">
      <c r="A13" s="25"/>
      <c r="B13" s="25"/>
      <c r="C13" s="188"/>
      <c r="D13" s="188"/>
      <c r="E13" s="188" t="s">
        <v>50</v>
      </c>
      <c r="F13" s="188"/>
      <c r="G13" s="188"/>
      <c r="H13" s="205"/>
      <c r="I13" s="192" t="s">
        <v>227</v>
      </c>
      <c r="J13" s="204" t="s">
        <v>228</v>
      </c>
      <c r="K13" s="204" t="s">
        <v>229</v>
      </c>
      <c r="L13" s="189" t="s">
        <v>230</v>
      </c>
      <c r="M13" s="72" t="s">
        <v>231</v>
      </c>
      <c r="N13" s="72" t="s">
        <v>232</v>
      </c>
      <c r="O13" s="69"/>
      <c r="P13" s="69"/>
      <c r="Q13" s="69"/>
      <c r="R13" s="69"/>
      <c r="S13" s="69"/>
      <c r="T13" s="70"/>
      <c r="U13" s="69"/>
      <c r="V13" s="26"/>
      <c r="W13" s="26"/>
      <c r="X13" s="70"/>
      <c r="Y13" s="70"/>
      <c r="Z13" s="70"/>
    </row>
    <row r="14" spans="1:26" s="68" customFormat="1" ht="28.5" x14ac:dyDescent="0.25">
      <c r="A14" s="25"/>
      <c r="B14" s="25"/>
      <c r="C14" s="188"/>
      <c r="D14" s="188"/>
      <c r="E14" s="188" t="s">
        <v>50</v>
      </c>
      <c r="F14" s="188"/>
      <c r="G14" s="188"/>
      <c r="H14" s="205"/>
      <c r="I14" s="192" t="s">
        <v>233</v>
      </c>
      <c r="J14" s="204" t="s">
        <v>234</v>
      </c>
      <c r="K14" s="204" t="s">
        <v>235</v>
      </c>
      <c r="L14" s="189" t="s">
        <v>230</v>
      </c>
      <c r="M14" s="72" t="s">
        <v>231</v>
      </c>
      <c r="N14" s="72" t="s">
        <v>232</v>
      </c>
      <c r="O14" s="69"/>
      <c r="P14" s="69"/>
      <c r="Q14" s="69"/>
      <c r="R14" s="69"/>
      <c r="S14" s="69"/>
      <c r="T14" s="70"/>
      <c r="U14" s="69"/>
      <c r="V14" s="26"/>
      <c r="W14" s="26"/>
      <c r="X14" s="70"/>
      <c r="Y14" s="70"/>
      <c r="Z14" s="70"/>
    </row>
    <row r="15" spans="1:26" s="68" customFormat="1" ht="38.25" x14ac:dyDescent="0.25">
      <c r="A15" s="25"/>
      <c r="B15" s="25"/>
      <c r="C15" s="188"/>
      <c r="D15" s="188"/>
      <c r="E15" s="188"/>
      <c r="F15" s="188" t="s">
        <v>50</v>
      </c>
      <c r="G15" s="188"/>
      <c r="H15" s="205"/>
      <c r="I15" s="192" t="s">
        <v>236</v>
      </c>
      <c r="J15" s="204" t="s">
        <v>237</v>
      </c>
      <c r="K15" s="204" t="s">
        <v>238</v>
      </c>
      <c r="L15" s="189" t="s">
        <v>230</v>
      </c>
      <c r="M15" s="72" t="s">
        <v>231</v>
      </c>
      <c r="N15" s="72" t="s">
        <v>232</v>
      </c>
      <c r="O15" s="69"/>
      <c r="P15" s="69"/>
      <c r="Q15" s="69"/>
      <c r="R15" s="69"/>
      <c r="S15" s="69"/>
      <c r="T15" s="70"/>
      <c r="U15" s="69"/>
      <c r="V15" s="26"/>
      <c r="W15" s="26"/>
      <c r="X15" s="70"/>
      <c r="Y15" s="70"/>
      <c r="Z15" s="70"/>
    </row>
    <row r="16" spans="1:26" s="68" customFormat="1" ht="38.25" x14ac:dyDescent="0.25">
      <c r="A16" s="25"/>
      <c r="B16" s="25"/>
      <c r="C16" s="188"/>
      <c r="D16" s="188"/>
      <c r="E16" s="188"/>
      <c r="F16" s="26" t="s">
        <v>50</v>
      </c>
      <c r="G16" s="188"/>
      <c r="H16" s="205"/>
      <c r="I16" s="192" t="s">
        <v>239</v>
      </c>
      <c r="J16" s="204" t="s">
        <v>240</v>
      </c>
      <c r="K16" s="204" t="s">
        <v>241</v>
      </c>
      <c r="L16" s="189" t="s">
        <v>230</v>
      </c>
      <c r="M16" s="72" t="s">
        <v>231</v>
      </c>
      <c r="N16" s="72" t="s">
        <v>232</v>
      </c>
      <c r="O16" s="69"/>
      <c r="P16" s="69"/>
      <c r="Q16" s="69"/>
      <c r="R16" s="69"/>
      <c r="S16" s="69"/>
      <c r="T16" s="70"/>
      <c r="U16" s="69"/>
      <c r="V16" s="26"/>
      <c r="W16" s="26"/>
      <c r="X16" s="70"/>
      <c r="Y16" s="70"/>
      <c r="Z16" s="70"/>
    </row>
    <row r="17" spans="1:26" s="162" customFormat="1" x14ac:dyDescent="0.25">
      <c r="A17" s="777"/>
      <c r="B17" s="777"/>
      <c r="C17" s="778"/>
      <c r="D17" s="778" t="s">
        <v>50</v>
      </c>
      <c r="E17" s="778"/>
      <c r="F17" s="778"/>
      <c r="G17" s="778"/>
      <c r="H17" s="779"/>
      <c r="I17" s="780" t="s">
        <v>242</v>
      </c>
      <c r="J17" s="781"/>
      <c r="K17" s="778" t="s">
        <v>212</v>
      </c>
      <c r="L17" s="778"/>
      <c r="M17" s="782"/>
      <c r="N17" s="783"/>
      <c r="O17" s="784"/>
      <c r="P17" s="785"/>
      <c r="Q17" s="785"/>
      <c r="R17" s="784"/>
      <c r="S17" s="784"/>
      <c r="T17" s="780"/>
      <c r="U17" s="785"/>
      <c r="V17" s="786"/>
      <c r="W17" s="786"/>
      <c r="X17" s="780"/>
      <c r="Y17" s="780"/>
      <c r="Z17" s="780"/>
    </row>
    <row r="18" spans="1:26" s="68" customFormat="1" ht="38.25" x14ac:dyDescent="0.25">
      <c r="A18" s="25"/>
      <c r="B18" s="25"/>
      <c r="C18" s="188"/>
      <c r="D18" s="188"/>
      <c r="E18" s="188" t="s">
        <v>50</v>
      </c>
      <c r="F18" s="188"/>
      <c r="G18" s="188"/>
      <c r="H18" s="72"/>
      <c r="I18" s="192" t="s">
        <v>243</v>
      </c>
      <c r="J18" s="472" t="s">
        <v>244</v>
      </c>
      <c r="K18" s="204" t="s">
        <v>245</v>
      </c>
      <c r="L18" s="188" t="s">
        <v>213</v>
      </c>
      <c r="M18" s="128" t="s">
        <v>214</v>
      </c>
      <c r="N18" s="72" t="s">
        <v>214</v>
      </c>
      <c r="O18" s="12"/>
      <c r="P18" s="69"/>
      <c r="Q18" s="69"/>
      <c r="R18" s="12"/>
      <c r="S18" s="12"/>
      <c r="T18" s="70"/>
      <c r="U18" s="69"/>
      <c r="V18" s="26"/>
      <c r="W18" s="26"/>
      <c r="X18" s="70"/>
      <c r="Y18" s="70"/>
      <c r="Z18" s="70"/>
    </row>
    <row r="19" spans="1:26" s="68" customFormat="1" ht="25.5" x14ac:dyDescent="0.25">
      <c r="A19" s="25"/>
      <c r="B19" s="25"/>
      <c r="C19" s="188"/>
      <c r="D19" s="188"/>
      <c r="E19" s="188" t="s">
        <v>50</v>
      </c>
      <c r="F19" s="188"/>
      <c r="G19" s="188"/>
      <c r="H19" s="72"/>
      <c r="I19" s="192" t="s">
        <v>246</v>
      </c>
      <c r="J19" s="472" t="s">
        <v>247</v>
      </c>
      <c r="K19" s="204" t="s">
        <v>248</v>
      </c>
      <c r="L19" s="188" t="s">
        <v>213</v>
      </c>
      <c r="M19" s="128" t="s">
        <v>214</v>
      </c>
      <c r="N19" s="72" t="s">
        <v>214</v>
      </c>
      <c r="O19" s="12"/>
      <c r="P19" s="69"/>
      <c r="Q19" s="69"/>
      <c r="R19" s="12"/>
      <c r="S19" s="12"/>
      <c r="T19" s="70"/>
      <c r="U19" s="69"/>
      <c r="V19" s="26"/>
      <c r="W19" s="26"/>
      <c r="X19" s="70"/>
      <c r="Y19" s="70"/>
      <c r="Z19" s="70"/>
    </row>
    <row r="20" spans="1:26" s="68" customFormat="1" ht="38.25" x14ac:dyDescent="0.25">
      <c r="A20" s="25"/>
      <c r="B20" s="25"/>
      <c r="C20" s="188"/>
      <c r="D20" s="188"/>
      <c r="E20" s="188" t="s">
        <v>50</v>
      </c>
      <c r="F20" s="188"/>
      <c r="G20" s="188"/>
      <c r="H20" s="72"/>
      <c r="I20" s="192" t="s">
        <v>249</v>
      </c>
      <c r="J20" s="472" t="s">
        <v>250</v>
      </c>
      <c r="K20" s="204" t="s">
        <v>251</v>
      </c>
      <c r="L20" s="188" t="s">
        <v>213</v>
      </c>
      <c r="M20" s="128" t="s">
        <v>214</v>
      </c>
      <c r="N20" s="72" t="s">
        <v>214</v>
      </c>
      <c r="O20" s="12"/>
      <c r="P20" s="69"/>
      <c r="Q20" s="69"/>
      <c r="R20" s="12"/>
      <c r="S20" s="12"/>
      <c r="T20" s="70"/>
      <c r="U20" s="69"/>
      <c r="V20" s="26"/>
      <c r="W20" s="26"/>
      <c r="X20" s="70"/>
      <c r="Y20" s="70"/>
      <c r="Z20" s="70"/>
    </row>
    <row r="21" spans="1:26" ht="38.25" x14ac:dyDescent="0.25">
      <c r="C21" s="26"/>
      <c r="D21" s="26"/>
      <c r="E21" s="188" t="s">
        <v>50</v>
      </c>
      <c r="F21" s="26"/>
      <c r="G21" s="26"/>
      <c r="H21" s="26"/>
      <c r="I21" s="192" t="s">
        <v>252</v>
      </c>
      <c r="J21" s="472" t="s">
        <v>253</v>
      </c>
      <c r="K21" s="204" t="s">
        <v>254</v>
      </c>
      <c r="L21" s="189" t="s">
        <v>255</v>
      </c>
      <c r="M21" s="128" t="s">
        <v>214</v>
      </c>
      <c r="N21" s="72" t="s">
        <v>214</v>
      </c>
      <c r="O21" s="12"/>
      <c r="P21" s="12"/>
      <c r="Q21" s="12"/>
      <c r="R21" s="12"/>
      <c r="S21" s="12"/>
      <c r="T21" s="12"/>
      <c r="U21" s="12"/>
      <c r="V21" s="26"/>
      <c r="W21" s="26"/>
      <c r="X21" s="12"/>
      <c r="Y21" s="12"/>
      <c r="Z21" s="12"/>
    </row>
    <row r="22" spans="1:26" s="75" customFormat="1" ht="25.5" x14ac:dyDescent="0.25">
      <c r="C22" s="78"/>
      <c r="D22" s="78"/>
      <c r="E22" s="78" t="s">
        <v>50</v>
      </c>
      <c r="F22" s="78"/>
      <c r="G22" s="78"/>
      <c r="H22" s="78"/>
      <c r="I22" s="787" t="s">
        <v>256</v>
      </c>
      <c r="J22" s="137" t="s">
        <v>257</v>
      </c>
      <c r="K22" s="204"/>
      <c r="L22" s="188"/>
      <c r="M22" s="128"/>
      <c r="N22" s="72"/>
      <c r="O22" s="76"/>
      <c r="P22" s="76"/>
      <c r="Q22" s="76"/>
      <c r="R22" s="76"/>
      <c r="S22" s="76"/>
      <c r="T22" s="76"/>
      <c r="U22" s="76"/>
      <c r="V22" s="78"/>
      <c r="W22" s="78"/>
      <c r="X22" s="76"/>
      <c r="Y22" s="76"/>
      <c r="Z22" s="76"/>
    </row>
    <row r="23" spans="1:26" s="74" customFormat="1" ht="25.5" x14ac:dyDescent="0.25">
      <c r="A23" s="306"/>
      <c r="B23" s="306"/>
      <c r="C23" s="188"/>
      <c r="D23" s="188"/>
      <c r="E23" s="188" t="s">
        <v>50</v>
      </c>
      <c r="F23" s="188"/>
      <c r="G23" s="188"/>
      <c r="H23" s="375"/>
      <c r="I23" s="1126" t="s">
        <v>258</v>
      </c>
      <c r="J23" s="328" t="s">
        <v>259</v>
      </c>
      <c r="K23" s="1131" t="s">
        <v>260</v>
      </c>
      <c r="L23" s="1129" t="s">
        <v>261</v>
      </c>
      <c r="M23" s="72" t="s">
        <v>262</v>
      </c>
      <c r="N23" s="72" t="s">
        <v>263</v>
      </c>
      <c r="O23" s="69"/>
      <c r="P23" s="69"/>
      <c r="Q23" s="69"/>
      <c r="R23" s="69"/>
      <c r="S23" s="69"/>
      <c r="T23" s="69"/>
      <c r="U23" s="69"/>
      <c r="V23" s="188"/>
      <c r="W23" s="188"/>
      <c r="X23" s="69"/>
      <c r="Y23" s="69"/>
      <c r="Z23" s="69"/>
    </row>
    <row r="24" spans="1:26" s="74" customFormat="1" ht="12.75" x14ac:dyDescent="0.25">
      <c r="A24" s="306"/>
      <c r="B24" s="306"/>
      <c r="C24" s="188"/>
      <c r="D24" s="188"/>
      <c r="E24" s="188"/>
      <c r="F24" s="188"/>
      <c r="G24" s="188"/>
      <c r="H24" s="375"/>
      <c r="I24" s="1127"/>
      <c r="J24" s="788" t="s">
        <v>264</v>
      </c>
      <c r="K24" s="1131"/>
      <c r="L24" s="1129"/>
      <c r="M24" s="72"/>
      <c r="N24" s="72"/>
      <c r="O24" s="69"/>
      <c r="P24" s="69"/>
      <c r="Q24" s="69"/>
      <c r="R24" s="69"/>
      <c r="S24" s="69"/>
      <c r="T24" s="69"/>
      <c r="U24" s="69"/>
      <c r="V24" s="188"/>
      <c r="W24" s="188"/>
      <c r="X24" s="69"/>
      <c r="Y24" s="69"/>
      <c r="Z24" s="69"/>
    </row>
    <row r="25" spans="1:26" s="74" customFormat="1" x14ac:dyDescent="0.25">
      <c r="A25" s="306"/>
      <c r="B25" s="306"/>
      <c r="C25" s="188"/>
      <c r="D25" s="188"/>
      <c r="E25" s="188"/>
      <c r="F25" s="188"/>
      <c r="G25" s="188"/>
      <c r="H25" s="375"/>
      <c r="I25" s="1127"/>
      <c r="J25" s="329" t="s">
        <v>265</v>
      </c>
      <c r="K25" s="1131"/>
      <c r="L25" s="1129"/>
      <c r="M25" s="72"/>
      <c r="N25" s="72"/>
      <c r="O25" s="69"/>
      <c r="P25" s="69"/>
      <c r="Q25" s="69"/>
      <c r="R25" s="69"/>
      <c r="S25" s="69"/>
      <c r="T25" s="69"/>
      <c r="U25" s="69"/>
      <c r="V25" s="188"/>
      <c r="W25" s="188"/>
      <c r="X25" s="69"/>
      <c r="Y25" s="69"/>
      <c r="Z25" s="69"/>
    </row>
    <row r="26" spans="1:26" s="74" customFormat="1" x14ac:dyDescent="0.25">
      <c r="A26" s="306"/>
      <c r="B26" s="306"/>
      <c r="C26" s="188"/>
      <c r="D26" s="188"/>
      <c r="E26" s="188"/>
      <c r="F26" s="188"/>
      <c r="G26" s="188"/>
      <c r="H26" s="375"/>
      <c r="I26" s="1127"/>
      <c r="J26" s="328" t="s">
        <v>266</v>
      </c>
      <c r="K26" s="1131"/>
      <c r="L26" s="1129"/>
      <c r="M26" s="72"/>
      <c r="N26" s="72"/>
      <c r="O26" s="69"/>
      <c r="P26" s="69"/>
      <c r="Q26" s="69"/>
      <c r="R26" s="69"/>
      <c r="S26" s="69"/>
      <c r="T26" s="69"/>
      <c r="U26" s="69"/>
      <c r="V26" s="188"/>
      <c r="W26" s="188"/>
      <c r="X26" s="69"/>
      <c r="Y26" s="69"/>
      <c r="Z26" s="69"/>
    </row>
    <row r="27" spans="1:26" s="74" customFormat="1" ht="29.25" x14ac:dyDescent="0.25">
      <c r="A27" s="306"/>
      <c r="B27" s="306"/>
      <c r="C27" s="188"/>
      <c r="D27" s="188"/>
      <c r="E27" s="188"/>
      <c r="F27" s="188"/>
      <c r="G27" s="188"/>
      <c r="H27" s="375"/>
      <c r="I27" s="1127"/>
      <c r="J27" s="329" t="s">
        <v>267</v>
      </c>
      <c r="K27" s="1131"/>
      <c r="L27" s="1129"/>
      <c r="M27" s="72"/>
      <c r="N27" s="72"/>
      <c r="O27" s="69"/>
      <c r="P27" s="69"/>
      <c r="Q27" s="69"/>
      <c r="R27" s="69"/>
      <c r="S27" s="69"/>
      <c r="T27" s="69"/>
      <c r="U27" s="69"/>
      <c r="V27" s="188"/>
      <c r="W27" s="188"/>
      <c r="X27" s="69"/>
      <c r="Y27" s="69"/>
      <c r="Z27" s="69"/>
    </row>
    <row r="28" spans="1:26" s="74" customFormat="1" ht="30" x14ac:dyDescent="0.25">
      <c r="A28" s="306"/>
      <c r="B28" s="306"/>
      <c r="C28" s="188"/>
      <c r="D28" s="188"/>
      <c r="E28" s="188"/>
      <c r="F28" s="188"/>
      <c r="G28" s="188"/>
      <c r="H28" s="375"/>
      <c r="I28" s="1127"/>
      <c r="J28" s="329" t="s">
        <v>268</v>
      </c>
      <c r="K28" s="1131"/>
      <c r="L28" s="1129"/>
      <c r="M28" s="72"/>
      <c r="N28" s="72"/>
      <c r="O28" s="69"/>
      <c r="P28" s="69"/>
      <c r="Q28" s="69"/>
      <c r="R28" s="69"/>
      <c r="S28" s="69"/>
      <c r="T28" s="69"/>
      <c r="U28" s="69"/>
      <c r="V28" s="188"/>
      <c r="W28" s="188"/>
      <c r="X28" s="69"/>
      <c r="Y28" s="69"/>
      <c r="Z28" s="69"/>
    </row>
    <row r="29" spans="1:26" s="74" customFormat="1" ht="29.25" x14ac:dyDescent="0.25">
      <c r="A29" s="306"/>
      <c r="B29" s="306"/>
      <c r="C29" s="188"/>
      <c r="D29" s="188"/>
      <c r="E29" s="188"/>
      <c r="F29" s="188"/>
      <c r="G29" s="188"/>
      <c r="H29" s="375"/>
      <c r="I29" s="1127"/>
      <c r="J29" s="328" t="s">
        <v>269</v>
      </c>
      <c r="K29" s="1131"/>
      <c r="L29" s="1129"/>
      <c r="M29" s="72"/>
      <c r="N29" s="72"/>
      <c r="O29" s="69"/>
      <c r="P29" s="69"/>
      <c r="Q29" s="69"/>
      <c r="R29" s="69"/>
      <c r="S29" s="69"/>
      <c r="T29" s="69"/>
      <c r="U29" s="69"/>
      <c r="V29" s="188"/>
      <c r="W29" s="188"/>
      <c r="X29" s="69"/>
      <c r="Y29" s="69"/>
      <c r="Z29" s="69"/>
    </row>
    <row r="30" spans="1:26" s="74" customFormat="1" x14ac:dyDescent="0.25">
      <c r="A30" s="306"/>
      <c r="B30" s="306"/>
      <c r="C30" s="188"/>
      <c r="D30" s="188"/>
      <c r="E30" s="188"/>
      <c r="F30" s="188"/>
      <c r="G30" s="188"/>
      <c r="H30" s="375"/>
      <c r="I30" s="1128"/>
      <c r="J30" s="329" t="s">
        <v>270</v>
      </c>
      <c r="K30" s="1132"/>
      <c r="L30" s="1129"/>
      <c r="M30" s="128"/>
      <c r="N30" s="72"/>
      <c r="O30" s="69"/>
      <c r="P30" s="69"/>
      <c r="Q30" s="69"/>
      <c r="R30" s="69"/>
      <c r="S30" s="69"/>
      <c r="T30" s="69"/>
      <c r="U30" s="69"/>
      <c r="V30" s="188"/>
      <c r="W30" s="188"/>
      <c r="X30" s="69"/>
      <c r="Y30" s="69"/>
      <c r="Z30" s="69"/>
    </row>
    <row r="31" spans="1:26" s="74" customFormat="1" ht="30" x14ac:dyDescent="0.25">
      <c r="A31" s="306"/>
      <c r="B31" s="306"/>
      <c r="C31" s="188"/>
      <c r="D31" s="188"/>
      <c r="E31" s="188"/>
      <c r="F31" s="188"/>
      <c r="G31" s="188"/>
      <c r="H31" s="375"/>
      <c r="I31" s="1128"/>
      <c r="J31" s="329" t="s">
        <v>271</v>
      </c>
      <c r="K31" s="1132"/>
      <c r="L31" s="1129"/>
      <c r="M31" s="128"/>
      <c r="N31" s="72"/>
      <c r="O31" s="69"/>
      <c r="P31" s="69"/>
      <c r="Q31" s="69"/>
      <c r="R31" s="69"/>
      <c r="S31" s="69"/>
      <c r="T31" s="69"/>
      <c r="U31" s="69"/>
      <c r="V31" s="188"/>
      <c r="W31" s="188"/>
      <c r="X31" s="69"/>
      <c r="Y31" s="69"/>
      <c r="Z31" s="69"/>
    </row>
    <row r="32" spans="1:26" s="74" customFormat="1" x14ac:dyDescent="0.25">
      <c r="A32" s="306"/>
      <c r="B32" s="306"/>
      <c r="C32" s="188"/>
      <c r="D32" s="188"/>
      <c r="E32" s="188"/>
      <c r="F32" s="188"/>
      <c r="G32" s="188"/>
      <c r="H32" s="375"/>
      <c r="I32" s="1128"/>
      <c r="J32" s="329" t="s">
        <v>272</v>
      </c>
      <c r="K32" s="1132"/>
      <c r="L32" s="1129"/>
      <c r="M32" s="128"/>
      <c r="N32" s="72"/>
      <c r="O32" s="69"/>
      <c r="P32" s="69"/>
      <c r="Q32" s="69"/>
      <c r="R32" s="69"/>
      <c r="S32" s="69"/>
      <c r="T32" s="69"/>
      <c r="U32" s="69"/>
      <c r="V32" s="188"/>
      <c r="W32" s="188"/>
      <c r="X32" s="69"/>
      <c r="Y32" s="69"/>
      <c r="Z32" s="69"/>
    </row>
    <row r="33" spans="3:26" s="74" customFormat="1" ht="30" x14ac:dyDescent="0.25">
      <c r="C33" s="188"/>
      <c r="D33" s="188"/>
      <c r="E33" s="188"/>
      <c r="F33" s="188"/>
      <c r="G33" s="188"/>
      <c r="H33" s="375"/>
      <c r="I33" s="1128"/>
      <c r="J33" s="329" t="s">
        <v>273</v>
      </c>
      <c r="K33" s="1132"/>
      <c r="L33" s="1129"/>
      <c r="M33" s="128"/>
      <c r="N33" s="72"/>
      <c r="O33" s="69"/>
      <c r="P33" s="69"/>
      <c r="Q33" s="69"/>
      <c r="R33" s="69"/>
      <c r="S33" s="69"/>
      <c r="T33" s="69"/>
      <c r="U33" s="69"/>
      <c r="V33" s="188"/>
      <c r="W33" s="188"/>
      <c r="X33" s="69"/>
      <c r="Y33" s="69"/>
      <c r="Z33" s="69"/>
    </row>
    <row r="34" spans="3:26" s="74" customFormat="1" ht="12.75" x14ac:dyDescent="0.25">
      <c r="C34" s="188"/>
      <c r="D34" s="188"/>
      <c r="E34" s="188"/>
      <c r="F34" s="188" t="s">
        <v>50</v>
      </c>
      <c r="G34" s="188"/>
      <c r="H34" s="375"/>
      <c r="I34" s="330" t="s">
        <v>274</v>
      </c>
      <c r="J34" s="472" t="s">
        <v>275</v>
      </c>
      <c r="K34" s="1132"/>
      <c r="L34" s="1129"/>
      <c r="M34" s="128" t="s">
        <v>214</v>
      </c>
      <c r="N34" s="72" t="s">
        <v>214</v>
      </c>
      <c r="O34" s="69"/>
      <c r="P34" s="69"/>
      <c r="Q34" s="69"/>
      <c r="R34" s="69"/>
      <c r="S34" s="69"/>
      <c r="T34" s="69"/>
      <c r="U34" s="69"/>
      <c r="V34" s="188"/>
      <c r="W34" s="188"/>
      <c r="X34" s="69"/>
      <c r="Y34" s="69"/>
      <c r="Z34" s="69"/>
    </row>
    <row r="35" spans="3:26" s="74" customFormat="1" ht="25.5" x14ac:dyDescent="0.25">
      <c r="C35" s="188"/>
      <c r="D35" s="188"/>
      <c r="E35" s="188"/>
      <c r="F35" s="188" t="s">
        <v>50</v>
      </c>
      <c r="G35" s="188"/>
      <c r="H35" s="375"/>
      <c r="I35" s="207" t="s">
        <v>276</v>
      </c>
      <c r="J35" s="204" t="s">
        <v>277</v>
      </c>
      <c r="K35" s="1132"/>
      <c r="L35" s="1129"/>
      <c r="M35" s="72" t="s">
        <v>278</v>
      </c>
      <c r="N35" s="72" t="s">
        <v>279</v>
      </c>
      <c r="O35" s="69"/>
      <c r="P35" s="69"/>
      <c r="Q35" s="69"/>
      <c r="R35" s="69"/>
      <c r="S35" s="69"/>
      <c r="T35" s="69"/>
      <c r="U35" s="69"/>
      <c r="V35" s="188"/>
      <c r="W35" s="188"/>
      <c r="X35" s="69"/>
      <c r="Y35" s="69"/>
      <c r="Z35" s="69"/>
    </row>
    <row r="36" spans="3:26" s="74" customFormat="1" ht="12.75" x14ac:dyDescent="0.25">
      <c r="C36" s="188"/>
      <c r="D36" s="188"/>
      <c r="E36" s="188"/>
      <c r="F36" s="188" t="s">
        <v>50</v>
      </c>
      <c r="G36" s="188"/>
      <c r="H36" s="375"/>
      <c r="I36" s="207" t="s">
        <v>280</v>
      </c>
      <c r="J36" s="204" t="s">
        <v>281</v>
      </c>
      <c r="K36" s="1132"/>
      <c r="L36" s="1129"/>
      <c r="M36" s="128" t="s">
        <v>214</v>
      </c>
      <c r="N36" s="72" t="s">
        <v>214</v>
      </c>
      <c r="O36" s="69"/>
      <c r="P36" s="69"/>
      <c r="Q36" s="69"/>
      <c r="R36" s="69"/>
      <c r="S36" s="69"/>
      <c r="T36" s="69"/>
      <c r="U36" s="69"/>
      <c r="V36" s="188"/>
      <c r="W36" s="188"/>
      <c r="X36" s="69"/>
      <c r="Y36" s="69"/>
      <c r="Z36" s="69"/>
    </row>
    <row r="37" spans="3:26" s="75" customFormat="1" ht="25.5" x14ac:dyDescent="0.25">
      <c r="C37" s="78"/>
      <c r="D37" s="78"/>
      <c r="E37" s="78"/>
      <c r="F37" s="78" t="s">
        <v>50</v>
      </c>
      <c r="G37" s="78"/>
      <c r="H37" s="217"/>
      <c r="I37" s="143" t="s">
        <v>282</v>
      </c>
      <c r="J37" s="550" t="s">
        <v>283</v>
      </c>
      <c r="K37" s="1133"/>
      <c r="L37" s="1130"/>
      <c r="M37" s="77" t="s">
        <v>262</v>
      </c>
      <c r="N37" s="77" t="s">
        <v>284</v>
      </c>
      <c r="O37" s="76"/>
      <c r="P37" s="76"/>
      <c r="Q37" s="76"/>
      <c r="R37" s="76"/>
      <c r="S37" s="76"/>
      <c r="T37" s="76"/>
      <c r="U37" s="76"/>
      <c r="V37" s="78"/>
      <c r="W37" s="78"/>
      <c r="X37" s="76"/>
      <c r="Y37" s="76"/>
      <c r="Z37" s="76"/>
    </row>
    <row r="38" spans="3:26" ht="38.25" x14ac:dyDescent="0.25">
      <c r="C38" s="26" t="s">
        <v>50</v>
      </c>
      <c r="D38" s="26"/>
      <c r="E38" s="26"/>
      <c r="F38" s="26"/>
      <c r="G38" s="26"/>
      <c r="H38" s="26"/>
      <c r="I38" s="192" t="s">
        <v>285</v>
      </c>
      <c r="J38" s="472" t="s">
        <v>286</v>
      </c>
      <c r="K38" s="188" t="s">
        <v>212</v>
      </c>
      <c r="L38" s="188" t="s">
        <v>287</v>
      </c>
      <c r="M38" s="128" t="s">
        <v>214</v>
      </c>
      <c r="N38" s="72" t="s">
        <v>214</v>
      </c>
      <c r="O38" s="12"/>
      <c r="P38" s="12"/>
      <c r="Q38" s="12"/>
      <c r="R38" s="12"/>
      <c r="S38" s="12"/>
      <c r="T38" s="12"/>
      <c r="U38" s="12"/>
      <c r="V38" s="26"/>
      <c r="W38" s="26"/>
      <c r="X38" s="12"/>
      <c r="Y38" s="12"/>
      <c r="Z38" s="12"/>
    </row>
    <row r="39" spans="3:26" s="161" customFormat="1" x14ac:dyDescent="0.25">
      <c r="C39" s="786"/>
      <c r="D39" s="786" t="s">
        <v>50</v>
      </c>
      <c r="E39" s="786"/>
      <c r="F39" s="786"/>
      <c r="G39" s="786"/>
      <c r="H39" s="786"/>
      <c r="I39" s="780" t="s">
        <v>288</v>
      </c>
      <c r="J39" s="781"/>
      <c r="K39" s="778" t="s">
        <v>212</v>
      </c>
      <c r="L39" s="778"/>
      <c r="M39" s="782"/>
      <c r="N39" s="783"/>
      <c r="O39" s="784"/>
      <c r="P39" s="784"/>
      <c r="Q39" s="784"/>
      <c r="R39" s="784"/>
      <c r="S39" s="784"/>
      <c r="T39" s="784"/>
      <c r="U39" s="784"/>
      <c r="V39" s="786"/>
      <c r="W39" s="786"/>
      <c r="X39" s="784"/>
      <c r="Y39" s="784"/>
      <c r="Z39" s="784"/>
    </row>
    <row r="40" spans="3:26" x14ac:dyDescent="0.25">
      <c r="C40" s="26"/>
      <c r="D40" s="26"/>
      <c r="E40" s="78" t="s">
        <v>50</v>
      </c>
      <c r="F40" s="78"/>
      <c r="G40" s="78"/>
      <c r="H40" s="78"/>
      <c r="I40" s="193" t="s">
        <v>289</v>
      </c>
      <c r="J40" s="789"/>
      <c r="K40" s="204"/>
      <c r="L40" s="188"/>
      <c r="M40" s="128"/>
      <c r="N40" s="72"/>
      <c r="O40" s="12"/>
      <c r="P40" s="12"/>
      <c r="Q40" s="12"/>
      <c r="R40" s="12"/>
      <c r="S40" s="12"/>
      <c r="T40" s="12"/>
      <c r="U40" s="12"/>
      <c r="V40" s="26"/>
      <c r="W40" s="26"/>
      <c r="X40" s="12"/>
      <c r="Y40" s="12"/>
      <c r="Z40" s="12"/>
    </row>
    <row r="41" spans="3:26" ht="25.5" x14ac:dyDescent="0.25">
      <c r="C41" s="26"/>
      <c r="D41" s="26"/>
      <c r="E41" s="26" t="s">
        <v>50</v>
      </c>
      <c r="F41" s="26"/>
      <c r="G41" s="26"/>
      <c r="H41" s="26"/>
      <c r="I41" s="192" t="s">
        <v>290</v>
      </c>
      <c r="J41" s="472" t="s">
        <v>291</v>
      </c>
      <c r="K41" s="204" t="s">
        <v>292</v>
      </c>
      <c r="L41" s="188" t="s">
        <v>213</v>
      </c>
      <c r="M41" s="128" t="s">
        <v>214</v>
      </c>
      <c r="N41" s="72" t="s">
        <v>214</v>
      </c>
      <c r="O41" s="12"/>
      <c r="P41" s="12"/>
      <c r="Q41" s="12"/>
      <c r="R41" s="12"/>
      <c r="S41" s="12"/>
      <c r="T41" s="12"/>
      <c r="U41" s="12"/>
      <c r="V41" s="26"/>
      <c r="W41" s="26"/>
      <c r="X41" s="12"/>
      <c r="Y41" s="12"/>
      <c r="Z41" s="12"/>
    </row>
    <row r="42" spans="3:26" ht="25.5" x14ac:dyDescent="0.25">
      <c r="C42" s="26"/>
      <c r="D42" s="26"/>
      <c r="E42" s="26" t="s">
        <v>50</v>
      </c>
      <c r="F42" s="26"/>
      <c r="G42" s="26"/>
      <c r="H42" s="26"/>
      <c r="I42" s="192" t="s">
        <v>243</v>
      </c>
      <c r="J42" s="204" t="s">
        <v>293</v>
      </c>
      <c r="K42" s="204" t="s">
        <v>245</v>
      </c>
      <c r="L42" s="188" t="s">
        <v>213</v>
      </c>
      <c r="M42" s="128" t="s">
        <v>214</v>
      </c>
      <c r="N42" s="72" t="s">
        <v>214</v>
      </c>
      <c r="O42" s="12"/>
      <c r="P42" s="12"/>
      <c r="Q42" s="12"/>
      <c r="R42" s="12"/>
      <c r="S42" s="12"/>
      <c r="T42" s="12"/>
      <c r="U42" s="12"/>
      <c r="V42" s="26"/>
      <c r="W42" s="26"/>
      <c r="X42" s="12"/>
      <c r="Y42" s="12"/>
      <c r="Z42" s="12"/>
    </row>
    <row r="43" spans="3:26" ht="60" x14ac:dyDescent="0.25">
      <c r="C43" s="26"/>
      <c r="D43" s="26"/>
      <c r="E43" s="26" t="s">
        <v>50</v>
      </c>
      <c r="F43" s="26"/>
      <c r="G43" s="26"/>
      <c r="H43" s="26"/>
      <c r="I43" s="192" t="s">
        <v>294</v>
      </c>
      <c r="J43" s="472" t="s">
        <v>295</v>
      </c>
      <c r="K43" s="204" t="s">
        <v>296</v>
      </c>
      <c r="L43" s="26" t="s">
        <v>297</v>
      </c>
      <c r="M43" s="128" t="s">
        <v>214</v>
      </c>
      <c r="N43" s="72" t="s">
        <v>214</v>
      </c>
      <c r="O43" s="12"/>
      <c r="P43" s="12"/>
      <c r="Q43" s="12"/>
      <c r="R43" s="12"/>
      <c r="S43" s="12"/>
      <c r="T43" s="12"/>
      <c r="U43" s="12"/>
      <c r="V43" s="26"/>
      <c r="W43" s="26"/>
      <c r="X43" s="12"/>
      <c r="Y43" s="12"/>
      <c r="Z43" s="12"/>
    </row>
    <row r="44" spans="3:26" ht="60" x14ac:dyDescent="0.25">
      <c r="C44" s="26"/>
      <c r="D44" s="26"/>
      <c r="E44" s="26" t="s">
        <v>50</v>
      </c>
      <c r="F44" s="26"/>
      <c r="G44" s="26"/>
      <c r="H44" s="26"/>
      <c r="I44" s="192" t="s">
        <v>298</v>
      </c>
      <c r="J44" s="472" t="s">
        <v>299</v>
      </c>
      <c r="K44" s="204" t="s">
        <v>300</v>
      </c>
      <c r="L44" s="26" t="s">
        <v>297</v>
      </c>
      <c r="M44" s="128" t="s">
        <v>214</v>
      </c>
      <c r="N44" s="72" t="s">
        <v>214</v>
      </c>
      <c r="O44" s="12"/>
      <c r="P44" s="12"/>
      <c r="Q44" s="12"/>
      <c r="R44" s="12"/>
      <c r="S44" s="12"/>
      <c r="T44" s="12"/>
      <c r="U44" s="12"/>
      <c r="V44" s="26"/>
      <c r="W44" s="26"/>
      <c r="X44" s="12"/>
      <c r="Y44" s="12"/>
      <c r="Z44" s="12"/>
    </row>
    <row r="45" spans="3:26" ht="60" x14ac:dyDescent="0.25">
      <c r="C45" s="26"/>
      <c r="D45" s="26"/>
      <c r="E45" s="26" t="s">
        <v>50</v>
      </c>
      <c r="F45" s="26"/>
      <c r="G45" s="26"/>
      <c r="H45" s="26"/>
      <c r="I45" s="192" t="s">
        <v>301</v>
      </c>
      <c r="J45" s="472" t="s">
        <v>302</v>
      </c>
      <c r="K45" s="204" t="s">
        <v>303</v>
      </c>
      <c r="L45" s="26" t="s">
        <v>297</v>
      </c>
      <c r="M45" s="790" t="s">
        <v>304</v>
      </c>
      <c r="N45" s="790" t="s">
        <v>304</v>
      </c>
      <c r="O45" s="12"/>
      <c r="P45" s="12"/>
      <c r="Q45" s="12"/>
      <c r="R45" s="12"/>
      <c r="S45" s="12"/>
      <c r="T45" s="12"/>
      <c r="U45" s="12"/>
      <c r="V45" s="26"/>
      <c r="W45" s="26"/>
      <c r="X45" s="12"/>
      <c r="Y45" s="12"/>
      <c r="Z45" s="12"/>
    </row>
    <row r="46" spans="3:26" ht="102" x14ac:dyDescent="0.25">
      <c r="C46" s="26"/>
      <c r="D46" s="26"/>
      <c r="E46" s="26" t="s">
        <v>50</v>
      </c>
      <c r="F46" s="26"/>
      <c r="G46" s="26"/>
      <c r="H46" s="26"/>
      <c r="I46" s="192" t="s">
        <v>305</v>
      </c>
      <c r="J46" s="204" t="s">
        <v>306</v>
      </c>
      <c r="K46" s="204" t="s">
        <v>307</v>
      </c>
      <c r="L46" s="26" t="s">
        <v>308</v>
      </c>
      <c r="M46" s="128" t="s">
        <v>309</v>
      </c>
      <c r="N46" s="72" t="s">
        <v>310</v>
      </c>
      <c r="O46" s="12"/>
      <c r="P46" s="12"/>
      <c r="Q46" s="12"/>
      <c r="R46" s="12"/>
      <c r="S46" s="12"/>
      <c r="T46" s="12"/>
      <c r="U46" s="12"/>
      <c r="V46" s="26"/>
      <c r="W46" s="26"/>
      <c r="X46" s="12"/>
      <c r="Y46" s="12"/>
      <c r="Z46" s="12"/>
    </row>
    <row r="47" spans="3:26" ht="60" x14ac:dyDescent="0.25">
      <c r="C47" s="26"/>
      <c r="D47" s="26"/>
      <c r="E47" s="26" t="s">
        <v>50</v>
      </c>
      <c r="F47" s="26"/>
      <c r="G47" s="26"/>
      <c r="H47" s="26"/>
      <c r="I47" s="192" t="s">
        <v>311</v>
      </c>
      <c r="J47" s="204" t="s">
        <v>312</v>
      </c>
      <c r="K47" s="204" t="s">
        <v>313</v>
      </c>
      <c r="L47" s="26" t="s">
        <v>297</v>
      </c>
      <c r="M47" s="128" t="s">
        <v>214</v>
      </c>
      <c r="N47" s="72" t="s">
        <v>214</v>
      </c>
      <c r="O47" s="12"/>
      <c r="P47" s="12"/>
      <c r="Q47" s="12"/>
      <c r="R47" s="12"/>
      <c r="S47" s="12"/>
      <c r="T47" s="12"/>
      <c r="U47" s="12"/>
      <c r="V47" s="26"/>
      <c r="W47" s="26"/>
      <c r="X47" s="12"/>
      <c r="Y47" s="12"/>
      <c r="Z47" s="12"/>
    </row>
    <row r="48" spans="3:26" ht="60" x14ac:dyDescent="0.25">
      <c r="C48" s="26"/>
      <c r="D48" s="26"/>
      <c r="E48" s="26"/>
      <c r="F48" s="26" t="s">
        <v>50</v>
      </c>
      <c r="G48" s="26"/>
      <c r="H48" s="26"/>
      <c r="I48" s="192" t="s">
        <v>314</v>
      </c>
      <c r="J48" s="472" t="s">
        <v>315</v>
      </c>
      <c r="K48" s="204" t="s">
        <v>316</v>
      </c>
      <c r="L48" s="26" t="s">
        <v>297</v>
      </c>
      <c r="M48" s="128" t="s">
        <v>214</v>
      </c>
      <c r="N48" s="72" t="s">
        <v>214</v>
      </c>
      <c r="O48" s="12"/>
      <c r="P48" s="12"/>
      <c r="Q48" s="12"/>
      <c r="R48" s="12"/>
      <c r="S48" s="12"/>
      <c r="T48" s="12"/>
      <c r="U48" s="12"/>
      <c r="V48" s="26"/>
      <c r="W48" s="26"/>
      <c r="X48" s="12"/>
      <c r="Y48" s="12"/>
      <c r="Z48" s="12"/>
    </row>
    <row r="49" spans="3:26" ht="60" x14ac:dyDescent="0.25">
      <c r="C49" s="26"/>
      <c r="D49" s="26"/>
      <c r="E49" s="26"/>
      <c r="F49" s="26" t="s">
        <v>50</v>
      </c>
      <c r="G49" s="26"/>
      <c r="H49" s="26"/>
      <c r="I49" s="192" t="s">
        <v>317</v>
      </c>
      <c r="J49" s="472" t="s">
        <v>318</v>
      </c>
      <c r="K49" s="204" t="s">
        <v>319</v>
      </c>
      <c r="L49" s="26" t="s">
        <v>297</v>
      </c>
      <c r="M49" s="128" t="s">
        <v>214</v>
      </c>
      <c r="N49" s="72" t="s">
        <v>214</v>
      </c>
      <c r="O49" s="12"/>
      <c r="P49" s="12"/>
      <c r="Q49" s="12"/>
      <c r="R49" s="12"/>
      <c r="S49" s="12"/>
      <c r="T49" s="12"/>
      <c r="U49" s="12"/>
      <c r="V49" s="26"/>
      <c r="W49" s="26"/>
      <c r="X49" s="12"/>
      <c r="Y49" s="12"/>
      <c r="Z49" s="12"/>
    </row>
    <row r="50" spans="3:26" ht="25.5" x14ac:dyDescent="0.25">
      <c r="C50" s="26"/>
      <c r="D50" s="26"/>
      <c r="E50" s="26"/>
      <c r="F50" s="26" t="s">
        <v>50</v>
      </c>
      <c r="G50" s="26"/>
      <c r="H50" s="26"/>
      <c r="I50" s="192" t="s">
        <v>320</v>
      </c>
      <c r="J50" s="204" t="s">
        <v>321</v>
      </c>
      <c r="K50" s="204" t="s">
        <v>322</v>
      </c>
      <c r="L50" s="791" t="s">
        <v>323</v>
      </c>
      <c r="M50" s="128"/>
      <c r="N50" s="72"/>
      <c r="O50" s="12"/>
      <c r="P50" s="12"/>
      <c r="Q50" s="12"/>
      <c r="R50" s="12"/>
      <c r="S50" s="12"/>
      <c r="T50" s="12"/>
      <c r="U50" s="12"/>
      <c r="V50" s="26"/>
      <c r="W50" s="26"/>
      <c r="X50" s="12"/>
      <c r="Y50" s="12"/>
      <c r="Z50" s="12"/>
    </row>
    <row r="51" spans="3:26" ht="60" x14ac:dyDescent="0.25">
      <c r="C51" s="26"/>
      <c r="D51" s="26"/>
      <c r="E51" s="26" t="s">
        <v>50</v>
      </c>
      <c r="F51" s="26"/>
      <c r="G51" s="26"/>
      <c r="H51" s="26"/>
      <c r="I51" s="192" t="s">
        <v>324</v>
      </c>
      <c r="J51" s="204" t="s">
        <v>325</v>
      </c>
      <c r="K51" s="204" t="s">
        <v>326</v>
      </c>
      <c r="L51" s="26" t="s">
        <v>297</v>
      </c>
      <c r="M51" s="128" t="s">
        <v>214</v>
      </c>
      <c r="N51" s="72" t="s">
        <v>214</v>
      </c>
      <c r="O51" s="12"/>
      <c r="P51" s="12"/>
      <c r="Q51" s="12"/>
      <c r="R51" s="12"/>
      <c r="S51" s="12"/>
      <c r="T51" s="12"/>
      <c r="U51" s="12"/>
      <c r="V51" s="26"/>
      <c r="W51" s="26"/>
      <c r="X51" s="12"/>
      <c r="Y51" s="12"/>
      <c r="Z51" s="12"/>
    </row>
    <row r="52" spans="3:26" ht="60" x14ac:dyDescent="0.25">
      <c r="C52" s="26"/>
      <c r="D52" s="26"/>
      <c r="E52" s="26" t="s">
        <v>50</v>
      </c>
      <c r="F52" s="26"/>
      <c r="G52" s="26"/>
      <c r="H52" s="26"/>
      <c r="I52" s="192" t="s">
        <v>327</v>
      </c>
      <c r="J52" s="472" t="s">
        <v>328</v>
      </c>
      <c r="K52" s="204" t="s">
        <v>329</v>
      </c>
      <c r="L52" s="26" t="s">
        <v>297</v>
      </c>
      <c r="M52" s="128" t="s">
        <v>214</v>
      </c>
      <c r="N52" s="72" t="s">
        <v>214</v>
      </c>
      <c r="O52" s="12"/>
      <c r="P52" s="12"/>
      <c r="Q52" s="12"/>
      <c r="R52" s="12"/>
      <c r="S52" s="12"/>
      <c r="T52" s="12"/>
      <c r="U52" s="12"/>
      <c r="V52" s="26"/>
      <c r="W52" s="26"/>
      <c r="X52" s="12"/>
      <c r="Y52" s="12"/>
      <c r="Z52" s="12"/>
    </row>
    <row r="53" spans="3:26" ht="60" x14ac:dyDescent="0.25">
      <c r="C53" s="26"/>
      <c r="D53" s="26"/>
      <c r="E53" s="26" t="s">
        <v>50</v>
      </c>
      <c r="F53" s="26"/>
      <c r="G53" s="26"/>
      <c r="H53" s="26"/>
      <c r="I53" s="192" t="s">
        <v>330</v>
      </c>
      <c r="J53" s="472" t="s">
        <v>331</v>
      </c>
      <c r="K53" s="204" t="s">
        <v>332</v>
      </c>
      <c r="L53" s="26" t="s">
        <v>297</v>
      </c>
      <c r="M53" s="128" t="s">
        <v>214</v>
      </c>
      <c r="N53" s="72" t="s">
        <v>214</v>
      </c>
      <c r="O53" s="12"/>
      <c r="P53" s="12"/>
      <c r="Q53" s="12"/>
      <c r="R53" s="12"/>
      <c r="S53" s="12"/>
      <c r="T53" s="12"/>
      <c r="U53" s="12"/>
      <c r="V53" s="26"/>
      <c r="W53" s="26"/>
      <c r="X53" s="12"/>
      <c r="Y53" s="12"/>
      <c r="Z53" s="12"/>
    </row>
    <row r="54" spans="3:26" s="161" customFormat="1" x14ac:dyDescent="0.25">
      <c r="C54" s="786"/>
      <c r="D54" s="778" t="s">
        <v>50</v>
      </c>
      <c r="E54" s="792"/>
      <c r="F54" s="792"/>
      <c r="G54" s="792"/>
      <c r="H54" s="792"/>
      <c r="I54" s="780" t="s">
        <v>333</v>
      </c>
      <c r="J54" s="781"/>
      <c r="K54" s="778" t="s">
        <v>212</v>
      </c>
      <c r="L54" s="778"/>
      <c r="M54" s="782"/>
      <c r="N54" s="783"/>
      <c r="O54" s="784"/>
      <c r="P54" s="784"/>
      <c r="Q54" s="784"/>
      <c r="R54" s="784"/>
      <c r="S54" s="784"/>
      <c r="T54" s="784"/>
      <c r="U54" s="784"/>
      <c r="V54" s="786"/>
      <c r="W54" s="786"/>
      <c r="X54" s="784"/>
      <c r="Y54" s="784"/>
      <c r="Z54" s="784"/>
    </row>
    <row r="55" spans="3:26" ht="25.5" x14ac:dyDescent="0.25">
      <c r="C55" s="26"/>
      <c r="D55" s="26"/>
      <c r="E55" s="78" t="s">
        <v>50</v>
      </c>
      <c r="F55" s="26"/>
      <c r="G55" s="26"/>
      <c r="H55" s="26"/>
      <c r="I55" s="793" t="s">
        <v>334</v>
      </c>
      <c r="J55" s="137" t="s">
        <v>335</v>
      </c>
      <c r="K55" s="204"/>
      <c r="L55" s="188"/>
      <c r="M55" s="128"/>
      <c r="N55" s="72"/>
      <c r="O55" s="12"/>
      <c r="P55" s="12"/>
      <c r="Q55" s="12"/>
      <c r="R55" s="12"/>
      <c r="S55" s="12"/>
      <c r="T55" s="12"/>
      <c r="U55" s="12"/>
      <c r="V55" s="26"/>
      <c r="W55" s="26"/>
      <c r="X55" s="12"/>
      <c r="Y55" s="12"/>
      <c r="Z55" s="12"/>
    </row>
    <row r="56" spans="3:26" ht="114.75" x14ac:dyDescent="0.25">
      <c r="C56" s="26"/>
      <c r="D56" s="26"/>
      <c r="E56" s="26" t="s">
        <v>50</v>
      </c>
      <c r="F56" s="26"/>
      <c r="G56" s="26"/>
      <c r="H56" s="26"/>
      <c r="I56" s="192" t="s">
        <v>336</v>
      </c>
      <c r="J56" s="204" t="s">
        <v>337</v>
      </c>
      <c r="K56" s="204" t="s">
        <v>338</v>
      </c>
      <c r="L56" s="26" t="s">
        <v>339</v>
      </c>
      <c r="M56" s="72" t="s">
        <v>340</v>
      </c>
      <c r="N56" s="72" t="s">
        <v>341</v>
      </c>
      <c r="O56" s="12"/>
      <c r="P56" s="12"/>
      <c r="Q56" s="12"/>
      <c r="R56" s="12"/>
      <c r="S56" s="12"/>
      <c r="T56" s="12"/>
      <c r="U56" s="12"/>
      <c r="V56" s="26"/>
      <c r="W56" s="26"/>
      <c r="X56" s="12"/>
      <c r="Y56" s="12"/>
      <c r="Z56" s="12"/>
    </row>
    <row r="57" spans="3:26" x14ac:dyDescent="0.25">
      <c r="C57" s="26"/>
      <c r="D57" s="26"/>
      <c r="E57" s="78" t="s">
        <v>50</v>
      </c>
      <c r="F57" s="78"/>
      <c r="G57" s="78"/>
      <c r="H57" s="78"/>
      <c r="I57" s="793" t="s">
        <v>342</v>
      </c>
      <c r="J57" s="137" t="s">
        <v>343</v>
      </c>
      <c r="K57" s="204"/>
      <c r="L57" s="188"/>
      <c r="M57" s="128"/>
      <c r="N57" s="72"/>
      <c r="O57" s="12"/>
      <c r="P57" s="12"/>
      <c r="Q57" s="12"/>
      <c r="R57" s="12"/>
      <c r="S57" s="12"/>
      <c r="T57" s="12"/>
      <c r="U57" s="12"/>
      <c r="V57" s="26"/>
      <c r="W57" s="26"/>
      <c r="X57" s="12"/>
      <c r="Y57" s="12"/>
      <c r="Z57" s="12"/>
    </row>
    <row r="58" spans="3:26" s="75" customFormat="1" ht="12.75" x14ac:dyDescent="0.25">
      <c r="C58" s="78"/>
      <c r="D58" s="78" t="s">
        <v>50</v>
      </c>
      <c r="E58" s="78"/>
      <c r="F58" s="78"/>
      <c r="G58" s="78"/>
      <c r="H58" s="78"/>
      <c r="I58" s="794" t="s">
        <v>344</v>
      </c>
      <c r="J58" s="137"/>
      <c r="K58" s="204"/>
      <c r="L58" s="188"/>
      <c r="M58" s="209"/>
      <c r="N58" s="77"/>
      <c r="O58" s="76"/>
      <c r="P58" s="76"/>
      <c r="Q58" s="76"/>
      <c r="R58" s="76"/>
      <c r="S58" s="76"/>
      <c r="T58" s="76"/>
      <c r="U58" s="76"/>
      <c r="V58" s="78"/>
      <c r="W58" s="78"/>
      <c r="X58" s="76"/>
      <c r="Y58" s="76"/>
      <c r="Z58" s="76"/>
    </row>
    <row r="59" spans="3:26" s="75" customFormat="1" ht="12.75" x14ac:dyDescent="0.25">
      <c r="C59" s="78"/>
      <c r="D59" s="78"/>
      <c r="E59" s="78" t="s">
        <v>50</v>
      </c>
      <c r="F59" s="78"/>
      <c r="G59" s="78"/>
      <c r="H59" s="78"/>
      <c r="I59" s="793" t="s">
        <v>345</v>
      </c>
      <c r="J59" s="137" t="s">
        <v>346</v>
      </c>
      <c r="K59" s="204"/>
      <c r="L59" s="188"/>
      <c r="M59" s="209"/>
      <c r="N59" s="77"/>
      <c r="O59" s="76"/>
      <c r="P59" s="76"/>
      <c r="Q59" s="76"/>
      <c r="R59" s="76"/>
      <c r="S59" s="76"/>
      <c r="T59" s="76"/>
      <c r="U59" s="76"/>
      <c r="V59" s="78"/>
      <c r="W59" s="78"/>
      <c r="X59" s="76"/>
      <c r="Y59" s="76"/>
      <c r="Z59" s="76"/>
    </row>
    <row r="60" spans="3:26" s="75" customFormat="1" ht="12.75" x14ac:dyDescent="0.25">
      <c r="C60" s="78"/>
      <c r="D60" s="78"/>
      <c r="E60" s="78" t="s">
        <v>50</v>
      </c>
      <c r="F60" s="78"/>
      <c r="G60" s="78"/>
      <c r="H60" s="78"/>
      <c r="I60" s="795" t="s">
        <v>347</v>
      </c>
      <c r="J60" s="137" t="s">
        <v>348</v>
      </c>
      <c r="K60" s="204"/>
      <c r="L60" s="188"/>
      <c r="M60" s="209"/>
      <c r="N60" s="77"/>
      <c r="O60" s="76"/>
      <c r="P60" s="76"/>
      <c r="Q60" s="76"/>
      <c r="R60" s="76"/>
      <c r="S60" s="76"/>
      <c r="T60" s="76"/>
      <c r="U60" s="76"/>
      <c r="V60" s="78"/>
      <c r="W60" s="78"/>
      <c r="X60" s="76"/>
      <c r="Y60" s="76"/>
      <c r="Z60" s="76"/>
    </row>
    <row r="61" spans="3:26" s="165" customFormat="1" ht="12.75" x14ac:dyDescent="0.25">
      <c r="C61" s="796"/>
      <c r="D61" s="796" t="s">
        <v>50</v>
      </c>
      <c r="E61" s="796"/>
      <c r="F61" s="796"/>
      <c r="G61" s="796"/>
      <c r="H61" s="796"/>
      <c r="I61" s="794" t="s">
        <v>349</v>
      </c>
      <c r="J61" s="797"/>
      <c r="K61" s="796"/>
      <c r="L61" s="798"/>
      <c r="M61" s="210"/>
      <c r="N61" s="799"/>
      <c r="O61" s="800"/>
      <c r="P61" s="800"/>
      <c r="Q61" s="800"/>
      <c r="R61" s="800"/>
      <c r="S61" s="800"/>
      <c r="T61" s="800"/>
      <c r="U61" s="800"/>
      <c r="V61" s="796"/>
      <c r="W61" s="796"/>
      <c r="X61" s="800"/>
      <c r="Y61" s="800"/>
      <c r="Z61" s="800"/>
    </row>
    <row r="62" spans="3:26" ht="25.5" x14ac:dyDescent="0.25">
      <c r="C62" s="26" t="s">
        <v>50</v>
      </c>
      <c r="D62" s="26"/>
      <c r="E62" s="26"/>
      <c r="F62" s="26"/>
      <c r="G62" s="26"/>
      <c r="H62" s="26"/>
      <c r="I62" s="194" t="s">
        <v>350</v>
      </c>
      <c r="J62" s="472" t="s">
        <v>351</v>
      </c>
      <c r="K62" s="188" t="s">
        <v>212</v>
      </c>
      <c r="L62" s="188"/>
      <c r="M62" s="128"/>
      <c r="N62" s="72"/>
      <c r="O62" s="12"/>
      <c r="P62" s="12"/>
      <c r="Q62" s="12"/>
      <c r="R62" s="12"/>
      <c r="S62" s="12"/>
      <c r="T62" s="12"/>
      <c r="U62" s="12"/>
      <c r="V62" s="26"/>
      <c r="W62" s="26"/>
      <c r="X62" s="12"/>
      <c r="Y62" s="12"/>
      <c r="Z62" s="12"/>
    </row>
    <row r="63" spans="3:26" s="164" customFormat="1" ht="51" x14ac:dyDescent="0.25">
      <c r="C63" s="801"/>
      <c r="D63" s="801" t="s">
        <v>50</v>
      </c>
      <c r="E63" s="801"/>
      <c r="F63" s="801"/>
      <c r="G63" s="801"/>
      <c r="H63" s="801"/>
      <c r="I63" s="802" t="s">
        <v>352</v>
      </c>
      <c r="J63" s="803" t="s">
        <v>353</v>
      </c>
      <c r="K63" s="798" t="s">
        <v>212</v>
      </c>
      <c r="L63" s="798"/>
      <c r="M63" s="804"/>
      <c r="N63" s="805"/>
      <c r="O63" s="806"/>
      <c r="P63" s="806"/>
      <c r="Q63" s="806"/>
      <c r="R63" s="806"/>
      <c r="S63" s="806"/>
      <c r="T63" s="806"/>
      <c r="U63" s="806"/>
      <c r="V63" s="801"/>
      <c r="W63" s="801"/>
      <c r="X63" s="806"/>
      <c r="Y63" s="806"/>
      <c r="Z63" s="806"/>
    </row>
    <row r="64" spans="3:26" ht="38.25" x14ac:dyDescent="0.25">
      <c r="C64" s="26"/>
      <c r="D64" s="26"/>
      <c r="E64" s="26" t="s">
        <v>50</v>
      </c>
      <c r="F64" s="26"/>
      <c r="G64" s="26"/>
      <c r="H64" s="26"/>
      <c r="I64" s="192" t="s">
        <v>354</v>
      </c>
      <c r="J64" s="472" t="s">
        <v>355</v>
      </c>
      <c r="K64" s="204" t="s">
        <v>356</v>
      </c>
      <c r="L64" s="188" t="s">
        <v>357</v>
      </c>
      <c r="M64" s="128" t="s">
        <v>358</v>
      </c>
      <c r="N64" s="72" t="s">
        <v>358</v>
      </c>
      <c r="O64" s="12"/>
      <c r="P64" s="12"/>
      <c r="Q64" s="12"/>
      <c r="R64" s="12"/>
      <c r="S64" s="12"/>
      <c r="T64" s="12"/>
      <c r="U64" s="12"/>
      <c r="V64" s="26"/>
      <c r="W64" s="26"/>
      <c r="X64" s="12"/>
      <c r="Y64" s="12"/>
      <c r="Z64" s="12"/>
    </row>
    <row r="65" spans="3:26" ht="38.25" x14ac:dyDescent="0.25">
      <c r="C65" s="26"/>
      <c r="D65" s="26"/>
      <c r="E65" s="26" t="s">
        <v>50</v>
      </c>
      <c r="F65" s="26"/>
      <c r="G65" s="26"/>
      <c r="H65" s="26"/>
      <c r="I65" s="192" t="s">
        <v>359</v>
      </c>
      <c r="J65" s="472" t="s">
        <v>360</v>
      </c>
      <c r="K65" s="204" t="s">
        <v>361</v>
      </c>
      <c r="L65" s="188" t="s">
        <v>357</v>
      </c>
      <c r="M65" s="128" t="s">
        <v>358</v>
      </c>
      <c r="N65" s="72" t="s">
        <v>358</v>
      </c>
      <c r="O65" s="12"/>
      <c r="P65" s="12"/>
      <c r="Q65" s="12"/>
      <c r="R65" s="12"/>
      <c r="S65" s="12"/>
      <c r="T65" s="12"/>
      <c r="U65" s="12"/>
      <c r="V65" s="26"/>
      <c r="W65" s="26"/>
      <c r="X65" s="12"/>
      <c r="Y65" s="12"/>
      <c r="Z65" s="12"/>
    </row>
    <row r="66" spans="3:26" ht="38.25" x14ac:dyDescent="0.25">
      <c r="C66" s="26"/>
      <c r="D66" s="26"/>
      <c r="E66" s="26" t="s">
        <v>50</v>
      </c>
      <c r="F66" s="26"/>
      <c r="G66" s="26"/>
      <c r="H66" s="26"/>
      <c r="I66" s="192" t="s">
        <v>362</v>
      </c>
      <c r="J66" s="472" t="s">
        <v>363</v>
      </c>
      <c r="K66" s="204" t="s">
        <v>364</v>
      </c>
      <c r="L66" s="188" t="s">
        <v>357</v>
      </c>
      <c r="M66" s="128" t="s">
        <v>358</v>
      </c>
      <c r="N66" s="72" t="s">
        <v>358</v>
      </c>
      <c r="O66" s="12"/>
      <c r="P66" s="12"/>
      <c r="Q66" s="12"/>
      <c r="R66" s="12"/>
      <c r="S66" s="12"/>
      <c r="T66" s="12"/>
      <c r="U66" s="12"/>
      <c r="V66" s="26"/>
      <c r="W66" s="26"/>
      <c r="X66" s="12"/>
      <c r="Y66" s="12"/>
      <c r="Z66" s="12"/>
    </row>
    <row r="67" spans="3:26" ht="38.25" x14ac:dyDescent="0.25">
      <c r="C67" s="26"/>
      <c r="D67" s="26"/>
      <c r="E67" s="26" t="s">
        <v>50</v>
      </c>
      <c r="F67" s="26"/>
      <c r="G67" s="26"/>
      <c r="H67" s="26"/>
      <c r="I67" s="192" t="s">
        <v>365</v>
      </c>
      <c r="J67" s="204" t="s">
        <v>366</v>
      </c>
      <c r="K67" s="188" t="s">
        <v>212</v>
      </c>
      <c r="L67" s="188" t="s">
        <v>357</v>
      </c>
      <c r="M67" s="128" t="s">
        <v>358</v>
      </c>
      <c r="N67" s="72" t="s">
        <v>358</v>
      </c>
      <c r="O67" s="12"/>
      <c r="P67" s="12"/>
      <c r="Q67" s="12"/>
      <c r="R67" s="12"/>
      <c r="S67" s="12"/>
      <c r="T67" s="12"/>
      <c r="U67" s="12"/>
      <c r="V67" s="26"/>
      <c r="W67" s="26"/>
      <c r="X67" s="12"/>
      <c r="Y67" s="12"/>
      <c r="Z67" s="12"/>
    </row>
    <row r="68" spans="3:26" ht="51" x14ac:dyDescent="0.25">
      <c r="C68" s="26"/>
      <c r="D68" s="26"/>
      <c r="E68" s="26"/>
      <c r="F68" s="26" t="s">
        <v>50</v>
      </c>
      <c r="G68" s="26"/>
      <c r="H68" s="26"/>
      <c r="I68" s="192" t="s">
        <v>367</v>
      </c>
      <c r="J68" s="472" t="s">
        <v>368</v>
      </c>
      <c r="K68" s="204" t="s">
        <v>369</v>
      </c>
      <c r="L68" s="188" t="s">
        <v>357</v>
      </c>
      <c r="M68" s="128" t="s">
        <v>358</v>
      </c>
      <c r="N68" s="72" t="s">
        <v>358</v>
      </c>
      <c r="O68" s="12"/>
      <c r="P68" s="12"/>
      <c r="Q68" s="12"/>
      <c r="R68" s="12"/>
      <c r="S68" s="12"/>
      <c r="T68" s="12"/>
      <c r="U68" s="12"/>
      <c r="V68" s="26"/>
      <c r="W68" s="26"/>
      <c r="X68" s="12"/>
      <c r="Y68" s="12"/>
      <c r="Z68" s="12"/>
    </row>
    <row r="69" spans="3:26" ht="38.25" x14ac:dyDescent="0.25">
      <c r="C69" s="26"/>
      <c r="D69" s="26"/>
      <c r="E69" s="26"/>
      <c r="F69" s="26" t="s">
        <v>50</v>
      </c>
      <c r="G69" s="26"/>
      <c r="H69" s="26"/>
      <c r="I69" s="70" t="s">
        <v>370</v>
      </c>
      <c r="J69" s="472" t="s">
        <v>371</v>
      </c>
      <c r="K69" s="204" t="s">
        <v>372</v>
      </c>
      <c r="L69" s="188" t="s">
        <v>357</v>
      </c>
      <c r="M69" s="128" t="s">
        <v>358</v>
      </c>
      <c r="N69" s="72" t="s">
        <v>358</v>
      </c>
      <c r="O69" s="12"/>
      <c r="P69" s="12"/>
      <c r="Q69" s="12"/>
      <c r="R69" s="12"/>
      <c r="S69" s="12"/>
      <c r="T69" s="12"/>
      <c r="U69" s="12"/>
      <c r="V69" s="26"/>
      <c r="W69" s="26"/>
      <c r="X69" s="12"/>
      <c r="Y69" s="12"/>
      <c r="Z69" s="12"/>
    </row>
    <row r="70" spans="3:26" ht="38.25" x14ac:dyDescent="0.25">
      <c r="C70" s="26"/>
      <c r="D70" s="26"/>
      <c r="E70" s="26" t="s">
        <v>50</v>
      </c>
      <c r="F70" s="26"/>
      <c r="G70" s="26"/>
      <c r="H70" s="26"/>
      <c r="I70" s="192" t="s">
        <v>373</v>
      </c>
      <c r="J70" s="204" t="s">
        <v>374</v>
      </c>
      <c r="K70" s="188" t="s">
        <v>212</v>
      </c>
      <c r="L70" s="188" t="s">
        <v>357</v>
      </c>
      <c r="M70" s="128" t="s">
        <v>358</v>
      </c>
      <c r="N70" s="72" t="s">
        <v>358</v>
      </c>
      <c r="O70" s="12"/>
      <c r="P70" s="12"/>
      <c r="Q70" s="12"/>
      <c r="R70" s="12"/>
      <c r="S70" s="12"/>
      <c r="T70" s="12"/>
      <c r="U70" s="12"/>
      <c r="V70" s="26"/>
      <c r="W70" s="26"/>
      <c r="X70" s="12"/>
      <c r="Y70" s="12"/>
      <c r="Z70" s="12"/>
    </row>
    <row r="71" spans="3:26" ht="38.25" x14ac:dyDescent="0.25">
      <c r="C71" s="26"/>
      <c r="D71" s="26"/>
      <c r="E71" s="26"/>
      <c r="F71" s="26" t="s">
        <v>50</v>
      </c>
      <c r="G71" s="26"/>
      <c r="H71" s="26"/>
      <c r="I71" s="192" t="s">
        <v>367</v>
      </c>
      <c r="J71" s="204" t="s">
        <v>375</v>
      </c>
      <c r="K71" s="204" t="s">
        <v>369</v>
      </c>
      <c r="L71" s="188" t="s">
        <v>357</v>
      </c>
      <c r="M71" s="128" t="s">
        <v>358</v>
      </c>
      <c r="N71" s="72" t="s">
        <v>358</v>
      </c>
      <c r="O71" s="12"/>
      <c r="P71" s="12"/>
      <c r="Q71" s="12"/>
      <c r="R71" s="12"/>
      <c r="S71" s="12"/>
      <c r="T71" s="12"/>
      <c r="U71" s="12"/>
      <c r="V71" s="26"/>
      <c r="W71" s="26"/>
      <c r="X71" s="12"/>
      <c r="Y71" s="12"/>
      <c r="Z71" s="12"/>
    </row>
    <row r="72" spans="3:26" ht="51" x14ac:dyDescent="0.25">
      <c r="C72" s="26"/>
      <c r="D72" s="26"/>
      <c r="E72" s="26"/>
      <c r="F72" s="26" t="s">
        <v>50</v>
      </c>
      <c r="G72" s="26"/>
      <c r="H72" s="26"/>
      <c r="I72" s="70" t="s">
        <v>376</v>
      </c>
      <c r="J72" s="204" t="s">
        <v>377</v>
      </c>
      <c r="K72" s="204" t="s">
        <v>372</v>
      </c>
      <c r="L72" s="188" t="s">
        <v>357</v>
      </c>
      <c r="M72" s="128" t="s">
        <v>358</v>
      </c>
      <c r="N72" s="72" t="s">
        <v>358</v>
      </c>
      <c r="O72" s="12"/>
      <c r="P72" s="12"/>
      <c r="Q72" s="12"/>
      <c r="R72" s="12"/>
      <c r="S72" s="12"/>
      <c r="T72" s="12"/>
      <c r="U72" s="12"/>
      <c r="V72" s="26"/>
      <c r="W72" s="26"/>
      <c r="X72" s="12"/>
      <c r="Y72" s="12"/>
      <c r="Z72" s="12"/>
    </row>
    <row r="73" spans="3:26" ht="38.25" x14ac:dyDescent="0.25">
      <c r="C73" s="26"/>
      <c r="D73" s="26"/>
      <c r="E73" s="26" t="s">
        <v>50</v>
      </c>
      <c r="F73" s="26"/>
      <c r="G73" s="26"/>
      <c r="H73" s="26"/>
      <c r="I73" s="192" t="s">
        <v>378</v>
      </c>
      <c r="J73" s="472" t="s">
        <v>379</v>
      </c>
      <c r="K73" s="188" t="s">
        <v>212</v>
      </c>
      <c r="L73" s="188" t="s">
        <v>357</v>
      </c>
      <c r="M73" s="128" t="s">
        <v>358</v>
      </c>
      <c r="N73" s="72" t="s">
        <v>358</v>
      </c>
      <c r="O73" s="12"/>
      <c r="P73" s="12"/>
      <c r="Q73" s="12"/>
      <c r="R73" s="12"/>
      <c r="S73" s="12"/>
      <c r="T73" s="12"/>
      <c r="U73" s="12"/>
      <c r="V73" s="26"/>
      <c r="W73" s="26"/>
      <c r="X73" s="12"/>
      <c r="Y73" s="12"/>
      <c r="Z73" s="12"/>
    </row>
    <row r="74" spans="3:26" ht="38.25" x14ac:dyDescent="0.25">
      <c r="C74" s="26"/>
      <c r="D74" s="26"/>
      <c r="E74" s="26"/>
      <c r="F74" s="26" t="s">
        <v>50</v>
      </c>
      <c r="G74" s="26"/>
      <c r="H74" s="26"/>
      <c r="I74" s="192" t="s">
        <v>367</v>
      </c>
      <c r="J74" s="204" t="s">
        <v>380</v>
      </c>
      <c r="K74" s="204" t="s">
        <v>369</v>
      </c>
      <c r="L74" s="188" t="s">
        <v>357</v>
      </c>
      <c r="M74" s="128" t="s">
        <v>358</v>
      </c>
      <c r="N74" s="72" t="s">
        <v>358</v>
      </c>
      <c r="O74" s="12"/>
      <c r="P74" s="12"/>
      <c r="Q74" s="12"/>
      <c r="R74" s="12"/>
      <c r="S74" s="12"/>
      <c r="T74" s="12"/>
      <c r="U74" s="12"/>
      <c r="V74" s="26"/>
      <c r="W74" s="26"/>
      <c r="X74" s="12"/>
      <c r="Y74" s="12"/>
      <c r="Z74" s="12"/>
    </row>
    <row r="75" spans="3:26" ht="38.25" x14ac:dyDescent="0.25">
      <c r="C75" s="26"/>
      <c r="D75" s="26"/>
      <c r="E75" s="26"/>
      <c r="F75" s="26" t="s">
        <v>50</v>
      </c>
      <c r="G75" s="26"/>
      <c r="H75" s="26"/>
      <c r="I75" s="70" t="s">
        <v>381</v>
      </c>
      <c r="J75" s="204" t="s">
        <v>382</v>
      </c>
      <c r="K75" s="204" t="s">
        <v>372</v>
      </c>
      <c r="L75" s="188" t="s">
        <v>357</v>
      </c>
      <c r="M75" s="128" t="s">
        <v>358</v>
      </c>
      <c r="N75" s="72" t="s">
        <v>358</v>
      </c>
      <c r="O75" s="12"/>
      <c r="P75" s="12"/>
      <c r="Q75" s="12"/>
      <c r="R75" s="12"/>
      <c r="S75" s="12"/>
      <c r="T75" s="12"/>
      <c r="U75" s="12"/>
      <c r="V75" s="26"/>
      <c r="W75" s="26"/>
      <c r="X75" s="12"/>
      <c r="Y75" s="12"/>
      <c r="Z75" s="12"/>
    </row>
    <row r="76" spans="3:26" ht="38.25" x14ac:dyDescent="0.25">
      <c r="C76" s="26"/>
      <c r="D76" s="26"/>
      <c r="E76" s="26" t="s">
        <v>50</v>
      </c>
      <c r="F76" s="26"/>
      <c r="G76" s="26"/>
      <c r="H76" s="26"/>
      <c r="I76" s="192" t="s">
        <v>383</v>
      </c>
      <c r="J76" s="204" t="s">
        <v>384</v>
      </c>
      <c r="K76" s="188" t="s">
        <v>212</v>
      </c>
      <c r="L76" s="188" t="s">
        <v>357</v>
      </c>
      <c r="M76" s="128" t="s">
        <v>358</v>
      </c>
      <c r="N76" s="72" t="s">
        <v>358</v>
      </c>
      <c r="O76" s="12"/>
      <c r="P76" s="12"/>
      <c r="Q76" s="12"/>
      <c r="R76" s="12"/>
      <c r="S76" s="12"/>
      <c r="T76" s="12"/>
      <c r="U76" s="12"/>
      <c r="V76" s="26"/>
      <c r="W76" s="26"/>
      <c r="X76" s="12"/>
      <c r="Y76" s="12"/>
      <c r="Z76" s="12"/>
    </row>
    <row r="77" spans="3:26" x14ac:dyDescent="0.25">
      <c r="C77" s="26"/>
      <c r="D77" s="26"/>
      <c r="E77" s="26"/>
      <c r="F77" s="26" t="s">
        <v>50</v>
      </c>
      <c r="G77" s="26"/>
      <c r="H77" s="26"/>
      <c r="I77" s="192" t="s">
        <v>385</v>
      </c>
      <c r="J77" s="204" t="s">
        <v>386</v>
      </c>
      <c r="K77" s="204" t="s">
        <v>369</v>
      </c>
      <c r="L77" s="188"/>
      <c r="M77" s="128"/>
      <c r="N77" s="72"/>
      <c r="O77" s="12"/>
      <c r="P77" s="12"/>
      <c r="Q77" s="12"/>
      <c r="R77" s="12"/>
      <c r="S77" s="12"/>
      <c r="T77" s="12"/>
      <c r="U77" s="12"/>
      <c r="V77" s="26"/>
      <c r="W77" s="26"/>
      <c r="X77" s="12"/>
      <c r="Y77" s="12"/>
      <c r="Z77" s="12"/>
    </row>
    <row r="78" spans="3:26" ht="38.25" x14ac:dyDescent="0.25">
      <c r="C78" s="26"/>
      <c r="D78" s="26"/>
      <c r="E78" s="26"/>
      <c r="F78" s="26" t="s">
        <v>50</v>
      </c>
      <c r="G78" s="26"/>
      <c r="H78" s="26"/>
      <c r="I78" s="192" t="s">
        <v>387</v>
      </c>
      <c r="J78" s="472" t="s">
        <v>388</v>
      </c>
      <c r="K78" s="204" t="s">
        <v>372</v>
      </c>
      <c r="L78" s="188" t="s">
        <v>357</v>
      </c>
      <c r="M78" s="128" t="s">
        <v>358</v>
      </c>
      <c r="N78" s="72" t="s">
        <v>358</v>
      </c>
      <c r="O78" s="12"/>
      <c r="P78" s="12"/>
      <c r="Q78" s="12"/>
      <c r="R78" s="12"/>
      <c r="S78" s="12"/>
      <c r="T78" s="12"/>
      <c r="U78" s="12"/>
      <c r="V78" s="26"/>
      <c r="W78" s="26"/>
      <c r="X78" s="12"/>
      <c r="Y78" s="12"/>
      <c r="Z78" s="12"/>
    </row>
    <row r="79" spans="3:26" ht="38.25" x14ac:dyDescent="0.25">
      <c r="C79" s="26"/>
      <c r="D79" s="26"/>
      <c r="E79" s="26" t="s">
        <v>50</v>
      </c>
      <c r="F79" s="26"/>
      <c r="G79" s="26"/>
      <c r="H79" s="26"/>
      <c r="I79" s="192" t="s">
        <v>389</v>
      </c>
      <c r="J79" s="472" t="s">
        <v>390</v>
      </c>
      <c r="K79" s="188" t="s">
        <v>212</v>
      </c>
      <c r="L79" s="188" t="s">
        <v>357</v>
      </c>
      <c r="M79" s="128" t="s">
        <v>358</v>
      </c>
      <c r="N79" s="72" t="s">
        <v>358</v>
      </c>
      <c r="O79" s="12"/>
      <c r="P79" s="12"/>
      <c r="Q79" s="12"/>
      <c r="R79" s="12"/>
      <c r="S79" s="12"/>
      <c r="T79" s="12"/>
      <c r="U79" s="12"/>
      <c r="V79" s="26"/>
      <c r="W79" s="26"/>
      <c r="X79" s="12"/>
      <c r="Y79" s="12"/>
      <c r="Z79" s="12"/>
    </row>
    <row r="80" spans="3:26" x14ac:dyDescent="0.25">
      <c r="C80" s="26"/>
      <c r="D80" s="26"/>
      <c r="E80" s="26"/>
      <c r="F80" s="26" t="s">
        <v>50</v>
      </c>
      <c r="G80" s="26"/>
      <c r="H80" s="26"/>
      <c r="I80" s="192" t="s">
        <v>367</v>
      </c>
      <c r="J80" s="472" t="s">
        <v>391</v>
      </c>
      <c r="K80" s="204" t="s">
        <v>369</v>
      </c>
      <c r="L80" s="188"/>
      <c r="M80" s="128"/>
      <c r="N80" s="72"/>
      <c r="O80" s="12"/>
      <c r="P80" s="12"/>
      <c r="Q80" s="12"/>
      <c r="R80" s="12"/>
      <c r="S80" s="12"/>
      <c r="T80" s="12"/>
      <c r="U80" s="12"/>
      <c r="V80" s="26"/>
      <c r="W80" s="26"/>
      <c r="X80" s="12"/>
      <c r="Y80" s="12"/>
      <c r="Z80" s="12"/>
    </row>
    <row r="81" spans="3:26" ht="38.25" x14ac:dyDescent="0.25">
      <c r="C81" s="26"/>
      <c r="D81" s="26"/>
      <c r="E81" s="26"/>
      <c r="F81" s="26" t="s">
        <v>50</v>
      </c>
      <c r="G81" s="26"/>
      <c r="H81" s="26"/>
      <c r="I81" s="192" t="s">
        <v>387</v>
      </c>
      <c r="J81" s="472" t="s">
        <v>392</v>
      </c>
      <c r="K81" s="204" t="s">
        <v>372</v>
      </c>
      <c r="L81" s="188" t="s">
        <v>357</v>
      </c>
      <c r="M81" s="128" t="s">
        <v>358</v>
      </c>
      <c r="N81" s="72" t="s">
        <v>358</v>
      </c>
      <c r="O81" s="12"/>
      <c r="P81" s="12"/>
      <c r="Q81" s="12"/>
      <c r="R81" s="12"/>
      <c r="S81" s="12"/>
      <c r="T81" s="12"/>
      <c r="U81" s="12"/>
      <c r="V81" s="26"/>
      <c r="W81" s="26"/>
      <c r="X81" s="12"/>
      <c r="Y81" s="12"/>
      <c r="Z81" s="12"/>
    </row>
    <row r="82" spans="3:26" ht="38.25" x14ac:dyDescent="0.25">
      <c r="C82" s="26"/>
      <c r="D82" s="26"/>
      <c r="E82" s="26" t="s">
        <v>50</v>
      </c>
      <c r="F82" s="26"/>
      <c r="G82" s="26"/>
      <c r="H82" s="26"/>
      <c r="I82" s="192" t="s">
        <v>393</v>
      </c>
      <c r="J82" s="472" t="s">
        <v>394</v>
      </c>
      <c r="K82" s="188" t="s">
        <v>212</v>
      </c>
      <c r="L82" s="188" t="s">
        <v>357</v>
      </c>
      <c r="M82" s="128" t="s">
        <v>358</v>
      </c>
      <c r="N82" s="72" t="s">
        <v>358</v>
      </c>
      <c r="O82" s="12"/>
      <c r="P82" s="12"/>
      <c r="Q82" s="12"/>
      <c r="R82" s="12"/>
      <c r="S82" s="12"/>
      <c r="T82" s="12"/>
      <c r="U82" s="12"/>
      <c r="V82" s="26"/>
      <c r="W82" s="26"/>
      <c r="X82" s="12"/>
      <c r="Y82" s="12"/>
      <c r="Z82" s="12"/>
    </row>
    <row r="83" spans="3:26" ht="51" x14ac:dyDescent="0.25">
      <c r="C83" s="26"/>
      <c r="D83" s="26"/>
      <c r="E83" s="26"/>
      <c r="F83" s="26" t="s">
        <v>50</v>
      </c>
      <c r="G83" s="26"/>
      <c r="H83" s="26"/>
      <c r="I83" s="192" t="s">
        <v>395</v>
      </c>
      <c r="J83" s="472" t="s">
        <v>396</v>
      </c>
      <c r="K83" s="204" t="s">
        <v>369</v>
      </c>
      <c r="L83" s="188" t="s">
        <v>357</v>
      </c>
      <c r="M83" s="128" t="s">
        <v>358</v>
      </c>
      <c r="N83" s="72" t="s">
        <v>358</v>
      </c>
      <c r="O83" s="12"/>
      <c r="P83" s="12"/>
      <c r="Q83" s="12"/>
      <c r="R83" s="12"/>
      <c r="S83" s="12"/>
      <c r="T83" s="12"/>
      <c r="U83" s="12"/>
      <c r="V83" s="26"/>
      <c r="W83" s="26"/>
      <c r="X83" s="12"/>
      <c r="Y83" s="12"/>
      <c r="Z83" s="12"/>
    </row>
    <row r="84" spans="3:26" ht="38.25" x14ac:dyDescent="0.25">
      <c r="C84" s="26"/>
      <c r="D84" s="26"/>
      <c r="E84" s="26"/>
      <c r="F84" s="26" t="s">
        <v>50</v>
      </c>
      <c r="G84" s="26"/>
      <c r="H84" s="26"/>
      <c r="I84" s="192" t="s">
        <v>397</v>
      </c>
      <c r="J84" s="472" t="s">
        <v>398</v>
      </c>
      <c r="K84" s="204" t="s">
        <v>399</v>
      </c>
      <c r="L84" s="188" t="s">
        <v>357</v>
      </c>
      <c r="M84" s="128" t="s">
        <v>358</v>
      </c>
      <c r="N84" s="72" t="s">
        <v>358</v>
      </c>
      <c r="O84" s="12"/>
      <c r="P84" s="12"/>
      <c r="Q84" s="12"/>
      <c r="R84" s="12"/>
      <c r="S84" s="12"/>
      <c r="T84" s="12"/>
      <c r="U84" s="12"/>
      <c r="V84" s="26"/>
      <c r="W84" s="26"/>
      <c r="X84" s="12"/>
      <c r="Y84" s="12"/>
      <c r="Z84" s="12"/>
    </row>
    <row r="85" spans="3:26" ht="38.25" x14ac:dyDescent="0.25">
      <c r="C85" s="26"/>
      <c r="D85" s="26"/>
      <c r="E85" s="26"/>
      <c r="F85" s="26" t="s">
        <v>50</v>
      </c>
      <c r="G85" s="26"/>
      <c r="H85" s="26"/>
      <c r="I85" s="192" t="s">
        <v>400</v>
      </c>
      <c r="J85" s="204" t="s">
        <v>401</v>
      </c>
      <c r="K85" s="204" t="s">
        <v>369</v>
      </c>
      <c r="L85" s="188" t="s">
        <v>357</v>
      </c>
      <c r="M85" s="128" t="s">
        <v>358</v>
      </c>
      <c r="N85" s="72" t="s">
        <v>358</v>
      </c>
      <c r="O85" s="12"/>
      <c r="P85" s="12"/>
      <c r="Q85" s="12"/>
      <c r="R85" s="12"/>
      <c r="S85" s="12"/>
      <c r="T85" s="12"/>
      <c r="U85" s="12"/>
      <c r="V85" s="26"/>
      <c r="W85" s="26"/>
      <c r="X85" s="12"/>
      <c r="Y85" s="12"/>
      <c r="Z85" s="12"/>
    </row>
    <row r="86" spans="3:26" ht="38.25" x14ac:dyDescent="0.25">
      <c r="C86" s="26"/>
      <c r="D86" s="26"/>
      <c r="E86" s="26"/>
      <c r="F86" s="26" t="s">
        <v>50</v>
      </c>
      <c r="G86" s="26"/>
      <c r="H86" s="26"/>
      <c r="I86" s="192" t="s">
        <v>402</v>
      </c>
      <c r="J86" s="472" t="s">
        <v>403</v>
      </c>
      <c r="K86" s="204" t="s">
        <v>404</v>
      </c>
      <c r="L86" s="188" t="s">
        <v>357</v>
      </c>
      <c r="M86" s="128" t="s">
        <v>358</v>
      </c>
      <c r="N86" s="72" t="s">
        <v>358</v>
      </c>
      <c r="O86" s="12"/>
      <c r="P86" s="12"/>
      <c r="Q86" s="12"/>
      <c r="R86" s="12"/>
      <c r="S86" s="12"/>
      <c r="T86" s="12"/>
      <c r="U86" s="12"/>
      <c r="V86" s="26"/>
      <c r="W86" s="26"/>
      <c r="X86" s="12"/>
      <c r="Y86" s="12"/>
      <c r="Z86" s="12"/>
    </row>
    <row r="87" spans="3:26" ht="38.25" x14ac:dyDescent="0.25">
      <c r="C87" s="26"/>
      <c r="D87" s="26"/>
      <c r="E87" s="26" t="s">
        <v>50</v>
      </c>
      <c r="F87" s="26"/>
      <c r="G87" s="26"/>
      <c r="H87" s="26"/>
      <c r="I87" s="192" t="s">
        <v>405</v>
      </c>
      <c r="J87" s="204" t="s">
        <v>406</v>
      </c>
      <c r="K87" s="204" t="s">
        <v>407</v>
      </c>
      <c r="L87" s="188" t="s">
        <v>357</v>
      </c>
      <c r="M87" s="128" t="s">
        <v>358</v>
      </c>
      <c r="N87" s="72" t="s">
        <v>358</v>
      </c>
      <c r="O87" s="12"/>
      <c r="P87" s="12"/>
      <c r="Q87" s="12"/>
      <c r="R87" s="12"/>
      <c r="S87" s="12"/>
      <c r="T87" s="12"/>
      <c r="U87" s="12"/>
      <c r="V87" s="26"/>
      <c r="W87" s="26"/>
      <c r="X87" s="12"/>
      <c r="Y87" s="12"/>
      <c r="Z87" s="12"/>
    </row>
    <row r="88" spans="3:26" ht="38.25" x14ac:dyDescent="0.25">
      <c r="C88" s="26"/>
      <c r="D88" s="26"/>
      <c r="E88" s="26" t="s">
        <v>50</v>
      </c>
      <c r="F88" s="26"/>
      <c r="G88" s="26"/>
      <c r="H88" s="26"/>
      <c r="I88" s="192" t="s">
        <v>408</v>
      </c>
      <c r="J88" s="472" t="s">
        <v>409</v>
      </c>
      <c r="K88" s="204" t="s">
        <v>369</v>
      </c>
      <c r="L88" s="188" t="s">
        <v>357</v>
      </c>
      <c r="M88" s="128" t="s">
        <v>358</v>
      </c>
      <c r="N88" s="72" t="s">
        <v>358</v>
      </c>
      <c r="O88" s="12"/>
      <c r="P88" s="12"/>
      <c r="Q88" s="12"/>
      <c r="R88" s="12"/>
      <c r="S88" s="12"/>
      <c r="T88" s="12"/>
      <c r="U88" s="12"/>
      <c r="V88" s="26"/>
      <c r="W88" s="26"/>
      <c r="X88" s="12"/>
      <c r="Y88" s="12"/>
      <c r="Z88" s="12"/>
    </row>
    <row r="89" spans="3:26" ht="38.25" x14ac:dyDescent="0.25">
      <c r="C89" s="26"/>
      <c r="D89" s="26"/>
      <c r="E89" s="26"/>
      <c r="F89" s="26" t="s">
        <v>50</v>
      </c>
      <c r="G89" s="26"/>
      <c r="H89" s="26"/>
      <c r="I89" s="192" t="s">
        <v>410</v>
      </c>
      <c r="J89" s="472" t="s">
        <v>411</v>
      </c>
      <c r="K89" s="204" t="s">
        <v>252</v>
      </c>
      <c r="L89" s="188" t="s">
        <v>357</v>
      </c>
      <c r="M89" s="128" t="s">
        <v>358</v>
      </c>
      <c r="N89" s="72" t="s">
        <v>358</v>
      </c>
      <c r="O89" s="12"/>
      <c r="P89" s="12"/>
      <c r="Q89" s="12"/>
      <c r="R89" s="12"/>
      <c r="S89" s="12"/>
      <c r="T89" s="12"/>
      <c r="U89" s="12"/>
      <c r="V89" s="26"/>
      <c r="W89" s="26"/>
      <c r="X89" s="12"/>
      <c r="Y89" s="12"/>
      <c r="Z89" s="12"/>
    </row>
    <row r="90" spans="3:26" ht="38.25" x14ac:dyDescent="0.25">
      <c r="C90" s="26"/>
      <c r="D90" s="26"/>
      <c r="E90" s="26"/>
      <c r="F90" s="26" t="s">
        <v>50</v>
      </c>
      <c r="G90" s="26"/>
      <c r="H90" s="26"/>
      <c r="I90" s="192" t="s">
        <v>412</v>
      </c>
      <c r="J90" s="472" t="s">
        <v>413</v>
      </c>
      <c r="K90" s="204" t="s">
        <v>369</v>
      </c>
      <c r="L90" s="188" t="s">
        <v>357</v>
      </c>
      <c r="M90" s="128" t="s">
        <v>358</v>
      </c>
      <c r="N90" s="72" t="s">
        <v>358</v>
      </c>
      <c r="O90" s="12"/>
      <c r="P90" s="12"/>
      <c r="Q90" s="12"/>
      <c r="R90" s="12"/>
      <c r="S90" s="12"/>
      <c r="T90" s="12"/>
      <c r="U90" s="12"/>
      <c r="V90" s="26"/>
      <c r="W90" s="26"/>
      <c r="X90" s="12"/>
      <c r="Y90" s="12"/>
      <c r="Z90" s="12"/>
    </row>
    <row r="91" spans="3:26" ht="38.25" x14ac:dyDescent="0.25">
      <c r="C91" s="26"/>
      <c r="D91" s="26"/>
      <c r="E91" s="26" t="s">
        <v>50</v>
      </c>
      <c r="F91" s="26"/>
      <c r="G91" s="26"/>
      <c r="H91" s="26"/>
      <c r="I91" s="192" t="s">
        <v>414</v>
      </c>
      <c r="J91" s="472" t="s">
        <v>415</v>
      </c>
      <c r="K91" s="204" t="s">
        <v>372</v>
      </c>
      <c r="L91" s="188" t="s">
        <v>357</v>
      </c>
      <c r="M91" s="128" t="s">
        <v>358</v>
      </c>
      <c r="N91" s="72" t="s">
        <v>358</v>
      </c>
      <c r="O91" s="12"/>
      <c r="P91" s="12"/>
      <c r="Q91" s="12"/>
      <c r="R91" s="12"/>
      <c r="S91" s="12"/>
      <c r="T91" s="12"/>
      <c r="U91" s="12"/>
      <c r="V91" s="26"/>
      <c r="W91" s="26"/>
      <c r="X91" s="12"/>
      <c r="Y91" s="12"/>
      <c r="Z91" s="12"/>
    </row>
    <row r="92" spans="3:26" ht="51" x14ac:dyDescent="0.25">
      <c r="C92" s="26"/>
      <c r="D92" s="26"/>
      <c r="E92" s="78" t="s">
        <v>50</v>
      </c>
      <c r="F92" s="78"/>
      <c r="G92" s="78"/>
      <c r="H92" s="78"/>
      <c r="I92" s="193" t="s">
        <v>416</v>
      </c>
      <c r="J92" s="137" t="s">
        <v>353</v>
      </c>
      <c r="K92" s="204"/>
      <c r="L92" s="188"/>
      <c r="M92" s="128"/>
      <c r="N92" s="72"/>
      <c r="O92" s="12"/>
      <c r="P92" s="12"/>
      <c r="Q92" s="12"/>
      <c r="R92" s="12"/>
      <c r="S92" s="12"/>
      <c r="T92" s="12"/>
      <c r="U92" s="12"/>
      <c r="V92" s="26"/>
      <c r="W92" s="26"/>
      <c r="X92" s="12"/>
      <c r="Y92" s="12"/>
      <c r="Z92" s="12"/>
    </row>
    <row r="93" spans="3:26" ht="38.25" x14ac:dyDescent="0.25">
      <c r="C93" s="26"/>
      <c r="D93" s="26"/>
      <c r="E93" s="78" t="s">
        <v>50</v>
      </c>
      <c r="F93" s="78"/>
      <c r="G93" s="78"/>
      <c r="H93" s="78"/>
      <c r="I93" s="193" t="s">
        <v>417</v>
      </c>
      <c r="J93" s="137" t="s">
        <v>374</v>
      </c>
      <c r="K93" s="204"/>
      <c r="L93" s="188"/>
      <c r="M93" s="807"/>
      <c r="N93" s="30"/>
      <c r="O93" s="12"/>
      <c r="P93" s="12"/>
      <c r="Q93" s="12"/>
      <c r="R93" s="12"/>
      <c r="S93" s="12"/>
      <c r="T93" s="12"/>
      <c r="U93" s="12"/>
      <c r="V93" s="26"/>
      <c r="W93" s="26"/>
      <c r="X93" s="12"/>
      <c r="Y93" s="12"/>
      <c r="Z93" s="12"/>
    </row>
    <row r="94" spans="3:26" ht="25.5" x14ac:dyDescent="0.25">
      <c r="C94" s="26"/>
      <c r="D94" s="26"/>
      <c r="E94" s="26" t="s">
        <v>50</v>
      </c>
      <c r="F94" s="26"/>
      <c r="G94" s="26"/>
      <c r="H94" s="26"/>
      <c r="I94" s="192" t="s">
        <v>418</v>
      </c>
      <c r="J94" s="472" t="s">
        <v>419</v>
      </c>
      <c r="K94" s="204" t="s">
        <v>420</v>
      </c>
      <c r="L94" s="188" t="s">
        <v>421</v>
      </c>
      <c r="M94" s="213" t="s">
        <v>358</v>
      </c>
      <c r="N94" s="72" t="s">
        <v>422</v>
      </c>
      <c r="O94" s="181"/>
      <c r="P94" s="12"/>
      <c r="Q94" s="12"/>
      <c r="R94" s="12"/>
      <c r="S94" s="12"/>
      <c r="T94" s="12"/>
      <c r="U94" s="12"/>
      <c r="V94" s="26"/>
      <c r="W94" s="26"/>
      <c r="X94" s="12"/>
      <c r="Y94" s="12"/>
      <c r="Z94" s="12"/>
    </row>
    <row r="95" spans="3:26" ht="90" x14ac:dyDescent="0.25">
      <c r="C95" s="26"/>
      <c r="D95" s="26"/>
      <c r="E95" s="26" t="s">
        <v>50</v>
      </c>
      <c r="F95" s="26"/>
      <c r="G95" s="26"/>
      <c r="H95" s="26"/>
      <c r="I95" s="192" t="s">
        <v>423</v>
      </c>
      <c r="J95" s="472" t="s">
        <v>424</v>
      </c>
      <c r="K95" s="204" t="s">
        <v>425</v>
      </c>
      <c r="L95" s="188" t="s">
        <v>426</v>
      </c>
      <c r="M95" s="72" t="s">
        <v>427</v>
      </c>
      <c r="N95" s="72" t="s">
        <v>428</v>
      </c>
      <c r="O95" s="12" t="s">
        <v>429</v>
      </c>
      <c r="P95" s="12"/>
      <c r="Q95" s="12"/>
      <c r="R95" s="12"/>
      <c r="S95" s="12"/>
      <c r="T95" s="12"/>
      <c r="U95" s="12"/>
      <c r="V95" s="26"/>
      <c r="W95" s="26"/>
      <c r="X95" s="12"/>
      <c r="Y95" s="12"/>
      <c r="Z95" s="12"/>
    </row>
    <row r="96" spans="3:26" ht="105" x14ac:dyDescent="0.25">
      <c r="C96" s="26"/>
      <c r="D96" s="26"/>
      <c r="E96" s="26" t="s">
        <v>50</v>
      </c>
      <c r="F96" s="26"/>
      <c r="G96" s="26"/>
      <c r="H96" s="26"/>
      <c r="I96" s="192" t="s">
        <v>430</v>
      </c>
      <c r="J96" s="204" t="s">
        <v>431</v>
      </c>
      <c r="K96" s="204" t="s">
        <v>432</v>
      </c>
      <c r="L96" s="26" t="s">
        <v>433</v>
      </c>
      <c r="M96" s="72" t="s">
        <v>434</v>
      </c>
      <c r="N96" s="72" t="s">
        <v>435</v>
      </c>
      <c r="O96" s="12" t="s">
        <v>436</v>
      </c>
      <c r="P96" s="12"/>
      <c r="Q96" s="12"/>
      <c r="R96" s="12"/>
      <c r="S96" s="12"/>
      <c r="T96" s="12"/>
      <c r="U96" s="12"/>
      <c r="V96" s="26"/>
      <c r="W96" s="26"/>
      <c r="X96" s="12"/>
      <c r="Y96" s="12"/>
      <c r="Z96" s="12"/>
    </row>
    <row r="97" spans="3:26" s="164" customFormat="1" x14ac:dyDescent="0.25">
      <c r="C97" s="801"/>
      <c r="D97" s="796" t="s">
        <v>50</v>
      </c>
      <c r="E97" s="796"/>
      <c r="F97" s="796"/>
      <c r="G97" s="796"/>
      <c r="H97" s="796"/>
      <c r="I97" s="794" t="s">
        <v>437</v>
      </c>
      <c r="J97" s="803"/>
      <c r="K97" s="798"/>
      <c r="L97" s="798"/>
      <c r="M97" s="804"/>
      <c r="N97" s="805" t="s">
        <v>438</v>
      </c>
      <c r="O97" s="806"/>
      <c r="P97" s="806"/>
      <c r="Q97" s="806"/>
      <c r="R97" s="806"/>
      <c r="S97" s="806"/>
      <c r="T97" s="806"/>
      <c r="U97" s="806"/>
      <c r="V97" s="801"/>
      <c r="W97" s="801"/>
      <c r="X97" s="806"/>
      <c r="Y97" s="806"/>
      <c r="Z97" s="806"/>
    </row>
    <row r="98" spans="3:26" ht="25.5" x14ac:dyDescent="0.25">
      <c r="C98" s="26"/>
      <c r="D98" s="26"/>
      <c r="E98" s="78" t="s">
        <v>50</v>
      </c>
      <c r="F98" s="78"/>
      <c r="G98" s="78"/>
      <c r="H98" s="78"/>
      <c r="I98" s="1134" t="s">
        <v>439</v>
      </c>
      <c r="J98" s="137" t="s">
        <v>440</v>
      </c>
      <c r="K98" s="188"/>
      <c r="L98" s="188"/>
      <c r="M98" s="128" t="s">
        <v>214</v>
      </c>
      <c r="N98" s="72" t="s">
        <v>438</v>
      </c>
      <c r="O98" s="12"/>
      <c r="P98" s="12"/>
      <c r="Q98" s="12"/>
      <c r="R98" s="12"/>
      <c r="S98" s="12"/>
      <c r="T98" s="12"/>
      <c r="U98" s="12"/>
      <c r="V98" s="26"/>
      <c r="W98" s="26"/>
      <c r="X98" s="12"/>
      <c r="Y98" s="12"/>
      <c r="Z98" s="12"/>
    </row>
    <row r="99" spans="3:26" ht="38.25" x14ac:dyDescent="0.25">
      <c r="C99" s="26"/>
      <c r="D99" s="26"/>
      <c r="E99" s="78"/>
      <c r="F99" s="78"/>
      <c r="G99" s="78"/>
      <c r="H99" s="78"/>
      <c r="I99" s="1135"/>
      <c r="J99" s="137" t="s">
        <v>441</v>
      </c>
      <c r="K99" s="188"/>
      <c r="L99" s="188"/>
      <c r="M99" s="128" t="s">
        <v>214</v>
      </c>
      <c r="N99" s="72" t="s">
        <v>438</v>
      </c>
      <c r="O99" s="12"/>
      <c r="P99" s="12"/>
      <c r="Q99" s="12"/>
      <c r="R99" s="12"/>
      <c r="S99" s="12"/>
      <c r="T99" s="12"/>
      <c r="U99" s="12"/>
      <c r="V99" s="26"/>
      <c r="W99" s="26"/>
      <c r="X99" s="12"/>
      <c r="Y99" s="12"/>
      <c r="Z99" s="12"/>
    </row>
    <row r="100" spans="3:26" ht="51" x14ac:dyDescent="0.25">
      <c r="C100" s="26"/>
      <c r="D100" s="26"/>
      <c r="E100" s="78" t="s">
        <v>50</v>
      </c>
      <c r="F100" s="78"/>
      <c r="G100" s="78"/>
      <c r="H100" s="78"/>
      <c r="I100" s="193" t="s">
        <v>442</v>
      </c>
      <c r="J100" s="137" t="s">
        <v>443</v>
      </c>
      <c r="K100" s="204" t="s">
        <v>444</v>
      </c>
      <c r="L100" s="188"/>
      <c r="M100" s="128" t="s">
        <v>214</v>
      </c>
      <c r="N100" s="72" t="s">
        <v>438</v>
      </c>
      <c r="O100" s="12"/>
      <c r="P100" s="12"/>
      <c r="Q100" s="12"/>
      <c r="R100" s="12"/>
      <c r="S100" s="12"/>
      <c r="T100" s="12"/>
      <c r="U100" s="12"/>
      <c r="V100" s="26"/>
      <c r="W100" s="26"/>
      <c r="X100" s="12"/>
      <c r="Y100" s="12"/>
      <c r="Z100" s="12"/>
    </row>
    <row r="101" spans="3:26" s="163" customFormat="1" ht="25.5" x14ac:dyDescent="0.25">
      <c r="C101" s="798"/>
      <c r="D101" s="798" t="s">
        <v>50</v>
      </c>
      <c r="E101" s="798"/>
      <c r="F101" s="798"/>
      <c r="G101" s="798"/>
      <c r="H101" s="798"/>
      <c r="I101" s="802" t="s">
        <v>445</v>
      </c>
      <c r="J101" s="803"/>
      <c r="K101" s="798" t="s">
        <v>212</v>
      </c>
      <c r="L101" s="798"/>
      <c r="M101" s="804"/>
      <c r="N101" s="805"/>
      <c r="O101" s="808"/>
      <c r="P101" s="808"/>
      <c r="Q101" s="808"/>
      <c r="R101" s="808"/>
      <c r="S101" s="808"/>
      <c r="T101" s="808"/>
      <c r="U101" s="808"/>
      <c r="V101" s="798"/>
      <c r="W101" s="798"/>
      <c r="X101" s="808"/>
      <c r="Y101" s="808"/>
      <c r="Z101" s="808"/>
    </row>
    <row r="102" spans="3:26" s="74" customFormat="1" ht="165" x14ac:dyDescent="0.25">
      <c r="C102" s="188"/>
      <c r="D102" s="188"/>
      <c r="E102" s="188" t="s">
        <v>50</v>
      </c>
      <c r="F102" s="188"/>
      <c r="G102" s="188"/>
      <c r="H102" s="188"/>
      <c r="I102" s="1136" t="s">
        <v>446</v>
      </c>
      <c r="J102" s="472" t="s">
        <v>447</v>
      </c>
      <c r="K102" s="204" t="s">
        <v>448</v>
      </c>
      <c r="L102" s="188" t="s">
        <v>449</v>
      </c>
      <c r="M102" s="72" t="s">
        <v>450</v>
      </c>
      <c r="N102" s="72" t="s">
        <v>451</v>
      </c>
      <c r="O102" s="12" t="s">
        <v>429</v>
      </c>
      <c r="P102" s="69"/>
      <c r="Q102" s="69"/>
      <c r="R102" s="12" t="s">
        <v>452</v>
      </c>
      <c r="S102" s="69"/>
      <c r="T102" s="69"/>
      <c r="U102" s="69"/>
      <c r="V102" s="188"/>
      <c r="W102" s="188"/>
      <c r="X102" s="69"/>
      <c r="Y102" s="69"/>
      <c r="Z102" s="69"/>
    </row>
    <row r="103" spans="3:26" ht="165" x14ac:dyDescent="0.25">
      <c r="C103" s="26"/>
      <c r="D103" s="26"/>
      <c r="E103" s="26"/>
      <c r="F103" s="26"/>
      <c r="G103" s="26"/>
      <c r="H103" s="26"/>
      <c r="I103" s="1136"/>
      <c r="J103" s="204" t="s">
        <v>453</v>
      </c>
      <c r="K103" s="188" t="s">
        <v>454</v>
      </c>
      <c r="L103" s="188" t="s">
        <v>449</v>
      </c>
      <c r="M103" s="72" t="s">
        <v>455</v>
      </c>
      <c r="N103" s="72" t="s">
        <v>451</v>
      </c>
      <c r="O103" s="12" t="s">
        <v>429</v>
      </c>
      <c r="P103" s="12"/>
      <c r="Q103" s="12"/>
      <c r="R103" s="12" t="s">
        <v>452</v>
      </c>
      <c r="S103" s="12"/>
      <c r="T103" s="12"/>
      <c r="U103" s="12"/>
      <c r="V103" s="26"/>
      <c r="W103" s="26"/>
      <c r="X103" s="12"/>
      <c r="Y103" s="12"/>
      <c r="Z103" s="12"/>
    </row>
    <row r="104" spans="3:26" ht="165" x14ac:dyDescent="0.25">
      <c r="C104" s="26"/>
      <c r="D104" s="26"/>
      <c r="E104" s="26"/>
      <c r="F104" s="26"/>
      <c r="G104" s="26"/>
      <c r="H104" s="26"/>
      <c r="I104" s="1136"/>
      <c r="J104" s="204" t="s">
        <v>456</v>
      </c>
      <c r="K104" s="26" t="s">
        <v>457</v>
      </c>
      <c r="L104" s="188" t="s">
        <v>449</v>
      </c>
      <c r="M104" s="72" t="s">
        <v>455</v>
      </c>
      <c r="N104" s="72" t="s">
        <v>451</v>
      </c>
      <c r="O104" s="12" t="s">
        <v>429</v>
      </c>
      <c r="P104" s="12"/>
      <c r="Q104" s="12"/>
      <c r="R104" s="12" t="s">
        <v>452</v>
      </c>
      <c r="S104" s="12"/>
      <c r="T104" s="12"/>
      <c r="U104" s="12"/>
      <c r="V104" s="26"/>
      <c r="W104" s="26"/>
      <c r="X104" s="12"/>
      <c r="Y104" s="12"/>
      <c r="Z104" s="12"/>
    </row>
    <row r="105" spans="3:26" ht="38.25" x14ac:dyDescent="0.25">
      <c r="C105" s="26" t="s">
        <v>50</v>
      </c>
      <c r="D105" s="26"/>
      <c r="E105" s="26"/>
      <c r="F105" s="26"/>
      <c r="G105" s="26"/>
      <c r="H105" s="26"/>
      <c r="I105" s="194" t="s">
        <v>458</v>
      </c>
      <c r="J105" s="472" t="s">
        <v>459</v>
      </c>
      <c r="K105" s="188" t="s">
        <v>212</v>
      </c>
      <c r="L105" s="188"/>
      <c r="M105" s="128"/>
      <c r="N105" s="72"/>
      <c r="O105" s="12"/>
      <c r="P105" s="12"/>
      <c r="Q105" s="12"/>
      <c r="R105" s="12"/>
      <c r="S105" s="12"/>
      <c r="T105" s="12"/>
      <c r="U105" s="12"/>
      <c r="V105" s="26"/>
      <c r="W105" s="26"/>
      <c r="X105" s="12"/>
      <c r="Y105" s="12"/>
      <c r="Z105" s="12"/>
    </row>
    <row r="106" spans="3:26" s="161" customFormat="1" ht="25.5" x14ac:dyDescent="0.25">
      <c r="C106" s="786"/>
      <c r="D106" s="786" t="s">
        <v>50</v>
      </c>
      <c r="E106" s="786"/>
      <c r="F106" s="786"/>
      <c r="G106" s="786"/>
      <c r="H106" s="786"/>
      <c r="I106" s="780" t="s">
        <v>460</v>
      </c>
      <c r="J106" s="809"/>
      <c r="K106" s="778" t="s">
        <v>212</v>
      </c>
      <c r="L106" s="778"/>
      <c r="M106" s="782"/>
      <c r="N106" s="783"/>
      <c r="O106" s="784"/>
      <c r="P106" s="784"/>
      <c r="Q106" s="784"/>
      <c r="R106" s="784"/>
      <c r="S106" s="784"/>
      <c r="T106" s="784"/>
      <c r="U106" s="784"/>
      <c r="V106" s="786"/>
      <c r="W106" s="786"/>
      <c r="X106" s="784"/>
      <c r="Y106" s="784"/>
      <c r="Z106" s="784"/>
    </row>
    <row r="107" spans="3:26" ht="90" x14ac:dyDescent="0.25">
      <c r="C107" s="26"/>
      <c r="D107" s="26"/>
      <c r="E107" s="26" t="s">
        <v>50</v>
      </c>
      <c r="F107" s="26"/>
      <c r="G107" s="26"/>
      <c r="H107" s="26"/>
      <c r="I107" s="192" t="s">
        <v>461</v>
      </c>
      <c r="J107" s="204" t="s">
        <v>462</v>
      </c>
      <c r="K107" s="204" t="s">
        <v>463</v>
      </c>
      <c r="L107" s="189" t="s">
        <v>464</v>
      </c>
      <c r="M107" s="179" t="s">
        <v>465</v>
      </c>
      <c r="N107" s="179" t="s">
        <v>465</v>
      </c>
      <c r="O107" s="12" t="s">
        <v>466</v>
      </c>
      <c r="P107" s="12"/>
      <c r="Q107" s="12"/>
      <c r="R107" s="12" t="s">
        <v>467</v>
      </c>
      <c r="S107" s="12"/>
      <c r="T107" s="12"/>
      <c r="U107" s="12"/>
      <c r="V107" s="26"/>
      <c r="W107" s="26"/>
      <c r="X107" s="12"/>
      <c r="Y107" s="12"/>
      <c r="Z107" s="12"/>
    </row>
    <row r="108" spans="3:26" ht="90" x14ac:dyDescent="0.25">
      <c r="C108" s="26"/>
      <c r="D108" s="26"/>
      <c r="E108" s="26" t="s">
        <v>50</v>
      </c>
      <c r="F108" s="26"/>
      <c r="G108" s="26"/>
      <c r="H108" s="26"/>
      <c r="I108" s="192" t="s">
        <v>468</v>
      </c>
      <c r="J108" s="204" t="s">
        <v>469</v>
      </c>
      <c r="K108" s="204" t="s">
        <v>470</v>
      </c>
      <c r="L108" s="189" t="s">
        <v>464</v>
      </c>
      <c r="M108" s="179" t="s">
        <v>465</v>
      </c>
      <c r="N108" s="179" t="s">
        <v>465</v>
      </c>
      <c r="O108" s="12" t="s">
        <v>466</v>
      </c>
      <c r="P108" s="12"/>
      <c r="Q108" s="12"/>
      <c r="R108" s="12" t="s">
        <v>471</v>
      </c>
      <c r="S108" s="12"/>
      <c r="T108" s="12"/>
      <c r="U108" s="12"/>
      <c r="V108" s="26"/>
      <c r="W108" s="26"/>
      <c r="X108" s="12"/>
      <c r="Y108" s="12"/>
      <c r="Z108" s="12"/>
    </row>
    <row r="109" spans="3:26" ht="128.25" x14ac:dyDescent="0.25">
      <c r="C109" s="26"/>
      <c r="D109" s="26"/>
      <c r="E109" s="26" t="s">
        <v>50</v>
      </c>
      <c r="F109" s="26"/>
      <c r="G109" s="26"/>
      <c r="H109" s="26"/>
      <c r="I109" s="192" t="s">
        <v>472</v>
      </c>
      <c r="J109" s="472" t="s">
        <v>473</v>
      </c>
      <c r="K109" s="140" t="s">
        <v>474</v>
      </c>
      <c r="L109" s="188" t="s">
        <v>475</v>
      </c>
      <c r="M109" s="72" t="s">
        <v>476</v>
      </c>
      <c r="N109" s="72" t="s">
        <v>477</v>
      </c>
      <c r="O109" s="12" t="s">
        <v>466</v>
      </c>
      <c r="P109" s="12"/>
      <c r="Q109" s="12"/>
      <c r="R109" s="12" t="s">
        <v>471</v>
      </c>
      <c r="S109" s="12"/>
      <c r="T109" s="12"/>
      <c r="U109" s="12"/>
      <c r="V109" s="26"/>
      <c r="W109" s="26"/>
      <c r="X109" s="12"/>
      <c r="Y109" s="12"/>
      <c r="Z109" s="12"/>
    </row>
    <row r="110" spans="3:26" s="161" customFormat="1" x14ac:dyDescent="0.25">
      <c r="C110" s="786"/>
      <c r="D110" s="786" t="s">
        <v>50</v>
      </c>
      <c r="E110" s="786"/>
      <c r="F110" s="786"/>
      <c r="G110" s="786"/>
      <c r="H110" s="786"/>
      <c r="I110" s="780" t="s">
        <v>478</v>
      </c>
      <c r="J110" s="781"/>
      <c r="K110" s="778" t="s">
        <v>212</v>
      </c>
      <c r="L110" s="809"/>
      <c r="M110" s="782"/>
      <c r="N110" s="810"/>
      <c r="O110" s="784"/>
      <c r="P110" s="784"/>
      <c r="Q110" s="784"/>
      <c r="R110" s="784"/>
      <c r="S110" s="784"/>
      <c r="T110" s="784"/>
      <c r="U110" s="784"/>
      <c r="V110" s="786"/>
      <c r="W110" s="786"/>
      <c r="X110" s="784"/>
      <c r="Y110" s="784"/>
      <c r="Z110" s="784"/>
    </row>
    <row r="111" spans="3:26" ht="120" x14ac:dyDescent="0.25">
      <c r="C111" s="26"/>
      <c r="D111" s="26"/>
      <c r="E111" s="26" t="s">
        <v>50</v>
      </c>
      <c r="F111" s="26"/>
      <c r="G111" s="26"/>
      <c r="H111" s="26"/>
      <c r="I111" s="192" t="s">
        <v>479</v>
      </c>
      <c r="J111" s="204" t="s">
        <v>480</v>
      </c>
      <c r="K111" s="713" t="str">
        <f>HYPERLINK("https://synology.bildungscampus-backnang.de:50823/drive/oo/r/p6baQwu1XCFuarcd9Z2zbi18qxksdUsS", "Vorschlag Patrick zur Alumni-/Eingliederungsbefragung ")</f>
        <v xml:space="preserve">Vorschlag Patrick zur Alumni-/Eingliederungsbefragung </v>
      </c>
      <c r="L111" s="188" t="s">
        <v>481</v>
      </c>
      <c r="M111" s="811" t="s">
        <v>482</v>
      </c>
      <c r="N111" s="208" t="s">
        <v>483</v>
      </c>
      <c r="O111" s="12" t="s">
        <v>484</v>
      </c>
      <c r="P111" s="12"/>
      <c r="Q111" s="812" t="str">
        <f>HYPERLINK("https://synology.bildungscampus-backnang.de:50823/drive/oo/r/p6baQwu1XCFuarcd9Z2zbi18qxksdUsS", "Vorschlag Patrick zur Integrationsbefragung")</f>
        <v>Vorschlag Patrick zur Integrationsbefragung</v>
      </c>
      <c r="R111" s="12" t="s">
        <v>485</v>
      </c>
      <c r="S111" s="12"/>
      <c r="T111" s="12"/>
      <c r="U111" s="12"/>
      <c r="V111" s="26"/>
      <c r="W111" s="26"/>
      <c r="X111" s="12"/>
      <c r="Y111" s="12"/>
      <c r="Z111" s="12"/>
    </row>
    <row r="112" spans="3:26" ht="120" x14ac:dyDescent="0.25">
      <c r="C112" s="26"/>
      <c r="D112" s="26"/>
      <c r="E112" s="26" t="s">
        <v>50</v>
      </c>
      <c r="F112" s="26"/>
      <c r="G112" s="26"/>
      <c r="H112" s="26"/>
      <c r="I112" s="192" t="s">
        <v>486</v>
      </c>
      <c r="J112" s="69" t="s">
        <v>487</v>
      </c>
      <c r="K112" s="204" t="s">
        <v>488</v>
      </c>
      <c r="L112" s="188" t="s">
        <v>481</v>
      </c>
      <c r="M112" s="72" t="s">
        <v>489</v>
      </c>
      <c r="N112" s="72" t="s">
        <v>477</v>
      </c>
      <c r="O112" s="12" t="s">
        <v>484</v>
      </c>
      <c r="P112" s="12"/>
      <c r="Q112" s="12"/>
      <c r="R112" s="12" t="s">
        <v>485</v>
      </c>
      <c r="S112" s="12"/>
      <c r="T112" s="12"/>
      <c r="U112" s="12"/>
      <c r="V112" s="26"/>
      <c r="W112" s="26"/>
      <c r="X112" s="12"/>
      <c r="Y112" s="12"/>
      <c r="Z112" s="12"/>
    </row>
    <row r="113" spans="3:26" ht="112.5" customHeight="1" x14ac:dyDescent="0.25">
      <c r="C113" s="26"/>
      <c r="D113" s="26"/>
      <c r="E113" s="26" t="s">
        <v>50</v>
      </c>
      <c r="F113" s="26"/>
      <c r="G113" s="26"/>
      <c r="H113" s="26"/>
      <c r="I113" s="192" t="s">
        <v>490</v>
      </c>
      <c r="J113" s="308" t="s">
        <v>491</v>
      </c>
      <c r="K113" s="204" t="s">
        <v>492</v>
      </c>
      <c r="L113" s="188" t="s">
        <v>481</v>
      </c>
      <c r="M113" s="811" t="s">
        <v>482</v>
      </c>
      <c r="N113" s="208" t="s">
        <v>451</v>
      </c>
      <c r="O113" s="12" t="s">
        <v>493</v>
      </c>
      <c r="P113" s="12"/>
      <c r="Q113" s="12"/>
      <c r="R113" s="12" t="s">
        <v>485</v>
      </c>
      <c r="S113" s="12"/>
      <c r="T113" s="12"/>
      <c r="U113" s="12"/>
      <c r="V113" s="26"/>
      <c r="W113" s="26"/>
      <c r="X113" s="12"/>
      <c r="Y113" s="12"/>
      <c r="Z113" s="12"/>
    </row>
    <row r="114" spans="3:26" s="164" customFormat="1" x14ac:dyDescent="0.25">
      <c r="C114" s="801"/>
      <c r="D114" s="801" t="s">
        <v>50</v>
      </c>
      <c r="E114" s="801"/>
      <c r="F114" s="801"/>
      <c r="G114" s="801"/>
      <c r="H114" s="801"/>
      <c r="I114" s="802" t="s">
        <v>494</v>
      </c>
      <c r="J114" s="803"/>
      <c r="K114" s="798" t="s">
        <v>212</v>
      </c>
      <c r="L114" s="798"/>
      <c r="M114" s="804"/>
      <c r="N114" s="805"/>
      <c r="O114" s="806"/>
      <c r="P114" s="806"/>
      <c r="Q114" s="806"/>
      <c r="R114" s="806"/>
      <c r="S114" s="806"/>
      <c r="T114" s="806"/>
      <c r="U114" s="806"/>
      <c r="V114" s="801"/>
      <c r="W114" s="801"/>
      <c r="X114" s="806"/>
      <c r="Y114" s="806"/>
      <c r="Z114" s="806"/>
    </row>
    <row r="115" spans="3:26" ht="150" x14ac:dyDescent="0.25">
      <c r="C115" s="26"/>
      <c r="D115" s="26"/>
      <c r="E115" s="26" t="s">
        <v>50</v>
      </c>
      <c r="F115" s="26"/>
      <c r="G115" s="26"/>
      <c r="H115" s="26"/>
      <c r="I115" s="338" t="s">
        <v>495</v>
      </c>
      <c r="J115" s="204" t="s">
        <v>496</v>
      </c>
      <c r="K115" s="204" t="s">
        <v>497</v>
      </c>
      <c r="L115" s="189" t="s">
        <v>498</v>
      </c>
      <c r="M115" s="179" t="s">
        <v>499</v>
      </c>
      <c r="N115" s="179" t="s">
        <v>500</v>
      </c>
      <c r="O115" s="12" t="s">
        <v>466</v>
      </c>
      <c r="P115" s="12"/>
      <c r="Q115" s="12"/>
      <c r="R115" s="12" t="s">
        <v>501</v>
      </c>
      <c r="S115" s="12"/>
      <c r="T115" s="12"/>
      <c r="U115" s="12"/>
      <c r="V115" s="26"/>
      <c r="W115" s="26"/>
      <c r="X115" s="12"/>
      <c r="Y115" s="12"/>
      <c r="Z115" s="12"/>
    </row>
    <row r="116" spans="3:26" ht="150" x14ac:dyDescent="0.25">
      <c r="C116" s="26"/>
      <c r="D116" s="26"/>
      <c r="E116" s="26" t="s">
        <v>50</v>
      </c>
      <c r="F116" s="26"/>
      <c r="G116" s="26"/>
      <c r="H116" s="26"/>
      <c r="I116" s="338" t="s">
        <v>502</v>
      </c>
      <c r="J116" s="204" t="s">
        <v>503</v>
      </c>
      <c r="K116" s="204" t="s">
        <v>504</v>
      </c>
      <c r="L116" s="189" t="s">
        <v>498</v>
      </c>
      <c r="M116" s="179" t="s">
        <v>499</v>
      </c>
      <c r="N116" s="179" t="s">
        <v>500</v>
      </c>
      <c r="O116" s="12" t="s">
        <v>466</v>
      </c>
      <c r="P116" s="12"/>
      <c r="Q116" s="12"/>
      <c r="R116" s="12" t="s">
        <v>505</v>
      </c>
      <c r="S116" s="12"/>
      <c r="T116" s="12"/>
      <c r="U116" s="12"/>
      <c r="V116" s="26"/>
      <c r="W116" s="26"/>
      <c r="X116" s="12"/>
      <c r="Y116" s="12"/>
      <c r="Z116" s="12"/>
    </row>
    <row r="117" spans="3:26" ht="150" x14ac:dyDescent="0.25">
      <c r="C117" s="26"/>
      <c r="D117" s="26"/>
      <c r="E117" s="26" t="s">
        <v>50</v>
      </c>
      <c r="F117" s="26"/>
      <c r="G117" s="26"/>
      <c r="H117" s="26"/>
      <c r="I117" s="192" t="s">
        <v>506</v>
      </c>
      <c r="J117" s="204" t="s">
        <v>507</v>
      </c>
      <c r="K117" s="204" t="s">
        <v>508</v>
      </c>
      <c r="L117" s="189" t="s">
        <v>498</v>
      </c>
      <c r="M117" s="179" t="s">
        <v>499</v>
      </c>
      <c r="N117" s="179" t="s">
        <v>500</v>
      </c>
      <c r="O117" s="12" t="s">
        <v>466</v>
      </c>
      <c r="P117" s="12"/>
      <c r="Q117" s="12"/>
      <c r="R117" s="12" t="s">
        <v>509</v>
      </c>
      <c r="S117" s="12"/>
      <c r="T117" s="12"/>
      <c r="U117" s="12"/>
      <c r="V117" s="26"/>
      <c r="W117" s="26"/>
      <c r="X117" s="12"/>
      <c r="Y117" s="12"/>
      <c r="Z117" s="12"/>
    </row>
    <row r="118" spans="3:26" s="164" customFormat="1" x14ac:dyDescent="0.25">
      <c r="C118" s="801"/>
      <c r="D118" s="801" t="s">
        <v>50</v>
      </c>
      <c r="E118" s="801"/>
      <c r="F118" s="801"/>
      <c r="G118" s="801"/>
      <c r="H118" s="801"/>
      <c r="I118" s="802" t="s">
        <v>510</v>
      </c>
      <c r="J118" s="803"/>
      <c r="K118" s="798" t="s">
        <v>212</v>
      </c>
      <c r="L118" s="798"/>
      <c r="M118" s="804"/>
      <c r="N118" s="805"/>
      <c r="O118" s="806"/>
      <c r="P118" s="806"/>
      <c r="Q118" s="806"/>
      <c r="R118" s="806"/>
      <c r="S118" s="806"/>
      <c r="T118" s="806"/>
      <c r="U118" s="806"/>
      <c r="V118" s="801"/>
      <c r="W118" s="801"/>
      <c r="X118" s="806"/>
      <c r="Y118" s="806"/>
      <c r="Z118" s="806"/>
    </row>
    <row r="119" spans="3:26" ht="135" x14ac:dyDescent="0.25">
      <c r="C119" s="26"/>
      <c r="D119" s="26"/>
      <c r="E119" s="26" t="s">
        <v>50</v>
      </c>
      <c r="F119" s="26"/>
      <c r="G119" s="26"/>
      <c r="H119" s="26"/>
      <c r="I119" s="192" t="s">
        <v>511</v>
      </c>
      <c r="J119" s="204" t="s">
        <v>512</v>
      </c>
      <c r="K119" s="204" t="s">
        <v>513</v>
      </c>
      <c r="L119" s="26" t="s">
        <v>514</v>
      </c>
      <c r="M119" s="72" t="s">
        <v>515</v>
      </c>
      <c r="N119" s="72" t="s">
        <v>516</v>
      </c>
      <c r="O119" s="12" t="s">
        <v>517</v>
      </c>
      <c r="P119" s="12"/>
      <c r="Q119" s="12"/>
      <c r="R119" s="12" t="s">
        <v>518</v>
      </c>
      <c r="S119" s="12"/>
      <c r="T119" s="12"/>
      <c r="U119" s="12"/>
      <c r="V119" s="26"/>
      <c r="W119" s="26"/>
      <c r="X119" s="12"/>
      <c r="Y119" s="12"/>
      <c r="Z119" s="12"/>
    </row>
    <row r="120" spans="3:26" ht="105" x14ac:dyDescent="0.25">
      <c r="C120" s="26"/>
      <c r="D120" s="26"/>
      <c r="E120" s="26" t="s">
        <v>50</v>
      </c>
      <c r="F120" s="26"/>
      <c r="G120" s="26"/>
      <c r="H120" s="26"/>
      <c r="I120" s="192" t="s">
        <v>519</v>
      </c>
      <c r="J120" s="204" t="s">
        <v>520</v>
      </c>
      <c r="K120" s="204" t="s">
        <v>521</v>
      </c>
      <c r="L120" s="188" t="s">
        <v>522</v>
      </c>
      <c r="M120" s="72" t="s">
        <v>523</v>
      </c>
      <c r="N120" s="72" t="s">
        <v>524</v>
      </c>
      <c r="O120" s="12" t="s">
        <v>525</v>
      </c>
      <c r="P120" s="12"/>
      <c r="Q120" s="12"/>
      <c r="R120" s="12" t="s">
        <v>526</v>
      </c>
      <c r="S120" s="12"/>
      <c r="T120" s="12"/>
      <c r="U120" s="12"/>
      <c r="V120" s="26"/>
      <c r="W120" s="26"/>
      <c r="X120" s="12"/>
      <c r="Y120" s="12"/>
      <c r="Z120" s="12"/>
    </row>
    <row r="121" spans="3:26" ht="135" x14ac:dyDescent="0.25">
      <c r="C121" s="26"/>
      <c r="D121" s="26"/>
      <c r="E121" s="26" t="s">
        <v>50</v>
      </c>
      <c r="F121" s="26"/>
      <c r="G121" s="26"/>
      <c r="H121" s="26"/>
      <c r="I121" s="192" t="s">
        <v>527</v>
      </c>
      <c r="J121" s="204" t="s">
        <v>528</v>
      </c>
      <c r="K121" s="204" t="s">
        <v>529</v>
      </c>
      <c r="L121" s="188" t="s">
        <v>530</v>
      </c>
      <c r="M121" s="72" t="s">
        <v>515</v>
      </c>
      <c r="N121" s="72" t="s">
        <v>531</v>
      </c>
      <c r="O121" s="12" t="s">
        <v>532</v>
      </c>
      <c r="P121" s="12"/>
      <c r="Q121" s="12"/>
      <c r="R121" s="12" t="s">
        <v>533</v>
      </c>
      <c r="S121" s="12"/>
      <c r="T121" s="12"/>
      <c r="U121" s="12"/>
      <c r="V121" s="26"/>
      <c r="W121" s="26"/>
      <c r="X121" s="12"/>
      <c r="Y121" s="12"/>
      <c r="Z121" s="12"/>
    </row>
    <row r="122" spans="3:26" ht="38.25" x14ac:dyDescent="0.25">
      <c r="C122" s="26" t="s">
        <v>50</v>
      </c>
      <c r="D122" s="26"/>
      <c r="E122" s="26"/>
      <c r="F122" s="26"/>
      <c r="G122" s="26"/>
      <c r="H122" s="26"/>
      <c r="I122" s="194" t="s">
        <v>534</v>
      </c>
      <c r="J122" s="472" t="s">
        <v>535</v>
      </c>
      <c r="K122" s="188" t="s">
        <v>212</v>
      </c>
      <c r="L122" s="319"/>
      <c r="M122" s="128"/>
      <c r="N122" s="72"/>
      <c r="O122" s="12"/>
      <c r="P122" s="12"/>
      <c r="Q122" s="12"/>
      <c r="R122" s="12"/>
      <c r="S122" s="12"/>
      <c r="T122" s="12"/>
      <c r="U122" s="12"/>
      <c r="V122" s="26"/>
      <c r="W122" s="26"/>
      <c r="X122" s="12"/>
      <c r="Y122" s="12"/>
      <c r="Z122" s="12"/>
    </row>
    <row r="123" spans="3:26" ht="128.25" x14ac:dyDescent="0.25">
      <c r="C123" s="26"/>
      <c r="D123" s="26" t="s">
        <v>50</v>
      </c>
      <c r="E123" s="26"/>
      <c r="F123" s="26"/>
      <c r="G123" s="26"/>
      <c r="H123" s="26"/>
      <c r="I123" s="192" t="s">
        <v>536</v>
      </c>
      <c r="J123" s="204" t="s">
        <v>537</v>
      </c>
      <c r="K123" s="188" t="s">
        <v>212</v>
      </c>
      <c r="L123" s="189" t="s">
        <v>538</v>
      </c>
      <c r="M123" s="72" t="s">
        <v>539</v>
      </c>
      <c r="N123" s="72" t="s">
        <v>540</v>
      </c>
      <c r="O123" s="110" t="s">
        <v>541</v>
      </c>
      <c r="P123" s="12"/>
      <c r="Q123" s="12"/>
      <c r="R123" s="12" t="s">
        <v>542</v>
      </c>
      <c r="S123" s="12"/>
      <c r="T123" s="12"/>
      <c r="U123" s="12"/>
      <c r="V123" s="26"/>
      <c r="W123" s="26"/>
      <c r="X123" s="12"/>
      <c r="Y123" s="12"/>
      <c r="Z123" s="12"/>
    </row>
    <row r="124" spans="3:26" ht="128.25" x14ac:dyDescent="0.25">
      <c r="C124" s="26"/>
      <c r="D124" s="26"/>
      <c r="E124" s="26" t="s">
        <v>50</v>
      </c>
      <c r="F124" s="26"/>
      <c r="G124" s="26"/>
      <c r="H124" s="26"/>
      <c r="I124" s="192" t="s">
        <v>543</v>
      </c>
      <c r="J124" s="140" t="s">
        <v>544</v>
      </c>
      <c r="K124" s="204" t="s">
        <v>545</v>
      </c>
      <c r="L124" s="189" t="s">
        <v>538</v>
      </c>
      <c r="M124" s="813" t="s">
        <v>358</v>
      </c>
      <c r="N124" s="72" t="s">
        <v>546</v>
      </c>
      <c r="O124" s="110" t="s">
        <v>541</v>
      </c>
      <c r="P124" s="12"/>
      <c r="Q124" s="12"/>
      <c r="R124" s="12" t="s">
        <v>547</v>
      </c>
      <c r="S124" s="12"/>
      <c r="T124" s="12"/>
      <c r="U124" s="12"/>
      <c r="V124" s="26"/>
      <c r="W124" s="26"/>
      <c r="X124" s="12"/>
      <c r="Y124" s="12"/>
      <c r="Z124" s="12"/>
    </row>
    <row r="125" spans="3:26" ht="128.25" x14ac:dyDescent="0.25">
      <c r="C125" s="26"/>
      <c r="D125" s="26"/>
      <c r="E125" s="26" t="s">
        <v>50</v>
      </c>
      <c r="F125" s="26"/>
      <c r="G125" s="26"/>
      <c r="H125" s="26"/>
      <c r="I125" s="192" t="s">
        <v>548</v>
      </c>
      <c r="J125" s="204" t="s">
        <v>549</v>
      </c>
      <c r="K125" s="204" t="s">
        <v>550</v>
      </c>
      <c r="L125" s="189" t="s">
        <v>538</v>
      </c>
      <c r="M125" s="72" t="s">
        <v>551</v>
      </c>
      <c r="N125" s="72" t="s">
        <v>552</v>
      </c>
      <c r="O125" s="110" t="s">
        <v>541</v>
      </c>
      <c r="P125" s="12"/>
      <c r="Q125" s="12"/>
      <c r="R125" s="12" t="s">
        <v>542</v>
      </c>
      <c r="S125" s="12"/>
      <c r="T125" s="12"/>
      <c r="U125" s="12"/>
      <c r="V125" s="26"/>
      <c r="W125" s="26"/>
      <c r="X125" s="12"/>
      <c r="Y125" s="12"/>
      <c r="Z125" s="12"/>
    </row>
    <row r="126" spans="3:26" s="164" customFormat="1" ht="25.5" x14ac:dyDescent="0.25">
      <c r="C126" s="801"/>
      <c r="D126" s="801" t="s">
        <v>50</v>
      </c>
      <c r="E126" s="801"/>
      <c r="F126" s="801"/>
      <c r="G126" s="801"/>
      <c r="H126" s="801"/>
      <c r="I126" s="802" t="s">
        <v>553</v>
      </c>
      <c r="J126" s="803"/>
      <c r="K126" s="798" t="s">
        <v>212</v>
      </c>
      <c r="L126" s="798"/>
      <c r="M126" s="804"/>
      <c r="N126" s="805"/>
      <c r="O126" s="806"/>
      <c r="P126" s="806"/>
      <c r="Q126" s="806"/>
      <c r="R126" s="806"/>
      <c r="S126" s="806"/>
      <c r="T126" s="806"/>
      <c r="U126" s="806"/>
      <c r="V126" s="801"/>
      <c r="W126" s="801"/>
      <c r="X126" s="806"/>
      <c r="Y126" s="806"/>
      <c r="Z126" s="806"/>
    </row>
    <row r="127" spans="3:26" ht="105" x14ac:dyDescent="0.25">
      <c r="C127" s="26"/>
      <c r="D127" s="26"/>
      <c r="E127" s="26" t="s">
        <v>50</v>
      </c>
      <c r="F127" s="26"/>
      <c r="G127" s="26"/>
      <c r="H127" s="26"/>
      <c r="I127" s="338" t="s">
        <v>554</v>
      </c>
      <c r="J127" s="1137" t="s">
        <v>555</v>
      </c>
      <c r="K127" s="188" t="s">
        <v>556</v>
      </c>
      <c r="L127" s="188" t="s">
        <v>557</v>
      </c>
      <c r="M127" s="179" t="s">
        <v>465</v>
      </c>
      <c r="N127" s="179" t="s">
        <v>558</v>
      </c>
      <c r="O127" s="12" t="s">
        <v>559</v>
      </c>
      <c r="P127" s="12"/>
      <c r="Q127" s="12"/>
      <c r="R127" s="12" t="s">
        <v>560</v>
      </c>
      <c r="S127" s="12"/>
      <c r="T127" s="12"/>
      <c r="U127" s="12"/>
      <c r="V127" s="26"/>
      <c r="W127" s="26"/>
      <c r="X127" s="12"/>
      <c r="Y127" s="12"/>
      <c r="Z127" s="12"/>
    </row>
    <row r="128" spans="3:26" ht="99.75" customHeight="1" x14ac:dyDescent="0.25">
      <c r="C128" s="26"/>
      <c r="D128" s="26"/>
      <c r="E128" s="26" t="s">
        <v>50</v>
      </c>
      <c r="F128" s="26"/>
      <c r="G128" s="26"/>
      <c r="H128" s="26"/>
      <c r="I128" s="338" t="s">
        <v>561</v>
      </c>
      <c r="J128" s="1138"/>
      <c r="K128" s="188" t="s">
        <v>556</v>
      </c>
      <c r="L128" s="188" t="s">
        <v>557</v>
      </c>
      <c r="M128" s="179" t="s">
        <v>465</v>
      </c>
      <c r="N128" s="179" t="s">
        <v>558</v>
      </c>
      <c r="O128" s="12" t="s">
        <v>559</v>
      </c>
      <c r="P128" s="12"/>
      <c r="Q128" s="12"/>
      <c r="R128" s="12" t="s">
        <v>562</v>
      </c>
      <c r="S128" s="12"/>
      <c r="T128" s="12"/>
      <c r="U128" s="12"/>
      <c r="V128" s="26"/>
      <c r="W128" s="26"/>
      <c r="X128" s="12"/>
      <c r="Y128" s="12"/>
      <c r="Z128" s="12"/>
    </row>
    <row r="129" spans="3:26" s="164" customFormat="1" ht="25.5" x14ac:dyDescent="0.25">
      <c r="C129" s="801"/>
      <c r="D129" s="801" t="s">
        <v>50</v>
      </c>
      <c r="E129" s="801"/>
      <c r="F129" s="801"/>
      <c r="G129" s="801"/>
      <c r="H129" s="801"/>
      <c r="I129" s="802" t="s">
        <v>563</v>
      </c>
      <c r="J129" s="803"/>
      <c r="K129" s="798" t="s">
        <v>212</v>
      </c>
      <c r="L129" s="798"/>
      <c r="M129" s="804"/>
      <c r="N129" s="805"/>
      <c r="O129" s="806"/>
      <c r="P129" s="806"/>
      <c r="Q129" s="806"/>
      <c r="R129" s="806"/>
      <c r="S129" s="806"/>
      <c r="T129" s="806"/>
      <c r="U129" s="806"/>
      <c r="V129" s="801"/>
      <c r="W129" s="801"/>
      <c r="X129" s="806"/>
      <c r="Y129" s="806"/>
      <c r="Z129" s="806"/>
    </row>
    <row r="130" spans="3:26" ht="76.5" x14ac:dyDescent="0.25">
      <c r="C130" s="26"/>
      <c r="D130" s="26"/>
      <c r="E130" s="26" t="s">
        <v>50</v>
      </c>
      <c r="F130" s="26"/>
      <c r="G130" s="26"/>
      <c r="H130" s="26"/>
      <c r="I130" s="338" t="s">
        <v>564</v>
      </c>
      <c r="J130" s="472" t="s">
        <v>565</v>
      </c>
      <c r="K130" s="188" t="s">
        <v>566</v>
      </c>
      <c r="L130" s="188" t="s">
        <v>567</v>
      </c>
      <c r="M130" s="814" t="s">
        <v>358</v>
      </c>
      <c r="N130" s="72" t="s">
        <v>546</v>
      </c>
      <c r="O130" s="12" t="s">
        <v>568</v>
      </c>
      <c r="P130" s="12"/>
      <c r="Q130" s="12"/>
      <c r="R130" s="12" t="s">
        <v>569</v>
      </c>
      <c r="S130" s="12"/>
      <c r="T130" s="12"/>
      <c r="U130" s="12"/>
      <c r="V130" s="26"/>
      <c r="W130" s="26"/>
      <c r="X130" s="12"/>
      <c r="Y130" s="12"/>
      <c r="Z130" s="12"/>
    </row>
    <row r="131" spans="3:26" ht="135" x14ac:dyDescent="0.25">
      <c r="C131" s="26"/>
      <c r="D131" s="26"/>
      <c r="E131" s="26" t="s">
        <v>50</v>
      </c>
      <c r="F131" s="26"/>
      <c r="G131" s="26"/>
      <c r="H131" s="26"/>
      <c r="I131" s="338" t="s">
        <v>570</v>
      </c>
      <c r="J131" s="204" t="s">
        <v>571</v>
      </c>
      <c r="K131" s="188" t="s">
        <v>572</v>
      </c>
      <c r="L131" s="188" t="s">
        <v>573</v>
      </c>
      <c r="M131" s="72" t="s">
        <v>574</v>
      </c>
      <c r="N131" s="201" t="s">
        <v>575</v>
      </c>
      <c r="O131" s="12" t="s">
        <v>576</v>
      </c>
      <c r="P131" s="12"/>
      <c r="Q131" s="12"/>
      <c r="R131" s="12" t="s">
        <v>577</v>
      </c>
      <c r="S131" s="12"/>
      <c r="T131" s="12"/>
      <c r="U131" s="12"/>
      <c r="V131" s="26"/>
      <c r="W131" s="26"/>
      <c r="X131" s="12"/>
      <c r="Y131" s="12"/>
      <c r="Z131" s="12"/>
    </row>
    <row r="132" spans="3:26" ht="127.5" x14ac:dyDescent="0.25">
      <c r="C132" s="26"/>
      <c r="D132" s="26"/>
      <c r="E132" s="26" t="s">
        <v>50</v>
      </c>
      <c r="F132" s="26"/>
      <c r="G132" s="26"/>
      <c r="H132" s="26"/>
      <c r="I132" s="338" t="s">
        <v>578</v>
      </c>
      <c r="J132" s="472" t="s">
        <v>579</v>
      </c>
      <c r="K132" s="188" t="s">
        <v>580</v>
      </c>
      <c r="L132" s="188" t="s">
        <v>581</v>
      </c>
      <c r="M132" s="72" t="s">
        <v>582</v>
      </c>
      <c r="N132" s="201" t="s">
        <v>583</v>
      </c>
      <c r="O132" s="12" t="s">
        <v>576</v>
      </c>
      <c r="P132" s="12"/>
      <c r="Q132" s="12"/>
      <c r="R132" s="12" t="s">
        <v>584</v>
      </c>
      <c r="S132" s="12"/>
      <c r="T132" s="12"/>
      <c r="U132" s="12"/>
      <c r="V132" s="26"/>
      <c r="W132" s="26"/>
      <c r="X132" s="12"/>
      <c r="Y132" s="12"/>
      <c r="Z132" s="12"/>
    </row>
    <row r="133" spans="3:26" s="164" customFormat="1" x14ac:dyDescent="0.25">
      <c r="C133" s="801"/>
      <c r="D133" s="801" t="s">
        <v>50</v>
      </c>
      <c r="E133" s="801"/>
      <c r="F133" s="801"/>
      <c r="G133" s="801"/>
      <c r="H133" s="801"/>
      <c r="I133" s="802" t="s">
        <v>585</v>
      </c>
      <c r="J133" s="803"/>
      <c r="K133" s="798" t="s">
        <v>212</v>
      </c>
      <c r="L133" s="798"/>
      <c r="M133" s="804"/>
      <c r="N133" s="805"/>
      <c r="O133" s="806"/>
      <c r="P133" s="806"/>
      <c r="Q133" s="806"/>
      <c r="R133" s="806"/>
      <c r="S133" s="806"/>
      <c r="T133" s="806"/>
      <c r="U133" s="806"/>
      <c r="V133" s="801"/>
      <c r="W133" s="801"/>
      <c r="X133" s="806"/>
      <c r="Y133" s="806"/>
      <c r="Z133" s="806"/>
    </row>
    <row r="134" spans="3:26" ht="57.75" x14ac:dyDescent="0.25">
      <c r="C134" s="26"/>
      <c r="D134" s="26"/>
      <c r="E134" s="26" t="s">
        <v>50</v>
      </c>
      <c r="F134" s="26"/>
      <c r="G134" s="26"/>
      <c r="H134" s="26"/>
      <c r="I134" s="815" t="s">
        <v>586</v>
      </c>
      <c r="J134" s="472" t="s">
        <v>587</v>
      </c>
      <c r="K134" s="188"/>
      <c r="L134" s="188" t="s">
        <v>588</v>
      </c>
      <c r="M134" s="813" t="s">
        <v>358</v>
      </c>
      <c r="N134" s="72" t="s">
        <v>546</v>
      </c>
      <c r="O134" s="12"/>
      <c r="P134" s="12"/>
      <c r="Q134" s="12"/>
      <c r="R134" s="12"/>
      <c r="S134" s="12"/>
      <c r="T134" s="12"/>
      <c r="U134" s="12"/>
      <c r="V134" s="26"/>
      <c r="W134" s="26"/>
      <c r="X134" s="12"/>
      <c r="Y134" s="12"/>
      <c r="Z134" s="12"/>
    </row>
    <row r="135" spans="3:26" ht="195" x14ac:dyDescent="0.25">
      <c r="C135" s="26"/>
      <c r="D135" s="26"/>
      <c r="E135" s="26" t="s">
        <v>50</v>
      </c>
      <c r="F135" s="26"/>
      <c r="G135" s="26"/>
      <c r="H135" s="26"/>
      <c r="I135" s="338" t="s">
        <v>589</v>
      </c>
      <c r="J135" s="204" t="s">
        <v>590</v>
      </c>
      <c r="K135" s="188" t="s">
        <v>591</v>
      </c>
      <c r="L135" s="188" t="s">
        <v>592</v>
      </c>
      <c r="M135" s="98" t="s">
        <v>593</v>
      </c>
      <c r="N135" s="72" t="s">
        <v>594</v>
      </c>
      <c r="O135" s="12" t="s">
        <v>595</v>
      </c>
      <c r="P135" s="12"/>
      <c r="Q135" s="12"/>
      <c r="R135" s="12" t="s">
        <v>596</v>
      </c>
      <c r="S135" s="12"/>
      <c r="T135" s="12"/>
      <c r="U135" s="12"/>
      <c r="V135" s="26"/>
      <c r="W135" s="26"/>
      <c r="X135" s="12"/>
      <c r="Y135" s="12"/>
      <c r="Z135" s="12"/>
    </row>
    <row r="136" spans="3:26" ht="89.25" x14ac:dyDescent="0.25">
      <c r="C136" s="26"/>
      <c r="D136" s="26"/>
      <c r="E136" s="26" t="s">
        <v>50</v>
      </c>
      <c r="F136" s="26"/>
      <c r="G136" s="26"/>
      <c r="H136" s="26"/>
      <c r="I136" s="192" t="s">
        <v>597</v>
      </c>
      <c r="J136" s="204" t="s">
        <v>598</v>
      </c>
      <c r="K136" s="26" t="s">
        <v>599</v>
      </c>
      <c r="L136" s="188" t="s">
        <v>600</v>
      </c>
      <c r="M136" s="98" t="s">
        <v>601</v>
      </c>
      <c r="N136" s="72" t="s">
        <v>602</v>
      </c>
      <c r="O136" s="12" t="s">
        <v>576</v>
      </c>
      <c r="P136" s="12"/>
      <c r="Q136" s="12"/>
      <c r="R136" s="12" t="s">
        <v>603</v>
      </c>
      <c r="S136" s="12"/>
      <c r="T136" s="12"/>
      <c r="U136" s="12"/>
      <c r="V136" s="26"/>
      <c r="W136" s="26"/>
      <c r="X136" s="12"/>
      <c r="Y136" s="12"/>
      <c r="Z136" s="12"/>
    </row>
    <row r="137" spans="3:26" ht="38.25" x14ac:dyDescent="0.25">
      <c r="C137" s="26" t="s">
        <v>50</v>
      </c>
      <c r="D137" s="26"/>
      <c r="E137" s="26"/>
      <c r="F137" s="26"/>
      <c r="G137" s="26"/>
      <c r="H137" s="26"/>
      <c r="I137" s="194" t="s">
        <v>604</v>
      </c>
      <c r="J137" s="472" t="s">
        <v>605</v>
      </c>
      <c r="K137" s="188" t="s">
        <v>212</v>
      </c>
      <c r="L137" s="188" t="s">
        <v>606</v>
      </c>
      <c r="M137" s="811" t="s">
        <v>607</v>
      </c>
      <c r="N137" s="72" t="s">
        <v>608</v>
      </c>
      <c r="O137" s="12"/>
      <c r="P137" s="12"/>
      <c r="Q137" s="12"/>
      <c r="R137" s="12"/>
      <c r="S137" s="12"/>
      <c r="T137" s="12"/>
      <c r="U137" s="12"/>
      <c r="V137" s="26"/>
      <c r="W137" s="26"/>
      <c r="X137" s="12"/>
      <c r="Y137" s="12"/>
      <c r="Z137" s="12"/>
    </row>
    <row r="138" spans="3:26" s="164" customFormat="1" x14ac:dyDescent="0.25">
      <c r="C138" s="801"/>
      <c r="D138" s="801" t="s">
        <v>50</v>
      </c>
      <c r="E138" s="801"/>
      <c r="F138" s="801"/>
      <c r="G138" s="801"/>
      <c r="H138" s="801"/>
      <c r="I138" s="802" t="s">
        <v>609</v>
      </c>
      <c r="J138" s="803"/>
      <c r="K138" s="798" t="s">
        <v>212</v>
      </c>
      <c r="L138" s="798"/>
      <c r="M138" s="804"/>
      <c r="N138" s="805"/>
      <c r="O138" s="806"/>
      <c r="P138" s="806"/>
      <c r="Q138" s="806"/>
      <c r="R138" s="806"/>
      <c r="S138" s="806"/>
      <c r="T138" s="806"/>
      <c r="U138" s="806"/>
      <c r="V138" s="801"/>
      <c r="W138" s="801"/>
      <c r="X138" s="806"/>
      <c r="Y138" s="806"/>
      <c r="Z138" s="806"/>
    </row>
    <row r="139" spans="3:26" ht="38.25" x14ac:dyDescent="0.25">
      <c r="C139" s="26"/>
      <c r="D139" s="26"/>
      <c r="E139" s="26" t="s">
        <v>50</v>
      </c>
      <c r="F139" s="26"/>
      <c r="G139" s="26"/>
      <c r="H139" s="26"/>
      <c r="I139" s="815" t="s">
        <v>610</v>
      </c>
      <c r="J139" s="472" t="s">
        <v>611</v>
      </c>
      <c r="K139" s="188"/>
      <c r="L139" s="188" t="s">
        <v>606</v>
      </c>
      <c r="M139" s="811" t="s">
        <v>607</v>
      </c>
      <c r="N139" s="72" t="s">
        <v>608</v>
      </c>
      <c r="O139" s="12"/>
      <c r="P139" s="12"/>
      <c r="Q139" s="12"/>
      <c r="R139" s="12"/>
      <c r="S139" s="12"/>
      <c r="T139" s="12"/>
      <c r="U139" s="12"/>
      <c r="V139" s="26"/>
      <c r="W139" s="26"/>
      <c r="X139" s="12"/>
      <c r="Y139" s="12"/>
      <c r="Z139" s="12"/>
    </row>
    <row r="140" spans="3:26" s="164" customFormat="1" ht="15.75" customHeight="1" x14ac:dyDescent="0.25">
      <c r="C140" s="801"/>
      <c r="D140" s="801" t="s">
        <v>50</v>
      </c>
      <c r="E140" s="801"/>
      <c r="F140" s="801"/>
      <c r="G140" s="801"/>
      <c r="H140" s="801"/>
      <c r="I140" s="802" t="s">
        <v>612</v>
      </c>
      <c r="J140" s="803"/>
      <c r="K140" s="798" t="s">
        <v>212</v>
      </c>
      <c r="L140" s="798"/>
      <c r="M140" s="804"/>
      <c r="N140" s="805"/>
      <c r="O140" s="806"/>
      <c r="P140" s="806"/>
      <c r="Q140" s="806"/>
      <c r="R140" s="806"/>
      <c r="S140" s="806"/>
      <c r="T140" s="806"/>
      <c r="U140" s="806"/>
      <c r="V140" s="801"/>
      <c r="W140" s="801"/>
      <c r="X140" s="806"/>
      <c r="Y140" s="806"/>
      <c r="Z140" s="806"/>
    </row>
    <row r="141" spans="3:26" ht="180" x14ac:dyDescent="0.25">
      <c r="C141" s="26"/>
      <c r="D141" s="26"/>
      <c r="E141" s="26" t="s">
        <v>50</v>
      </c>
      <c r="F141" s="26"/>
      <c r="G141" s="26"/>
      <c r="H141" s="26"/>
      <c r="I141" s="338" t="s">
        <v>613</v>
      </c>
      <c r="J141" s="204" t="s">
        <v>614</v>
      </c>
      <c r="K141" s="26" t="s">
        <v>615</v>
      </c>
      <c r="L141" s="188" t="s">
        <v>616</v>
      </c>
      <c r="M141" s="128" t="s">
        <v>617</v>
      </c>
      <c r="N141" s="72" t="s">
        <v>618</v>
      </c>
      <c r="O141" s="12" t="s">
        <v>619</v>
      </c>
      <c r="P141" s="12"/>
      <c r="Q141" s="12"/>
      <c r="R141" s="12" t="s">
        <v>620</v>
      </c>
      <c r="S141" s="12"/>
      <c r="T141" s="12"/>
      <c r="U141" s="12"/>
      <c r="V141" s="26"/>
      <c r="W141" s="26"/>
      <c r="X141" s="12"/>
      <c r="Y141" s="12"/>
      <c r="Z141" s="12"/>
    </row>
    <row r="142" spans="3:26" ht="90" x14ac:dyDescent="0.25">
      <c r="C142" s="26"/>
      <c r="D142" s="26"/>
      <c r="E142" s="26" t="s">
        <v>50</v>
      </c>
      <c r="F142" s="26"/>
      <c r="G142" s="26"/>
      <c r="H142" s="26"/>
      <c r="I142" s="338" t="s">
        <v>621</v>
      </c>
      <c r="J142" s="204" t="s">
        <v>622</v>
      </c>
      <c r="K142" s="188" t="s">
        <v>623</v>
      </c>
      <c r="L142" s="188" t="s">
        <v>624</v>
      </c>
      <c r="M142" s="813" t="s">
        <v>358</v>
      </c>
      <c r="N142" s="72" t="s">
        <v>546</v>
      </c>
      <c r="O142" s="12" t="s">
        <v>625</v>
      </c>
      <c r="P142" s="12"/>
      <c r="Q142" s="12"/>
      <c r="R142" s="12" t="s">
        <v>626</v>
      </c>
      <c r="S142" s="12"/>
      <c r="T142" s="12"/>
      <c r="U142" s="12"/>
      <c r="V142" s="26"/>
      <c r="W142" s="26"/>
      <c r="X142" s="12"/>
      <c r="Y142" s="12"/>
      <c r="Z142" s="12"/>
    </row>
    <row r="143" spans="3:26" ht="75" x14ac:dyDescent="0.25">
      <c r="C143" s="26"/>
      <c r="D143" s="26"/>
      <c r="E143" s="26" t="s">
        <v>50</v>
      </c>
      <c r="F143" s="26"/>
      <c r="G143" s="26"/>
      <c r="H143" s="26"/>
      <c r="I143" s="338" t="s">
        <v>627</v>
      </c>
      <c r="J143" s="472" t="s">
        <v>628</v>
      </c>
      <c r="K143" s="188" t="s">
        <v>629</v>
      </c>
      <c r="L143" s="188" t="s">
        <v>624</v>
      </c>
      <c r="M143" s="813" t="s">
        <v>358</v>
      </c>
      <c r="N143" s="72" t="s">
        <v>546</v>
      </c>
      <c r="O143" s="12" t="s">
        <v>625</v>
      </c>
      <c r="P143" s="12"/>
      <c r="Q143" s="12"/>
      <c r="R143" s="12" t="s">
        <v>630</v>
      </c>
      <c r="S143" s="12"/>
      <c r="T143" s="12"/>
      <c r="U143" s="12"/>
      <c r="V143" s="26"/>
      <c r="W143" s="26"/>
      <c r="X143" s="12"/>
      <c r="Y143" s="12"/>
      <c r="Z143" s="12"/>
    </row>
    <row r="144" spans="3:26" ht="30" x14ac:dyDescent="0.25">
      <c r="C144" s="26" t="s">
        <v>50</v>
      </c>
      <c r="D144" s="26"/>
      <c r="E144" s="26"/>
      <c r="F144" s="26"/>
      <c r="G144" s="26"/>
      <c r="H144" s="26"/>
      <c r="I144" s="194" t="s">
        <v>631</v>
      </c>
      <c r="J144" s="472" t="s">
        <v>632</v>
      </c>
      <c r="K144" s="188" t="s">
        <v>212</v>
      </c>
      <c r="L144" s="26" t="s">
        <v>633</v>
      </c>
      <c r="M144" s="813" t="s">
        <v>358</v>
      </c>
      <c r="N144" s="72" t="s">
        <v>546</v>
      </c>
      <c r="O144" s="12"/>
      <c r="P144" s="12"/>
      <c r="Q144" s="12"/>
      <c r="R144" s="12"/>
      <c r="S144" s="12"/>
      <c r="T144" s="12"/>
      <c r="U144" s="12"/>
      <c r="V144" s="26"/>
      <c r="W144" s="26"/>
      <c r="X144" s="12"/>
      <c r="Y144" s="12"/>
      <c r="Z144" s="12"/>
    </row>
    <row r="145" spans="3:26" x14ac:dyDescent="0.25">
      <c r="C145" s="26"/>
      <c r="D145" s="26" t="s">
        <v>50</v>
      </c>
      <c r="E145" s="26"/>
      <c r="F145" s="26"/>
      <c r="G145" s="26"/>
      <c r="H145" s="26"/>
      <c r="I145" s="802" t="s">
        <v>634</v>
      </c>
      <c r="J145" s="472"/>
      <c r="K145" s="188" t="s">
        <v>212</v>
      </c>
      <c r="L145" s="188"/>
      <c r="M145" s="813" t="s">
        <v>358</v>
      </c>
      <c r="N145" s="72"/>
      <c r="O145" s="12"/>
      <c r="P145" s="12"/>
      <c r="Q145" s="12"/>
      <c r="R145" s="12"/>
      <c r="S145" s="12"/>
      <c r="T145" s="12"/>
      <c r="U145" s="12"/>
      <c r="V145" s="26"/>
      <c r="W145" s="26"/>
      <c r="X145" s="12"/>
      <c r="Y145" s="12"/>
      <c r="Z145" s="12"/>
    </row>
    <row r="146" spans="3:26" ht="225" x14ac:dyDescent="0.25">
      <c r="C146" s="26"/>
      <c r="D146" s="26"/>
      <c r="E146" s="26" t="s">
        <v>50</v>
      </c>
      <c r="F146" s="26"/>
      <c r="G146" s="26"/>
      <c r="H146" s="26"/>
      <c r="I146" s="192" t="s">
        <v>635</v>
      </c>
      <c r="J146" s="204" t="s">
        <v>636</v>
      </c>
      <c r="K146" s="26" t="s">
        <v>637</v>
      </c>
      <c r="L146" s="189" t="s">
        <v>638</v>
      </c>
      <c r="M146" s="813" t="s">
        <v>358</v>
      </c>
      <c r="N146" s="72" t="s">
        <v>546</v>
      </c>
      <c r="O146" s="816" t="s">
        <v>639</v>
      </c>
      <c r="P146" s="12"/>
      <c r="Q146" s="12"/>
      <c r="R146" s="12" t="s">
        <v>640</v>
      </c>
      <c r="S146" s="12"/>
      <c r="T146" s="12"/>
      <c r="U146" s="12"/>
      <c r="V146" s="26"/>
      <c r="W146" s="26"/>
      <c r="X146" s="12"/>
      <c r="Y146" s="12"/>
      <c r="Z146" s="12"/>
    </row>
    <row r="147" spans="3:26" ht="102" x14ac:dyDescent="0.25">
      <c r="C147" s="26"/>
      <c r="D147" s="26"/>
      <c r="E147" s="26" t="s">
        <v>50</v>
      </c>
      <c r="F147" s="26"/>
      <c r="G147" s="26"/>
      <c r="H147" s="26"/>
      <c r="I147" s="192" t="s">
        <v>641</v>
      </c>
      <c r="J147" s="204" t="s">
        <v>642</v>
      </c>
      <c r="K147" s="188" t="s">
        <v>643</v>
      </c>
      <c r="L147" s="188" t="s">
        <v>644</v>
      </c>
      <c r="M147" s="128" t="s">
        <v>214</v>
      </c>
      <c r="N147" s="72" t="s">
        <v>438</v>
      </c>
      <c r="O147" s="307" t="s">
        <v>645</v>
      </c>
      <c r="P147" s="12"/>
      <c r="Q147" s="12"/>
      <c r="R147" s="12" t="s">
        <v>646</v>
      </c>
      <c r="S147" s="12"/>
      <c r="T147" s="12"/>
      <c r="U147" s="12"/>
      <c r="V147" s="26"/>
      <c r="W147" s="26"/>
      <c r="X147" s="12"/>
      <c r="Y147" s="12"/>
      <c r="Z147" s="12"/>
    </row>
    <row r="148" spans="3:26" x14ac:dyDescent="0.25">
      <c r="C148" s="26"/>
      <c r="D148" s="26" t="s">
        <v>50</v>
      </c>
      <c r="E148" s="26"/>
      <c r="F148" s="26"/>
      <c r="G148" s="26"/>
      <c r="H148" s="26"/>
      <c r="I148" s="802" t="s">
        <v>647</v>
      </c>
      <c r="J148" s="472"/>
      <c r="K148" s="188" t="s">
        <v>212</v>
      </c>
      <c r="L148" s="188"/>
      <c r="M148" s="128"/>
      <c r="N148" s="72"/>
      <c r="O148" s="12"/>
      <c r="P148" s="12"/>
      <c r="Q148" s="12"/>
      <c r="R148" s="12"/>
      <c r="S148" s="12"/>
      <c r="T148" s="12"/>
      <c r="U148" s="12"/>
      <c r="V148" s="26"/>
      <c r="W148" s="26"/>
      <c r="X148" s="12"/>
      <c r="Y148" s="12"/>
      <c r="Z148" s="12"/>
    </row>
    <row r="149" spans="3:26" ht="195" x14ac:dyDescent="0.25">
      <c r="C149" s="26"/>
      <c r="D149" s="26"/>
      <c r="E149" s="26" t="s">
        <v>50</v>
      </c>
      <c r="F149" s="26"/>
      <c r="G149" s="26"/>
      <c r="H149" s="26"/>
      <c r="I149" s="339" t="s">
        <v>648</v>
      </c>
      <c r="J149" s="204" t="s">
        <v>649</v>
      </c>
      <c r="K149" s="26" t="s">
        <v>650</v>
      </c>
      <c r="L149" s="188" t="s">
        <v>651</v>
      </c>
      <c r="M149" s="72" t="s">
        <v>652</v>
      </c>
      <c r="N149" s="72" t="s">
        <v>653</v>
      </c>
      <c r="O149" s="816" t="s">
        <v>639</v>
      </c>
      <c r="P149" s="12"/>
      <c r="Q149" s="12"/>
      <c r="R149" s="12" t="s">
        <v>654</v>
      </c>
      <c r="S149" s="12"/>
      <c r="T149" s="12"/>
      <c r="U149" s="12"/>
      <c r="V149" s="26"/>
      <c r="W149" s="26"/>
      <c r="X149" s="12"/>
      <c r="Y149" s="12"/>
      <c r="Z149" s="12"/>
    </row>
    <row r="150" spans="3:26" s="75" customFormat="1" ht="51" x14ac:dyDescent="0.25">
      <c r="C150" s="78"/>
      <c r="D150" s="78"/>
      <c r="E150" s="78" t="s">
        <v>50</v>
      </c>
      <c r="F150" s="78"/>
      <c r="G150" s="78"/>
      <c r="H150" s="78"/>
      <c r="I150" s="793" t="s">
        <v>655</v>
      </c>
      <c r="J150" s="137" t="s">
        <v>656</v>
      </c>
      <c r="K150" s="78"/>
      <c r="L150" s="78"/>
      <c r="M150" s="128"/>
      <c r="N150" s="72"/>
      <c r="O150" s="76"/>
      <c r="P150" s="76"/>
      <c r="Q150" s="76"/>
      <c r="R150" s="76"/>
      <c r="S150" s="76"/>
      <c r="T150" s="76"/>
      <c r="U150" s="76"/>
      <c r="V150" s="78"/>
      <c r="W150" s="78"/>
      <c r="X150" s="76"/>
      <c r="Y150" s="76"/>
      <c r="Z150" s="76"/>
    </row>
    <row r="151" spans="3:26" ht="90" x14ac:dyDescent="0.25">
      <c r="C151" s="26"/>
      <c r="D151" s="26"/>
      <c r="E151" s="26" t="s">
        <v>50</v>
      </c>
      <c r="F151" s="26"/>
      <c r="G151" s="26"/>
      <c r="H151" s="26"/>
      <c r="I151" s="338" t="s">
        <v>657</v>
      </c>
      <c r="J151" s="204" t="s">
        <v>658</v>
      </c>
      <c r="K151" s="26" t="s">
        <v>659</v>
      </c>
      <c r="L151" s="188" t="s">
        <v>660</v>
      </c>
      <c r="M151" s="72" t="s">
        <v>661</v>
      </c>
      <c r="N151" s="72" t="s">
        <v>662</v>
      </c>
      <c r="O151" s="12"/>
      <c r="P151" s="12"/>
      <c r="Q151" s="12"/>
      <c r="R151" s="12" t="s">
        <v>663</v>
      </c>
      <c r="S151" s="12"/>
      <c r="T151" s="12"/>
      <c r="U151" s="12"/>
      <c r="V151" s="26"/>
      <c r="W151" s="26"/>
      <c r="X151" s="12"/>
      <c r="Y151" s="12"/>
      <c r="Z151" s="12"/>
    </row>
    <row r="152" spans="3:26" s="164" customFormat="1" x14ac:dyDescent="0.25">
      <c r="C152" s="801"/>
      <c r="D152" s="801" t="s">
        <v>50</v>
      </c>
      <c r="E152" s="801"/>
      <c r="F152" s="801"/>
      <c r="G152" s="801"/>
      <c r="H152" s="801"/>
      <c r="I152" s="802" t="s">
        <v>664</v>
      </c>
      <c r="J152" s="803"/>
      <c r="K152" s="798" t="s">
        <v>212</v>
      </c>
      <c r="L152" s="798"/>
      <c r="M152" s="804"/>
      <c r="N152" s="805"/>
      <c r="O152" s="806"/>
      <c r="P152" s="806"/>
      <c r="Q152" s="806"/>
      <c r="R152" s="806"/>
      <c r="S152" s="806"/>
      <c r="T152" s="806"/>
      <c r="U152" s="806"/>
      <c r="V152" s="801"/>
      <c r="W152" s="801"/>
      <c r="X152" s="806"/>
      <c r="Y152" s="806"/>
      <c r="Z152" s="806"/>
    </row>
    <row r="153" spans="3:26" ht="135" x14ac:dyDescent="0.25">
      <c r="C153" s="26"/>
      <c r="D153" s="26"/>
      <c r="E153" s="26" t="s">
        <v>50</v>
      </c>
      <c r="F153" s="26"/>
      <c r="G153" s="26"/>
      <c r="H153" s="26"/>
      <c r="I153" s="192" t="s">
        <v>665</v>
      </c>
      <c r="J153" s="204" t="s">
        <v>666</v>
      </c>
      <c r="K153" s="713" t="str">
        <f>HYPERLINK("https://synology.bildungscampus-backnang.de:50823/drive/oo/r/p6baQwu1XCFuarcd9Z2zbi18qxksdUsS", "Vorschlag Patrick zur Eingliederungsbefragung")</f>
        <v>Vorschlag Patrick zur Eingliederungsbefragung</v>
      </c>
      <c r="L153" s="188" t="s">
        <v>667</v>
      </c>
      <c r="M153" s="72" t="s">
        <v>652</v>
      </c>
      <c r="N153" s="72" t="s">
        <v>668</v>
      </c>
      <c r="O153" s="307" t="s">
        <v>669</v>
      </c>
      <c r="P153" s="12"/>
      <c r="Q153" s="812" t="str">
        <f>HYPERLINK("https://synology.bildungscampus-backnang.de:50823/drive/oo/r/p6baQwu1XCFuarcd9Z2zbi18qxksdUsS", "Vorschlag Patrick zur Integrationsbefragung")</f>
        <v>Vorschlag Patrick zur Integrationsbefragung</v>
      </c>
      <c r="R153" s="12" t="s">
        <v>670</v>
      </c>
      <c r="S153" s="12"/>
      <c r="T153" s="12"/>
      <c r="U153" s="12"/>
      <c r="V153" s="26"/>
      <c r="W153" s="26"/>
      <c r="X153" s="12"/>
      <c r="Y153" s="12"/>
      <c r="Z153" s="12"/>
    </row>
    <row r="154" spans="3:26" ht="135" x14ac:dyDescent="0.25">
      <c r="C154" s="26"/>
      <c r="D154" s="26"/>
      <c r="E154" s="26" t="s">
        <v>50</v>
      </c>
      <c r="F154" s="26"/>
      <c r="G154" s="26"/>
      <c r="H154" s="26"/>
      <c r="I154" s="192" t="s">
        <v>671</v>
      </c>
      <c r="J154" s="204" t="s">
        <v>672</v>
      </c>
      <c r="K154" s="26" t="s">
        <v>673</v>
      </c>
      <c r="L154" s="188" t="s">
        <v>674</v>
      </c>
      <c r="M154" s="72" t="s">
        <v>652</v>
      </c>
      <c r="N154" s="72" t="s">
        <v>668</v>
      </c>
      <c r="O154" s="307" t="s">
        <v>669</v>
      </c>
      <c r="P154" s="12"/>
      <c r="Q154" s="12"/>
      <c r="R154" s="12" t="s">
        <v>675</v>
      </c>
      <c r="S154" s="12"/>
      <c r="T154" s="12"/>
      <c r="U154" s="12"/>
      <c r="V154" s="26"/>
      <c r="W154" s="26"/>
      <c r="X154" s="12"/>
      <c r="Y154" s="12"/>
      <c r="Z154" s="12"/>
    </row>
    <row r="155" spans="3:26" ht="51" x14ac:dyDescent="0.25">
      <c r="C155" s="26"/>
      <c r="D155" s="26"/>
      <c r="E155" s="26" t="s">
        <v>50</v>
      </c>
      <c r="F155" s="26"/>
      <c r="G155" s="26"/>
      <c r="H155" s="26"/>
      <c r="I155" s="815" t="s">
        <v>676</v>
      </c>
      <c r="J155" s="472" t="s">
        <v>677</v>
      </c>
      <c r="K155" s="188"/>
      <c r="L155" s="188"/>
      <c r="M155" s="128"/>
      <c r="N155" s="72"/>
      <c r="O155" s="12"/>
      <c r="P155" s="12"/>
      <c r="Q155" s="12"/>
      <c r="R155" s="12"/>
      <c r="S155" s="12"/>
      <c r="T155" s="12"/>
      <c r="U155" s="12"/>
      <c r="V155" s="26"/>
      <c r="W155" s="26"/>
      <c r="X155" s="12"/>
      <c r="Y155" s="12"/>
      <c r="Z155" s="12"/>
    </row>
    <row r="156" spans="3:26" ht="38.25" x14ac:dyDescent="0.25">
      <c r="C156" s="26" t="s">
        <v>50</v>
      </c>
      <c r="D156" s="26"/>
      <c r="E156" s="26"/>
      <c r="F156" s="26"/>
      <c r="G156" s="26"/>
      <c r="H156" s="26"/>
      <c r="I156" s="194" t="s">
        <v>678</v>
      </c>
      <c r="J156" s="472" t="s">
        <v>679</v>
      </c>
      <c r="K156" s="188" t="s">
        <v>212</v>
      </c>
      <c r="L156" s="188"/>
      <c r="M156" s="128"/>
      <c r="N156" s="72"/>
      <c r="O156" s="12"/>
      <c r="P156" s="12"/>
      <c r="Q156" s="12"/>
      <c r="R156" s="12"/>
      <c r="S156" s="12"/>
      <c r="T156" s="12"/>
      <c r="U156" s="12"/>
      <c r="V156" s="26"/>
      <c r="W156" s="26"/>
      <c r="X156" s="12"/>
      <c r="Y156" s="12"/>
      <c r="Z156" s="12"/>
    </row>
    <row r="157" spans="3:26" s="164" customFormat="1" x14ac:dyDescent="0.25">
      <c r="C157" s="801"/>
      <c r="D157" s="801" t="s">
        <v>50</v>
      </c>
      <c r="E157" s="801"/>
      <c r="F157" s="801"/>
      <c r="G157" s="801"/>
      <c r="H157" s="801"/>
      <c r="I157" s="802" t="s">
        <v>680</v>
      </c>
      <c r="J157" s="803"/>
      <c r="K157" s="798" t="s">
        <v>212</v>
      </c>
      <c r="L157" s="798"/>
      <c r="M157" s="804"/>
      <c r="N157" s="805"/>
      <c r="O157" s="806"/>
      <c r="P157" s="806"/>
      <c r="Q157" s="806"/>
      <c r="R157" s="806"/>
      <c r="S157" s="806"/>
      <c r="T157" s="806"/>
      <c r="U157" s="806"/>
      <c r="V157" s="801"/>
      <c r="W157" s="801"/>
      <c r="X157" s="806"/>
      <c r="Y157" s="806"/>
      <c r="Z157" s="806"/>
    </row>
    <row r="158" spans="3:26" ht="89.25" x14ac:dyDescent="0.25">
      <c r="C158" s="26"/>
      <c r="D158" s="26"/>
      <c r="E158" s="26" t="s">
        <v>50</v>
      </c>
      <c r="F158" s="26"/>
      <c r="G158" s="26"/>
      <c r="H158" s="26"/>
      <c r="I158" s="192" t="s">
        <v>681</v>
      </c>
      <c r="J158" s="204" t="s">
        <v>682</v>
      </c>
      <c r="K158" s="188" t="s">
        <v>683</v>
      </c>
      <c r="L158" s="188" t="s">
        <v>684</v>
      </c>
      <c r="M158" s="128" t="s">
        <v>685</v>
      </c>
      <c r="N158" s="72" t="s">
        <v>686</v>
      </c>
      <c r="O158" s="12" t="s">
        <v>687</v>
      </c>
      <c r="P158" s="12"/>
      <c r="Q158" s="12"/>
      <c r="R158" s="12" t="s">
        <v>688</v>
      </c>
      <c r="S158" s="12"/>
      <c r="T158" s="12"/>
      <c r="U158" s="12"/>
      <c r="V158" s="26"/>
      <c r="W158" s="26"/>
      <c r="X158" s="12"/>
      <c r="Y158" s="12"/>
      <c r="Z158" s="12"/>
    </row>
    <row r="159" spans="3:26" ht="90" x14ac:dyDescent="0.25">
      <c r="C159" s="26"/>
      <c r="D159" s="26"/>
      <c r="E159" s="26" t="s">
        <v>50</v>
      </c>
      <c r="F159" s="26"/>
      <c r="G159" s="26"/>
      <c r="H159" s="26"/>
      <c r="I159" s="192" t="s">
        <v>689</v>
      </c>
      <c r="J159" s="204" t="s">
        <v>690</v>
      </c>
      <c r="K159" s="188" t="s">
        <v>683</v>
      </c>
      <c r="L159" s="188" t="s">
        <v>691</v>
      </c>
      <c r="M159" s="128" t="s">
        <v>692</v>
      </c>
      <c r="N159" s="201" t="s">
        <v>693</v>
      </c>
      <c r="O159" s="12" t="s">
        <v>694</v>
      </c>
      <c r="P159" s="12"/>
      <c r="Q159" s="12"/>
      <c r="R159" s="12" t="s">
        <v>695</v>
      </c>
      <c r="S159" s="12"/>
      <c r="T159" s="12"/>
      <c r="U159" s="12"/>
      <c r="V159" s="26"/>
      <c r="W159" s="26"/>
      <c r="X159" s="12"/>
      <c r="Y159" s="12"/>
      <c r="Z159" s="12"/>
    </row>
    <row r="160" spans="3:26" ht="135" x14ac:dyDescent="0.25">
      <c r="C160" s="26"/>
      <c r="D160" s="26"/>
      <c r="E160" s="26" t="s">
        <v>50</v>
      </c>
      <c r="F160" s="26"/>
      <c r="G160" s="26"/>
      <c r="H160" s="26"/>
      <c r="I160" s="338" t="s">
        <v>696</v>
      </c>
      <c r="J160" s="204" t="s">
        <v>697</v>
      </c>
      <c r="K160" s="26" t="s">
        <v>698</v>
      </c>
      <c r="L160" s="26" t="s">
        <v>699</v>
      </c>
      <c r="M160" s="128" t="s">
        <v>358</v>
      </c>
      <c r="N160" s="72" t="s">
        <v>608</v>
      </c>
      <c r="O160" s="12"/>
      <c r="P160" s="12"/>
      <c r="Q160" s="12"/>
      <c r="R160" s="12" t="s">
        <v>700</v>
      </c>
      <c r="S160" s="12"/>
      <c r="T160" s="12"/>
      <c r="U160" s="12"/>
      <c r="V160" s="26"/>
      <c r="W160" s="26"/>
      <c r="X160" s="12"/>
      <c r="Y160" s="12"/>
      <c r="Z160" s="12"/>
    </row>
    <row r="161" spans="3:26" s="164" customFormat="1" x14ac:dyDescent="0.25">
      <c r="C161" s="801"/>
      <c r="D161" s="801" t="s">
        <v>50</v>
      </c>
      <c r="E161" s="801"/>
      <c r="F161" s="801"/>
      <c r="G161" s="801"/>
      <c r="H161" s="801"/>
      <c r="I161" s="802" t="s">
        <v>701</v>
      </c>
      <c r="J161" s="803"/>
      <c r="K161" s="798" t="s">
        <v>212</v>
      </c>
      <c r="L161" s="798"/>
      <c r="M161" s="804"/>
      <c r="N161" s="805"/>
      <c r="O161" s="806"/>
      <c r="P161" s="806"/>
      <c r="Q161" s="806"/>
      <c r="R161" s="806"/>
      <c r="S161" s="806"/>
      <c r="T161" s="806"/>
      <c r="U161" s="806"/>
      <c r="V161" s="801"/>
      <c r="W161" s="801"/>
      <c r="X161" s="806"/>
      <c r="Y161" s="806"/>
      <c r="Z161" s="806"/>
    </row>
    <row r="162" spans="3:26" ht="120" x14ac:dyDescent="0.25">
      <c r="C162" s="26"/>
      <c r="D162" s="26"/>
      <c r="E162" s="26" t="s">
        <v>50</v>
      </c>
      <c r="F162" s="26"/>
      <c r="G162" s="26"/>
      <c r="H162" s="26"/>
      <c r="I162" s="192" t="s">
        <v>702</v>
      </c>
      <c r="J162" s="472" t="s">
        <v>703</v>
      </c>
      <c r="K162" s="188" t="s">
        <v>704</v>
      </c>
      <c r="L162" s="188" t="s">
        <v>705</v>
      </c>
      <c r="M162" s="72" t="s">
        <v>706</v>
      </c>
      <c r="N162" s="72" t="s">
        <v>707</v>
      </c>
      <c r="O162" s="12" t="s">
        <v>708</v>
      </c>
      <c r="P162" s="12"/>
      <c r="Q162" s="12"/>
      <c r="R162" s="12" t="s">
        <v>709</v>
      </c>
      <c r="S162" s="12"/>
      <c r="T162" s="12"/>
      <c r="U162" s="12"/>
      <c r="V162" s="26"/>
      <c r="W162" s="26"/>
      <c r="X162" s="12"/>
      <c r="Y162" s="12"/>
      <c r="Z162" s="12"/>
    </row>
    <row r="163" spans="3:26" s="75" customFormat="1" ht="120" x14ac:dyDescent="0.25">
      <c r="C163" s="78"/>
      <c r="D163" s="78"/>
      <c r="E163" s="78" t="s">
        <v>50</v>
      </c>
      <c r="F163" s="78"/>
      <c r="G163" s="78"/>
      <c r="H163" s="78"/>
      <c r="I163" s="192" t="s">
        <v>710</v>
      </c>
      <c r="J163" s="204" t="s">
        <v>711</v>
      </c>
      <c r="K163" s="188" t="s">
        <v>704</v>
      </c>
      <c r="L163" s="188" t="s">
        <v>712</v>
      </c>
      <c r="M163" s="72" t="s">
        <v>706</v>
      </c>
      <c r="N163" s="72" t="s">
        <v>707</v>
      </c>
      <c r="O163" s="12" t="s">
        <v>708</v>
      </c>
      <c r="P163" s="76"/>
      <c r="Q163" s="76"/>
      <c r="R163" s="12" t="s">
        <v>709</v>
      </c>
      <c r="S163" s="76"/>
      <c r="T163" s="76"/>
      <c r="U163" s="76"/>
      <c r="V163" s="78"/>
      <c r="W163" s="78"/>
      <c r="X163" s="76"/>
      <c r="Y163" s="76"/>
      <c r="Z163" s="76"/>
    </row>
    <row r="164" spans="3:26" ht="150" x14ac:dyDescent="0.25">
      <c r="C164" s="26"/>
      <c r="D164" s="26"/>
      <c r="E164" s="26" t="s">
        <v>50</v>
      </c>
      <c r="F164" s="26"/>
      <c r="G164" s="26"/>
      <c r="H164" s="26"/>
      <c r="I164" s="192" t="s">
        <v>713</v>
      </c>
      <c r="J164" s="204" t="s">
        <v>714</v>
      </c>
      <c r="K164" s="26" t="s">
        <v>715</v>
      </c>
      <c r="L164" s="188" t="s">
        <v>705</v>
      </c>
      <c r="M164" s="72" t="s">
        <v>706</v>
      </c>
      <c r="N164" s="72" t="s">
        <v>707</v>
      </c>
      <c r="O164" s="12" t="s">
        <v>708</v>
      </c>
      <c r="P164" s="12"/>
      <c r="Q164" s="12"/>
      <c r="R164" s="12" t="s">
        <v>716</v>
      </c>
      <c r="S164" s="12"/>
      <c r="T164" s="12"/>
      <c r="U164" s="12"/>
      <c r="V164" s="26"/>
      <c r="W164" s="26"/>
      <c r="X164" s="12"/>
      <c r="Y164" s="12"/>
      <c r="Z164" s="12"/>
    </row>
    <row r="165" spans="3:26" s="164" customFormat="1" ht="25.5" x14ac:dyDescent="0.25">
      <c r="C165" s="801"/>
      <c r="D165" s="801" t="s">
        <v>50</v>
      </c>
      <c r="E165" s="801"/>
      <c r="F165" s="801"/>
      <c r="G165" s="801"/>
      <c r="H165" s="801"/>
      <c r="I165" s="802" t="s">
        <v>717</v>
      </c>
      <c r="J165" s="803"/>
      <c r="K165" s="798" t="s">
        <v>212</v>
      </c>
      <c r="L165" s="798"/>
      <c r="M165" s="804"/>
      <c r="N165" s="805"/>
      <c r="O165" s="806"/>
      <c r="P165" s="806"/>
      <c r="Q165" s="806"/>
      <c r="R165" s="806"/>
      <c r="S165" s="806"/>
      <c r="T165" s="806"/>
      <c r="U165" s="806"/>
      <c r="V165" s="801"/>
      <c r="W165" s="801"/>
      <c r="X165" s="806"/>
      <c r="Y165" s="806"/>
      <c r="Z165" s="806"/>
    </row>
    <row r="166" spans="3:26" ht="75" x14ac:dyDescent="0.25">
      <c r="C166" s="26"/>
      <c r="D166" s="26"/>
      <c r="E166" s="26" t="s">
        <v>50</v>
      </c>
      <c r="F166" s="26"/>
      <c r="G166" s="26"/>
      <c r="H166" s="26"/>
      <c r="I166" s="338" t="s">
        <v>718</v>
      </c>
      <c r="J166" s="204" t="s">
        <v>719</v>
      </c>
      <c r="K166" s="188" t="s">
        <v>720</v>
      </c>
      <c r="L166" s="188" t="s">
        <v>721</v>
      </c>
      <c r="M166" s="128" t="s">
        <v>515</v>
      </c>
      <c r="N166" s="72" t="s">
        <v>722</v>
      </c>
      <c r="O166" s="12"/>
      <c r="P166" s="12"/>
      <c r="Q166" s="12"/>
      <c r="R166" s="12" t="s">
        <v>630</v>
      </c>
      <c r="S166" s="12"/>
      <c r="T166" s="12"/>
      <c r="U166" s="12"/>
      <c r="V166" s="26"/>
      <c r="W166" s="26"/>
      <c r="X166" s="12"/>
      <c r="Y166" s="12"/>
      <c r="Z166" s="12"/>
    </row>
    <row r="167" spans="3:26" s="97" customFormat="1" ht="135" x14ac:dyDescent="0.25">
      <c r="C167" s="99"/>
      <c r="D167" s="99"/>
      <c r="E167" s="99" t="s">
        <v>50</v>
      </c>
      <c r="F167" s="99"/>
      <c r="G167" s="99"/>
      <c r="H167" s="99"/>
      <c r="I167" s="192" t="s">
        <v>723</v>
      </c>
      <c r="J167" s="817" t="s">
        <v>724</v>
      </c>
      <c r="K167" s="190" t="s">
        <v>725</v>
      </c>
      <c r="L167" s="188" t="s">
        <v>721</v>
      </c>
      <c r="M167" s="128" t="s">
        <v>515</v>
      </c>
      <c r="N167" s="72" t="s">
        <v>722</v>
      </c>
      <c r="O167" s="12" t="s">
        <v>708</v>
      </c>
      <c r="P167" s="63"/>
      <c r="Q167" s="63"/>
      <c r="R167" s="63" t="s">
        <v>726</v>
      </c>
      <c r="S167" s="63"/>
      <c r="T167" s="63"/>
      <c r="U167" s="63"/>
      <c r="V167" s="99"/>
      <c r="W167" s="99"/>
      <c r="X167" s="63"/>
      <c r="Y167" s="63"/>
      <c r="Z167" s="63"/>
    </row>
    <row r="168" spans="3:26" ht="135" customHeight="1" x14ac:dyDescent="0.25">
      <c r="C168" s="26"/>
      <c r="D168" s="26"/>
      <c r="E168" s="26" t="s">
        <v>50</v>
      </c>
      <c r="F168" s="26"/>
      <c r="G168" s="26"/>
      <c r="H168" s="26"/>
      <c r="I168" s="338" t="s">
        <v>727</v>
      </c>
      <c r="J168" s="140" t="s">
        <v>728</v>
      </c>
      <c r="K168" s="26" t="s">
        <v>729</v>
      </c>
      <c r="L168" s="188" t="s">
        <v>730</v>
      </c>
      <c r="M168" s="72" t="s">
        <v>731</v>
      </c>
      <c r="N168" s="72" t="s">
        <v>732</v>
      </c>
      <c r="O168" s="12" t="s">
        <v>733</v>
      </c>
      <c r="P168" s="12"/>
      <c r="Q168" s="12"/>
      <c r="R168" s="63" t="s">
        <v>734</v>
      </c>
      <c r="S168" s="12"/>
      <c r="T168" s="12"/>
      <c r="U168" s="12"/>
      <c r="V168" s="26"/>
      <c r="W168" s="26"/>
      <c r="X168" s="12"/>
      <c r="Y168" s="12"/>
      <c r="Z168" s="12"/>
    </row>
    <row r="169" spans="3:26" s="164" customFormat="1" x14ac:dyDescent="0.25">
      <c r="C169" s="801"/>
      <c r="D169" s="801" t="s">
        <v>50</v>
      </c>
      <c r="E169" s="801"/>
      <c r="F169" s="801"/>
      <c r="G169" s="801"/>
      <c r="H169" s="801"/>
      <c r="I169" s="802" t="s">
        <v>282</v>
      </c>
      <c r="J169" s="803"/>
      <c r="K169" s="798"/>
      <c r="L169" s="798"/>
      <c r="M169" s="804"/>
      <c r="N169" s="805"/>
      <c r="O169" s="806"/>
      <c r="P169" s="806"/>
      <c r="Q169" s="806"/>
      <c r="R169" s="806"/>
      <c r="S169" s="806"/>
      <c r="T169" s="806"/>
      <c r="U169" s="806"/>
      <c r="V169" s="801"/>
      <c r="W169" s="801"/>
      <c r="X169" s="806"/>
      <c r="Y169" s="806"/>
      <c r="Z169" s="806"/>
    </row>
    <row r="170" spans="3:26" x14ac:dyDescent="0.25">
      <c r="C170" s="26"/>
      <c r="D170" s="26"/>
      <c r="E170" s="26"/>
      <c r="F170" s="26"/>
      <c r="G170" s="26"/>
      <c r="H170" s="26"/>
      <c r="I170" s="70"/>
      <c r="J170" s="472"/>
      <c r="K170" s="188"/>
      <c r="L170" s="188"/>
      <c r="M170" s="128"/>
      <c r="N170" s="72"/>
      <c r="O170" s="12"/>
      <c r="P170" s="12"/>
      <c r="Q170" s="12"/>
      <c r="R170" s="12"/>
      <c r="S170" s="12"/>
      <c r="T170" s="12"/>
      <c r="U170" s="12"/>
      <c r="V170" s="26"/>
      <c r="W170" s="26"/>
      <c r="X170" s="12"/>
      <c r="Y170" s="12"/>
      <c r="Z170" s="12"/>
    </row>
    <row r="171" spans="3:26" s="164" customFormat="1" ht="25.5" x14ac:dyDescent="0.25">
      <c r="C171" s="801"/>
      <c r="D171" s="801" t="s">
        <v>50</v>
      </c>
      <c r="E171" s="801"/>
      <c r="F171" s="801"/>
      <c r="G171" s="801"/>
      <c r="H171" s="801"/>
      <c r="I171" s="802" t="s">
        <v>735</v>
      </c>
      <c r="J171" s="803"/>
      <c r="K171" s="798" t="s">
        <v>212</v>
      </c>
      <c r="L171" s="798"/>
      <c r="M171" s="804"/>
      <c r="N171" s="805"/>
      <c r="O171" s="806"/>
      <c r="P171" s="806"/>
      <c r="Q171" s="806"/>
      <c r="R171" s="806"/>
      <c r="S171" s="806"/>
      <c r="T171" s="806"/>
      <c r="U171" s="806"/>
      <c r="V171" s="801"/>
      <c r="W171" s="801"/>
      <c r="X171" s="806"/>
      <c r="Y171" s="806"/>
      <c r="Z171" s="806"/>
    </row>
    <row r="172" spans="3:26" s="97" customFormat="1" ht="124.5" customHeight="1" x14ac:dyDescent="0.25">
      <c r="C172" s="99"/>
      <c r="D172" s="99"/>
      <c r="E172" s="99" t="s">
        <v>50</v>
      </c>
      <c r="F172" s="99"/>
      <c r="G172" s="99"/>
      <c r="H172" s="99"/>
      <c r="I172" s="192" t="s">
        <v>736</v>
      </c>
      <c r="J172" s="546" t="s">
        <v>737</v>
      </c>
      <c r="K172" s="190" t="s">
        <v>725</v>
      </c>
      <c r="L172" s="26" t="s">
        <v>738</v>
      </c>
      <c r="M172" s="72" t="s">
        <v>739</v>
      </c>
      <c r="N172" s="72" t="s">
        <v>740</v>
      </c>
      <c r="O172" s="12" t="s">
        <v>708</v>
      </c>
      <c r="P172" s="63"/>
      <c r="Q172" s="63"/>
      <c r="R172" s="63" t="s">
        <v>726</v>
      </c>
      <c r="S172" s="63"/>
      <c r="T172" s="63"/>
      <c r="U172" s="63"/>
      <c r="V172" s="99"/>
      <c r="W172" s="99"/>
      <c r="X172" s="63"/>
      <c r="Y172" s="63"/>
      <c r="Z172" s="63"/>
    </row>
    <row r="173" spans="3:26" ht="135" x14ac:dyDescent="0.25">
      <c r="C173" s="26"/>
      <c r="D173" s="26"/>
      <c r="E173" s="26" t="s">
        <v>50</v>
      </c>
      <c r="F173" s="26"/>
      <c r="G173" s="26"/>
      <c r="H173" s="26"/>
      <c r="I173" s="192" t="s">
        <v>741</v>
      </c>
      <c r="J173" s="204" t="s">
        <v>742</v>
      </c>
      <c r="K173" s="99" t="s">
        <v>743</v>
      </c>
      <c r="L173" s="26" t="s">
        <v>744</v>
      </c>
      <c r="M173" s="72" t="s">
        <v>739</v>
      </c>
      <c r="N173" s="72" t="s">
        <v>740</v>
      </c>
      <c r="O173" s="12" t="s">
        <v>733</v>
      </c>
      <c r="P173" s="12"/>
      <c r="Q173" s="12"/>
      <c r="R173" s="63" t="s">
        <v>726</v>
      </c>
      <c r="S173" s="12"/>
      <c r="T173" s="12"/>
      <c r="U173" s="12"/>
      <c r="V173" s="26"/>
      <c r="W173" s="26"/>
      <c r="X173" s="12"/>
      <c r="Y173" s="12"/>
      <c r="Z173" s="12"/>
    </row>
    <row r="174" spans="3:26" ht="38.25" x14ac:dyDescent="0.25">
      <c r="C174" s="26"/>
      <c r="D174" s="26"/>
      <c r="E174" s="26" t="s">
        <v>50</v>
      </c>
      <c r="F174" s="26"/>
      <c r="G174" s="26"/>
      <c r="H174" s="26"/>
      <c r="I174" s="815" t="s">
        <v>745</v>
      </c>
      <c r="J174" s="472" t="s">
        <v>746</v>
      </c>
      <c r="K174" s="188"/>
      <c r="L174" s="188"/>
      <c r="M174" s="128"/>
      <c r="N174" s="72"/>
      <c r="O174" s="12"/>
      <c r="P174" s="12"/>
      <c r="Q174" s="12"/>
      <c r="R174" s="12"/>
      <c r="S174" s="12"/>
      <c r="T174" s="12"/>
      <c r="U174" s="12"/>
      <c r="V174" s="26"/>
      <c r="W174" s="26"/>
      <c r="X174" s="12"/>
      <c r="Y174" s="12"/>
      <c r="Z174" s="12"/>
    </row>
    <row r="175" spans="3:26" s="164" customFormat="1" ht="25.5" x14ac:dyDescent="0.25">
      <c r="C175" s="801"/>
      <c r="D175" s="801" t="s">
        <v>50</v>
      </c>
      <c r="E175" s="801"/>
      <c r="F175" s="801"/>
      <c r="G175" s="801"/>
      <c r="H175" s="801"/>
      <c r="I175" s="802" t="s">
        <v>747</v>
      </c>
      <c r="J175" s="803"/>
      <c r="K175" s="798" t="s">
        <v>212</v>
      </c>
      <c r="L175" s="798"/>
      <c r="M175" s="804"/>
      <c r="N175" s="805"/>
      <c r="O175" s="806"/>
      <c r="P175" s="806"/>
      <c r="Q175" s="806"/>
      <c r="R175" s="806"/>
      <c r="S175" s="806"/>
      <c r="T175" s="806"/>
      <c r="U175" s="806"/>
      <c r="V175" s="801"/>
      <c r="W175" s="801"/>
      <c r="X175" s="806"/>
      <c r="Y175" s="806"/>
      <c r="Z175" s="806"/>
    </row>
    <row r="176" spans="3:26" s="75" customFormat="1" ht="38.25" x14ac:dyDescent="0.25">
      <c r="C176" s="78"/>
      <c r="D176" s="78"/>
      <c r="E176" s="78" t="s">
        <v>50</v>
      </c>
      <c r="F176" s="78"/>
      <c r="G176" s="78"/>
      <c r="H176" s="78"/>
      <c r="I176" s="793" t="s">
        <v>748</v>
      </c>
      <c r="J176" s="137" t="s">
        <v>749</v>
      </c>
      <c r="K176" s="78"/>
      <c r="L176" s="78"/>
      <c r="M176" s="209"/>
      <c r="N176" s="77"/>
      <c r="O176" s="76"/>
      <c r="P176" s="76"/>
      <c r="Q176" s="76"/>
      <c r="R176" s="76"/>
      <c r="S176" s="76"/>
      <c r="T176" s="76"/>
      <c r="U176" s="76"/>
      <c r="V176" s="78"/>
      <c r="W176" s="78"/>
      <c r="X176" s="76"/>
      <c r="Y176" s="76"/>
      <c r="Z176" s="76"/>
    </row>
    <row r="177" spans="3:26" s="97" customFormat="1" ht="90" x14ac:dyDescent="0.25">
      <c r="C177" s="99"/>
      <c r="D177" s="99"/>
      <c r="E177" s="99" t="s">
        <v>50</v>
      </c>
      <c r="F177" s="99"/>
      <c r="G177" s="99"/>
      <c r="H177" s="99"/>
      <c r="I177" s="192" t="s">
        <v>750</v>
      </c>
      <c r="J177" s="546" t="s">
        <v>751</v>
      </c>
      <c r="K177" s="190" t="s">
        <v>752</v>
      </c>
      <c r="L177" s="190" t="s">
        <v>753</v>
      </c>
      <c r="M177" s="98" t="s">
        <v>754</v>
      </c>
      <c r="N177" s="98" t="s">
        <v>755</v>
      </c>
      <c r="O177" s="12" t="s">
        <v>733</v>
      </c>
      <c r="P177" s="63"/>
      <c r="Q177" s="63"/>
      <c r="R177" s="63" t="s">
        <v>756</v>
      </c>
      <c r="S177" s="63"/>
      <c r="T177" s="63"/>
      <c r="U177" s="63"/>
      <c r="V177" s="99"/>
      <c r="W177" s="99"/>
      <c r="X177" s="63"/>
      <c r="Y177" s="63"/>
      <c r="Z177" s="63"/>
    </row>
    <row r="178" spans="3:26" ht="102" x14ac:dyDescent="0.25">
      <c r="C178" s="26"/>
      <c r="D178" s="26"/>
      <c r="E178" s="26" t="s">
        <v>50</v>
      </c>
      <c r="F178" s="26"/>
      <c r="G178" s="26"/>
      <c r="H178" s="26"/>
      <c r="I178" s="1136" t="s">
        <v>757</v>
      </c>
      <c r="J178" s="204" t="s">
        <v>758</v>
      </c>
      <c r="K178" s="190" t="s">
        <v>752</v>
      </c>
      <c r="L178" s="188" t="s">
        <v>759</v>
      </c>
      <c r="M178" s="98" t="s">
        <v>754</v>
      </c>
      <c r="N178" s="98" t="s">
        <v>755</v>
      </c>
      <c r="O178" s="12" t="s">
        <v>760</v>
      </c>
      <c r="P178" s="12"/>
      <c r="Q178" s="12"/>
      <c r="R178" s="63" t="s">
        <v>756</v>
      </c>
      <c r="S178" s="12"/>
      <c r="T178" s="12"/>
      <c r="U178" s="12"/>
      <c r="V178" s="26"/>
      <c r="W178" s="26"/>
      <c r="X178" s="12"/>
      <c r="Y178" s="12"/>
      <c r="Z178" s="12"/>
    </row>
    <row r="179" spans="3:26" ht="105" x14ac:dyDescent="0.25">
      <c r="C179" s="26"/>
      <c r="D179" s="26"/>
      <c r="E179" s="26"/>
      <c r="F179" s="26"/>
      <c r="G179" s="26"/>
      <c r="H179" s="26"/>
      <c r="I179" s="1139"/>
      <c r="J179" s="204" t="s">
        <v>761</v>
      </c>
      <c r="K179" s="99" t="s">
        <v>752</v>
      </c>
      <c r="L179" s="188" t="s">
        <v>762</v>
      </c>
      <c r="M179" s="98" t="s">
        <v>754</v>
      </c>
      <c r="N179" s="98" t="s">
        <v>755</v>
      </c>
      <c r="O179" s="12" t="s">
        <v>763</v>
      </c>
      <c r="P179" s="12"/>
      <c r="Q179" s="12"/>
      <c r="R179" s="63" t="s">
        <v>756</v>
      </c>
      <c r="S179" s="12"/>
      <c r="T179" s="12"/>
      <c r="U179" s="12"/>
      <c r="V179" s="26"/>
      <c r="W179" s="26"/>
      <c r="X179" s="12"/>
      <c r="Y179" s="12"/>
      <c r="Z179" s="12"/>
    </row>
    <row r="180" spans="3:26" ht="105" x14ac:dyDescent="0.25">
      <c r="C180" s="26"/>
      <c r="D180" s="26"/>
      <c r="E180" s="26"/>
      <c r="F180" s="26"/>
      <c r="G180" s="26"/>
      <c r="H180" s="26"/>
      <c r="I180" s="1139"/>
      <c r="J180" s="472" t="s">
        <v>764</v>
      </c>
      <c r="K180" s="99" t="s">
        <v>752</v>
      </c>
      <c r="L180" s="188" t="s">
        <v>765</v>
      </c>
      <c r="M180" s="98" t="s">
        <v>754</v>
      </c>
      <c r="N180" s="98" t="s">
        <v>755</v>
      </c>
      <c r="O180" s="12" t="s">
        <v>763</v>
      </c>
      <c r="P180" s="12"/>
      <c r="Q180" s="12"/>
      <c r="R180" s="63" t="s">
        <v>756</v>
      </c>
      <c r="S180" s="12"/>
      <c r="T180" s="12"/>
      <c r="U180" s="12"/>
      <c r="V180" s="26"/>
      <c r="W180" s="26"/>
      <c r="X180" s="12"/>
      <c r="Y180" s="12"/>
      <c r="Z180" s="12"/>
    </row>
    <row r="181" spans="3:26" s="164" customFormat="1" x14ac:dyDescent="0.25">
      <c r="C181" s="801"/>
      <c r="D181" s="801" t="s">
        <v>50</v>
      </c>
      <c r="E181" s="801"/>
      <c r="F181" s="801"/>
      <c r="G181" s="801"/>
      <c r="H181" s="801"/>
      <c r="I181" s="802" t="s">
        <v>766</v>
      </c>
      <c r="J181" s="803"/>
      <c r="K181" s="311"/>
      <c r="L181" s="798"/>
      <c r="M181" s="804"/>
      <c r="N181" s="805"/>
      <c r="O181" s="806"/>
      <c r="P181" s="806"/>
      <c r="Q181" s="806"/>
      <c r="R181" s="806"/>
      <c r="S181" s="806"/>
      <c r="T181" s="806"/>
      <c r="U181" s="806"/>
      <c r="V181" s="801"/>
      <c r="W181" s="801"/>
      <c r="X181" s="806"/>
      <c r="Y181" s="806"/>
      <c r="Z181" s="806"/>
    </row>
    <row r="182" spans="3:26" ht="135" x14ac:dyDescent="0.25">
      <c r="C182" s="26"/>
      <c r="D182" s="26"/>
      <c r="E182" s="26" t="s">
        <v>50</v>
      </c>
      <c r="F182" s="26"/>
      <c r="G182" s="26"/>
      <c r="H182" s="26"/>
      <c r="I182" s="192" t="s">
        <v>767</v>
      </c>
      <c r="J182" s="204" t="s">
        <v>768</v>
      </c>
      <c r="K182" s="188" t="s">
        <v>769</v>
      </c>
      <c r="L182" s="188" t="s">
        <v>705</v>
      </c>
      <c r="M182" s="128" t="s">
        <v>523</v>
      </c>
      <c r="N182" s="72" t="s">
        <v>524</v>
      </c>
      <c r="O182" s="12" t="s">
        <v>708</v>
      </c>
      <c r="P182" s="12"/>
      <c r="Q182" s="12"/>
      <c r="R182" s="63" t="s">
        <v>726</v>
      </c>
      <c r="S182" s="12"/>
      <c r="T182" s="12"/>
      <c r="U182" s="12"/>
      <c r="V182" s="26"/>
      <c r="W182" s="26"/>
      <c r="X182" s="12"/>
      <c r="Y182" s="12"/>
      <c r="Z182" s="12"/>
    </row>
    <row r="183" spans="3:26" ht="116.25" customHeight="1" x14ac:dyDescent="0.25">
      <c r="C183" s="26"/>
      <c r="D183" s="26"/>
      <c r="E183" s="26" t="s">
        <v>50</v>
      </c>
      <c r="F183" s="26"/>
      <c r="G183" s="26"/>
      <c r="H183" s="26"/>
      <c r="I183" s="192" t="s">
        <v>770</v>
      </c>
      <c r="J183" s="204" t="s">
        <v>771</v>
      </c>
      <c r="K183" s="26" t="s">
        <v>772</v>
      </c>
      <c r="L183" s="188" t="s">
        <v>773</v>
      </c>
      <c r="M183" s="72" t="s">
        <v>774</v>
      </c>
      <c r="N183" s="72" t="s">
        <v>775</v>
      </c>
      <c r="O183" s="12" t="s">
        <v>776</v>
      </c>
      <c r="P183" s="12"/>
      <c r="Q183" s="12"/>
      <c r="R183" s="63" t="s">
        <v>726</v>
      </c>
      <c r="S183" s="12"/>
      <c r="T183" s="12"/>
      <c r="U183" s="12"/>
      <c r="V183" s="26"/>
      <c r="W183" s="26"/>
      <c r="X183" s="12"/>
      <c r="Y183" s="12"/>
      <c r="Z183" s="12"/>
    </row>
    <row r="184" spans="3:26" ht="130.5" customHeight="1" x14ac:dyDescent="0.25">
      <c r="C184" s="26"/>
      <c r="D184" s="26"/>
      <c r="E184" s="26" t="s">
        <v>50</v>
      </c>
      <c r="F184" s="26"/>
      <c r="G184" s="26"/>
      <c r="H184" s="26"/>
      <c r="I184" s="192" t="s">
        <v>777</v>
      </c>
      <c r="J184" s="204" t="s">
        <v>778</v>
      </c>
      <c r="K184" s="26" t="s">
        <v>772</v>
      </c>
      <c r="L184" s="188" t="s">
        <v>705</v>
      </c>
      <c r="M184" s="128" t="s">
        <v>779</v>
      </c>
      <c r="N184" s="72" t="s">
        <v>780</v>
      </c>
      <c r="O184" s="12" t="s">
        <v>781</v>
      </c>
      <c r="P184" s="12"/>
      <c r="Q184" s="12"/>
      <c r="R184" s="63" t="s">
        <v>726</v>
      </c>
      <c r="S184" s="12"/>
      <c r="T184" s="12"/>
      <c r="U184" s="12"/>
      <c r="V184" s="26"/>
      <c r="W184" s="26"/>
      <c r="X184" s="12"/>
      <c r="Y184" s="12"/>
      <c r="Z184" s="12"/>
    </row>
    <row r="185" spans="3:26" s="164" customFormat="1" x14ac:dyDescent="0.25">
      <c r="C185" s="801"/>
      <c r="D185" s="801" t="s">
        <v>50</v>
      </c>
      <c r="E185" s="801"/>
      <c r="F185" s="801"/>
      <c r="G185" s="801"/>
      <c r="H185" s="801"/>
      <c r="I185" s="802" t="s">
        <v>782</v>
      </c>
      <c r="J185" s="803"/>
      <c r="K185" s="798" t="s">
        <v>212</v>
      </c>
      <c r="L185" s="798"/>
      <c r="M185" s="804"/>
      <c r="N185" s="805"/>
      <c r="O185" s="806"/>
      <c r="P185" s="806"/>
      <c r="Q185" s="806"/>
      <c r="R185" s="806"/>
      <c r="S185" s="806"/>
      <c r="T185" s="806"/>
      <c r="U185" s="806"/>
      <c r="V185" s="801"/>
      <c r="W185" s="801"/>
      <c r="X185" s="806"/>
      <c r="Y185" s="806"/>
      <c r="Z185" s="806"/>
    </row>
    <row r="186" spans="3:26" ht="149.25" customHeight="1" x14ac:dyDescent="0.25">
      <c r="C186" s="26"/>
      <c r="D186" s="26"/>
      <c r="E186" s="26" t="s">
        <v>50</v>
      </c>
      <c r="F186" s="26"/>
      <c r="G186" s="26"/>
      <c r="H186" s="26"/>
      <c r="I186" s="192" t="s">
        <v>783</v>
      </c>
      <c r="J186" s="204" t="s">
        <v>784</v>
      </c>
      <c r="K186" s="26" t="s">
        <v>785</v>
      </c>
      <c r="L186" s="188" t="s">
        <v>786</v>
      </c>
      <c r="M186" s="72" t="s">
        <v>787</v>
      </c>
      <c r="N186" s="72" t="s">
        <v>788</v>
      </c>
      <c r="O186" s="12" t="s">
        <v>789</v>
      </c>
      <c r="P186" s="12"/>
      <c r="Q186" s="12"/>
      <c r="R186" s="12" t="s">
        <v>790</v>
      </c>
      <c r="S186" s="12"/>
      <c r="T186" s="12"/>
      <c r="U186" s="12"/>
      <c r="V186" s="26"/>
      <c r="W186" s="26"/>
      <c r="X186" s="12"/>
      <c r="Y186" s="12"/>
      <c r="Z186" s="12"/>
    </row>
    <row r="187" spans="3:26" ht="128.25" customHeight="1" x14ac:dyDescent="0.25">
      <c r="C187" s="26"/>
      <c r="D187" s="26"/>
      <c r="E187" s="26" t="s">
        <v>50</v>
      </c>
      <c r="F187" s="26"/>
      <c r="G187" s="26"/>
      <c r="H187" s="26"/>
      <c r="I187" s="192" t="s">
        <v>791</v>
      </c>
      <c r="J187" s="472" t="s">
        <v>792</v>
      </c>
      <c r="K187" s="26" t="s">
        <v>793</v>
      </c>
      <c r="L187" s="818" t="s">
        <v>794</v>
      </c>
      <c r="M187" s="72" t="s">
        <v>427</v>
      </c>
      <c r="N187" s="72" t="s">
        <v>795</v>
      </c>
      <c r="O187" s="12" t="s">
        <v>429</v>
      </c>
      <c r="P187" s="12"/>
      <c r="Q187" s="12"/>
      <c r="R187" s="12" t="s">
        <v>790</v>
      </c>
      <c r="S187" s="12"/>
      <c r="T187" s="12"/>
      <c r="U187" s="12"/>
      <c r="V187" s="26"/>
      <c r="W187" s="26"/>
      <c r="X187" s="12"/>
      <c r="Y187" s="12"/>
      <c r="Z187" s="12"/>
    </row>
    <row r="188" spans="3:26" s="164" customFormat="1" ht="25.5" x14ac:dyDescent="0.25">
      <c r="C188" s="801"/>
      <c r="D188" s="801" t="s">
        <v>50</v>
      </c>
      <c r="E188" s="801"/>
      <c r="F188" s="801"/>
      <c r="G188" s="801"/>
      <c r="H188" s="801"/>
      <c r="I188" s="802" t="s">
        <v>796</v>
      </c>
      <c r="J188" s="803"/>
      <c r="K188" s="798" t="s">
        <v>212</v>
      </c>
      <c r="L188" s="798"/>
      <c r="M188" s="804"/>
      <c r="N188" s="805"/>
      <c r="O188" s="806"/>
      <c r="P188" s="806"/>
      <c r="Q188" s="806"/>
      <c r="R188" s="806"/>
      <c r="S188" s="806"/>
      <c r="T188" s="806"/>
      <c r="U188" s="806"/>
      <c r="V188" s="801"/>
      <c r="W188" s="801"/>
      <c r="X188" s="806"/>
      <c r="Y188" s="806"/>
      <c r="Z188" s="806"/>
    </row>
    <row r="189" spans="3:26" ht="135" x14ac:dyDescent="0.25">
      <c r="C189" s="26"/>
      <c r="D189" s="26"/>
      <c r="E189" s="26" t="s">
        <v>50</v>
      </c>
      <c r="F189" s="26"/>
      <c r="G189" s="26"/>
      <c r="H189" s="26"/>
      <c r="I189" s="192" t="s">
        <v>797</v>
      </c>
      <c r="J189" s="204" t="s">
        <v>798</v>
      </c>
      <c r="K189" s="26" t="s">
        <v>799</v>
      </c>
      <c r="L189" s="189" t="s">
        <v>800</v>
      </c>
      <c r="M189" s="179" t="s">
        <v>801</v>
      </c>
      <c r="N189" s="179" t="s">
        <v>801</v>
      </c>
      <c r="O189" s="12" t="s">
        <v>802</v>
      </c>
      <c r="P189" s="12"/>
      <c r="Q189" s="12"/>
      <c r="R189" s="63" t="s">
        <v>803</v>
      </c>
      <c r="S189" s="12"/>
      <c r="T189" s="12"/>
      <c r="U189" s="12"/>
      <c r="V189" s="26"/>
      <c r="W189" s="26"/>
      <c r="X189" s="12"/>
      <c r="Y189" s="12"/>
      <c r="Z189" s="12"/>
    </row>
    <row r="190" spans="3:26" ht="38.25" x14ac:dyDescent="0.25">
      <c r="C190" s="26" t="s">
        <v>50</v>
      </c>
      <c r="D190" s="26"/>
      <c r="E190" s="26"/>
      <c r="F190" s="26"/>
      <c r="G190" s="26"/>
      <c r="H190" s="26"/>
      <c r="I190" s="194" t="s">
        <v>804</v>
      </c>
      <c r="J190" s="472" t="s">
        <v>805</v>
      </c>
      <c r="K190" s="188" t="s">
        <v>212</v>
      </c>
      <c r="L190" s="188"/>
      <c r="M190" s="128"/>
      <c r="N190" s="72"/>
      <c r="O190" s="12"/>
      <c r="P190" s="12"/>
      <c r="Q190" s="12"/>
      <c r="R190" s="12"/>
      <c r="S190" s="12"/>
      <c r="T190" s="12"/>
      <c r="U190" s="12"/>
      <c r="V190" s="26"/>
      <c r="W190" s="26"/>
      <c r="X190" s="12"/>
      <c r="Y190" s="12"/>
      <c r="Z190" s="12"/>
    </row>
    <row r="191" spans="3:26" x14ac:dyDescent="0.25">
      <c r="C191" s="26"/>
      <c r="D191" s="26" t="s">
        <v>50</v>
      </c>
      <c r="E191" s="26"/>
      <c r="F191" s="26"/>
      <c r="G191" s="26"/>
      <c r="H191" s="26"/>
      <c r="I191" s="802" t="s">
        <v>806</v>
      </c>
      <c r="J191" s="472"/>
      <c r="K191" s="188" t="s">
        <v>212</v>
      </c>
      <c r="L191" s="188"/>
      <c r="M191" s="128"/>
      <c r="N191" s="72"/>
      <c r="O191" s="12"/>
      <c r="P191" s="12"/>
      <c r="Q191" s="12"/>
      <c r="R191" s="12"/>
      <c r="S191" s="12"/>
      <c r="T191" s="12"/>
      <c r="U191" s="12"/>
      <c r="V191" s="26"/>
      <c r="W191" s="26"/>
      <c r="X191" s="12"/>
      <c r="Y191" s="12"/>
      <c r="Z191" s="12"/>
    </row>
    <row r="192" spans="3:26" ht="105" x14ac:dyDescent="0.25">
      <c r="C192" s="26"/>
      <c r="D192" s="26"/>
      <c r="E192" s="26" t="s">
        <v>50</v>
      </c>
      <c r="F192" s="26"/>
      <c r="G192" s="26"/>
      <c r="H192" s="26"/>
      <c r="I192" s="192" t="s">
        <v>807</v>
      </c>
      <c r="J192" s="204" t="s">
        <v>808</v>
      </c>
      <c r="K192" s="188" t="s">
        <v>809</v>
      </c>
      <c r="L192" s="189" t="s">
        <v>810</v>
      </c>
      <c r="M192" s="72" t="s">
        <v>811</v>
      </c>
      <c r="N192" s="72" t="s">
        <v>812</v>
      </c>
      <c r="O192" s="12" t="s">
        <v>813</v>
      </c>
      <c r="P192" s="12"/>
      <c r="Q192" s="12"/>
      <c r="R192" s="12" t="s">
        <v>814</v>
      </c>
      <c r="S192" s="12"/>
      <c r="T192" s="12"/>
      <c r="U192" s="12"/>
      <c r="V192" s="26"/>
      <c r="W192" s="26"/>
      <c r="X192" s="12"/>
      <c r="Y192" s="12"/>
      <c r="Z192" s="12"/>
    </row>
    <row r="193" spans="3:26" ht="108.75" customHeight="1" x14ac:dyDescent="0.25">
      <c r="C193" s="26"/>
      <c r="D193" s="26"/>
      <c r="E193" s="26" t="s">
        <v>50</v>
      </c>
      <c r="F193" s="26"/>
      <c r="G193" s="26"/>
      <c r="H193" s="26"/>
      <c r="I193" s="197" t="s">
        <v>815</v>
      </c>
      <c r="J193" s="204" t="s">
        <v>816</v>
      </c>
      <c r="K193" s="26" t="s">
        <v>817</v>
      </c>
      <c r="L193" s="189" t="s">
        <v>818</v>
      </c>
      <c r="M193" s="128" t="s">
        <v>523</v>
      </c>
      <c r="N193" s="72" t="s">
        <v>524</v>
      </c>
      <c r="O193" s="12" t="s">
        <v>813</v>
      </c>
      <c r="P193" s="12"/>
      <c r="Q193" s="12"/>
      <c r="R193" s="12" t="s">
        <v>819</v>
      </c>
      <c r="S193" s="12"/>
      <c r="T193" s="12"/>
      <c r="U193" s="12"/>
      <c r="V193" s="26"/>
      <c r="W193" s="26"/>
      <c r="X193" s="12"/>
      <c r="Y193" s="12"/>
      <c r="Z193" s="12"/>
    </row>
    <row r="194" spans="3:26" ht="165" x14ac:dyDescent="0.25">
      <c r="C194" s="26"/>
      <c r="D194" s="26"/>
      <c r="E194" s="26" t="s">
        <v>50</v>
      </c>
      <c r="F194" s="26"/>
      <c r="G194" s="26"/>
      <c r="H194" s="206"/>
      <c r="I194" s="1126" t="s">
        <v>820</v>
      </c>
      <c r="J194" s="819" t="s">
        <v>821</v>
      </c>
      <c r="K194" s="188" t="s">
        <v>822</v>
      </c>
      <c r="L194" s="820" t="s">
        <v>794</v>
      </c>
      <c r="M194" s="72" t="s">
        <v>427</v>
      </c>
      <c r="N194" s="72" t="s">
        <v>795</v>
      </c>
      <c r="O194" s="12" t="s">
        <v>789</v>
      </c>
      <c r="P194" s="12"/>
      <c r="Q194" s="1140" t="s">
        <v>823</v>
      </c>
      <c r="R194" s="12" t="s">
        <v>452</v>
      </c>
      <c r="S194" s="12"/>
      <c r="T194" s="12"/>
      <c r="U194" s="12"/>
      <c r="V194" s="26"/>
      <c r="W194" s="26"/>
      <c r="X194" s="12"/>
      <c r="Y194" s="12"/>
      <c r="Z194" s="12"/>
    </row>
    <row r="195" spans="3:26" ht="165" x14ac:dyDescent="0.25">
      <c r="C195" s="26"/>
      <c r="D195" s="26"/>
      <c r="E195" s="26" t="s">
        <v>50</v>
      </c>
      <c r="F195" s="26"/>
      <c r="G195" s="26"/>
      <c r="H195" s="206"/>
      <c r="I195" s="1127"/>
      <c r="J195" s="816" t="s">
        <v>824</v>
      </c>
      <c r="K195" s="188" t="s">
        <v>822</v>
      </c>
      <c r="L195" s="820" t="s">
        <v>794</v>
      </c>
      <c r="M195" s="72" t="s">
        <v>427</v>
      </c>
      <c r="N195" s="72" t="s">
        <v>795</v>
      </c>
      <c r="O195" s="12" t="s">
        <v>789</v>
      </c>
      <c r="P195" s="12"/>
      <c r="Q195" s="1141"/>
      <c r="R195" s="12" t="s">
        <v>452</v>
      </c>
      <c r="S195" s="12"/>
      <c r="T195" s="12"/>
      <c r="U195" s="12"/>
      <c r="V195" s="26"/>
      <c r="W195" s="26"/>
      <c r="X195" s="12"/>
      <c r="Y195" s="12"/>
      <c r="Z195" s="12"/>
    </row>
    <row r="196" spans="3:26" ht="165" x14ac:dyDescent="0.25">
      <c r="C196" s="26"/>
      <c r="D196" s="26"/>
      <c r="E196" s="26" t="s">
        <v>50</v>
      </c>
      <c r="F196" s="26"/>
      <c r="G196" s="26"/>
      <c r="H196" s="206"/>
      <c r="I196" s="1127"/>
      <c r="J196" s="817" t="s">
        <v>825</v>
      </c>
      <c r="K196" s="188" t="s">
        <v>822</v>
      </c>
      <c r="L196" s="820" t="s">
        <v>794</v>
      </c>
      <c r="M196" s="72" t="s">
        <v>427</v>
      </c>
      <c r="N196" s="72" t="s">
        <v>795</v>
      </c>
      <c r="O196" s="12" t="s">
        <v>789</v>
      </c>
      <c r="P196" s="12"/>
      <c r="Q196" s="1141"/>
      <c r="R196" s="12" t="s">
        <v>452</v>
      </c>
      <c r="S196" s="12"/>
      <c r="T196" s="12"/>
      <c r="U196" s="12"/>
      <c r="V196" s="26"/>
      <c r="W196" s="26"/>
      <c r="X196" s="12"/>
      <c r="Y196" s="12"/>
      <c r="Z196" s="12"/>
    </row>
    <row r="197" spans="3:26" ht="165" x14ac:dyDescent="0.25">
      <c r="C197" s="26"/>
      <c r="D197" s="26"/>
      <c r="E197" s="26" t="s">
        <v>50</v>
      </c>
      <c r="F197" s="26"/>
      <c r="G197" s="26"/>
      <c r="H197" s="206"/>
      <c r="I197" s="1127"/>
      <c r="J197" s="816" t="s">
        <v>826</v>
      </c>
      <c r="K197" s="188" t="s">
        <v>822</v>
      </c>
      <c r="L197" s="820" t="s">
        <v>794</v>
      </c>
      <c r="M197" s="72" t="s">
        <v>427</v>
      </c>
      <c r="N197" s="72" t="s">
        <v>795</v>
      </c>
      <c r="O197" s="12" t="s">
        <v>789</v>
      </c>
      <c r="P197" s="12"/>
      <c r="Q197" s="1141"/>
      <c r="R197" s="12" t="s">
        <v>452</v>
      </c>
      <c r="S197" s="12"/>
      <c r="T197" s="12"/>
      <c r="U197" s="12"/>
      <c r="V197" s="26"/>
      <c r="W197" s="26"/>
      <c r="X197" s="12"/>
      <c r="Y197" s="12"/>
      <c r="Z197" s="12"/>
    </row>
    <row r="198" spans="3:26" ht="165" x14ac:dyDescent="0.25">
      <c r="C198" s="26"/>
      <c r="D198" s="26"/>
      <c r="E198" s="26" t="s">
        <v>50</v>
      </c>
      <c r="F198" s="26"/>
      <c r="G198" s="26"/>
      <c r="H198" s="206"/>
      <c r="I198" s="1142"/>
      <c r="J198" s="204" t="s">
        <v>827</v>
      </c>
      <c r="K198" s="713" t="str">
        <f>HYPERLINK("https://synology.bildungscampus-backnang.de:50823/drive/oo/r/pCdqTALCiyBZs75GKtEbElv1A8zKW4cH", "Prozessvorschlag Patrick Beschwerden AZAV-Doz.")</f>
        <v>Prozessvorschlag Patrick Beschwerden AZAV-Doz.</v>
      </c>
      <c r="L198" s="820" t="s">
        <v>794</v>
      </c>
      <c r="M198" s="72" t="s">
        <v>828</v>
      </c>
      <c r="N198" s="72" t="s">
        <v>829</v>
      </c>
      <c r="O198" s="12" t="s">
        <v>830</v>
      </c>
      <c r="P198" s="12"/>
      <c r="Q198" s="812" t="str">
        <f>HYPERLINK("https://synology.bildungscampus-backnang.de:50823/drive/oo/r/pCdqTALCiyBZs75GKtEbElv1A8zKW4cH", "Prozessvorschlag Patrick Beschwerden AZAV-Doz.")</f>
        <v>Prozessvorschlag Patrick Beschwerden AZAV-Doz.</v>
      </c>
      <c r="R198" s="12" t="s">
        <v>452</v>
      </c>
      <c r="S198" s="12"/>
      <c r="T198" s="12"/>
      <c r="U198" s="12"/>
      <c r="V198" s="26"/>
      <c r="W198" s="26"/>
      <c r="X198" s="12"/>
      <c r="Y198" s="12"/>
      <c r="Z198" s="12"/>
    </row>
    <row r="199" spans="3:26" ht="82.5" customHeight="1" x14ac:dyDescent="0.25">
      <c r="C199" s="26"/>
      <c r="D199" s="26"/>
      <c r="E199" s="26" t="s">
        <v>50</v>
      </c>
      <c r="F199" s="26"/>
      <c r="G199" s="26"/>
      <c r="H199" s="206"/>
      <c r="I199" s="197" t="s">
        <v>831</v>
      </c>
      <c r="J199" s="204" t="s">
        <v>832</v>
      </c>
      <c r="K199" s="188" t="s">
        <v>822</v>
      </c>
      <c r="L199" s="820" t="s">
        <v>794</v>
      </c>
      <c r="M199" s="72" t="s">
        <v>427</v>
      </c>
      <c r="N199" s="72" t="s">
        <v>795</v>
      </c>
      <c r="O199" s="12" t="s">
        <v>813</v>
      </c>
      <c r="P199" s="12"/>
      <c r="Q199" s="12"/>
      <c r="R199" s="12" t="s">
        <v>452</v>
      </c>
      <c r="S199" s="12"/>
      <c r="T199" s="12"/>
      <c r="U199" s="12"/>
      <c r="V199" s="26"/>
      <c r="W199" s="26"/>
      <c r="X199" s="12"/>
      <c r="Y199" s="12"/>
      <c r="Z199" s="12"/>
    </row>
    <row r="200" spans="3:26" ht="165" x14ac:dyDescent="0.25">
      <c r="C200" s="26"/>
      <c r="D200" s="26"/>
      <c r="E200" s="26" t="s">
        <v>50</v>
      </c>
      <c r="F200" s="26"/>
      <c r="G200" s="26"/>
      <c r="H200" s="26"/>
      <c r="I200" s="192" t="s">
        <v>833</v>
      </c>
      <c r="J200" s="204" t="s">
        <v>834</v>
      </c>
      <c r="K200" s="188" t="s">
        <v>822</v>
      </c>
      <c r="L200" s="188" t="s">
        <v>835</v>
      </c>
      <c r="M200" s="128" t="s">
        <v>836</v>
      </c>
      <c r="N200" s="72" t="s">
        <v>837</v>
      </c>
      <c r="O200" s="12" t="s">
        <v>813</v>
      </c>
      <c r="P200" s="12"/>
      <c r="Q200" s="12"/>
      <c r="R200" s="12" t="s">
        <v>452</v>
      </c>
      <c r="S200" s="12"/>
      <c r="T200" s="12"/>
      <c r="U200" s="12"/>
      <c r="V200" s="26"/>
      <c r="W200" s="26"/>
      <c r="X200" s="12"/>
      <c r="Y200" s="12"/>
      <c r="Z200" s="12"/>
    </row>
    <row r="201" spans="3:26" s="164" customFormat="1" ht="39" customHeight="1" x14ac:dyDescent="0.25">
      <c r="C201" s="801"/>
      <c r="D201" s="801" t="s">
        <v>50</v>
      </c>
      <c r="E201" s="801"/>
      <c r="F201" s="801"/>
      <c r="G201" s="801"/>
      <c r="H201" s="801"/>
      <c r="I201" s="802" t="s">
        <v>519</v>
      </c>
      <c r="J201" s="803"/>
      <c r="K201" s="798" t="s">
        <v>212</v>
      </c>
      <c r="L201" s="798"/>
      <c r="M201" s="804"/>
      <c r="N201" s="805"/>
      <c r="O201" s="806"/>
      <c r="P201" s="806"/>
      <c r="Q201" s="806"/>
      <c r="R201" s="806"/>
      <c r="S201" s="806"/>
      <c r="T201" s="806"/>
      <c r="U201" s="806"/>
      <c r="V201" s="801"/>
      <c r="W201" s="801"/>
      <c r="X201" s="806"/>
      <c r="Y201" s="806"/>
      <c r="Z201" s="806"/>
    </row>
    <row r="202" spans="3:26" ht="150" x14ac:dyDescent="0.25">
      <c r="C202" s="26"/>
      <c r="D202" s="26"/>
      <c r="E202" s="26" t="s">
        <v>50</v>
      </c>
      <c r="F202" s="26"/>
      <c r="G202" s="26"/>
      <c r="H202" s="26"/>
      <c r="I202" s="192" t="s">
        <v>838</v>
      </c>
      <c r="J202" s="140" t="s">
        <v>839</v>
      </c>
      <c r="K202" s="26" t="s">
        <v>840</v>
      </c>
      <c r="L202" s="189" t="s">
        <v>841</v>
      </c>
      <c r="M202" s="72" t="s">
        <v>836</v>
      </c>
      <c r="N202" s="72" t="s">
        <v>842</v>
      </c>
      <c r="O202" s="12" t="s">
        <v>843</v>
      </c>
      <c r="P202" s="12"/>
      <c r="Q202" s="12"/>
      <c r="R202" s="12" t="s">
        <v>716</v>
      </c>
      <c r="S202" s="12"/>
      <c r="T202" s="12"/>
      <c r="U202" s="12"/>
      <c r="V202" s="26"/>
      <c r="W202" s="26"/>
      <c r="X202" s="12"/>
      <c r="Y202" s="12"/>
      <c r="Z202" s="12"/>
    </row>
    <row r="203" spans="3:26" ht="85.5" customHeight="1" x14ac:dyDescent="0.25">
      <c r="C203" s="26"/>
      <c r="D203" s="26"/>
      <c r="E203" s="26" t="s">
        <v>50</v>
      </c>
      <c r="F203" s="26"/>
      <c r="G203" s="26"/>
      <c r="H203" s="26"/>
      <c r="I203" s="192" t="s">
        <v>844</v>
      </c>
      <c r="J203" s="140" t="s">
        <v>845</v>
      </c>
      <c r="K203" s="188" t="s">
        <v>704</v>
      </c>
      <c r="L203" s="189" t="s">
        <v>841</v>
      </c>
      <c r="M203" s="128" t="s">
        <v>836</v>
      </c>
      <c r="N203" s="72" t="s">
        <v>842</v>
      </c>
      <c r="O203" s="12" t="s">
        <v>843</v>
      </c>
      <c r="P203" s="12"/>
      <c r="Q203" s="12"/>
      <c r="R203" s="12" t="s">
        <v>716</v>
      </c>
      <c r="S203" s="12"/>
      <c r="T203" s="12"/>
      <c r="U203" s="12"/>
      <c r="V203" s="26"/>
      <c r="W203" s="26"/>
      <c r="X203" s="12"/>
      <c r="Y203" s="12"/>
      <c r="Z203" s="12"/>
    </row>
    <row r="204" spans="3:26" ht="150" x14ac:dyDescent="0.25">
      <c r="C204" s="26"/>
      <c r="D204" s="26"/>
      <c r="E204" s="26" t="s">
        <v>50</v>
      </c>
      <c r="F204" s="26"/>
      <c r="G204" s="26"/>
      <c r="H204" s="26"/>
      <c r="I204" s="192" t="s">
        <v>846</v>
      </c>
      <c r="J204" s="204" t="s">
        <v>847</v>
      </c>
      <c r="K204" s="26" t="s">
        <v>848</v>
      </c>
      <c r="L204" s="189" t="s">
        <v>841</v>
      </c>
      <c r="M204" s="72" t="s">
        <v>849</v>
      </c>
      <c r="N204" s="72" t="s">
        <v>850</v>
      </c>
      <c r="O204" s="12" t="s">
        <v>843</v>
      </c>
      <c r="P204" s="12"/>
      <c r="Q204" s="12"/>
      <c r="R204" s="12" t="s">
        <v>716</v>
      </c>
      <c r="S204" s="12"/>
      <c r="T204" s="12"/>
      <c r="U204" s="12"/>
      <c r="V204" s="26"/>
      <c r="W204" s="26"/>
      <c r="X204" s="12"/>
      <c r="Y204" s="12"/>
      <c r="Z204" s="12"/>
    </row>
    <row r="205" spans="3:26" s="164" customFormat="1" ht="25.5" x14ac:dyDescent="0.25">
      <c r="C205" s="801"/>
      <c r="D205" s="801" t="s">
        <v>50</v>
      </c>
      <c r="E205" s="801"/>
      <c r="F205" s="801"/>
      <c r="G205" s="801"/>
      <c r="H205" s="801"/>
      <c r="I205" s="802" t="s">
        <v>851</v>
      </c>
      <c r="J205" s="803"/>
      <c r="K205" s="798" t="s">
        <v>212</v>
      </c>
      <c r="L205" s="798"/>
      <c r="M205" s="804"/>
      <c r="N205" s="805"/>
      <c r="O205" s="806"/>
      <c r="P205" s="806"/>
      <c r="Q205" s="806"/>
      <c r="R205" s="806"/>
      <c r="S205" s="806"/>
      <c r="T205" s="806"/>
      <c r="U205" s="806"/>
      <c r="V205" s="801"/>
      <c r="W205" s="801"/>
      <c r="X205" s="806"/>
      <c r="Y205" s="806"/>
      <c r="Z205" s="806"/>
    </row>
    <row r="206" spans="3:26" ht="135" x14ac:dyDescent="0.25">
      <c r="C206" s="26"/>
      <c r="D206" s="26"/>
      <c r="E206" s="26" t="s">
        <v>50</v>
      </c>
      <c r="F206" s="26"/>
      <c r="G206" s="26"/>
      <c r="H206" s="26"/>
      <c r="I206" s="192" t="s">
        <v>852</v>
      </c>
      <c r="J206" s="204" t="s">
        <v>853</v>
      </c>
      <c r="K206" s="188" t="s">
        <v>822</v>
      </c>
      <c r="L206" s="189" t="s">
        <v>841</v>
      </c>
      <c r="M206" s="128" t="s">
        <v>854</v>
      </c>
      <c r="N206" s="72" t="s">
        <v>855</v>
      </c>
      <c r="O206" s="12" t="s">
        <v>856</v>
      </c>
      <c r="P206" s="12"/>
      <c r="Q206" s="12"/>
      <c r="R206" s="12" t="s">
        <v>857</v>
      </c>
      <c r="S206" s="12"/>
      <c r="T206" s="12"/>
      <c r="U206" s="12"/>
      <c r="V206" s="26"/>
      <c r="W206" s="26"/>
      <c r="X206" s="12"/>
      <c r="Y206" s="12"/>
      <c r="Z206" s="12"/>
    </row>
    <row r="207" spans="3:26" ht="173.25" x14ac:dyDescent="0.25">
      <c r="C207" s="26"/>
      <c r="D207" s="26"/>
      <c r="E207" s="26" t="s">
        <v>50</v>
      </c>
      <c r="F207" s="26"/>
      <c r="G207" s="26"/>
      <c r="H207" s="26"/>
      <c r="I207" s="192" t="s">
        <v>858</v>
      </c>
      <c r="J207" s="204" t="s">
        <v>859</v>
      </c>
      <c r="K207" s="188" t="s">
        <v>822</v>
      </c>
      <c r="L207" s="189" t="s">
        <v>841</v>
      </c>
      <c r="M207" s="72" t="s">
        <v>860</v>
      </c>
      <c r="N207" s="72" t="s">
        <v>855</v>
      </c>
      <c r="O207" s="12" t="s">
        <v>856</v>
      </c>
      <c r="P207" s="12"/>
      <c r="Q207" s="12"/>
      <c r="R207" s="12" t="s">
        <v>861</v>
      </c>
      <c r="S207" s="12"/>
      <c r="T207" s="12"/>
      <c r="U207" s="12"/>
      <c r="V207" s="26"/>
      <c r="W207" s="26"/>
      <c r="X207" s="12"/>
      <c r="Y207" s="12"/>
      <c r="Z207" s="12"/>
    </row>
    <row r="208" spans="3:26" ht="122.25" customHeight="1" x14ac:dyDescent="0.25">
      <c r="C208" s="26"/>
      <c r="D208" s="26"/>
      <c r="E208" s="26" t="s">
        <v>50</v>
      </c>
      <c r="F208" s="26"/>
      <c r="G208" s="26"/>
      <c r="H208" s="26"/>
      <c r="I208" s="192" t="s">
        <v>862</v>
      </c>
      <c r="J208" s="204" t="s">
        <v>863</v>
      </c>
      <c r="K208" s="188" t="s">
        <v>822</v>
      </c>
      <c r="L208" s="189" t="s">
        <v>841</v>
      </c>
      <c r="M208" s="72" t="s">
        <v>864</v>
      </c>
      <c r="N208" s="72" t="s">
        <v>865</v>
      </c>
      <c r="O208" s="12" t="s">
        <v>856</v>
      </c>
      <c r="P208" s="12"/>
      <c r="Q208" s="12"/>
      <c r="R208" s="12" t="s">
        <v>866</v>
      </c>
      <c r="S208" s="12"/>
      <c r="T208" s="12"/>
      <c r="U208" s="12"/>
      <c r="V208" s="26"/>
      <c r="W208" s="26"/>
      <c r="X208" s="12"/>
      <c r="Y208" s="12"/>
      <c r="Z208" s="12"/>
    </row>
    <row r="209" spans="3:26" s="164" customFormat="1" ht="25.5" x14ac:dyDescent="0.25">
      <c r="C209" s="801"/>
      <c r="D209" s="801" t="s">
        <v>50</v>
      </c>
      <c r="E209" s="801"/>
      <c r="F209" s="801"/>
      <c r="G209" s="801"/>
      <c r="H209" s="801"/>
      <c r="I209" s="802" t="s">
        <v>867</v>
      </c>
      <c r="J209" s="803"/>
      <c r="K209" s="798" t="s">
        <v>212</v>
      </c>
      <c r="L209" s="798"/>
      <c r="M209" s="804"/>
      <c r="N209" s="805"/>
      <c r="O209" s="806"/>
      <c r="P209" s="806"/>
      <c r="Q209" s="806"/>
      <c r="R209" s="806"/>
      <c r="S209" s="806"/>
      <c r="T209" s="806"/>
      <c r="U209" s="806"/>
      <c r="V209" s="801"/>
      <c r="W209" s="801"/>
      <c r="X209" s="806"/>
      <c r="Y209" s="806"/>
      <c r="Z209" s="806"/>
    </row>
    <row r="210" spans="3:26" ht="111" customHeight="1" x14ac:dyDescent="0.25">
      <c r="C210" s="26"/>
      <c r="D210" s="26"/>
      <c r="E210" s="26" t="s">
        <v>50</v>
      </c>
      <c r="F210" s="26"/>
      <c r="G210" s="26"/>
      <c r="H210" s="26"/>
      <c r="I210" s="192" t="s">
        <v>868</v>
      </c>
      <c r="J210" s="204" t="s">
        <v>869</v>
      </c>
      <c r="K210" s="26" t="s">
        <v>729</v>
      </c>
      <c r="L210" s="189" t="s">
        <v>841</v>
      </c>
      <c r="M210" s="128" t="s">
        <v>774</v>
      </c>
      <c r="N210" s="72" t="s">
        <v>870</v>
      </c>
      <c r="O210" s="12" t="s">
        <v>871</v>
      </c>
      <c r="P210" s="12"/>
      <c r="Q210" s="12"/>
      <c r="R210" s="12" t="s">
        <v>872</v>
      </c>
      <c r="S210" s="12"/>
      <c r="T210" s="12"/>
      <c r="U210" s="12"/>
      <c r="V210" s="26"/>
      <c r="W210" s="26"/>
      <c r="X210" s="12"/>
      <c r="Y210" s="12"/>
      <c r="Z210" s="12"/>
    </row>
    <row r="211" spans="3:26" ht="105.75" customHeight="1" x14ac:dyDescent="0.25">
      <c r="C211" s="26"/>
      <c r="D211" s="26"/>
      <c r="E211" s="26" t="s">
        <v>50</v>
      </c>
      <c r="F211" s="26"/>
      <c r="G211" s="26"/>
      <c r="H211" s="26"/>
      <c r="I211" s="192" t="s">
        <v>873</v>
      </c>
      <c r="J211" s="204" t="s">
        <v>874</v>
      </c>
      <c r="K211" s="26" t="s">
        <v>729</v>
      </c>
      <c r="L211" s="189" t="s">
        <v>841</v>
      </c>
      <c r="M211" s="128" t="s">
        <v>875</v>
      </c>
      <c r="N211" s="72" t="s">
        <v>876</v>
      </c>
      <c r="O211" s="12" t="s">
        <v>877</v>
      </c>
      <c r="P211" s="12"/>
      <c r="Q211" s="12"/>
      <c r="R211" s="12" t="s">
        <v>878</v>
      </c>
      <c r="S211" s="12"/>
      <c r="T211" s="12"/>
      <c r="U211" s="12"/>
      <c r="V211" s="26"/>
      <c r="W211" s="26"/>
      <c r="X211" s="12"/>
      <c r="Y211" s="12"/>
      <c r="Z211" s="12"/>
    </row>
    <row r="212" spans="3:26" ht="76.5" customHeight="1" x14ac:dyDescent="0.25">
      <c r="C212" s="26"/>
      <c r="D212" s="26"/>
      <c r="E212" s="26" t="s">
        <v>50</v>
      </c>
      <c r="F212" s="26"/>
      <c r="G212" s="26"/>
      <c r="H212" s="26"/>
      <c r="I212" s="338" t="s">
        <v>879</v>
      </c>
      <c r="J212" s="204" t="s">
        <v>880</v>
      </c>
      <c r="K212" s="188" t="s">
        <v>881</v>
      </c>
      <c r="L212" s="188" t="s">
        <v>882</v>
      </c>
      <c r="M212" s="128" t="s">
        <v>883</v>
      </c>
      <c r="N212" s="72" t="s">
        <v>884</v>
      </c>
      <c r="O212" s="12" t="s">
        <v>885</v>
      </c>
      <c r="P212" s="12"/>
      <c r="Q212" s="12"/>
      <c r="R212" s="12" t="s">
        <v>630</v>
      </c>
      <c r="S212" s="12"/>
      <c r="T212" s="12"/>
      <c r="U212" s="12"/>
      <c r="V212" s="26"/>
      <c r="W212" s="26"/>
      <c r="X212" s="12"/>
      <c r="Y212" s="12"/>
      <c r="Z212" s="12"/>
    </row>
    <row r="213" spans="3:26" ht="38.25" x14ac:dyDescent="0.25">
      <c r="C213" s="26" t="s">
        <v>50</v>
      </c>
      <c r="D213" s="26"/>
      <c r="E213" s="26"/>
      <c r="F213" s="26"/>
      <c r="G213" s="26"/>
      <c r="H213" s="26"/>
      <c r="I213" s="194" t="s">
        <v>886</v>
      </c>
      <c r="J213" s="472" t="s">
        <v>887</v>
      </c>
      <c r="K213" s="188" t="s">
        <v>212</v>
      </c>
      <c r="L213" s="188"/>
      <c r="M213" s="128"/>
      <c r="N213" s="72"/>
      <c r="O213" s="12"/>
      <c r="P213" s="12"/>
      <c r="Q213" s="12"/>
      <c r="R213" s="12"/>
      <c r="S213" s="12"/>
      <c r="T213" s="12"/>
      <c r="U213" s="12"/>
      <c r="V213" s="26"/>
      <c r="W213" s="26"/>
      <c r="X213" s="12"/>
      <c r="Y213" s="12"/>
      <c r="Z213" s="12"/>
    </row>
    <row r="214" spans="3:26" s="164" customFormat="1" x14ac:dyDescent="0.25">
      <c r="C214" s="801"/>
      <c r="D214" s="801" t="s">
        <v>50</v>
      </c>
      <c r="E214" s="801"/>
      <c r="F214" s="801"/>
      <c r="G214" s="801"/>
      <c r="H214" s="801"/>
      <c r="I214" s="802" t="s">
        <v>888</v>
      </c>
      <c r="J214" s="803"/>
      <c r="K214" s="798" t="s">
        <v>212</v>
      </c>
      <c r="L214" s="798"/>
      <c r="M214" s="804"/>
      <c r="N214" s="805"/>
      <c r="O214" s="806"/>
      <c r="P214" s="806"/>
      <c r="Q214" s="806"/>
      <c r="R214" s="806"/>
      <c r="S214" s="806"/>
      <c r="T214" s="806"/>
      <c r="U214" s="806"/>
      <c r="V214" s="801"/>
      <c r="W214" s="801"/>
      <c r="X214" s="806"/>
      <c r="Y214" s="806"/>
      <c r="Z214" s="806"/>
    </row>
    <row r="215" spans="3:26" ht="90" x14ac:dyDescent="0.25">
      <c r="C215" s="26"/>
      <c r="D215" s="26"/>
      <c r="E215" s="26" t="s">
        <v>50</v>
      </c>
      <c r="F215" s="26"/>
      <c r="G215" s="26"/>
      <c r="H215" s="26"/>
      <c r="I215" s="192" t="s">
        <v>889</v>
      </c>
      <c r="J215" s="204" t="s">
        <v>890</v>
      </c>
      <c r="K215" s="188" t="s">
        <v>891</v>
      </c>
      <c r="L215" s="821" t="str">
        <f>HYPERLINK("http://wiki.academyofsports.online/tiki-index.php?page=%C3%9Cberpr%C3%BCfung-und-Festlegung-der-Qualit%C3%A4ts--und-Unternehmensziele", "WIKI: Überprüfung und Festlegung der Qualitäts- und Unternehmensziele")</f>
        <v>WIKI: Überprüfung und Festlegung der Qualitäts- und Unternehmensziele</v>
      </c>
      <c r="M215" s="72" t="s">
        <v>892</v>
      </c>
      <c r="N215" s="72" t="s">
        <v>893</v>
      </c>
      <c r="O215" s="12" t="s">
        <v>894</v>
      </c>
      <c r="P215" s="12"/>
      <c r="Q215" s="12"/>
      <c r="R215" s="12" t="s">
        <v>895</v>
      </c>
      <c r="S215" s="12"/>
      <c r="T215" s="12"/>
      <c r="U215" s="12"/>
      <c r="V215" s="26"/>
      <c r="W215" s="26"/>
      <c r="X215" s="12"/>
      <c r="Y215" s="12"/>
      <c r="Z215" s="12"/>
    </row>
    <row r="216" spans="3:26" ht="71.25" customHeight="1" x14ac:dyDescent="0.25">
      <c r="C216" s="26"/>
      <c r="D216" s="26"/>
      <c r="E216" s="26" t="s">
        <v>50</v>
      </c>
      <c r="F216" s="26"/>
      <c r="G216" s="26"/>
      <c r="H216" s="26"/>
      <c r="I216" s="192" t="s">
        <v>896</v>
      </c>
      <c r="J216" s="472" t="s">
        <v>897</v>
      </c>
      <c r="K216" s="188" t="s">
        <v>891</v>
      </c>
      <c r="L216" s="821" t="str">
        <f>HYPERLINK("http://wiki.academyofsports.online/tiki-index.php?page=%C3%9Cberpr%C3%BCfung-und-Festlegung-der-Qualit%C3%A4ts--und-Unternehmensziele", "WIKI: Überprüfung und Festlegung der Qualitäts- und Unternehmensziele")</f>
        <v>WIKI: Überprüfung und Festlegung der Qualitäts- und Unternehmensziele</v>
      </c>
      <c r="M216" s="72" t="s">
        <v>892</v>
      </c>
      <c r="N216" s="72" t="s">
        <v>893</v>
      </c>
      <c r="O216" s="12" t="s">
        <v>898</v>
      </c>
      <c r="P216" s="12"/>
      <c r="Q216" s="12"/>
      <c r="R216" s="12" t="s">
        <v>895</v>
      </c>
      <c r="S216" s="12"/>
      <c r="T216" s="12"/>
      <c r="U216" s="12"/>
      <c r="V216" s="26"/>
      <c r="W216" s="26"/>
      <c r="X216" s="12"/>
      <c r="Y216" s="12"/>
      <c r="Z216" s="12"/>
    </row>
    <row r="217" spans="3:26" ht="90" x14ac:dyDescent="0.25">
      <c r="C217" s="26"/>
      <c r="D217" s="26"/>
      <c r="E217" s="26" t="s">
        <v>50</v>
      </c>
      <c r="F217" s="26"/>
      <c r="G217" s="26"/>
      <c r="H217" s="26"/>
      <c r="I217" s="192" t="s">
        <v>899</v>
      </c>
      <c r="J217" s="472" t="s">
        <v>900</v>
      </c>
      <c r="K217" s="188" t="s">
        <v>891</v>
      </c>
      <c r="L217" s="821" t="str">
        <f>HYPERLINK("http://wiki.academyofsports.online/tiki-index.php?page=%C3%9Cberpr%C3%BCfung-und-Festlegung-der-Qualit%C3%A4ts--und-Unternehmensziele", "WIKI: Überprüfung und Festlegung der Qualitäts- und Unternehmensziele")</f>
        <v>WIKI: Überprüfung und Festlegung der Qualitäts- und Unternehmensziele</v>
      </c>
      <c r="M217" s="72" t="s">
        <v>892</v>
      </c>
      <c r="N217" s="72" t="s">
        <v>893</v>
      </c>
      <c r="O217" s="12" t="s">
        <v>898</v>
      </c>
      <c r="P217" s="12"/>
      <c r="Q217" s="12"/>
      <c r="R217" s="12" t="s">
        <v>895</v>
      </c>
      <c r="S217" s="12"/>
      <c r="T217" s="12"/>
      <c r="U217" s="12"/>
      <c r="V217" s="26"/>
      <c r="W217" s="26"/>
      <c r="X217" s="12"/>
      <c r="Y217" s="12"/>
      <c r="Z217" s="12"/>
    </row>
    <row r="218" spans="3:26" s="164" customFormat="1" x14ac:dyDescent="0.25">
      <c r="C218" s="801"/>
      <c r="D218" s="801" t="s">
        <v>50</v>
      </c>
      <c r="E218" s="801"/>
      <c r="F218" s="801"/>
      <c r="G218" s="801"/>
      <c r="H218" s="801"/>
      <c r="I218" s="802" t="s">
        <v>901</v>
      </c>
      <c r="J218" s="803"/>
      <c r="K218" s="798" t="s">
        <v>212</v>
      </c>
      <c r="L218" s="822"/>
      <c r="M218" s="804"/>
      <c r="N218" s="805"/>
      <c r="O218" s="806"/>
      <c r="P218" s="806"/>
      <c r="Q218" s="806"/>
      <c r="R218" s="806"/>
      <c r="S218" s="806"/>
      <c r="T218" s="806"/>
      <c r="U218" s="806"/>
      <c r="V218" s="801"/>
      <c r="W218" s="801"/>
      <c r="X218" s="806"/>
      <c r="Y218" s="806"/>
      <c r="Z218" s="806"/>
    </row>
    <row r="219" spans="3:26" ht="90" x14ac:dyDescent="0.25">
      <c r="C219" s="26"/>
      <c r="D219" s="26"/>
      <c r="E219" s="26" t="s">
        <v>50</v>
      </c>
      <c r="F219" s="26"/>
      <c r="G219" s="26"/>
      <c r="H219" s="26"/>
      <c r="I219" s="192" t="s">
        <v>902</v>
      </c>
      <c r="J219" s="204" t="s">
        <v>903</v>
      </c>
      <c r="K219" s="188" t="s">
        <v>891</v>
      </c>
      <c r="L219" s="823" t="s">
        <v>904</v>
      </c>
      <c r="M219" s="128" t="s">
        <v>905</v>
      </c>
      <c r="N219" s="72" t="s">
        <v>906</v>
      </c>
      <c r="O219" s="12" t="s">
        <v>898</v>
      </c>
      <c r="P219" s="12"/>
      <c r="Q219" s="12"/>
      <c r="R219" s="12" t="s">
        <v>895</v>
      </c>
      <c r="S219" s="12"/>
      <c r="T219" s="12"/>
      <c r="U219" s="12"/>
      <c r="V219" s="26"/>
      <c r="W219" s="26"/>
      <c r="X219" s="12"/>
      <c r="Y219" s="12"/>
      <c r="Z219" s="12"/>
    </row>
    <row r="220" spans="3:26" x14ac:dyDescent="0.25">
      <c r="C220" s="26" t="s">
        <v>50</v>
      </c>
      <c r="D220" s="26"/>
      <c r="E220" s="26"/>
      <c r="F220" s="26"/>
      <c r="G220" s="26"/>
      <c r="H220" s="26"/>
      <c r="I220" s="194" t="s">
        <v>907</v>
      </c>
      <c r="J220" s="472"/>
      <c r="K220" s="188" t="s">
        <v>212</v>
      </c>
      <c r="L220" s="188"/>
      <c r="M220" s="128"/>
      <c r="N220" s="72"/>
      <c r="O220" s="12"/>
      <c r="P220" s="12"/>
      <c r="Q220" s="12"/>
      <c r="R220" s="12"/>
      <c r="S220" s="12"/>
      <c r="T220" s="12"/>
      <c r="U220" s="12"/>
      <c r="V220" s="26"/>
      <c r="W220" s="26"/>
      <c r="X220" s="12"/>
      <c r="Y220" s="12"/>
      <c r="Z220" s="12"/>
    </row>
    <row r="221" spans="3:26" s="164" customFormat="1" x14ac:dyDescent="0.25">
      <c r="C221" s="801"/>
      <c r="D221" s="801" t="s">
        <v>50</v>
      </c>
      <c r="E221" s="801"/>
      <c r="F221" s="801"/>
      <c r="G221" s="801"/>
      <c r="H221" s="801"/>
      <c r="I221" s="802" t="s">
        <v>908</v>
      </c>
      <c r="J221" s="803"/>
      <c r="K221" s="798" t="s">
        <v>212</v>
      </c>
      <c r="L221" s="798"/>
      <c r="M221" s="804"/>
      <c r="N221" s="805"/>
      <c r="O221" s="806"/>
      <c r="P221" s="806"/>
      <c r="Q221" s="806"/>
      <c r="R221" s="806"/>
      <c r="S221" s="806"/>
      <c r="T221" s="806"/>
      <c r="U221" s="806"/>
      <c r="V221" s="801"/>
      <c r="W221" s="801"/>
      <c r="X221" s="806"/>
      <c r="Y221" s="806"/>
      <c r="Z221" s="806"/>
    </row>
    <row r="222" spans="3:26" ht="150" x14ac:dyDescent="0.25">
      <c r="C222" s="26"/>
      <c r="D222" s="26"/>
      <c r="E222" s="26" t="s">
        <v>50</v>
      </c>
      <c r="F222" s="26"/>
      <c r="G222" s="26"/>
      <c r="H222" s="26"/>
      <c r="I222" s="192" t="s">
        <v>909</v>
      </c>
      <c r="J222" s="140" t="s">
        <v>910</v>
      </c>
      <c r="K222" s="26" t="s">
        <v>911</v>
      </c>
      <c r="L222" s="189" t="s">
        <v>912</v>
      </c>
      <c r="M222" s="72" t="s">
        <v>913</v>
      </c>
      <c r="N222" s="72" t="s">
        <v>914</v>
      </c>
      <c r="O222" s="12" t="s">
        <v>915</v>
      </c>
      <c r="P222" s="12"/>
      <c r="Q222" s="12"/>
      <c r="R222" s="12" t="s">
        <v>916</v>
      </c>
      <c r="S222" s="12"/>
      <c r="T222" s="12"/>
      <c r="U222" s="12"/>
      <c r="V222" s="26"/>
      <c r="W222" s="26"/>
      <c r="X222" s="12"/>
      <c r="Y222" s="12"/>
      <c r="Z222" s="12"/>
    </row>
    <row r="223" spans="3:26" ht="120" x14ac:dyDescent="0.25">
      <c r="C223" s="26"/>
      <c r="D223" s="26"/>
      <c r="E223" s="26" t="s">
        <v>50</v>
      </c>
      <c r="F223" s="26"/>
      <c r="G223" s="26"/>
      <c r="H223" s="26"/>
      <c r="I223" s="192" t="s">
        <v>917</v>
      </c>
      <c r="J223" s="204" t="s">
        <v>918</v>
      </c>
      <c r="K223" s="26" t="s">
        <v>919</v>
      </c>
      <c r="L223" s="189" t="s">
        <v>912</v>
      </c>
      <c r="M223" s="72" t="s">
        <v>913</v>
      </c>
      <c r="N223" s="72" t="s">
        <v>914</v>
      </c>
      <c r="O223" s="12" t="s">
        <v>915</v>
      </c>
      <c r="P223" s="12"/>
      <c r="Q223" s="12"/>
      <c r="R223" s="12" t="s">
        <v>916</v>
      </c>
      <c r="S223" s="12"/>
      <c r="T223" s="12"/>
      <c r="U223" s="12"/>
      <c r="V223" s="26"/>
      <c r="W223" s="26"/>
      <c r="X223" s="12"/>
      <c r="Y223" s="12"/>
      <c r="Z223" s="12"/>
    </row>
    <row r="224" spans="3:26" ht="180" x14ac:dyDescent="0.25">
      <c r="C224" s="26"/>
      <c r="D224" s="26"/>
      <c r="E224" s="26" t="s">
        <v>50</v>
      </c>
      <c r="F224" s="26"/>
      <c r="G224" s="26"/>
      <c r="H224" s="26"/>
      <c r="I224" s="192" t="s">
        <v>920</v>
      </c>
      <c r="J224" s="204" t="s">
        <v>921</v>
      </c>
      <c r="K224" s="26" t="s">
        <v>922</v>
      </c>
      <c r="L224" s="189" t="s">
        <v>912</v>
      </c>
      <c r="M224" s="72" t="s">
        <v>923</v>
      </c>
      <c r="N224" s="72" t="s">
        <v>924</v>
      </c>
      <c r="O224" s="12" t="s">
        <v>925</v>
      </c>
      <c r="P224" s="12"/>
      <c r="Q224" s="12"/>
      <c r="R224" s="12" t="s">
        <v>916</v>
      </c>
      <c r="S224" s="12"/>
      <c r="T224" s="12"/>
      <c r="U224" s="12"/>
      <c r="V224" s="26"/>
      <c r="W224" s="26"/>
      <c r="X224" s="12"/>
      <c r="Y224" s="12"/>
      <c r="Z224" s="12"/>
    </row>
    <row r="225" spans="3:26" s="164" customFormat="1" x14ac:dyDescent="0.25">
      <c r="C225" s="801"/>
      <c r="D225" s="801" t="s">
        <v>50</v>
      </c>
      <c r="E225" s="801"/>
      <c r="F225" s="801"/>
      <c r="G225" s="801"/>
      <c r="H225" s="801"/>
      <c r="I225" s="802" t="s">
        <v>926</v>
      </c>
      <c r="J225" s="803"/>
      <c r="K225" s="798" t="s">
        <v>212</v>
      </c>
      <c r="L225" s="798"/>
      <c r="M225" s="804"/>
      <c r="N225" s="805"/>
      <c r="O225" s="806"/>
      <c r="P225" s="806"/>
      <c r="Q225" s="806"/>
      <c r="R225" s="806"/>
      <c r="S225" s="806"/>
      <c r="T225" s="806"/>
      <c r="U225" s="806"/>
      <c r="V225" s="801"/>
      <c r="W225" s="801"/>
      <c r="X225" s="806"/>
      <c r="Y225" s="806"/>
      <c r="Z225" s="806"/>
    </row>
    <row r="226" spans="3:26" x14ac:dyDescent="0.25">
      <c r="C226" s="26"/>
      <c r="D226" s="26"/>
      <c r="E226" s="26" t="s">
        <v>50</v>
      </c>
      <c r="F226" s="26"/>
      <c r="G226" s="26"/>
      <c r="H226" s="26"/>
      <c r="I226" s="815" t="s">
        <v>927</v>
      </c>
      <c r="J226" s="472"/>
      <c r="K226" s="188"/>
      <c r="L226" s="188"/>
      <c r="M226" s="128"/>
      <c r="N226" s="72"/>
      <c r="O226" s="12"/>
      <c r="P226" s="12"/>
      <c r="Q226" s="12"/>
      <c r="R226" s="12"/>
      <c r="S226" s="12"/>
      <c r="T226" s="12"/>
      <c r="U226" s="12"/>
      <c r="V226" s="26"/>
      <c r="W226" s="26"/>
      <c r="X226" s="12"/>
      <c r="Y226" s="12"/>
      <c r="Z226" s="12"/>
    </row>
    <row r="227" spans="3:26" s="74" customFormat="1" ht="120" x14ac:dyDescent="0.25">
      <c r="C227" s="188"/>
      <c r="D227" s="188"/>
      <c r="E227" s="188"/>
      <c r="F227" s="188" t="s">
        <v>50</v>
      </c>
      <c r="G227" s="188"/>
      <c r="H227" s="205"/>
      <c r="I227" s="338" t="s">
        <v>928</v>
      </c>
      <c r="J227" s="140" t="s">
        <v>929</v>
      </c>
      <c r="K227" s="26" t="s">
        <v>930</v>
      </c>
      <c r="L227" s="188" t="s">
        <v>931</v>
      </c>
      <c r="M227" s="72" t="s">
        <v>932</v>
      </c>
      <c r="N227" s="72" t="s">
        <v>933</v>
      </c>
      <c r="O227" s="12" t="s">
        <v>934</v>
      </c>
      <c r="P227" s="69"/>
      <c r="Q227" s="69"/>
      <c r="R227" s="12" t="s">
        <v>935</v>
      </c>
      <c r="S227" s="69"/>
      <c r="T227" s="70"/>
      <c r="U227" s="69"/>
      <c r="V227" s="188" t="s">
        <v>31</v>
      </c>
      <c r="W227" s="188" t="s">
        <v>31</v>
      </c>
      <c r="X227" s="70"/>
      <c r="Y227" s="70"/>
      <c r="Z227" s="70"/>
    </row>
    <row r="228" spans="3:26" ht="45" x14ac:dyDescent="0.25">
      <c r="C228" s="26"/>
      <c r="D228" s="26"/>
      <c r="E228" s="26"/>
      <c r="F228" s="26" t="s">
        <v>50</v>
      </c>
      <c r="G228" s="26"/>
      <c r="H228" s="26"/>
      <c r="I228" s="198" t="s">
        <v>936</v>
      </c>
      <c r="J228" s="472" t="s">
        <v>937</v>
      </c>
      <c r="K228" s="26" t="s">
        <v>930</v>
      </c>
      <c r="L228" s="188" t="s">
        <v>938</v>
      </c>
      <c r="M228" s="72" t="s">
        <v>939</v>
      </c>
      <c r="N228" s="72" t="s">
        <v>933</v>
      </c>
      <c r="O228" s="69" t="s">
        <v>940</v>
      </c>
      <c r="P228" s="12"/>
      <c r="Q228" s="12"/>
      <c r="R228" s="12" t="s">
        <v>941</v>
      </c>
      <c r="S228" s="12"/>
      <c r="T228" s="12"/>
      <c r="U228" s="12"/>
      <c r="V228" s="26"/>
      <c r="W228" s="26"/>
      <c r="X228" s="12"/>
      <c r="Y228" s="12"/>
      <c r="Z228" s="12"/>
    </row>
    <row r="229" spans="3:26" ht="75" x14ac:dyDescent="0.25">
      <c r="C229" s="26"/>
      <c r="D229" s="26"/>
      <c r="E229" s="26"/>
      <c r="F229" s="26" t="s">
        <v>50</v>
      </c>
      <c r="G229" s="26"/>
      <c r="H229" s="26"/>
      <c r="I229" s="198" t="s">
        <v>942</v>
      </c>
      <c r="J229" s="472" t="s">
        <v>943</v>
      </c>
      <c r="K229" s="188" t="s">
        <v>944</v>
      </c>
      <c r="L229" s="188" t="s">
        <v>938</v>
      </c>
      <c r="M229" s="72" t="s">
        <v>945</v>
      </c>
      <c r="N229" s="72" t="s">
        <v>946</v>
      </c>
      <c r="O229" s="12" t="s">
        <v>947</v>
      </c>
      <c r="P229" s="12"/>
      <c r="Q229" s="12"/>
      <c r="R229" s="12" t="s">
        <v>948</v>
      </c>
      <c r="S229" s="12"/>
      <c r="T229" s="12"/>
      <c r="U229" s="12"/>
      <c r="V229" s="26"/>
      <c r="W229" s="26"/>
      <c r="X229" s="12"/>
      <c r="Y229" s="12"/>
      <c r="Z229" s="12"/>
    </row>
    <row r="230" spans="3:26" ht="105" x14ac:dyDescent="0.25">
      <c r="C230" s="26"/>
      <c r="D230" s="26"/>
      <c r="E230" s="26"/>
      <c r="F230" s="26" t="s">
        <v>50</v>
      </c>
      <c r="G230" s="26"/>
      <c r="H230" s="26"/>
      <c r="I230" s="198" t="s">
        <v>949</v>
      </c>
      <c r="J230" s="472" t="s">
        <v>950</v>
      </c>
      <c r="K230" s="26" t="s">
        <v>951</v>
      </c>
      <c r="L230" s="188" t="s">
        <v>938</v>
      </c>
      <c r="M230" s="72" t="s">
        <v>945</v>
      </c>
      <c r="N230" s="72" t="s">
        <v>946</v>
      </c>
      <c r="O230" s="69" t="s">
        <v>940</v>
      </c>
      <c r="P230" s="12"/>
      <c r="Q230" s="12"/>
      <c r="R230" s="12" t="s">
        <v>952</v>
      </c>
      <c r="S230" s="12"/>
      <c r="T230" s="12"/>
      <c r="U230" s="12"/>
      <c r="V230" s="26"/>
      <c r="W230" s="26"/>
      <c r="X230" s="12"/>
      <c r="Y230" s="12"/>
      <c r="Z230" s="12"/>
    </row>
    <row r="231" spans="3:26" x14ac:dyDescent="0.25">
      <c r="C231" s="26"/>
      <c r="D231" s="26"/>
      <c r="E231" s="26" t="s">
        <v>50</v>
      </c>
      <c r="F231" s="26"/>
      <c r="G231" s="26"/>
      <c r="H231" s="26"/>
      <c r="I231" s="815" t="s">
        <v>953</v>
      </c>
      <c r="J231" s="472" t="s">
        <v>954</v>
      </c>
      <c r="K231" s="188"/>
      <c r="L231" s="188"/>
      <c r="M231" s="128"/>
      <c r="N231" s="72"/>
      <c r="O231" s="12"/>
      <c r="P231" s="12"/>
      <c r="Q231" s="12"/>
      <c r="R231" s="12"/>
      <c r="S231" s="12"/>
      <c r="T231" s="12"/>
      <c r="U231" s="12"/>
      <c r="V231" s="26"/>
      <c r="W231" s="26"/>
      <c r="X231" s="12"/>
      <c r="Y231" s="12"/>
      <c r="Z231" s="12"/>
    </row>
    <row r="232" spans="3:26" ht="105" x14ac:dyDescent="0.25">
      <c r="C232" s="26"/>
      <c r="D232" s="26"/>
      <c r="E232" s="26"/>
      <c r="F232" s="26" t="s">
        <v>50</v>
      </c>
      <c r="G232" s="26"/>
      <c r="H232" s="26"/>
      <c r="I232" s="198" t="s">
        <v>955</v>
      </c>
      <c r="J232" s="472" t="s">
        <v>956</v>
      </c>
      <c r="K232" s="188" t="s">
        <v>957</v>
      </c>
      <c r="L232" s="188" t="s">
        <v>958</v>
      </c>
      <c r="M232" s="128" t="s">
        <v>959</v>
      </c>
      <c r="N232" s="72" t="s">
        <v>960</v>
      </c>
      <c r="O232" s="12" t="s">
        <v>957</v>
      </c>
      <c r="P232" s="12"/>
      <c r="Q232" s="12"/>
      <c r="R232" s="63" t="s">
        <v>803</v>
      </c>
      <c r="S232" s="12"/>
      <c r="T232" s="12"/>
      <c r="U232" s="12"/>
      <c r="V232" s="26"/>
      <c r="W232" s="26"/>
      <c r="X232" s="12"/>
      <c r="Y232" s="12"/>
      <c r="Z232" s="12"/>
    </row>
    <row r="233" spans="3:26" ht="105" x14ac:dyDescent="0.25">
      <c r="C233" s="26"/>
      <c r="D233" s="26"/>
      <c r="E233" s="26"/>
      <c r="F233" s="26" t="s">
        <v>50</v>
      </c>
      <c r="G233" s="26"/>
      <c r="H233" s="26"/>
      <c r="I233" s="198" t="s">
        <v>961</v>
      </c>
      <c r="J233" s="472" t="s">
        <v>962</v>
      </c>
      <c r="K233" s="188" t="s">
        <v>957</v>
      </c>
      <c r="L233" s="188" t="s">
        <v>963</v>
      </c>
      <c r="M233" s="128" t="s">
        <v>959</v>
      </c>
      <c r="N233" s="72" t="s">
        <v>960</v>
      </c>
      <c r="O233" s="12" t="s">
        <v>957</v>
      </c>
      <c r="P233" s="12"/>
      <c r="Q233" s="12"/>
      <c r="R233" s="63" t="s">
        <v>803</v>
      </c>
      <c r="S233" s="12"/>
      <c r="T233" s="12"/>
      <c r="U233" s="12"/>
      <c r="V233" s="26"/>
      <c r="W233" s="26"/>
      <c r="X233" s="12"/>
      <c r="Y233" s="12"/>
      <c r="Z233" s="12"/>
    </row>
    <row r="234" spans="3:26" s="164" customFormat="1" x14ac:dyDescent="0.25">
      <c r="C234" s="801"/>
      <c r="D234" s="801" t="s">
        <v>50</v>
      </c>
      <c r="E234" s="801"/>
      <c r="F234" s="801"/>
      <c r="G234" s="801"/>
      <c r="H234" s="801"/>
      <c r="I234" s="802" t="s">
        <v>964</v>
      </c>
      <c r="J234" s="803"/>
      <c r="K234" s="798" t="s">
        <v>212</v>
      </c>
      <c r="L234" s="798"/>
      <c r="M234" s="804"/>
      <c r="N234" s="805"/>
      <c r="O234" s="806"/>
      <c r="P234" s="806"/>
      <c r="Q234" s="806"/>
      <c r="R234" s="806"/>
      <c r="S234" s="806"/>
      <c r="T234" s="806"/>
      <c r="U234" s="806"/>
      <c r="V234" s="801"/>
      <c r="W234" s="801"/>
      <c r="X234" s="806"/>
      <c r="Y234" s="806"/>
      <c r="Z234" s="806"/>
    </row>
    <row r="235" spans="3:26" ht="60" customHeight="1" x14ac:dyDescent="0.25">
      <c r="C235" s="26"/>
      <c r="D235" s="26"/>
      <c r="E235" s="26" t="s">
        <v>50</v>
      </c>
      <c r="F235" s="26"/>
      <c r="G235" s="26"/>
      <c r="H235" s="26"/>
      <c r="I235" s="192" t="s">
        <v>965</v>
      </c>
      <c r="J235" s="204" t="s">
        <v>966</v>
      </c>
      <c r="K235" s="188" t="s">
        <v>967</v>
      </c>
      <c r="L235" s="191" t="s">
        <v>968</v>
      </c>
      <c r="M235" s="128" t="s">
        <v>969</v>
      </c>
      <c r="N235" s="128" t="s">
        <v>970</v>
      </c>
      <c r="O235" s="12" t="s">
        <v>915</v>
      </c>
      <c r="P235" s="12"/>
      <c r="Q235" s="12"/>
      <c r="R235" s="12" t="s">
        <v>971</v>
      </c>
      <c r="S235" s="12"/>
      <c r="T235" s="12"/>
      <c r="U235" s="12"/>
      <c r="V235" s="26"/>
      <c r="W235" s="26"/>
      <c r="X235" s="12"/>
      <c r="Y235" s="12"/>
      <c r="Z235" s="12"/>
    </row>
    <row r="236" spans="3:26" ht="90" x14ac:dyDescent="0.25">
      <c r="C236" s="26"/>
      <c r="D236" s="26"/>
      <c r="E236" s="26" t="s">
        <v>50</v>
      </c>
      <c r="F236" s="26"/>
      <c r="G236" s="26"/>
      <c r="H236" s="26"/>
      <c r="I236" s="192" t="s">
        <v>972</v>
      </c>
      <c r="J236" s="472" t="s">
        <v>973</v>
      </c>
      <c r="K236" s="188" t="s">
        <v>891</v>
      </c>
      <c r="L236" s="191" t="s">
        <v>968</v>
      </c>
      <c r="M236" s="128" t="s">
        <v>969</v>
      </c>
      <c r="N236" s="128" t="s">
        <v>970</v>
      </c>
      <c r="O236" s="12" t="s">
        <v>915</v>
      </c>
      <c r="P236" s="12"/>
      <c r="Q236" s="12"/>
      <c r="R236" s="12" t="s">
        <v>971</v>
      </c>
      <c r="S236" s="12"/>
      <c r="T236" s="12"/>
      <c r="U236" s="12"/>
      <c r="V236" s="26"/>
      <c r="W236" s="26"/>
      <c r="X236" s="12"/>
      <c r="Y236" s="12"/>
      <c r="Z236" s="12"/>
    </row>
    <row r="237" spans="3:26" ht="90" x14ac:dyDescent="0.25">
      <c r="C237" s="26"/>
      <c r="D237" s="26"/>
      <c r="E237" s="26" t="s">
        <v>50</v>
      </c>
      <c r="F237" s="26"/>
      <c r="G237" s="26"/>
      <c r="H237" s="26"/>
      <c r="I237" s="192" t="s">
        <v>974</v>
      </c>
      <c r="J237" s="204" t="s">
        <v>975</v>
      </c>
      <c r="K237" s="188" t="s">
        <v>891</v>
      </c>
      <c r="L237" s="191" t="s">
        <v>968</v>
      </c>
      <c r="M237" s="72" t="s">
        <v>976</v>
      </c>
      <c r="N237" s="72" t="s">
        <v>977</v>
      </c>
      <c r="O237" s="12" t="s">
        <v>915</v>
      </c>
      <c r="P237" s="12"/>
      <c r="Q237" s="12"/>
      <c r="R237" s="12" t="s">
        <v>971</v>
      </c>
      <c r="S237" s="12"/>
      <c r="T237" s="12"/>
      <c r="U237" s="12"/>
      <c r="V237" s="26"/>
      <c r="W237" s="26"/>
      <c r="X237" s="12"/>
      <c r="Y237" s="12"/>
      <c r="Z237" s="12"/>
    </row>
    <row r="238" spans="3:26" s="164" customFormat="1" x14ac:dyDescent="0.25">
      <c r="C238" s="801"/>
      <c r="D238" s="801" t="s">
        <v>50</v>
      </c>
      <c r="E238" s="801"/>
      <c r="F238" s="801"/>
      <c r="G238" s="801"/>
      <c r="H238" s="801"/>
      <c r="I238" s="802" t="s">
        <v>978</v>
      </c>
      <c r="J238" s="803"/>
      <c r="K238" s="798" t="s">
        <v>212</v>
      </c>
      <c r="L238" s="798"/>
      <c r="M238" s="804"/>
      <c r="N238" s="805"/>
      <c r="O238" s="806"/>
      <c r="P238" s="806"/>
      <c r="Q238" s="806"/>
      <c r="R238" s="806"/>
      <c r="S238" s="806"/>
      <c r="T238" s="806"/>
      <c r="U238" s="806"/>
      <c r="V238" s="801"/>
      <c r="W238" s="801"/>
      <c r="X238" s="806"/>
      <c r="Y238" s="806"/>
      <c r="Z238" s="806"/>
    </row>
    <row r="239" spans="3:26" x14ac:dyDescent="0.25">
      <c r="C239" s="26"/>
      <c r="D239" s="26"/>
      <c r="E239" s="26" t="s">
        <v>50</v>
      </c>
      <c r="F239" s="26"/>
      <c r="G239" s="26"/>
      <c r="H239" s="26"/>
      <c r="I239" s="793" t="s">
        <v>979</v>
      </c>
      <c r="J239" s="472" t="s">
        <v>954</v>
      </c>
      <c r="K239" s="188"/>
      <c r="L239" s="188"/>
      <c r="M239" s="128"/>
      <c r="N239" s="72"/>
      <c r="O239" s="12"/>
      <c r="P239" s="12"/>
      <c r="Q239" s="12"/>
      <c r="R239" s="12"/>
      <c r="S239" s="12"/>
      <c r="T239" s="12"/>
      <c r="U239" s="12"/>
      <c r="V239" s="26"/>
      <c r="W239" s="26"/>
      <c r="X239" s="12"/>
      <c r="Y239" s="12"/>
      <c r="Z239" s="12"/>
    </row>
    <row r="240" spans="3:26" ht="105" x14ac:dyDescent="0.25">
      <c r="C240" s="26"/>
      <c r="D240" s="26"/>
      <c r="E240" s="26" t="s">
        <v>50</v>
      </c>
      <c r="F240" s="26"/>
      <c r="G240" s="26"/>
      <c r="H240" s="26"/>
      <c r="I240" s="192" t="s">
        <v>980</v>
      </c>
      <c r="J240" s="204" t="s">
        <v>981</v>
      </c>
      <c r="K240" s="188"/>
      <c r="L240" s="818" t="s">
        <v>982</v>
      </c>
      <c r="M240" s="128" t="s">
        <v>969</v>
      </c>
      <c r="N240" s="128" t="s">
        <v>983</v>
      </c>
      <c r="O240" s="69" t="s">
        <v>940</v>
      </c>
      <c r="P240" s="12"/>
      <c r="Q240" s="12"/>
      <c r="R240" s="12" t="s">
        <v>984</v>
      </c>
      <c r="S240" s="12"/>
      <c r="T240" s="12"/>
      <c r="U240" s="12"/>
      <c r="V240" s="26"/>
      <c r="W240" s="26"/>
      <c r="X240" s="12"/>
      <c r="Y240" s="12"/>
      <c r="Z240" s="12"/>
    </row>
    <row r="241" spans="3:26" s="164" customFormat="1" x14ac:dyDescent="0.25">
      <c r="C241" s="801"/>
      <c r="D241" s="801" t="s">
        <v>50</v>
      </c>
      <c r="E241" s="801"/>
      <c r="F241" s="801"/>
      <c r="G241" s="801"/>
      <c r="H241" s="801"/>
      <c r="I241" s="802" t="s">
        <v>985</v>
      </c>
      <c r="J241" s="803"/>
      <c r="K241" s="798" t="s">
        <v>212</v>
      </c>
      <c r="L241" s="798"/>
      <c r="M241" s="804"/>
      <c r="N241" s="805"/>
      <c r="O241" s="806"/>
      <c r="P241" s="806"/>
      <c r="Q241" s="806"/>
      <c r="R241" s="806"/>
      <c r="S241" s="806"/>
      <c r="T241" s="806"/>
      <c r="U241" s="806"/>
      <c r="V241" s="801"/>
      <c r="W241" s="801"/>
      <c r="X241" s="806"/>
      <c r="Y241" s="806"/>
      <c r="Z241" s="806"/>
    </row>
    <row r="242" spans="3:26" ht="270" x14ac:dyDescent="0.25">
      <c r="C242" s="26"/>
      <c r="D242" s="26"/>
      <c r="E242" s="26" t="s">
        <v>50</v>
      </c>
      <c r="F242" s="26"/>
      <c r="G242" s="26"/>
      <c r="H242" s="26"/>
      <c r="I242" s="192" t="s">
        <v>986</v>
      </c>
      <c r="J242" s="204" t="s">
        <v>987</v>
      </c>
      <c r="K242" s="188" t="s">
        <v>988</v>
      </c>
      <c r="L242" s="820" t="s">
        <v>982</v>
      </c>
      <c r="M242" s="72" t="s">
        <v>989</v>
      </c>
      <c r="N242" s="72" t="s">
        <v>990</v>
      </c>
      <c r="O242" s="12" t="s">
        <v>991</v>
      </c>
      <c r="P242" s="12"/>
      <c r="Q242" s="12"/>
      <c r="R242" s="12" t="s">
        <v>984</v>
      </c>
      <c r="S242" s="12"/>
      <c r="T242" s="12"/>
      <c r="U242" s="12"/>
      <c r="V242" s="26"/>
      <c r="W242" s="26"/>
      <c r="X242" s="12"/>
      <c r="Y242" s="12"/>
      <c r="Z242" s="12"/>
    </row>
    <row r="243" spans="3:26" ht="375" x14ac:dyDescent="0.25">
      <c r="C243" s="26"/>
      <c r="D243" s="26"/>
      <c r="E243" s="26" t="s">
        <v>50</v>
      </c>
      <c r="F243" s="26"/>
      <c r="G243" s="26"/>
      <c r="H243" s="26"/>
      <c r="I243" s="192" t="s">
        <v>992</v>
      </c>
      <c r="J243" s="140" t="s">
        <v>993</v>
      </c>
      <c r="K243" s="26" t="s">
        <v>994</v>
      </c>
      <c r="L243" s="820" t="s">
        <v>982</v>
      </c>
      <c r="M243" s="72" t="s">
        <v>989</v>
      </c>
      <c r="N243" s="72" t="s">
        <v>995</v>
      </c>
      <c r="O243" s="12" t="s">
        <v>996</v>
      </c>
      <c r="P243" s="12"/>
      <c r="Q243" s="12"/>
      <c r="R243" s="12" t="s">
        <v>997</v>
      </c>
      <c r="S243" s="12"/>
      <c r="T243" s="12"/>
      <c r="U243" s="12"/>
      <c r="V243" s="26"/>
      <c r="W243" s="26"/>
      <c r="X243" s="12"/>
      <c r="Y243" s="12"/>
      <c r="Z243" s="12"/>
    </row>
    <row r="244" spans="3:26" x14ac:dyDescent="0.25">
      <c r="C244" s="26" t="s">
        <v>50</v>
      </c>
      <c r="D244" s="26"/>
      <c r="E244" s="26"/>
      <c r="F244" s="26"/>
      <c r="G244" s="26"/>
      <c r="H244" s="26"/>
      <c r="I244" s="194" t="s">
        <v>998</v>
      </c>
      <c r="J244" s="472"/>
      <c r="K244" s="188" t="s">
        <v>212</v>
      </c>
      <c r="L244" s="820"/>
      <c r="M244" s="128"/>
      <c r="N244" s="72"/>
      <c r="O244" s="12"/>
      <c r="P244" s="12"/>
      <c r="Q244" s="12"/>
      <c r="R244" s="12"/>
      <c r="S244" s="12"/>
      <c r="T244" s="12"/>
      <c r="U244" s="12"/>
      <c r="V244" s="26"/>
      <c r="W244" s="26"/>
      <c r="X244" s="12"/>
      <c r="Y244" s="12"/>
      <c r="Z244" s="12"/>
    </row>
    <row r="245" spans="3:26" s="74" customFormat="1" ht="105" x14ac:dyDescent="0.25">
      <c r="C245" s="188"/>
      <c r="D245" s="188" t="s">
        <v>50</v>
      </c>
      <c r="E245" s="188"/>
      <c r="F245" s="188"/>
      <c r="G245" s="188"/>
      <c r="H245" s="188"/>
      <c r="I245" s="802" t="s">
        <v>999</v>
      </c>
      <c r="J245" s="204" t="s">
        <v>1000</v>
      </c>
      <c r="K245" s="26" t="s">
        <v>799</v>
      </c>
      <c r="L245" s="820" t="s">
        <v>1001</v>
      </c>
      <c r="M245" s="72" t="s">
        <v>1002</v>
      </c>
      <c r="N245" s="72" t="s">
        <v>1003</v>
      </c>
      <c r="O245" s="69"/>
      <c r="P245" s="69"/>
      <c r="Q245" s="69"/>
      <c r="R245" s="63" t="s">
        <v>803</v>
      </c>
      <c r="S245" s="69"/>
      <c r="T245" s="69"/>
      <c r="U245" s="69"/>
      <c r="V245" s="188"/>
      <c r="W245" s="188"/>
      <c r="X245" s="69"/>
      <c r="Y245" s="69"/>
      <c r="Z245" s="69"/>
    </row>
  </sheetData>
  <mergeCells count="13">
    <mergeCell ref="I98:I99"/>
    <mergeCell ref="I102:I104"/>
    <mergeCell ref="J127:J128"/>
    <mergeCell ref="I178:I180"/>
    <mergeCell ref="Q194:Q197"/>
    <mergeCell ref="I194:I198"/>
    <mergeCell ref="K1:K4"/>
    <mergeCell ref="J1:J4"/>
    <mergeCell ref="C4:H4"/>
    <mergeCell ref="M4:N4"/>
    <mergeCell ref="I23:I33"/>
    <mergeCell ref="L23:L37"/>
    <mergeCell ref="K23:K37"/>
  </mergeCells>
  <conditionalFormatting sqref="W1:Z4 T5:T245 V5:Z245">
    <cfRule type="containsText" dxfId="39" priority="1" operator="containsText" text="ja">
      <formula>NOT(ISERROR(SEARCH(("ja"),(W1))))</formula>
    </cfRule>
    <cfRule type="containsText" dxfId="38" priority="2" operator="containsText" text="nein">
      <formula>NOT(ISERROR(SEARCH(("nein"),(W1))))</formula>
    </cfRule>
  </conditionalFormatting>
  <dataValidations count="2">
    <dataValidation type="list" errorStyle="warning" showErrorMessage="1" sqref="Z6:Z11 Z12:Z20 Z227" xr:uid="{00000000-0002-0000-0200-000000000000}">
      <formula1>",Ready, CICD"</formula1>
    </dataValidation>
    <dataValidation type="list" errorStyle="warning" showErrorMessage="1" sqref="W6 W21:W226 W228 W229:W244 V6 V21:V226 V228 V229:V244 V7:W11 V12:W20 V245:W245 V227:W227" xr:uid="{00000000-0002-0000-0200-000001000000}">
      <formula1>"unbestimmt, ja, nein"</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469"/>
  <sheetViews>
    <sheetView workbookViewId="0">
      <pane ySplit="5" topLeftCell="A6" activePane="bottomLeft" state="frozen"/>
      <selection pane="bottomLeft"/>
    </sheetView>
  </sheetViews>
  <sheetFormatPr baseColWidth="10" defaultColWidth="14.5703125" defaultRowHeight="15" x14ac:dyDescent="0.25"/>
  <cols>
    <col min="1" max="7" width="3.42578125" style="25" customWidth="1"/>
    <col min="8" max="8" width="42.7109375" style="25" customWidth="1"/>
    <col min="9" max="9" width="97.28515625" style="25" customWidth="1"/>
    <col min="10" max="10" width="23.85546875" style="25" customWidth="1"/>
    <col min="11" max="15" width="17" style="25" customWidth="1"/>
    <col min="16" max="16" width="14.5703125" style="25" customWidth="1"/>
    <col min="17" max="17" width="73.85546875" style="25" customWidth="1"/>
    <col min="18" max="18" width="14.42578125" style="25" customWidth="1"/>
    <col min="19" max="19" width="13.85546875" style="25" customWidth="1"/>
    <col min="20" max="21" width="31.85546875" style="25" customWidth="1"/>
    <col min="22" max="22" width="14.42578125" style="25" customWidth="1"/>
    <col min="23" max="23" width="14.5703125" style="25" customWidth="1"/>
    <col min="24" max="16384" width="14.5703125" style="25"/>
  </cols>
  <sheetData>
    <row r="1" spans="1:22" x14ac:dyDescent="0.25">
      <c r="I1" s="824"/>
    </row>
    <row r="2" spans="1:22" x14ac:dyDescent="0.25">
      <c r="I2" s="824"/>
      <c r="J2" s="68"/>
    </row>
    <row r="3" spans="1:22" x14ac:dyDescent="0.25">
      <c r="I3" s="824"/>
    </row>
    <row r="4" spans="1:22" x14ac:dyDescent="0.25">
      <c r="B4" s="1121" t="s">
        <v>8</v>
      </c>
      <c r="C4" s="1122"/>
      <c r="D4" s="1122"/>
      <c r="E4" s="1122"/>
      <c r="F4" s="1122"/>
      <c r="G4" s="1123"/>
      <c r="I4" s="825"/>
    </row>
    <row r="5" spans="1:22" s="68" customFormat="1" ht="36.75" customHeight="1" x14ac:dyDescent="0.25">
      <c r="A5" s="25"/>
      <c r="B5" s="15" t="s">
        <v>9</v>
      </c>
      <c r="C5" s="15" t="s">
        <v>10</v>
      </c>
      <c r="D5" s="15" t="s">
        <v>11</v>
      </c>
      <c r="E5" s="15" t="s">
        <v>12</v>
      </c>
      <c r="F5" s="15" t="s">
        <v>13</v>
      </c>
      <c r="G5" s="15" t="s">
        <v>14</v>
      </c>
      <c r="H5" s="826" t="s">
        <v>15</v>
      </c>
      <c r="I5" s="827" t="s">
        <v>16</v>
      </c>
      <c r="J5" s="739" t="s">
        <v>17</v>
      </c>
      <c r="K5" s="740" t="s">
        <v>18</v>
      </c>
      <c r="L5" s="740" t="s">
        <v>19</v>
      </c>
      <c r="M5" s="33" t="s">
        <v>20</v>
      </c>
      <c r="N5" s="740" t="s">
        <v>21</v>
      </c>
      <c r="O5" s="740" t="s">
        <v>22</v>
      </c>
      <c r="P5" s="828" t="s">
        <v>24</v>
      </c>
      <c r="Q5" s="829" t="s">
        <v>209</v>
      </c>
      <c r="R5" s="80" t="s">
        <v>25</v>
      </c>
      <c r="S5" s="80" t="s">
        <v>26</v>
      </c>
      <c r="T5" s="35" t="s">
        <v>27</v>
      </c>
      <c r="U5" s="80" t="s">
        <v>28</v>
      </c>
      <c r="V5" s="80" t="s">
        <v>29</v>
      </c>
    </row>
    <row r="6" spans="1:22" s="68" customFormat="1" ht="20.25" customHeight="1" x14ac:dyDescent="0.25">
      <c r="A6" s="25"/>
      <c r="B6" s="93"/>
      <c r="C6" s="93"/>
      <c r="D6" s="93"/>
      <c r="E6" s="93"/>
      <c r="F6" s="93"/>
      <c r="G6" s="93"/>
      <c r="H6" s="93"/>
      <c r="I6" s="773"/>
      <c r="J6" s="768"/>
      <c r="K6" s="94"/>
      <c r="L6" s="94"/>
      <c r="M6" s="94"/>
      <c r="N6" s="94"/>
      <c r="O6" s="94"/>
      <c r="P6" s="93"/>
      <c r="Q6" s="94"/>
      <c r="R6" s="776"/>
      <c r="S6" s="776"/>
      <c r="T6" s="93"/>
      <c r="U6" s="93"/>
      <c r="V6" s="93"/>
    </row>
    <row r="7" spans="1:22" s="68" customFormat="1" ht="51" x14ac:dyDescent="0.25">
      <c r="A7" s="25"/>
      <c r="B7" s="69" t="s">
        <v>50</v>
      </c>
      <c r="C7" s="69"/>
      <c r="D7" s="70"/>
      <c r="E7" s="70"/>
      <c r="F7" s="70"/>
      <c r="G7" s="71"/>
      <c r="H7" s="63" t="s">
        <v>1004</v>
      </c>
      <c r="I7" s="472" t="s">
        <v>1005</v>
      </c>
      <c r="J7" s="72"/>
      <c r="K7" s="69"/>
      <c r="L7" s="69"/>
      <c r="M7" s="69"/>
      <c r="N7" s="69"/>
      <c r="O7" s="69"/>
      <c r="P7" s="70"/>
      <c r="Q7" s="69"/>
      <c r="R7" s="26"/>
      <c r="S7" s="26"/>
      <c r="T7" s="70"/>
      <c r="U7" s="70"/>
      <c r="V7" s="70"/>
    </row>
    <row r="8" spans="1:22" s="68" customFormat="1" x14ac:dyDescent="0.25">
      <c r="A8" s="25"/>
      <c r="B8" s="69"/>
      <c r="C8" s="69" t="s">
        <v>50</v>
      </c>
      <c r="D8" s="69"/>
      <c r="E8" s="69"/>
      <c r="F8" s="69"/>
      <c r="G8" s="71"/>
      <c r="H8" s="806" t="s">
        <v>1006</v>
      </c>
      <c r="I8" s="472"/>
      <c r="J8" s="72"/>
      <c r="K8" s="12"/>
      <c r="L8" s="69"/>
      <c r="M8" s="69"/>
      <c r="N8" s="12"/>
      <c r="O8" s="12"/>
      <c r="P8" s="70"/>
      <c r="Q8" s="69"/>
      <c r="R8" s="26" t="s">
        <v>31</v>
      </c>
      <c r="S8" s="26" t="s">
        <v>31</v>
      </c>
      <c r="T8" s="70"/>
      <c r="U8" s="70"/>
      <c r="V8" s="70"/>
    </row>
    <row r="9" spans="1:22" s="68" customFormat="1" ht="267.75" x14ac:dyDescent="0.25">
      <c r="A9" s="25"/>
      <c r="B9" s="69"/>
      <c r="C9" s="69"/>
      <c r="D9" s="69" t="s">
        <v>50</v>
      </c>
      <c r="E9" s="69"/>
      <c r="F9" s="69"/>
      <c r="G9" s="71"/>
      <c r="H9" s="63" t="s">
        <v>216</v>
      </c>
      <c r="I9" s="472" t="s">
        <v>1007</v>
      </c>
      <c r="J9" s="72"/>
      <c r="K9" s="12"/>
      <c r="L9" s="69"/>
      <c r="M9" s="69"/>
      <c r="N9" s="12"/>
      <c r="O9" s="12"/>
      <c r="P9" s="70"/>
      <c r="Q9" s="69"/>
      <c r="R9" s="26"/>
      <c r="S9" s="26"/>
      <c r="T9" s="70"/>
      <c r="U9" s="70"/>
      <c r="V9" s="70"/>
    </row>
    <row r="10" spans="1:22" s="68" customFormat="1" x14ac:dyDescent="0.25">
      <c r="A10" s="25"/>
      <c r="B10" s="69"/>
      <c r="C10" s="69"/>
      <c r="D10" s="69" t="s">
        <v>50</v>
      </c>
      <c r="E10" s="69"/>
      <c r="F10" s="69"/>
      <c r="G10" s="71"/>
      <c r="H10" s="63" t="s">
        <v>219</v>
      </c>
      <c r="I10" s="472" t="s">
        <v>1008</v>
      </c>
      <c r="J10" s="72"/>
      <c r="K10" s="12"/>
      <c r="L10" s="69"/>
      <c r="M10" s="69"/>
      <c r="N10" s="12"/>
      <c r="O10" s="12"/>
      <c r="P10" s="70"/>
      <c r="Q10" s="69"/>
      <c r="R10" s="26"/>
      <c r="S10" s="26"/>
      <c r="T10" s="70"/>
      <c r="U10" s="70"/>
      <c r="V10" s="70"/>
    </row>
    <row r="11" spans="1:22" s="68" customFormat="1" ht="25.5" x14ac:dyDescent="0.25">
      <c r="A11" s="25"/>
      <c r="B11" s="69"/>
      <c r="C11" s="69"/>
      <c r="D11" s="69" t="s">
        <v>50</v>
      </c>
      <c r="E11" s="69"/>
      <c r="F11" s="69"/>
      <c r="G11" s="71"/>
      <c r="H11" s="63" t="s">
        <v>222</v>
      </c>
      <c r="I11" s="472" t="s">
        <v>1009</v>
      </c>
      <c r="J11" s="72"/>
      <c r="K11" s="12"/>
      <c r="L11" s="69"/>
      <c r="M11" s="69"/>
      <c r="N11" s="12"/>
      <c r="O11" s="12"/>
      <c r="P11" s="70"/>
      <c r="Q11" s="69"/>
      <c r="R11" s="26"/>
      <c r="S11" s="26"/>
      <c r="T11" s="70"/>
      <c r="U11" s="70"/>
      <c r="V11" s="70"/>
    </row>
    <row r="12" spans="1:22" s="68" customFormat="1" ht="82.5" x14ac:dyDescent="0.25">
      <c r="A12" s="25"/>
      <c r="B12" s="69"/>
      <c r="C12" s="69"/>
      <c r="D12" s="69" t="s">
        <v>50</v>
      </c>
      <c r="E12" s="69"/>
      <c r="F12" s="69"/>
      <c r="G12" s="71"/>
      <c r="H12" s="63" t="s">
        <v>246</v>
      </c>
      <c r="I12" s="472" t="s">
        <v>1010</v>
      </c>
      <c r="J12" s="72"/>
      <c r="K12" s="12"/>
      <c r="L12" s="69"/>
      <c r="M12" s="69"/>
      <c r="N12" s="12"/>
      <c r="O12" s="12"/>
      <c r="P12" s="70"/>
      <c r="Q12" s="69"/>
      <c r="R12" s="26"/>
      <c r="S12" s="26"/>
      <c r="T12" s="70"/>
      <c r="U12" s="70"/>
      <c r="V12" s="70"/>
    </row>
    <row r="13" spans="1:22" s="68" customFormat="1" x14ac:dyDescent="0.25">
      <c r="A13" s="25"/>
      <c r="B13" s="69"/>
      <c r="C13" s="69" t="s">
        <v>50</v>
      </c>
      <c r="D13" s="70"/>
      <c r="E13" s="70"/>
      <c r="F13" s="70"/>
      <c r="G13" s="71"/>
      <c r="H13" s="806" t="s">
        <v>226</v>
      </c>
      <c r="I13" s="472"/>
      <c r="J13" s="72"/>
      <c r="K13" s="69"/>
      <c r="L13" s="69"/>
      <c r="M13" s="69"/>
      <c r="N13" s="69"/>
      <c r="O13" s="69"/>
      <c r="P13" s="70"/>
      <c r="Q13" s="69"/>
      <c r="R13" s="26"/>
      <c r="S13" s="26"/>
      <c r="T13" s="70"/>
      <c r="U13" s="70"/>
      <c r="V13" s="70"/>
    </row>
    <row r="14" spans="1:22" s="68" customFormat="1" ht="51" x14ac:dyDescent="0.25">
      <c r="A14" s="25"/>
      <c r="B14" s="69"/>
      <c r="C14" s="69"/>
      <c r="D14" s="69" t="s">
        <v>50</v>
      </c>
      <c r="E14" s="69"/>
      <c r="F14" s="69"/>
      <c r="G14" s="71"/>
      <c r="H14" s="63" t="s">
        <v>1011</v>
      </c>
      <c r="I14" s="472" t="s">
        <v>1012</v>
      </c>
      <c r="J14" s="72"/>
      <c r="K14" s="69"/>
      <c r="L14" s="69"/>
      <c r="M14" s="69"/>
      <c r="N14" s="69"/>
      <c r="O14" s="69"/>
      <c r="P14" s="70"/>
      <c r="Q14" s="69"/>
      <c r="R14" s="26"/>
      <c r="S14" s="26"/>
      <c r="T14" s="70"/>
      <c r="U14" s="70"/>
      <c r="V14" s="70"/>
    </row>
    <row r="15" spans="1:22" s="68" customFormat="1" ht="89.25" x14ac:dyDescent="0.25">
      <c r="A15" s="25"/>
      <c r="B15" s="69"/>
      <c r="C15" s="69"/>
      <c r="D15" s="69" t="s">
        <v>50</v>
      </c>
      <c r="E15" s="69"/>
      <c r="F15" s="69"/>
      <c r="G15" s="71"/>
      <c r="H15" s="63" t="s">
        <v>233</v>
      </c>
      <c r="I15" s="472" t="s">
        <v>1013</v>
      </c>
      <c r="J15" s="72"/>
      <c r="K15" s="69"/>
      <c r="L15" s="69"/>
      <c r="M15" s="69"/>
      <c r="N15" s="69"/>
      <c r="O15" s="69"/>
      <c r="P15" s="70"/>
      <c r="Q15" s="69"/>
      <c r="R15" s="26"/>
      <c r="S15" s="26"/>
      <c r="T15" s="70"/>
      <c r="U15" s="70"/>
      <c r="V15" s="70"/>
    </row>
    <row r="16" spans="1:22" s="68" customFormat="1" x14ac:dyDescent="0.25">
      <c r="A16" s="25"/>
      <c r="B16" s="69"/>
      <c r="C16" s="69" t="s">
        <v>50</v>
      </c>
      <c r="D16" s="69"/>
      <c r="E16" s="69"/>
      <c r="F16" s="69"/>
      <c r="G16" s="71"/>
      <c r="H16" s="806" t="s">
        <v>242</v>
      </c>
      <c r="I16" s="472"/>
      <c r="J16" s="72"/>
      <c r="K16" s="12"/>
      <c r="L16" s="69"/>
      <c r="M16" s="69"/>
      <c r="N16" s="12"/>
      <c r="O16" s="12"/>
      <c r="P16" s="70"/>
      <c r="Q16" s="69"/>
      <c r="R16" s="26"/>
      <c r="S16" s="26"/>
      <c r="T16" s="70"/>
      <c r="U16" s="70"/>
      <c r="V16" s="70"/>
    </row>
    <row r="17" spans="1:22" s="68" customFormat="1" ht="38.25" x14ac:dyDescent="0.25">
      <c r="A17" s="25"/>
      <c r="B17" s="69"/>
      <c r="C17" s="69"/>
      <c r="D17" s="69" t="s">
        <v>50</v>
      </c>
      <c r="E17" s="69"/>
      <c r="F17" s="69"/>
      <c r="G17" s="70"/>
      <c r="H17" s="63" t="s">
        <v>1014</v>
      </c>
      <c r="I17" s="472" t="s">
        <v>250</v>
      </c>
      <c r="J17" s="72"/>
      <c r="K17" s="12"/>
      <c r="L17" s="69"/>
      <c r="M17" s="69"/>
      <c r="N17" s="12"/>
      <c r="O17" s="12"/>
      <c r="P17" s="70"/>
      <c r="Q17" s="69"/>
      <c r="R17" s="26"/>
      <c r="S17" s="26"/>
      <c r="T17" s="70"/>
      <c r="U17" s="70"/>
      <c r="V17" s="70"/>
    </row>
    <row r="18" spans="1:22" ht="25.5" x14ac:dyDescent="0.25">
      <c r="B18" s="12"/>
      <c r="C18" s="12"/>
      <c r="D18" s="12" t="s">
        <v>50</v>
      </c>
      <c r="E18" s="12"/>
      <c r="F18" s="12"/>
      <c r="G18" s="12"/>
      <c r="H18" s="830" t="s">
        <v>256</v>
      </c>
      <c r="I18" s="472" t="s">
        <v>257</v>
      </c>
      <c r="J18" s="72"/>
      <c r="K18" s="12"/>
      <c r="L18" s="12"/>
      <c r="M18" s="12"/>
      <c r="N18" s="12"/>
      <c r="O18" s="12"/>
      <c r="P18" s="12"/>
      <c r="Q18" s="12"/>
      <c r="R18" s="26"/>
      <c r="S18" s="26"/>
      <c r="T18" s="12"/>
      <c r="U18" s="12"/>
      <c r="V18" s="12"/>
    </row>
    <row r="19" spans="1:22" ht="25.5" x14ac:dyDescent="0.25">
      <c r="B19" s="12"/>
      <c r="C19" s="12"/>
      <c r="D19" s="12" t="s">
        <v>50</v>
      </c>
      <c r="E19" s="12"/>
      <c r="F19" s="12"/>
      <c r="G19" s="12"/>
      <c r="H19" s="830" t="s">
        <v>1015</v>
      </c>
      <c r="I19" s="472" t="s">
        <v>1016</v>
      </c>
      <c r="J19" s="72"/>
      <c r="K19" s="12"/>
      <c r="L19" s="12"/>
      <c r="M19" s="12"/>
      <c r="N19" s="12"/>
      <c r="O19" s="12"/>
      <c r="P19" s="12"/>
      <c r="Q19" s="12"/>
      <c r="R19" s="26"/>
      <c r="S19" s="26"/>
      <c r="T19" s="12"/>
      <c r="U19" s="12"/>
      <c r="V19" s="12"/>
    </row>
    <row r="20" spans="1:22" ht="38.25" x14ac:dyDescent="0.25">
      <c r="B20" s="12" t="s">
        <v>50</v>
      </c>
      <c r="C20" s="12"/>
      <c r="D20" s="12"/>
      <c r="E20" s="12"/>
      <c r="F20" s="12"/>
      <c r="G20" s="12"/>
      <c r="H20" s="63" t="s">
        <v>1017</v>
      </c>
      <c r="I20" s="472" t="s">
        <v>1018</v>
      </c>
      <c r="J20" s="72"/>
      <c r="K20" s="12"/>
      <c r="L20" s="12"/>
      <c r="M20" s="12"/>
      <c r="N20" s="12"/>
      <c r="O20" s="12"/>
      <c r="P20" s="12"/>
      <c r="Q20" s="12"/>
      <c r="R20" s="26"/>
      <c r="S20" s="26"/>
      <c r="T20" s="12"/>
      <c r="U20" s="12"/>
      <c r="V20" s="12"/>
    </row>
    <row r="21" spans="1:22" x14ac:dyDescent="0.25">
      <c r="B21" s="12"/>
      <c r="C21" s="12" t="s">
        <v>50</v>
      </c>
      <c r="D21" s="12"/>
      <c r="E21" s="12"/>
      <c r="F21" s="12"/>
      <c r="G21" s="12"/>
      <c r="H21" s="806" t="s">
        <v>288</v>
      </c>
      <c r="I21" s="472"/>
      <c r="J21" s="72"/>
      <c r="K21" s="12"/>
      <c r="L21" s="12"/>
      <c r="M21" s="12"/>
      <c r="N21" s="12"/>
      <c r="O21" s="12"/>
      <c r="P21" s="12"/>
      <c r="Q21" s="12"/>
      <c r="R21" s="26"/>
      <c r="S21" s="26"/>
      <c r="T21" s="12"/>
      <c r="U21" s="12"/>
      <c r="V21" s="12"/>
    </row>
    <row r="22" spans="1:22" ht="25.5" x14ac:dyDescent="0.25">
      <c r="B22" s="12"/>
      <c r="C22" s="12"/>
      <c r="D22" s="12" t="s">
        <v>50</v>
      </c>
      <c r="E22" s="12"/>
      <c r="F22" s="12"/>
      <c r="G22" s="12"/>
      <c r="H22" s="63" t="s">
        <v>289</v>
      </c>
      <c r="I22" s="817" t="s">
        <v>1019</v>
      </c>
      <c r="J22" s="72"/>
      <c r="K22" s="12"/>
      <c r="L22" s="12"/>
      <c r="M22" s="12"/>
      <c r="N22" s="12"/>
      <c r="O22" s="12"/>
      <c r="P22" s="12"/>
      <c r="Q22" s="12"/>
      <c r="R22" s="26"/>
      <c r="S22" s="26"/>
      <c r="T22" s="12"/>
      <c r="U22" s="12"/>
      <c r="V22" s="12"/>
    </row>
    <row r="23" spans="1:22" ht="38.25" x14ac:dyDescent="0.25">
      <c r="B23" s="12"/>
      <c r="C23" s="12"/>
      <c r="D23" s="12" t="s">
        <v>50</v>
      </c>
      <c r="E23" s="12"/>
      <c r="F23" s="12"/>
      <c r="G23" s="12"/>
      <c r="H23" s="63" t="s">
        <v>1020</v>
      </c>
      <c r="I23" s="472" t="s">
        <v>1021</v>
      </c>
      <c r="J23" s="72"/>
      <c r="K23" s="12"/>
      <c r="L23" s="12"/>
      <c r="M23" s="12"/>
      <c r="N23" s="12"/>
      <c r="O23" s="12"/>
      <c r="P23" s="12"/>
      <c r="Q23" s="12"/>
      <c r="R23" s="26"/>
      <c r="S23" s="26"/>
      <c r="T23" s="12"/>
      <c r="U23" s="12"/>
      <c r="V23" s="12"/>
    </row>
    <row r="24" spans="1:22" x14ac:dyDescent="0.25">
      <c r="B24" s="12"/>
      <c r="C24" s="12" t="s">
        <v>50</v>
      </c>
      <c r="D24" s="12"/>
      <c r="E24" s="12"/>
      <c r="F24" s="12"/>
      <c r="G24" s="12"/>
      <c r="H24" s="806" t="s">
        <v>1022</v>
      </c>
      <c r="I24" s="472"/>
      <c r="J24" s="72"/>
      <c r="K24" s="12"/>
      <c r="L24" s="12"/>
      <c r="M24" s="12"/>
      <c r="N24" s="12"/>
      <c r="O24" s="12"/>
      <c r="P24" s="12"/>
      <c r="Q24" s="12"/>
      <c r="R24" s="26"/>
      <c r="S24" s="26"/>
      <c r="T24" s="12"/>
      <c r="U24" s="12"/>
      <c r="V24" s="12"/>
    </row>
    <row r="25" spans="1:22" ht="25.5" x14ac:dyDescent="0.25">
      <c r="B25" s="12"/>
      <c r="C25" s="12"/>
      <c r="D25" s="12" t="s">
        <v>50</v>
      </c>
      <c r="E25" s="12"/>
      <c r="F25" s="12"/>
      <c r="G25" s="12"/>
      <c r="H25" s="830" t="s">
        <v>334</v>
      </c>
      <c r="I25" s="472" t="s">
        <v>335</v>
      </c>
      <c r="J25" s="72"/>
      <c r="K25" s="12"/>
      <c r="L25" s="12"/>
      <c r="M25" s="12"/>
      <c r="N25" s="12"/>
      <c r="O25" s="12"/>
      <c r="P25" s="12"/>
      <c r="Q25" s="12"/>
      <c r="R25" s="26"/>
      <c r="S25" s="26"/>
      <c r="T25" s="12"/>
      <c r="U25" s="12"/>
      <c r="V25" s="12"/>
    </row>
    <row r="26" spans="1:22" ht="120" x14ac:dyDescent="0.25">
      <c r="B26" s="12"/>
      <c r="C26" s="12"/>
      <c r="D26" s="12" t="s">
        <v>50</v>
      </c>
      <c r="E26" s="12"/>
      <c r="F26" s="12"/>
      <c r="G26" s="12"/>
      <c r="H26" s="63" t="s">
        <v>336</v>
      </c>
      <c r="I26" s="140" t="s">
        <v>1023</v>
      </c>
      <c r="J26" s="72"/>
      <c r="K26" s="12"/>
      <c r="L26" s="12"/>
      <c r="M26" s="12"/>
      <c r="N26" s="12"/>
      <c r="O26" s="12"/>
      <c r="P26" s="12"/>
      <c r="Q26" s="12"/>
      <c r="R26" s="26"/>
      <c r="S26" s="26"/>
      <c r="T26" s="12"/>
      <c r="U26" s="12"/>
      <c r="V26" s="12"/>
    </row>
    <row r="27" spans="1:22" x14ac:dyDescent="0.25">
      <c r="B27" s="12"/>
      <c r="C27" s="12"/>
      <c r="D27" s="12" t="s">
        <v>50</v>
      </c>
      <c r="E27" s="12"/>
      <c r="F27" s="12"/>
      <c r="G27" s="12"/>
      <c r="H27" s="830" t="s">
        <v>342</v>
      </c>
      <c r="I27" s="472" t="s">
        <v>343</v>
      </c>
      <c r="J27" s="72"/>
      <c r="K27" s="12"/>
      <c r="L27" s="12"/>
      <c r="M27" s="12"/>
      <c r="N27" s="12"/>
      <c r="O27" s="12"/>
      <c r="P27" s="12"/>
      <c r="Q27" s="12"/>
      <c r="R27" s="26"/>
      <c r="S27" s="26"/>
      <c r="T27" s="12"/>
      <c r="U27" s="12"/>
      <c r="V27" s="12"/>
    </row>
    <row r="28" spans="1:22" x14ac:dyDescent="0.25">
      <c r="B28" s="12"/>
      <c r="C28" s="12" t="s">
        <v>50</v>
      </c>
      <c r="D28" s="12"/>
      <c r="E28" s="12"/>
      <c r="F28" s="12"/>
      <c r="G28" s="12"/>
      <c r="H28" s="806" t="s">
        <v>344</v>
      </c>
      <c r="I28" s="472"/>
      <c r="J28" s="72"/>
      <c r="K28" s="12"/>
      <c r="L28" s="12"/>
      <c r="M28" s="12"/>
      <c r="N28" s="12"/>
      <c r="O28" s="12"/>
      <c r="P28" s="12"/>
      <c r="Q28" s="12"/>
      <c r="R28" s="26"/>
      <c r="S28" s="26"/>
      <c r="T28" s="12"/>
      <c r="U28" s="12"/>
      <c r="V28" s="12"/>
    </row>
    <row r="29" spans="1:22" x14ac:dyDescent="0.25">
      <c r="B29" s="12"/>
      <c r="C29" s="12"/>
      <c r="D29" s="12" t="s">
        <v>50</v>
      </c>
      <c r="E29" s="12"/>
      <c r="F29" s="12"/>
      <c r="G29" s="12"/>
      <c r="H29" s="830" t="s">
        <v>345</v>
      </c>
      <c r="I29" s="472" t="s">
        <v>346</v>
      </c>
      <c r="J29" s="72"/>
      <c r="K29" s="12"/>
      <c r="L29" s="12"/>
      <c r="M29" s="12"/>
      <c r="N29" s="12"/>
      <c r="O29" s="12"/>
      <c r="P29" s="12"/>
      <c r="Q29" s="12"/>
      <c r="R29" s="26"/>
      <c r="S29" s="26"/>
      <c r="T29" s="12"/>
      <c r="U29" s="12"/>
      <c r="V29" s="12"/>
    </row>
    <row r="30" spans="1:22" x14ac:dyDescent="0.25">
      <c r="B30" s="12"/>
      <c r="C30" s="12"/>
      <c r="D30" s="12" t="s">
        <v>50</v>
      </c>
      <c r="E30" s="12"/>
      <c r="F30" s="12"/>
      <c r="G30" s="12"/>
      <c r="H30" s="831" t="s">
        <v>347</v>
      </c>
      <c r="I30" s="472" t="s">
        <v>348</v>
      </c>
      <c r="J30" s="72"/>
      <c r="K30" s="12"/>
      <c r="L30" s="12"/>
      <c r="M30" s="12"/>
      <c r="N30" s="12"/>
      <c r="O30" s="12"/>
      <c r="P30" s="12"/>
      <c r="Q30" s="12"/>
      <c r="R30" s="26"/>
      <c r="S30" s="26"/>
      <c r="T30" s="12"/>
      <c r="U30" s="12"/>
      <c r="V30" s="12"/>
    </row>
    <row r="31" spans="1:22" x14ac:dyDescent="0.25">
      <c r="B31" s="12"/>
      <c r="C31" s="12" t="s">
        <v>50</v>
      </c>
      <c r="D31" s="12"/>
      <c r="E31" s="12"/>
      <c r="F31" s="12"/>
      <c r="G31" s="12"/>
      <c r="H31" s="806" t="s">
        <v>349</v>
      </c>
      <c r="I31" s="472"/>
      <c r="J31" s="72"/>
      <c r="K31" s="12"/>
      <c r="L31" s="12"/>
      <c r="M31" s="12"/>
      <c r="N31" s="12"/>
      <c r="O31" s="12"/>
      <c r="P31" s="12"/>
      <c r="Q31" s="12"/>
      <c r="R31" s="26"/>
      <c r="S31" s="26"/>
      <c r="T31" s="12"/>
      <c r="U31" s="12"/>
      <c r="V31" s="12"/>
    </row>
    <row r="32" spans="1:22" ht="51" x14ac:dyDescent="0.25">
      <c r="B32" s="12"/>
      <c r="C32" s="12"/>
      <c r="D32" s="12" t="s">
        <v>50</v>
      </c>
      <c r="E32" s="12"/>
      <c r="F32" s="12"/>
      <c r="G32" s="12"/>
      <c r="H32" s="63" t="s">
        <v>416</v>
      </c>
      <c r="I32" s="472" t="s">
        <v>353</v>
      </c>
      <c r="J32" s="72"/>
      <c r="K32" s="12"/>
      <c r="L32" s="12"/>
      <c r="M32" s="12"/>
      <c r="N32" s="12"/>
      <c r="O32" s="12"/>
      <c r="P32" s="12"/>
      <c r="Q32" s="12"/>
      <c r="R32" s="26"/>
      <c r="S32" s="26"/>
      <c r="T32" s="12"/>
      <c r="U32" s="12"/>
      <c r="V32" s="12"/>
    </row>
    <row r="33" spans="2:22" ht="38.25" x14ac:dyDescent="0.25">
      <c r="B33" s="12"/>
      <c r="C33" s="12"/>
      <c r="D33" s="12" t="s">
        <v>50</v>
      </c>
      <c r="E33" s="12"/>
      <c r="F33" s="12"/>
      <c r="G33" s="12"/>
      <c r="H33" s="63" t="s">
        <v>417</v>
      </c>
      <c r="I33" s="472" t="s">
        <v>374</v>
      </c>
      <c r="J33" s="72"/>
      <c r="K33" s="12"/>
      <c r="L33" s="12"/>
      <c r="M33" s="12"/>
      <c r="N33" s="12"/>
      <c r="O33" s="12"/>
      <c r="P33" s="12"/>
      <c r="Q33" s="12"/>
      <c r="R33" s="26"/>
      <c r="S33" s="26"/>
      <c r="T33" s="12"/>
      <c r="U33" s="12"/>
      <c r="V33" s="12"/>
    </row>
    <row r="34" spans="2:22" ht="25.5" x14ac:dyDescent="0.25">
      <c r="B34" s="12"/>
      <c r="C34" s="12"/>
      <c r="D34" s="12" t="s">
        <v>50</v>
      </c>
      <c r="E34" s="12"/>
      <c r="F34" s="12"/>
      <c r="G34" s="12"/>
      <c r="H34" s="63" t="s">
        <v>418</v>
      </c>
      <c r="I34" s="472" t="s">
        <v>419</v>
      </c>
      <c r="J34" s="72"/>
      <c r="K34" s="12"/>
      <c r="L34" s="12"/>
      <c r="M34" s="12"/>
      <c r="N34" s="12"/>
      <c r="O34" s="12"/>
      <c r="P34" s="12"/>
      <c r="Q34" s="12"/>
      <c r="R34" s="26"/>
      <c r="S34" s="26"/>
      <c r="T34" s="12"/>
      <c r="U34" s="12"/>
      <c r="V34" s="12"/>
    </row>
    <row r="35" spans="2:22" ht="25.5" x14ac:dyDescent="0.25">
      <c r="B35" s="12" t="s">
        <v>50</v>
      </c>
      <c r="C35" s="12"/>
      <c r="D35" s="12"/>
      <c r="E35" s="12"/>
      <c r="F35" s="12"/>
      <c r="G35" s="12"/>
      <c r="H35" s="73" t="s">
        <v>350</v>
      </c>
      <c r="I35" s="472" t="s">
        <v>351</v>
      </c>
      <c r="J35" s="72"/>
      <c r="K35" s="12"/>
      <c r="L35" s="12"/>
      <c r="M35" s="12"/>
      <c r="N35" s="12"/>
      <c r="O35" s="12"/>
      <c r="P35" s="12"/>
      <c r="Q35" s="12"/>
      <c r="R35" s="26"/>
      <c r="S35" s="26"/>
      <c r="T35" s="12"/>
      <c r="U35" s="12"/>
      <c r="V35" s="12"/>
    </row>
    <row r="36" spans="2:22" x14ac:dyDescent="0.25">
      <c r="B36" s="12"/>
      <c r="C36" s="12" t="s">
        <v>50</v>
      </c>
      <c r="D36" s="12"/>
      <c r="E36" s="12"/>
      <c r="F36" s="12"/>
      <c r="G36" s="12"/>
      <c r="H36" s="806" t="s">
        <v>1024</v>
      </c>
      <c r="I36" s="472"/>
      <c r="J36" s="72"/>
      <c r="K36" s="12"/>
      <c r="L36" s="12"/>
      <c r="M36" s="12"/>
      <c r="N36" s="12"/>
      <c r="O36" s="12"/>
      <c r="P36" s="12"/>
      <c r="Q36" s="12"/>
      <c r="R36" s="26"/>
      <c r="S36" s="26"/>
      <c r="T36" s="12"/>
      <c r="U36" s="12"/>
      <c r="V36" s="12"/>
    </row>
    <row r="37" spans="2:22" ht="63.75" x14ac:dyDescent="0.25">
      <c r="B37" s="12"/>
      <c r="C37" s="12"/>
      <c r="D37" s="12" t="s">
        <v>50</v>
      </c>
      <c r="E37" s="12"/>
      <c r="F37" s="12"/>
      <c r="G37" s="12"/>
      <c r="H37" s="63" t="s">
        <v>423</v>
      </c>
      <c r="I37" s="472" t="s">
        <v>424</v>
      </c>
      <c r="J37" s="72"/>
      <c r="K37" s="12"/>
      <c r="L37" s="12"/>
      <c r="M37" s="12"/>
      <c r="N37" s="12"/>
      <c r="O37" s="12"/>
      <c r="P37" s="12"/>
      <c r="Q37" s="12"/>
      <c r="R37" s="26"/>
      <c r="S37" s="26"/>
      <c r="T37" s="12"/>
      <c r="U37" s="12"/>
      <c r="V37" s="12"/>
    </row>
    <row r="38" spans="2:22" ht="63.75" x14ac:dyDescent="0.25">
      <c r="B38" s="12"/>
      <c r="C38" s="12"/>
      <c r="D38" s="12" t="s">
        <v>50</v>
      </c>
      <c r="E38" s="12"/>
      <c r="F38" s="12"/>
      <c r="G38" s="12"/>
      <c r="H38" s="63" t="s">
        <v>430</v>
      </c>
      <c r="I38" s="472" t="s">
        <v>1025</v>
      </c>
      <c r="J38" s="72"/>
      <c r="K38" s="12"/>
      <c r="L38" s="12"/>
      <c r="M38" s="12"/>
      <c r="N38" s="12"/>
      <c r="O38" s="12"/>
      <c r="P38" s="12"/>
      <c r="Q38" s="12"/>
      <c r="R38" s="26"/>
      <c r="S38" s="26"/>
      <c r="T38" s="12"/>
      <c r="U38" s="12"/>
      <c r="V38" s="12"/>
    </row>
    <row r="39" spans="2:22" x14ac:dyDescent="0.25">
      <c r="B39" s="12"/>
      <c r="C39" s="12" t="s">
        <v>50</v>
      </c>
      <c r="D39" s="12"/>
      <c r="E39" s="12"/>
      <c r="F39" s="12"/>
      <c r="G39" s="12"/>
      <c r="H39" s="806" t="s">
        <v>437</v>
      </c>
      <c r="I39" s="472"/>
      <c r="J39" s="72"/>
      <c r="K39" s="12"/>
      <c r="L39" s="12"/>
      <c r="M39" s="12"/>
      <c r="N39" s="12"/>
      <c r="O39" s="12"/>
      <c r="P39" s="12"/>
      <c r="Q39" s="12"/>
      <c r="R39" s="26"/>
      <c r="S39" s="26"/>
      <c r="T39" s="12"/>
      <c r="U39" s="12"/>
      <c r="V39" s="12"/>
    </row>
    <row r="40" spans="2:22" ht="25.5" x14ac:dyDescent="0.25">
      <c r="B40" s="12"/>
      <c r="C40" s="12"/>
      <c r="D40" s="12" t="s">
        <v>50</v>
      </c>
      <c r="E40" s="12"/>
      <c r="F40" s="12"/>
      <c r="G40" s="12"/>
      <c r="H40" s="1145" t="s">
        <v>439</v>
      </c>
      <c r="I40" s="472" t="s">
        <v>440</v>
      </c>
      <c r="J40" s="72"/>
      <c r="K40" s="12"/>
      <c r="L40" s="12"/>
      <c r="M40" s="12"/>
      <c r="N40" s="12"/>
      <c r="O40" s="12"/>
      <c r="P40" s="12"/>
      <c r="Q40" s="12"/>
      <c r="R40" s="26"/>
      <c r="S40" s="26"/>
      <c r="T40" s="12"/>
      <c r="U40" s="12"/>
      <c r="V40" s="12"/>
    </row>
    <row r="41" spans="2:22" ht="38.25" x14ac:dyDescent="0.25">
      <c r="B41" s="12"/>
      <c r="C41" s="12"/>
      <c r="D41" s="12"/>
      <c r="E41" s="12"/>
      <c r="F41" s="12"/>
      <c r="G41" s="12"/>
      <c r="H41" s="1146"/>
      <c r="I41" s="472" t="s">
        <v>441</v>
      </c>
      <c r="J41" s="72"/>
      <c r="K41" s="12"/>
      <c r="L41" s="12"/>
      <c r="M41" s="12"/>
      <c r="N41" s="12"/>
      <c r="O41" s="12"/>
      <c r="P41" s="12"/>
      <c r="Q41" s="12"/>
      <c r="R41" s="26"/>
      <c r="S41" s="26"/>
      <c r="T41" s="12"/>
      <c r="U41" s="12"/>
      <c r="V41" s="12"/>
    </row>
    <row r="42" spans="2:22" ht="51" x14ac:dyDescent="0.25">
      <c r="B42" s="12"/>
      <c r="C42" s="12"/>
      <c r="D42" s="12" t="s">
        <v>50</v>
      </c>
      <c r="E42" s="12"/>
      <c r="F42" s="12"/>
      <c r="G42" s="12"/>
      <c r="H42" s="63" t="s">
        <v>442</v>
      </c>
      <c r="I42" s="472" t="s">
        <v>443</v>
      </c>
      <c r="J42" s="72"/>
      <c r="K42" s="12"/>
      <c r="L42" s="12"/>
      <c r="M42" s="12"/>
      <c r="N42" s="12"/>
      <c r="O42" s="12"/>
      <c r="P42" s="12"/>
      <c r="Q42" s="12"/>
      <c r="R42" s="26"/>
      <c r="S42" s="26"/>
      <c r="T42" s="12"/>
      <c r="U42" s="12"/>
      <c r="V42" s="12"/>
    </row>
    <row r="43" spans="2:22" s="74" customFormat="1" ht="25.5" x14ac:dyDescent="0.25">
      <c r="B43" s="69"/>
      <c r="C43" s="69" t="s">
        <v>50</v>
      </c>
      <c r="D43" s="69"/>
      <c r="E43" s="69"/>
      <c r="F43" s="69"/>
      <c r="G43" s="69"/>
      <c r="H43" s="808" t="s">
        <v>445</v>
      </c>
      <c r="I43" s="472"/>
      <c r="J43" s="72"/>
      <c r="K43" s="69"/>
      <c r="L43" s="69"/>
      <c r="M43" s="69"/>
      <c r="N43" s="69"/>
      <c r="O43" s="69"/>
      <c r="P43" s="69"/>
      <c r="Q43" s="69"/>
      <c r="R43" s="188"/>
      <c r="S43" s="188"/>
      <c r="T43" s="69"/>
      <c r="U43" s="69"/>
      <c r="V43" s="69"/>
    </row>
    <row r="44" spans="2:22" s="74" customFormat="1" ht="89.25" x14ac:dyDescent="0.25">
      <c r="B44" s="69"/>
      <c r="C44" s="69"/>
      <c r="D44" s="69" t="s">
        <v>50</v>
      </c>
      <c r="E44" s="69"/>
      <c r="F44" s="69"/>
      <c r="G44" s="69"/>
      <c r="H44" s="1150" t="s">
        <v>446</v>
      </c>
      <c r="I44" s="472" t="s">
        <v>447</v>
      </c>
      <c r="J44" s="72"/>
      <c r="K44" s="69"/>
      <c r="L44" s="69"/>
      <c r="M44" s="69"/>
      <c r="N44" s="69"/>
      <c r="O44" s="69"/>
      <c r="P44" s="69"/>
      <c r="Q44" s="69"/>
      <c r="R44" s="188"/>
      <c r="S44" s="188"/>
      <c r="T44" s="69"/>
      <c r="U44" s="69"/>
      <c r="V44" s="69"/>
    </row>
    <row r="45" spans="2:22" ht="38.25" x14ac:dyDescent="0.25">
      <c r="B45" s="12"/>
      <c r="C45" s="12"/>
      <c r="D45" s="12"/>
      <c r="E45" s="12"/>
      <c r="F45" s="12"/>
      <c r="G45" s="12"/>
      <c r="H45" s="1150"/>
      <c r="I45" s="472" t="s">
        <v>1026</v>
      </c>
      <c r="J45" s="72"/>
      <c r="K45" s="12"/>
      <c r="L45" s="12"/>
      <c r="M45" s="12"/>
      <c r="N45" s="12"/>
      <c r="O45" s="12"/>
      <c r="P45" s="12"/>
      <c r="Q45" s="12"/>
      <c r="R45" s="26"/>
      <c r="S45" s="26"/>
      <c r="T45" s="12"/>
      <c r="U45" s="12"/>
      <c r="V45" s="12"/>
    </row>
    <row r="46" spans="2:22" ht="38.25" x14ac:dyDescent="0.25">
      <c r="B46" s="12"/>
      <c r="C46" s="12"/>
      <c r="D46" s="12"/>
      <c r="E46" s="12"/>
      <c r="F46" s="12"/>
      <c r="G46" s="12"/>
      <c r="H46" s="1150"/>
      <c r="I46" s="472" t="s">
        <v>1027</v>
      </c>
      <c r="J46" s="72"/>
      <c r="K46" s="12"/>
      <c r="L46" s="12"/>
      <c r="M46" s="12"/>
      <c r="N46" s="12"/>
      <c r="O46" s="12"/>
      <c r="P46" s="12"/>
      <c r="Q46" s="12"/>
      <c r="R46" s="26"/>
      <c r="S46" s="26"/>
      <c r="T46" s="12"/>
      <c r="U46" s="12"/>
      <c r="V46" s="12"/>
    </row>
    <row r="47" spans="2:22" ht="38.25" x14ac:dyDescent="0.25">
      <c r="B47" s="12" t="s">
        <v>50</v>
      </c>
      <c r="C47" s="12"/>
      <c r="D47" s="12"/>
      <c r="E47" s="12"/>
      <c r="F47" s="12"/>
      <c r="G47" s="12"/>
      <c r="H47" s="73" t="s">
        <v>458</v>
      </c>
      <c r="I47" s="472" t="s">
        <v>459</v>
      </c>
      <c r="J47" s="72"/>
      <c r="K47" s="12"/>
      <c r="L47" s="12"/>
      <c r="M47" s="12"/>
      <c r="N47" s="12"/>
      <c r="O47" s="12"/>
      <c r="P47" s="12"/>
      <c r="Q47" s="12"/>
      <c r="R47" s="26"/>
      <c r="S47" s="26"/>
      <c r="T47" s="12"/>
      <c r="U47" s="12"/>
      <c r="V47" s="12"/>
    </row>
    <row r="48" spans="2:22" ht="30" x14ac:dyDescent="0.25">
      <c r="B48" s="12"/>
      <c r="C48" s="12" t="s">
        <v>50</v>
      </c>
      <c r="D48" s="12"/>
      <c r="E48" s="12"/>
      <c r="F48" s="12"/>
      <c r="G48" s="12"/>
      <c r="H48" s="806" t="s">
        <v>460</v>
      </c>
      <c r="I48" s="472"/>
      <c r="J48" s="72"/>
      <c r="K48" s="12"/>
      <c r="L48" s="12"/>
      <c r="M48" s="12"/>
      <c r="N48" s="12"/>
      <c r="O48" s="12"/>
      <c r="P48" s="12"/>
      <c r="Q48" s="12"/>
      <c r="R48" s="26"/>
      <c r="S48" s="26"/>
      <c r="T48" s="12"/>
      <c r="U48" s="12"/>
      <c r="V48" s="12"/>
    </row>
    <row r="49" spans="2:22" ht="85.5" customHeight="1" x14ac:dyDescent="0.25">
      <c r="B49" s="12"/>
      <c r="C49" s="12"/>
      <c r="D49" s="12" t="s">
        <v>50</v>
      </c>
      <c r="E49" s="12"/>
      <c r="F49" s="12"/>
      <c r="G49" s="12"/>
      <c r="H49" s="63" t="s">
        <v>461</v>
      </c>
      <c r="I49" s="472" t="s">
        <v>1028</v>
      </c>
      <c r="J49" s="72"/>
      <c r="K49" s="12"/>
      <c r="L49" s="12"/>
      <c r="M49" s="12"/>
      <c r="N49" s="12"/>
      <c r="O49" s="12"/>
      <c r="P49" s="12"/>
      <c r="Q49" s="12"/>
      <c r="R49" s="26"/>
      <c r="S49" s="26"/>
      <c r="T49" s="12"/>
      <c r="U49" s="12"/>
      <c r="V49" s="12"/>
    </row>
    <row r="50" spans="2:22" ht="123.75" customHeight="1" x14ac:dyDescent="0.25">
      <c r="B50" s="12"/>
      <c r="C50" s="12"/>
      <c r="D50" s="12" t="s">
        <v>50</v>
      </c>
      <c r="E50" s="12"/>
      <c r="F50" s="12"/>
      <c r="G50" s="12"/>
      <c r="H50" s="63" t="s">
        <v>468</v>
      </c>
      <c r="I50" s="140" t="s">
        <v>1029</v>
      </c>
      <c r="J50" s="72"/>
      <c r="K50" s="12"/>
      <c r="L50" s="12"/>
      <c r="M50" s="12"/>
      <c r="N50" s="12"/>
      <c r="O50" s="12"/>
      <c r="P50" s="12"/>
      <c r="Q50" s="12"/>
      <c r="R50" s="26"/>
      <c r="S50" s="26"/>
      <c r="T50" s="12"/>
      <c r="U50" s="12"/>
      <c r="V50" s="12"/>
    </row>
    <row r="51" spans="2:22" ht="25.5" x14ac:dyDescent="0.25">
      <c r="B51" s="12"/>
      <c r="C51" s="12"/>
      <c r="D51" s="12" t="s">
        <v>50</v>
      </c>
      <c r="E51" s="12"/>
      <c r="F51" s="12"/>
      <c r="G51" s="12"/>
      <c r="H51" s="63" t="s">
        <v>472</v>
      </c>
      <c r="I51" s="472" t="s">
        <v>473</v>
      </c>
      <c r="J51" s="72"/>
      <c r="K51" s="12"/>
      <c r="L51" s="12"/>
      <c r="M51" s="12"/>
      <c r="N51" s="12"/>
      <c r="O51" s="12"/>
      <c r="P51" s="12"/>
      <c r="Q51" s="12"/>
      <c r="R51" s="26"/>
      <c r="S51" s="26"/>
      <c r="T51" s="12"/>
      <c r="U51" s="12"/>
      <c r="V51" s="12"/>
    </row>
    <row r="52" spans="2:22" x14ac:dyDescent="0.25">
      <c r="B52" s="12"/>
      <c r="C52" s="12" t="s">
        <v>50</v>
      </c>
      <c r="D52" s="12"/>
      <c r="E52" s="12"/>
      <c r="F52" s="12"/>
      <c r="G52" s="12"/>
      <c r="H52" s="806" t="s">
        <v>478</v>
      </c>
      <c r="I52" s="472"/>
      <c r="J52" s="72"/>
      <c r="K52" s="12"/>
      <c r="L52" s="12"/>
      <c r="M52" s="12"/>
      <c r="N52" s="12"/>
      <c r="O52" s="12"/>
      <c r="P52" s="12"/>
      <c r="Q52" s="12"/>
      <c r="R52" s="26"/>
      <c r="S52" s="26"/>
      <c r="T52" s="12"/>
      <c r="U52" s="12"/>
      <c r="V52" s="12"/>
    </row>
    <row r="53" spans="2:22" x14ac:dyDescent="0.25">
      <c r="B53" s="12"/>
      <c r="C53" s="12"/>
      <c r="D53" s="12" t="s">
        <v>50</v>
      </c>
      <c r="E53" s="12"/>
      <c r="F53" s="12"/>
      <c r="G53" s="12"/>
      <c r="H53" s="63" t="s">
        <v>479</v>
      </c>
      <c r="I53" s="1143" t="s">
        <v>1030</v>
      </c>
      <c r="J53" s="72"/>
      <c r="K53" s="12"/>
      <c r="L53" s="12"/>
      <c r="M53" s="12"/>
      <c r="N53" s="12"/>
      <c r="O53" s="12"/>
      <c r="P53" s="12"/>
      <c r="Q53" s="12"/>
      <c r="R53" s="26"/>
      <c r="S53" s="26"/>
      <c r="T53" s="12"/>
      <c r="U53" s="12"/>
      <c r="V53" s="12"/>
    </row>
    <row r="54" spans="2:22" x14ac:dyDescent="0.25">
      <c r="B54" s="12"/>
      <c r="C54" s="12"/>
      <c r="D54" s="12" t="s">
        <v>50</v>
      </c>
      <c r="E54" s="12"/>
      <c r="F54" s="12"/>
      <c r="G54" s="12"/>
      <c r="H54" s="63" t="s">
        <v>486</v>
      </c>
      <c r="I54" s="1144"/>
      <c r="J54" s="72"/>
      <c r="K54" s="12"/>
      <c r="L54" s="12"/>
      <c r="M54" s="12"/>
      <c r="N54" s="12"/>
      <c r="O54" s="12"/>
      <c r="P54" s="12"/>
      <c r="Q54" s="12"/>
      <c r="R54" s="26"/>
      <c r="S54" s="26"/>
      <c r="T54" s="12"/>
      <c r="U54" s="12"/>
      <c r="V54" s="12"/>
    </row>
    <row r="55" spans="2:22" ht="38.25" customHeight="1" x14ac:dyDescent="0.25">
      <c r="B55" s="12"/>
      <c r="C55" s="12"/>
      <c r="D55" s="12" t="s">
        <v>50</v>
      </c>
      <c r="E55" s="12"/>
      <c r="F55" s="12"/>
      <c r="G55" s="12"/>
      <c r="H55" s="63" t="s">
        <v>490</v>
      </c>
      <c r="I55" s="1144"/>
      <c r="J55" s="72"/>
      <c r="K55" s="12"/>
      <c r="L55" s="12"/>
      <c r="M55" s="12"/>
      <c r="N55" s="12"/>
      <c r="O55" s="12"/>
      <c r="P55" s="12"/>
      <c r="Q55" s="12"/>
      <c r="R55" s="26"/>
      <c r="S55" s="26"/>
      <c r="T55" s="12"/>
      <c r="U55" s="12"/>
      <c r="V55" s="12"/>
    </row>
    <row r="56" spans="2:22" x14ac:dyDescent="0.25">
      <c r="B56" s="12"/>
      <c r="C56" s="12" t="s">
        <v>50</v>
      </c>
      <c r="D56" s="12"/>
      <c r="E56" s="12"/>
      <c r="F56" s="12"/>
      <c r="G56" s="12"/>
      <c r="H56" s="806" t="s">
        <v>494</v>
      </c>
      <c r="I56" s="472"/>
      <c r="J56" s="72"/>
      <c r="K56" s="12"/>
      <c r="L56" s="12"/>
      <c r="M56" s="12"/>
      <c r="N56" s="12"/>
      <c r="O56" s="12"/>
      <c r="P56" s="12"/>
      <c r="Q56" s="12"/>
      <c r="R56" s="26"/>
      <c r="S56" s="26"/>
      <c r="T56" s="12"/>
      <c r="U56" s="12"/>
      <c r="V56" s="12"/>
    </row>
    <row r="57" spans="2:22" ht="25.5" x14ac:dyDescent="0.25">
      <c r="B57" s="12"/>
      <c r="C57" s="12"/>
      <c r="D57" s="12" t="s">
        <v>50</v>
      </c>
      <c r="E57" s="12"/>
      <c r="F57" s="12"/>
      <c r="G57" s="12"/>
      <c r="H57" s="63" t="s">
        <v>495</v>
      </c>
      <c r="I57" s="472" t="s">
        <v>1031</v>
      </c>
      <c r="J57" s="72"/>
      <c r="K57" s="12"/>
      <c r="L57" s="12"/>
      <c r="M57" s="12"/>
      <c r="N57" s="12"/>
      <c r="O57" s="12"/>
      <c r="P57" s="12"/>
      <c r="Q57" s="12"/>
      <c r="R57" s="26"/>
      <c r="S57" s="26"/>
      <c r="T57" s="12"/>
      <c r="U57" s="12"/>
      <c r="V57" s="12"/>
    </row>
    <row r="58" spans="2:22" ht="60" x14ac:dyDescent="0.25">
      <c r="B58" s="12"/>
      <c r="C58" s="12"/>
      <c r="D58" s="12" t="s">
        <v>50</v>
      </c>
      <c r="E58" s="12"/>
      <c r="F58" s="12"/>
      <c r="G58" s="12"/>
      <c r="H58" s="63" t="s">
        <v>502</v>
      </c>
      <c r="I58" s="140" t="s">
        <v>1032</v>
      </c>
      <c r="J58" s="72"/>
      <c r="K58" s="12"/>
      <c r="L58" s="12"/>
      <c r="M58" s="12"/>
      <c r="N58" s="12"/>
      <c r="O58" s="12"/>
      <c r="P58" s="12"/>
      <c r="Q58" s="12"/>
      <c r="R58" s="26"/>
      <c r="S58" s="26"/>
      <c r="T58" s="12"/>
      <c r="U58" s="12"/>
      <c r="V58" s="12"/>
    </row>
    <row r="59" spans="2:22" ht="120" x14ac:dyDescent="0.25">
      <c r="B59" s="12"/>
      <c r="C59" s="12"/>
      <c r="D59" s="12" t="s">
        <v>50</v>
      </c>
      <c r="E59" s="12"/>
      <c r="F59" s="12"/>
      <c r="G59" s="12"/>
      <c r="H59" s="63" t="s">
        <v>506</v>
      </c>
      <c r="I59" s="140" t="s">
        <v>1033</v>
      </c>
      <c r="J59" s="72"/>
      <c r="K59" s="12"/>
      <c r="L59" s="12"/>
      <c r="M59" s="12"/>
      <c r="N59" s="12"/>
      <c r="O59" s="12"/>
      <c r="P59" s="12"/>
      <c r="Q59" s="12"/>
      <c r="R59" s="26"/>
      <c r="S59" s="26"/>
      <c r="T59" s="12"/>
      <c r="U59" s="12"/>
      <c r="V59" s="12"/>
    </row>
    <row r="60" spans="2:22" ht="30" x14ac:dyDescent="0.25">
      <c r="B60" s="12"/>
      <c r="C60" s="12" t="s">
        <v>50</v>
      </c>
      <c r="D60" s="12"/>
      <c r="E60" s="12"/>
      <c r="F60" s="12"/>
      <c r="G60" s="12"/>
      <c r="H60" s="806" t="s">
        <v>510</v>
      </c>
      <c r="I60" s="472"/>
      <c r="J60" s="72"/>
      <c r="K60" s="12"/>
      <c r="L60" s="12"/>
      <c r="M60" s="12"/>
      <c r="N60" s="12"/>
      <c r="O60" s="12"/>
      <c r="P60" s="12"/>
      <c r="Q60" s="12"/>
      <c r="R60" s="26"/>
      <c r="S60" s="26"/>
      <c r="T60" s="12"/>
      <c r="U60" s="12"/>
      <c r="V60" s="12"/>
    </row>
    <row r="61" spans="2:22" ht="63.75" x14ac:dyDescent="0.25">
      <c r="B61" s="12"/>
      <c r="C61" s="12"/>
      <c r="D61" s="12" t="s">
        <v>50</v>
      </c>
      <c r="E61" s="12"/>
      <c r="F61" s="12"/>
      <c r="G61" s="12"/>
      <c r="H61" s="63" t="s">
        <v>511</v>
      </c>
      <c r="I61" s="472" t="s">
        <v>1034</v>
      </c>
      <c r="J61" s="72"/>
      <c r="K61" s="12"/>
      <c r="L61" s="12"/>
      <c r="M61" s="12"/>
      <c r="N61" s="12"/>
      <c r="O61" s="12"/>
      <c r="P61" s="12"/>
      <c r="Q61" s="12"/>
      <c r="R61" s="26"/>
      <c r="S61" s="26"/>
      <c r="T61" s="12"/>
      <c r="U61" s="12"/>
      <c r="V61" s="12"/>
    </row>
    <row r="62" spans="2:22" ht="38.25" x14ac:dyDescent="0.25">
      <c r="B62" s="12"/>
      <c r="C62" s="12"/>
      <c r="D62" s="12" t="s">
        <v>50</v>
      </c>
      <c r="E62" s="12"/>
      <c r="F62" s="12"/>
      <c r="G62" s="12"/>
      <c r="H62" s="63" t="s">
        <v>519</v>
      </c>
      <c r="I62" s="472" t="s">
        <v>1035</v>
      </c>
      <c r="J62" s="72"/>
      <c r="K62" s="12"/>
      <c r="L62" s="12"/>
      <c r="M62" s="12"/>
      <c r="N62" s="12"/>
      <c r="O62" s="12"/>
      <c r="P62" s="12"/>
      <c r="Q62" s="12"/>
      <c r="R62" s="26"/>
      <c r="S62" s="26"/>
      <c r="T62" s="12"/>
      <c r="U62" s="12"/>
      <c r="V62" s="12"/>
    </row>
    <row r="63" spans="2:22" ht="51" x14ac:dyDescent="0.25">
      <c r="B63" s="12"/>
      <c r="C63" s="12"/>
      <c r="D63" s="12" t="s">
        <v>50</v>
      </c>
      <c r="E63" s="12"/>
      <c r="F63" s="12"/>
      <c r="G63" s="12"/>
      <c r="H63" s="63" t="s">
        <v>527</v>
      </c>
      <c r="I63" s="472" t="s">
        <v>1036</v>
      </c>
      <c r="J63" s="72"/>
      <c r="K63" s="12"/>
      <c r="L63" s="12"/>
      <c r="M63" s="12"/>
      <c r="N63" s="12"/>
      <c r="O63" s="12"/>
      <c r="P63" s="12"/>
      <c r="Q63" s="12"/>
      <c r="R63" s="26"/>
      <c r="S63" s="26"/>
      <c r="T63" s="12"/>
      <c r="U63" s="12"/>
      <c r="V63" s="12"/>
    </row>
    <row r="64" spans="2:22" ht="38.25" x14ac:dyDescent="0.25">
      <c r="B64" s="12" t="s">
        <v>50</v>
      </c>
      <c r="C64" s="12"/>
      <c r="D64" s="12"/>
      <c r="E64" s="12"/>
      <c r="F64" s="12"/>
      <c r="G64" s="12"/>
      <c r="H64" s="73" t="s">
        <v>534</v>
      </c>
      <c r="I64" s="472" t="s">
        <v>535</v>
      </c>
      <c r="J64" s="72"/>
      <c r="K64" s="12"/>
      <c r="L64" s="12"/>
      <c r="M64" s="12"/>
      <c r="N64" s="12"/>
      <c r="O64" s="12"/>
      <c r="P64" s="12"/>
      <c r="Q64" s="12"/>
      <c r="R64" s="26"/>
      <c r="S64" s="26"/>
      <c r="T64" s="12"/>
      <c r="U64" s="12"/>
      <c r="V64" s="12"/>
    </row>
    <row r="65" spans="2:22" ht="51" x14ac:dyDescent="0.25">
      <c r="B65" s="12"/>
      <c r="C65" s="12" t="s">
        <v>50</v>
      </c>
      <c r="D65" s="12"/>
      <c r="E65" s="12"/>
      <c r="F65" s="12"/>
      <c r="G65" s="12"/>
      <c r="H65" s="63" t="s">
        <v>536</v>
      </c>
      <c r="I65" s="472" t="s">
        <v>1037</v>
      </c>
      <c r="J65" s="72"/>
      <c r="K65" s="12"/>
      <c r="L65" s="12"/>
      <c r="M65" s="12"/>
      <c r="N65" s="12"/>
      <c r="O65" s="12"/>
      <c r="P65" s="12"/>
      <c r="Q65" s="12"/>
      <c r="R65" s="26"/>
      <c r="S65" s="26"/>
      <c r="T65" s="12"/>
      <c r="U65" s="12"/>
      <c r="V65" s="12"/>
    </row>
    <row r="66" spans="2:22" ht="120" x14ac:dyDescent="0.25">
      <c r="B66" s="12"/>
      <c r="C66" s="12"/>
      <c r="D66" s="12" t="s">
        <v>50</v>
      </c>
      <c r="E66" s="12"/>
      <c r="F66" s="12"/>
      <c r="G66" s="12"/>
      <c r="H66" s="63" t="s">
        <v>543</v>
      </c>
      <c r="I66" s="140" t="s">
        <v>1038</v>
      </c>
      <c r="J66" s="72"/>
      <c r="K66" s="12"/>
      <c r="L66" s="12"/>
      <c r="M66" s="12"/>
      <c r="N66" s="12"/>
      <c r="O66" s="12"/>
      <c r="P66" s="12"/>
      <c r="Q66" s="12"/>
      <c r="R66" s="26"/>
      <c r="S66" s="26"/>
      <c r="T66" s="12"/>
      <c r="U66" s="12"/>
      <c r="V66" s="12"/>
    </row>
    <row r="67" spans="2:22" ht="51" x14ac:dyDescent="0.25">
      <c r="B67" s="12"/>
      <c r="C67" s="12"/>
      <c r="D67" s="12" t="s">
        <v>50</v>
      </c>
      <c r="E67" s="12"/>
      <c r="F67" s="12"/>
      <c r="G67" s="12"/>
      <c r="H67" s="63" t="s">
        <v>548</v>
      </c>
      <c r="I67" s="472" t="s">
        <v>1039</v>
      </c>
      <c r="J67" s="72"/>
      <c r="K67" s="12"/>
      <c r="L67" s="12"/>
      <c r="M67" s="12"/>
      <c r="N67" s="12"/>
      <c r="O67" s="12"/>
      <c r="P67" s="12"/>
      <c r="Q67" s="12"/>
      <c r="R67" s="26"/>
      <c r="S67" s="26"/>
      <c r="T67" s="12"/>
      <c r="U67" s="12"/>
      <c r="V67" s="12"/>
    </row>
    <row r="68" spans="2:22" ht="30" x14ac:dyDescent="0.25">
      <c r="B68" s="12"/>
      <c r="C68" s="12" t="s">
        <v>50</v>
      </c>
      <c r="D68" s="12"/>
      <c r="E68" s="12"/>
      <c r="F68" s="12"/>
      <c r="G68" s="12"/>
      <c r="H68" s="806" t="s">
        <v>553</v>
      </c>
      <c r="I68" s="472"/>
      <c r="J68" s="72"/>
      <c r="K68" s="12"/>
      <c r="L68" s="12"/>
      <c r="M68" s="12"/>
      <c r="N68" s="12"/>
      <c r="O68" s="12"/>
      <c r="P68" s="12"/>
      <c r="Q68" s="12"/>
      <c r="R68" s="26"/>
      <c r="S68" s="26"/>
      <c r="T68" s="12"/>
      <c r="U68" s="12"/>
      <c r="V68" s="12"/>
    </row>
    <row r="69" spans="2:22" x14ac:dyDescent="0.25">
      <c r="B69" s="12"/>
      <c r="C69" s="12"/>
      <c r="D69" s="12" t="s">
        <v>50</v>
      </c>
      <c r="E69" s="12"/>
      <c r="F69" s="12"/>
      <c r="G69" s="12"/>
      <c r="H69" s="63" t="s">
        <v>554</v>
      </c>
      <c r="I69" s="1143" t="s">
        <v>1040</v>
      </c>
      <c r="J69" s="72"/>
      <c r="K69" s="12"/>
      <c r="L69" s="12"/>
      <c r="M69" s="12"/>
      <c r="N69" s="12"/>
      <c r="O69" s="12"/>
      <c r="P69" s="12"/>
      <c r="Q69" s="12"/>
      <c r="R69" s="26"/>
      <c r="S69" s="26"/>
      <c r="T69" s="12"/>
      <c r="U69" s="12"/>
      <c r="V69" s="12"/>
    </row>
    <row r="70" spans="2:22" ht="99.75" customHeight="1" x14ac:dyDescent="0.25">
      <c r="B70" s="12"/>
      <c r="C70" s="12"/>
      <c r="D70" s="12" t="s">
        <v>50</v>
      </c>
      <c r="E70" s="12"/>
      <c r="F70" s="12"/>
      <c r="G70" s="12"/>
      <c r="H70" s="63" t="s">
        <v>561</v>
      </c>
      <c r="I70" s="1144"/>
      <c r="J70" s="72"/>
      <c r="K70" s="12"/>
      <c r="L70" s="12"/>
      <c r="M70" s="12"/>
      <c r="N70" s="12"/>
      <c r="O70" s="12"/>
      <c r="P70" s="12"/>
      <c r="Q70" s="12"/>
      <c r="R70" s="26"/>
      <c r="S70" s="26"/>
      <c r="T70" s="12"/>
      <c r="U70" s="12"/>
      <c r="V70" s="12"/>
    </row>
    <row r="71" spans="2:22" ht="30" x14ac:dyDescent="0.25">
      <c r="B71" s="12"/>
      <c r="C71" s="12" t="s">
        <v>50</v>
      </c>
      <c r="D71" s="12"/>
      <c r="E71" s="12"/>
      <c r="F71" s="12"/>
      <c r="G71" s="12"/>
      <c r="H71" s="806" t="s">
        <v>563</v>
      </c>
      <c r="I71" s="472"/>
      <c r="J71" s="72"/>
      <c r="K71" s="12"/>
      <c r="L71" s="12"/>
      <c r="M71" s="12"/>
      <c r="N71" s="12"/>
      <c r="O71" s="12"/>
      <c r="P71" s="12"/>
      <c r="Q71" s="12"/>
      <c r="R71" s="26"/>
      <c r="S71" s="26"/>
      <c r="T71" s="12"/>
      <c r="U71" s="12"/>
      <c r="V71" s="12"/>
    </row>
    <row r="72" spans="2:22" ht="76.5" x14ac:dyDescent="0.25">
      <c r="B72" s="12"/>
      <c r="C72" s="12"/>
      <c r="D72" s="12" t="s">
        <v>50</v>
      </c>
      <c r="E72" s="12"/>
      <c r="F72" s="12"/>
      <c r="G72" s="12"/>
      <c r="H72" s="63" t="s">
        <v>564</v>
      </c>
      <c r="I72" s="472" t="s">
        <v>565</v>
      </c>
      <c r="J72" s="72"/>
      <c r="K72" s="12"/>
      <c r="L72" s="12"/>
      <c r="M72" s="12"/>
      <c r="N72" s="12"/>
      <c r="O72" s="12"/>
      <c r="P72" s="12"/>
      <c r="Q72" s="12"/>
      <c r="R72" s="26"/>
      <c r="S72" s="26"/>
      <c r="T72" s="12"/>
      <c r="U72" s="12"/>
      <c r="V72" s="12"/>
    </row>
    <row r="73" spans="2:22" ht="38.25" x14ac:dyDescent="0.25">
      <c r="B73" s="12"/>
      <c r="C73" s="12"/>
      <c r="D73" s="12" t="s">
        <v>50</v>
      </c>
      <c r="E73" s="12"/>
      <c r="F73" s="12"/>
      <c r="G73" s="12"/>
      <c r="H73" s="63" t="s">
        <v>570</v>
      </c>
      <c r="I73" s="472" t="s">
        <v>1041</v>
      </c>
      <c r="J73" s="72"/>
      <c r="K73" s="12"/>
      <c r="L73" s="12"/>
      <c r="M73" s="12"/>
      <c r="N73" s="12"/>
      <c r="O73" s="12"/>
      <c r="P73" s="12"/>
      <c r="Q73" s="12"/>
      <c r="R73" s="26"/>
      <c r="S73" s="26"/>
      <c r="T73" s="12"/>
      <c r="U73" s="12"/>
      <c r="V73" s="12"/>
    </row>
    <row r="74" spans="2:22" ht="76.5" x14ac:dyDescent="0.25">
      <c r="B74" s="12"/>
      <c r="C74" s="12"/>
      <c r="D74" s="12" t="s">
        <v>50</v>
      </c>
      <c r="E74" s="12"/>
      <c r="F74" s="12"/>
      <c r="G74" s="12"/>
      <c r="H74" s="63" t="s">
        <v>578</v>
      </c>
      <c r="I74" s="472" t="s">
        <v>579</v>
      </c>
      <c r="J74" s="72"/>
      <c r="K74" s="12"/>
      <c r="L74" s="12"/>
      <c r="M74" s="12"/>
      <c r="N74" s="12"/>
      <c r="O74" s="12"/>
      <c r="P74" s="12"/>
      <c r="Q74" s="12"/>
      <c r="R74" s="26"/>
      <c r="S74" s="26"/>
      <c r="T74" s="12"/>
      <c r="U74" s="12"/>
      <c r="V74" s="12"/>
    </row>
    <row r="75" spans="2:22" x14ac:dyDescent="0.25">
      <c r="B75" s="12"/>
      <c r="C75" s="12" t="s">
        <v>50</v>
      </c>
      <c r="D75" s="12"/>
      <c r="E75" s="12"/>
      <c r="F75" s="12"/>
      <c r="G75" s="12"/>
      <c r="H75" s="806" t="s">
        <v>585</v>
      </c>
      <c r="I75" s="472"/>
      <c r="J75" s="72"/>
      <c r="K75" s="12"/>
      <c r="L75" s="12"/>
      <c r="M75" s="12"/>
      <c r="N75" s="12"/>
      <c r="O75" s="12"/>
      <c r="P75" s="12"/>
      <c r="Q75" s="12"/>
      <c r="R75" s="26"/>
      <c r="S75" s="26"/>
      <c r="T75" s="12"/>
      <c r="U75" s="12"/>
      <c r="V75" s="12"/>
    </row>
    <row r="76" spans="2:22" ht="57.75" x14ac:dyDescent="0.25">
      <c r="B76" s="12"/>
      <c r="C76" s="12"/>
      <c r="D76" s="12" t="s">
        <v>50</v>
      </c>
      <c r="E76" s="12"/>
      <c r="F76" s="12"/>
      <c r="G76" s="12"/>
      <c r="H76" s="63" t="s">
        <v>586</v>
      </c>
      <c r="I76" s="472" t="s">
        <v>587</v>
      </c>
      <c r="J76" s="72"/>
      <c r="K76" s="12"/>
      <c r="L76" s="12"/>
      <c r="M76" s="12"/>
      <c r="N76" s="12"/>
      <c r="O76" s="12"/>
      <c r="P76" s="12"/>
      <c r="Q76" s="12"/>
      <c r="R76" s="26"/>
      <c r="S76" s="26"/>
      <c r="T76" s="12"/>
      <c r="U76" s="12"/>
      <c r="V76" s="12"/>
    </row>
    <row r="77" spans="2:22" ht="63.75" x14ac:dyDescent="0.25">
      <c r="B77" s="12"/>
      <c r="C77" s="12"/>
      <c r="D77" s="12" t="s">
        <v>50</v>
      </c>
      <c r="E77" s="12"/>
      <c r="F77" s="12"/>
      <c r="G77" s="12"/>
      <c r="H77" s="63" t="s">
        <v>589</v>
      </c>
      <c r="I77" s="472" t="s">
        <v>590</v>
      </c>
      <c r="J77" s="72"/>
      <c r="K77" s="12"/>
      <c r="L77" s="12"/>
      <c r="M77" s="12"/>
      <c r="N77" s="12"/>
      <c r="O77" s="12"/>
      <c r="P77" s="12"/>
      <c r="Q77" s="12"/>
      <c r="R77" s="26"/>
      <c r="S77" s="26"/>
      <c r="T77" s="12"/>
      <c r="U77" s="12"/>
      <c r="V77" s="12"/>
    </row>
    <row r="78" spans="2:22" ht="120" x14ac:dyDescent="0.25">
      <c r="B78" s="12"/>
      <c r="C78" s="12"/>
      <c r="D78" s="12" t="s">
        <v>50</v>
      </c>
      <c r="E78" s="12"/>
      <c r="F78" s="12"/>
      <c r="G78" s="12"/>
      <c r="H78" s="63" t="s">
        <v>597</v>
      </c>
      <c r="I78" s="140" t="s">
        <v>598</v>
      </c>
      <c r="J78" s="72"/>
      <c r="K78" s="12"/>
      <c r="L78" s="12"/>
      <c r="M78" s="12"/>
      <c r="N78" s="12"/>
      <c r="O78" s="12"/>
      <c r="P78" s="12"/>
      <c r="Q78" s="12"/>
      <c r="R78" s="26"/>
      <c r="S78" s="26"/>
      <c r="T78" s="12"/>
      <c r="U78" s="12"/>
      <c r="V78" s="12"/>
    </row>
    <row r="79" spans="2:22" x14ac:dyDescent="0.25">
      <c r="B79" s="12" t="s">
        <v>50</v>
      </c>
      <c r="C79" s="12"/>
      <c r="D79" s="12"/>
      <c r="E79" s="12"/>
      <c r="F79" s="12"/>
      <c r="G79" s="12"/>
      <c r="H79" s="73" t="s">
        <v>604</v>
      </c>
      <c r="I79" s="472" t="s">
        <v>605</v>
      </c>
      <c r="J79" s="72"/>
      <c r="K79" s="12"/>
      <c r="L79" s="12"/>
      <c r="M79" s="12"/>
      <c r="N79" s="12"/>
      <c r="O79" s="12"/>
      <c r="P79" s="12"/>
      <c r="Q79" s="12"/>
      <c r="R79" s="26"/>
      <c r="S79" s="26"/>
      <c r="T79" s="12"/>
      <c r="U79" s="12"/>
      <c r="V79" s="12"/>
    </row>
    <row r="80" spans="2:22" x14ac:dyDescent="0.25">
      <c r="B80" s="12"/>
      <c r="C80" s="12" t="s">
        <v>50</v>
      </c>
      <c r="D80" s="12"/>
      <c r="E80" s="12"/>
      <c r="F80" s="12"/>
      <c r="G80" s="12"/>
      <c r="H80" s="806" t="s">
        <v>609</v>
      </c>
      <c r="I80" s="472"/>
      <c r="J80" s="72"/>
      <c r="K80" s="12"/>
      <c r="L80" s="12"/>
      <c r="M80" s="12"/>
      <c r="N80" s="12"/>
      <c r="O80" s="12"/>
      <c r="P80" s="12"/>
      <c r="Q80" s="12"/>
      <c r="R80" s="26"/>
      <c r="S80" s="26"/>
      <c r="T80" s="12"/>
      <c r="U80" s="12"/>
      <c r="V80" s="12"/>
    </row>
    <row r="81" spans="2:22" ht="30" x14ac:dyDescent="0.25">
      <c r="B81" s="12"/>
      <c r="C81" s="12"/>
      <c r="D81" s="12" t="s">
        <v>50</v>
      </c>
      <c r="E81" s="12"/>
      <c r="F81" s="12"/>
      <c r="G81" s="12"/>
      <c r="H81" s="830" t="s">
        <v>610</v>
      </c>
      <c r="I81" s="472" t="s">
        <v>611</v>
      </c>
      <c r="J81" s="72"/>
      <c r="K81" s="12"/>
      <c r="L81" s="12"/>
      <c r="M81" s="12"/>
      <c r="N81" s="12"/>
      <c r="O81" s="12"/>
      <c r="P81" s="12"/>
      <c r="Q81" s="12"/>
      <c r="R81" s="26"/>
      <c r="S81" s="26"/>
      <c r="T81" s="12"/>
      <c r="U81" s="12"/>
      <c r="V81" s="12"/>
    </row>
    <row r="82" spans="2:22" x14ac:dyDescent="0.25">
      <c r="B82" s="12"/>
      <c r="C82" s="12" t="s">
        <v>50</v>
      </c>
      <c r="D82" s="12"/>
      <c r="E82" s="12"/>
      <c r="F82" s="12"/>
      <c r="G82" s="12"/>
      <c r="H82" s="806" t="s">
        <v>612</v>
      </c>
      <c r="I82" s="472"/>
      <c r="J82" s="72"/>
      <c r="K82" s="12"/>
      <c r="L82" s="12"/>
      <c r="M82" s="12"/>
      <c r="N82" s="12"/>
      <c r="O82" s="12"/>
      <c r="P82" s="12"/>
      <c r="Q82" s="12"/>
      <c r="R82" s="26"/>
      <c r="S82" s="26"/>
      <c r="T82" s="12"/>
      <c r="U82" s="12"/>
      <c r="V82" s="12"/>
    </row>
    <row r="83" spans="2:22" ht="153" x14ac:dyDescent="0.25">
      <c r="B83" s="12"/>
      <c r="C83" s="12"/>
      <c r="D83" s="12" t="s">
        <v>50</v>
      </c>
      <c r="E83" s="12"/>
      <c r="F83" s="12"/>
      <c r="G83" s="12"/>
      <c r="H83" s="63" t="s">
        <v>613</v>
      </c>
      <c r="I83" s="472" t="s">
        <v>1042</v>
      </c>
      <c r="J83" s="72"/>
      <c r="K83" s="12"/>
      <c r="L83" s="12"/>
      <c r="M83" s="12"/>
      <c r="N83" s="12"/>
      <c r="O83" s="12"/>
      <c r="P83" s="12"/>
      <c r="Q83" s="12"/>
      <c r="R83" s="26"/>
      <c r="S83" s="26"/>
      <c r="T83" s="12"/>
      <c r="U83" s="12"/>
      <c r="V83" s="12"/>
    </row>
    <row r="84" spans="2:22" ht="89.25" x14ac:dyDescent="0.25">
      <c r="B84" s="12"/>
      <c r="C84" s="12"/>
      <c r="D84" s="12" t="s">
        <v>50</v>
      </c>
      <c r="E84" s="12"/>
      <c r="F84" s="12"/>
      <c r="G84" s="12"/>
      <c r="H84" s="12" t="s">
        <v>621</v>
      </c>
      <c r="I84" s="472" t="s">
        <v>1043</v>
      </c>
      <c r="J84" s="72"/>
      <c r="K84" s="12"/>
      <c r="L84" s="12"/>
      <c r="M84" s="12"/>
      <c r="N84" s="12"/>
      <c r="O84" s="12"/>
      <c r="P84" s="12"/>
      <c r="Q84" s="12"/>
      <c r="R84" s="26"/>
      <c r="S84" s="26"/>
      <c r="T84" s="12"/>
      <c r="U84" s="12"/>
      <c r="V84" s="12"/>
    </row>
    <row r="85" spans="2:22" ht="38.25" x14ac:dyDescent="0.25">
      <c r="B85" s="12"/>
      <c r="C85" s="12"/>
      <c r="D85" s="12" t="s">
        <v>50</v>
      </c>
      <c r="E85" s="12"/>
      <c r="F85" s="12"/>
      <c r="G85" s="12"/>
      <c r="H85" s="63" t="s">
        <v>627</v>
      </c>
      <c r="I85" s="472" t="s">
        <v>628</v>
      </c>
      <c r="J85" s="72"/>
      <c r="K85" s="12"/>
      <c r="L85" s="12"/>
      <c r="M85" s="12"/>
      <c r="N85" s="12"/>
      <c r="O85" s="12"/>
      <c r="P85" s="12"/>
      <c r="Q85" s="12"/>
      <c r="R85" s="26"/>
      <c r="S85" s="26"/>
      <c r="T85" s="12"/>
      <c r="U85" s="12"/>
      <c r="V85" s="12"/>
    </row>
    <row r="86" spans="2:22" ht="25.5" x14ac:dyDescent="0.25">
      <c r="B86" s="12" t="s">
        <v>50</v>
      </c>
      <c r="C86" s="12"/>
      <c r="D86" s="12"/>
      <c r="E86" s="12"/>
      <c r="F86" s="12"/>
      <c r="G86" s="12"/>
      <c r="H86" s="73" t="s">
        <v>631</v>
      </c>
      <c r="I86" s="472" t="s">
        <v>632</v>
      </c>
      <c r="J86" s="72"/>
      <c r="K86" s="12"/>
      <c r="L86" s="12"/>
      <c r="M86" s="12"/>
      <c r="N86" s="12"/>
      <c r="O86" s="12"/>
      <c r="P86" s="12"/>
      <c r="Q86" s="12"/>
      <c r="R86" s="26"/>
      <c r="S86" s="26"/>
      <c r="T86" s="12"/>
      <c r="U86" s="12"/>
      <c r="V86" s="12"/>
    </row>
    <row r="87" spans="2:22" x14ac:dyDescent="0.25">
      <c r="B87" s="12"/>
      <c r="C87" s="12" t="s">
        <v>50</v>
      </c>
      <c r="D87" s="12"/>
      <c r="E87" s="12"/>
      <c r="F87" s="12"/>
      <c r="G87" s="12"/>
      <c r="H87" s="806" t="s">
        <v>634</v>
      </c>
      <c r="I87" s="472"/>
      <c r="J87" s="72"/>
      <c r="K87" s="12"/>
      <c r="L87" s="12"/>
      <c r="M87" s="12"/>
      <c r="N87" s="12"/>
      <c r="O87" s="12"/>
      <c r="P87" s="12"/>
      <c r="Q87" s="12"/>
      <c r="R87" s="26"/>
      <c r="S87" s="26"/>
      <c r="T87" s="12"/>
      <c r="U87" s="12"/>
      <c r="V87" s="12"/>
    </row>
    <row r="88" spans="2:22" ht="38.25" x14ac:dyDescent="0.25">
      <c r="B88" s="12"/>
      <c r="C88" s="12"/>
      <c r="D88" s="12" t="s">
        <v>50</v>
      </c>
      <c r="E88" s="12"/>
      <c r="F88" s="12"/>
      <c r="G88" s="12"/>
      <c r="H88" s="63" t="s">
        <v>635</v>
      </c>
      <c r="I88" s="472" t="s">
        <v>1044</v>
      </c>
      <c r="J88" s="72"/>
      <c r="K88" s="12"/>
      <c r="L88" s="12"/>
      <c r="M88" s="12"/>
      <c r="N88" s="12"/>
      <c r="O88" s="12"/>
      <c r="P88" s="12"/>
      <c r="Q88" s="12"/>
      <c r="R88" s="26"/>
      <c r="S88" s="26"/>
      <c r="T88" s="12"/>
      <c r="U88" s="12"/>
      <c r="V88" s="12"/>
    </row>
    <row r="89" spans="2:22" ht="102" x14ac:dyDescent="0.25">
      <c r="B89" s="12"/>
      <c r="C89" s="12"/>
      <c r="D89" s="12" t="s">
        <v>50</v>
      </c>
      <c r="E89" s="12"/>
      <c r="F89" s="12"/>
      <c r="G89" s="12"/>
      <c r="H89" s="63" t="s">
        <v>641</v>
      </c>
      <c r="I89" s="472" t="s">
        <v>1045</v>
      </c>
      <c r="J89" s="72"/>
      <c r="K89" s="12"/>
      <c r="L89" s="12"/>
      <c r="M89" s="12"/>
      <c r="N89" s="12"/>
      <c r="O89" s="12"/>
      <c r="P89" s="12"/>
      <c r="Q89" s="12"/>
      <c r="R89" s="26"/>
      <c r="S89" s="26"/>
      <c r="T89" s="12"/>
      <c r="U89" s="12"/>
      <c r="V89" s="12"/>
    </row>
    <row r="90" spans="2:22" x14ac:dyDescent="0.25">
      <c r="B90" s="12"/>
      <c r="C90" s="12" t="s">
        <v>50</v>
      </c>
      <c r="D90" s="12"/>
      <c r="E90" s="12"/>
      <c r="F90" s="12"/>
      <c r="G90" s="12"/>
      <c r="H90" s="806" t="s">
        <v>647</v>
      </c>
      <c r="I90" s="472"/>
      <c r="J90" s="72"/>
      <c r="K90" s="12"/>
      <c r="L90" s="12"/>
      <c r="M90" s="12"/>
      <c r="N90" s="12"/>
      <c r="O90" s="12"/>
      <c r="P90" s="12"/>
      <c r="Q90" s="12"/>
      <c r="R90" s="26"/>
      <c r="S90" s="26"/>
      <c r="T90" s="12"/>
      <c r="U90" s="12"/>
      <c r="V90" s="12"/>
    </row>
    <row r="91" spans="2:22" ht="76.5" x14ac:dyDescent="0.25">
      <c r="B91" s="12"/>
      <c r="C91" s="12"/>
      <c r="D91" s="12" t="s">
        <v>50</v>
      </c>
      <c r="E91" s="12"/>
      <c r="F91" s="12"/>
      <c r="G91" s="12"/>
      <c r="H91" s="63" t="s">
        <v>648</v>
      </c>
      <c r="I91" s="472" t="s">
        <v>1046</v>
      </c>
      <c r="J91" s="72"/>
      <c r="K91" s="12"/>
      <c r="L91" s="12"/>
      <c r="M91" s="12"/>
      <c r="N91" s="12"/>
      <c r="O91" s="12"/>
      <c r="P91" s="12"/>
      <c r="Q91" s="12"/>
      <c r="R91" s="26"/>
      <c r="S91" s="26"/>
      <c r="T91" s="12"/>
      <c r="U91" s="12"/>
      <c r="V91" s="12"/>
    </row>
    <row r="92" spans="2:22" s="75" customFormat="1" ht="51" x14ac:dyDescent="0.25">
      <c r="B92" s="76"/>
      <c r="C92" s="76"/>
      <c r="D92" s="76" t="s">
        <v>50</v>
      </c>
      <c r="E92" s="76"/>
      <c r="F92" s="76"/>
      <c r="G92" s="76"/>
      <c r="H92" s="143" t="s">
        <v>655</v>
      </c>
      <c r="I92" s="137" t="s">
        <v>656</v>
      </c>
      <c r="J92" s="77"/>
      <c r="K92" s="76"/>
      <c r="L92" s="76"/>
      <c r="M92" s="76"/>
      <c r="N92" s="76"/>
      <c r="O92" s="76"/>
      <c r="P92" s="76"/>
      <c r="Q92" s="76"/>
      <c r="R92" s="78"/>
      <c r="S92" s="78"/>
      <c r="T92" s="76"/>
      <c r="U92" s="76"/>
      <c r="V92" s="76"/>
    </row>
    <row r="93" spans="2:22" ht="63.75" x14ac:dyDescent="0.25">
      <c r="B93" s="12"/>
      <c r="C93" s="12"/>
      <c r="D93" s="12" t="s">
        <v>50</v>
      </c>
      <c r="E93" s="12"/>
      <c r="F93" s="12"/>
      <c r="G93" s="12"/>
      <c r="H93" s="63" t="s">
        <v>657</v>
      </c>
      <c r="I93" s="472" t="s">
        <v>658</v>
      </c>
      <c r="J93" s="72"/>
      <c r="K93" s="12"/>
      <c r="L93" s="12"/>
      <c r="M93" s="12"/>
      <c r="N93" s="12"/>
      <c r="O93" s="12"/>
      <c r="P93" s="12"/>
      <c r="Q93" s="12"/>
      <c r="R93" s="26"/>
      <c r="S93" s="26"/>
      <c r="T93" s="12"/>
      <c r="U93" s="12"/>
      <c r="V93" s="12"/>
    </row>
    <row r="94" spans="2:22" x14ac:dyDescent="0.25">
      <c r="B94" s="12"/>
      <c r="C94" s="12" t="s">
        <v>50</v>
      </c>
      <c r="D94" s="12"/>
      <c r="E94" s="12"/>
      <c r="F94" s="12"/>
      <c r="G94" s="12"/>
      <c r="H94" s="806" t="s">
        <v>664</v>
      </c>
      <c r="I94" s="472"/>
      <c r="J94" s="72"/>
      <c r="K94" s="12"/>
      <c r="L94" s="12"/>
      <c r="M94" s="12"/>
      <c r="N94" s="12"/>
      <c r="O94" s="12"/>
      <c r="P94" s="12"/>
      <c r="Q94" s="12"/>
      <c r="R94" s="26"/>
      <c r="S94" s="26"/>
      <c r="T94" s="12"/>
      <c r="U94" s="12"/>
      <c r="V94" s="12"/>
    </row>
    <row r="95" spans="2:22" ht="89.25" x14ac:dyDescent="0.25">
      <c r="B95" s="12"/>
      <c r="C95" s="12"/>
      <c r="D95" s="12" t="s">
        <v>50</v>
      </c>
      <c r="E95" s="12"/>
      <c r="F95" s="12"/>
      <c r="G95" s="12"/>
      <c r="H95" s="63" t="s">
        <v>665</v>
      </c>
      <c r="I95" s="472" t="s">
        <v>1047</v>
      </c>
      <c r="J95" s="72"/>
      <c r="K95" s="12"/>
      <c r="L95" s="12"/>
      <c r="M95" s="12"/>
      <c r="N95" s="12"/>
      <c r="O95" s="12"/>
      <c r="P95" s="12"/>
      <c r="Q95" s="12"/>
      <c r="R95" s="26"/>
      <c r="S95" s="26"/>
      <c r="T95" s="12"/>
      <c r="U95" s="12"/>
      <c r="V95" s="12"/>
    </row>
    <row r="96" spans="2:22" ht="51" x14ac:dyDescent="0.25">
      <c r="B96" s="12"/>
      <c r="C96" s="12"/>
      <c r="D96" s="12" t="s">
        <v>50</v>
      </c>
      <c r="E96" s="12"/>
      <c r="F96" s="12"/>
      <c r="G96" s="12"/>
      <c r="H96" s="63" t="s">
        <v>671</v>
      </c>
      <c r="I96" s="472" t="s">
        <v>1048</v>
      </c>
      <c r="J96" s="72"/>
      <c r="K96" s="12"/>
      <c r="L96" s="12"/>
      <c r="M96" s="12"/>
      <c r="N96" s="12"/>
      <c r="O96" s="12"/>
      <c r="P96" s="12"/>
      <c r="Q96" s="12"/>
      <c r="R96" s="26"/>
      <c r="S96" s="26"/>
      <c r="T96" s="12"/>
      <c r="U96" s="12"/>
      <c r="V96" s="12"/>
    </row>
    <row r="97" spans="2:22" ht="51" x14ac:dyDescent="0.25">
      <c r="B97" s="12"/>
      <c r="C97" s="12"/>
      <c r="D97" s="12" t="s">
        <v>50</v>
      </c>
      <c r="E97" s="12"/>
      <c r="F97" s="12"/>
      <c r="G97" s="12"/>
      <c r="H97" s="830" t="s">
        <v>676</v>
      </c>
      <c r="I97" s="472" t="s">
        <v>677</v>
      </c>
      <c r="J97" s="72"/>
      <c r="K97" s="12"/>
      <c r="L97" s="12"/>
      <c r="M97" s="12"/>
      <c r="N97" s="12"/>
      <c r="O97" s="12"/>
      <c r="P97" s="12"/>
      <c r="Q97" s="12"/>
      <c r="R97" s="26"/>
      <c r="S97" s="26"/>
      <c r="T97" s="12"/>
      <c r="U97" s="12"/>
      <c r="V97" s="12"/>
    </row>
    <row r="98" spans="2:22" ht="38.25" x14ac:dyDescent="0.25">
      <c r="B98" s="12" t="s">
        <v>50</v>
      </c>
      <c r="C98" s="12"/>
      <c r="D98" s="12"/>
      <c r="E98" s="12"/>
      <c r="F98" s="12"/>
      <c r="G98" s="12"/>
      <c r="H98" s="73" t="s">
        <v>678</v>
      </c>
      <c r="I98" s="472" t="s">
        <v>679</v>
      </c>
      <c r="J98" s="72"/>
      <c r="K98" s="12"/>
      <c r="L98" s="12"/>
      <c r="M98" s="12"/>
      <c r="N98" s="12"/>
      <c r="O98" s="12"/>
      <c r="P98" s="12"/>
      <c r="Q98" s="12"/>
      <c r="R98" s="26"/>
      <c r="S98" s="26"/>
      <c r="T98" s="12"/>
      <c r="U98" s="12"/>
      <c r="V98" s="12"/>
    </row>
    <row r="99" spans="2:22" x14ac:dyDescent="0.25">
      <c r="B99" s="12"/>
      <c r="C99" s="12" t="s">
        <v>50</v>
      </c>
      <c r="D99" s="12"/>
      <c r="E99" s="12"/>
      <c r="F99" s="12"/>
      <c r="G99" s="12"/>
      <c r="H99" s="806" t="s">
        <v>680</v>
      </c>
      <c r="I99" s="472"/>
      <c r="J99" s="72"/>
      <c r="K99" s="12"/>
      <c r="L99" s="12"/>
      <c r="M99" s="12"/>
      <c r="N99" s="12"/>
      <c r="O99" s="12"/>
      <c r="P99" s="12"/>
      <c r="Q99" s="12"/>
      <c r="R99" s="26"/>
      <c r="S99" s="26"/>
      <c r="T99" s="12"/>
      <c r="U99" s="12"/>
      <c r="V99" s="12"/>
    </row>
    <row r="100" spans="2:22" ht="86.25" x14ac:dyDescent="0.25">
      <c r="B100" s="12"/>
      <c r="C100" s="12"/>
      <c r="D100" s="12" t="s">
        <v>50</v>
      </c>
      <c r="E100" s="12"/>
      <c r="F100" s="12"/>
      <c r="G100" s="12"/>
      <c r="H100" s="63" t="s">
        <v>681</v>
      </c>
      <c r="I100" s="472" t="s">
        <v>1049</v>
      </c>
      <c r="J100" s="72"/>
      <c r="K100" s="12"/>
      <c r="L100" s="12"/>
      <c r="M100" s="12"/>
      <c r="N100" s="12"/>
      <c r="O100" s="12"/>
      <c r="P100" s="12"/>
      <c r="Q100" s="12"/>
      <c r="R100" s="26"/>
      <c r="S100" s="26"/>
      <c r="T100" s="12"/>
      <c r="U100" s="12"/>
      <c r="V100" s="12"/>
    </row>
    <row r="101" spans="2:22" ht="63.75" x14ac:dyDescent="0.25">
      <c r="B101" s="12"/>
      <c r="C101" s="12"/>
      <c r="D101" s="12" t="s">
        <v>50</v>
      </c>
      <c r="E101" s="12"/>
      <c r="F101" s="12"/>
      <c r="G101" s="12"/>
      <c r="H101" s="63" t="s">
        <v>689</v>
      </c>
      <c r="I101" s="472" t="s">
        <v>1050</v>
      </c>
      <c r="J101" s="72"/>
      <c r="K101" s="12"/>
      <c r="L101" s="12"/>
      <c r="M101" s="12"/>
      <c r="N101" s="12"/>
      <c r="O101" s="12"/>
      <c r="P101" s="12"/>
      <c r="Q101" s="12"/>
      <c r="R101" s="26"/>
      <c r="S101" s="26"/>
      <c r="T101" s="12"/>
      <c r="U101" s="12"/>
      <c r="V101" s="12"/>
    </row>
    <row r="102" spans="2:22" ht="63.75" x14ac:dyDescent="0.25">
      <c r="B102" s="12"/>
      <c r="C102" s="12"/>
      <c r="D102" s="12" t="s">
        <v>50</v>
      </c>
      <c r="E102" s="12"/>
      <c r="F102" s="12"/>
      <c r="G102" s="12"/>
      <c r="H102" s="63" t="s">
        <v>696</v>
      </c>
      <c r="I102" s="472" t="s">
        <v>1051</v>
      </c>
      <c r="J102" s="72"/>
      <c r="K102" s="12"/>
      <c r="L102" s="12"/>
      <c r="M102" s="12"/>
      <c r="N102" s="12"/>
      <c r="O102" s="12"/>
      <c r="P102" s="12"/>
      <c r="Q102" s="12"/>
      <c r="R102" s="26"/>
      <c r="S102" s="26"/>
      <c r="T102" s="12"/>
      <c r="U102" s="12"/>
      <c r="V102" s="12"/>
    </row>
    <row r="103" spans="2:22" x14ac:dyDescent="0.25">
      <c r="B103" s="12"/>
      <c r="C103" s="12" t="s">
        <v>50</v>
      </c>
      <c r="D103" s="12"/>
      <c r="E103" s="12"/>
      <c r="F103" s="12"/>
      <c r="G103" s="12"/>
      <c r="H103" s="806" t="s">
        <v>701</v>
      </c>
      <c r="I103" s="472"/>
      <c r="J103" s="72"/>
      <c r="K103" s="12"/>
      <c r="L103" s="12"/>
      <c r="M103" s="12"/>
      <c r="N103" s="12"/>
      <c r="O103" s="12"/>
      <c r="P103" s="12"/>
      <c r="Q103" s="12"/>
      <c r="R103" s="26"/>
      <c r="S103" s="26"/>
      <c r="T103" s="12"/>
      <c r="U103" s="12"/>
      <c r="V103" s="12"/>
    </row>
    <row r="104" spans="2:22" ht="114.75" x14ac:dyDescent="0.25">
      <c r="B104" s="12"/>
      <c r="C104" s="12"/>
      <c r="D104" s="12" t="s">
        <v>50</v>
      </c>
      <c r="E104" s="12"/>
      <c r="F104" s="12"/>
      <c r="G104" s="12"/>
      <c r="H104" s="63" t="s">
        <v>702</v>
      </c>
      <c r="I104" s="472" t="s">
        <v>703</v>
      </c>
      <c r="J104" s="72"/>
      <c r="K104" s="12"/>
      <c r="L104" s="12"/>
      <c r="M104" s="12"/>
      <c r="N104" s="12"/>
      <c r="O104" s="12"/>
      <c r="P104" s="12"/>
      <c r="Q104" s="12"/>
      <c r="R104" s="26"/>
      <c r="S104" s="26"/>
      <c r="T104" s="12"/>
      <c r="U104" s="12"/>
      <c r="V104" s="12"/>
    </row>
    <row r="105" spans="2:22" s="75" customFormat="1" ht="38.25" x14ac:dyDescent="0.25">
      <c r="B105" s="76"/>
      <c r="C105" s="76"/>
      <c r="D105" s="76" t="s">
        <v>50</v>
      </c>
      <c r="E105" s="76"/>
      <c r="F105" s="76"/>
      <c r="G105" s="76"/>
      <c r="H105" s="63" t="s">
        <v>710</v>
      </c>
      <c r="I105" s="472" t="s">
        <v>1052</v>
      </c>
      <c r="J105" s="77"/>
      <c r="K105" s="76"/>
      <c r="L105" s="76"/>
      <c r="M105" s="76"/>
      <c r="N105" s="76"/>
      <c r="O105" s="76"/>
      <c r="P105" s="76"/>
      <c r="Q105" s="76"/>
      <c r="R105" s="78"/>
      <c r="S105" s="78"/>
      <c r="T105" s="76"/>
      <c r="U105" s="76"/>
      <c r="V105" s="76"/>
    </row>
    <row r="106" spans="2:22" ht="130.5" x14ac:dyDescent="0.25">
      <c r="B106" s="12"/>
      <c r="C106" s="12"/>
      <c r="D106" s="12" t="s">
        <v>50</v>
      </c>
      <c r="E106" s="12"/>
      <c r="F106" s="12"/>
      <c r="G106" s="12"/>
      <c r="H106" s="63" t="s">
        <v>713</v>
      </c>
      <c r="I106" s="472" t="s">
        <v>1053</v>
      </c>
      <c r="J106" s="72"/>
      <c r="K106" s="12"/>
      <c r="L106" s="12"/>
      <c r="M106" s="12"/>
      <c r="N106" s="12"/>
      <c r="O106" s="12"/>
      <c r="P106" s="12"/>
      <c r="Q106" s="12"/>
      <c r="R106" s="26"/>
      <c r="S106" s="26"/>
      <c r="T106" s="12"/>
      <c r="U106" s="12"/>
      <c r="V106" s="12"/>
    </row>
    <row r="107" spans="2:22" ht="30" x14ac:dyDescent="0.25">
      <c r="B107" s="12"/>
      <c r="C107" s="12" t="s">
        <v>50</v>
      </c>
      <c r="D107" s="12"/>
      <c r="E107" s="12"/>
      <c r="F107" s="12"/>
      <c r="G107" s="12"/>
      <c r="H107" s="806" t="s">
        <v>717</v>
      </c>
      <c r="I107" s="472"/>
      <c r="J107" s="72"/>
      <c r="K107" s="12"/>
      <c r="L107" s="12"/>
      <c r="M107" s="12"/>
      <c r="N107" s="12"/>
      <c r="O107" s="12"/>
      <c r="P107" s="12"/>
      <c r="Q107" s="12"/>
      <c r="R107" s="26"/>
      <c r="S107" s="26"/>
      <c r="T107" s="12"/>
      <c r="U107" s="12"/>
      <c r="V107" s="12"/>
    </row>
    <row r="108" spans="2:22" ht="38.25" x14ac:dyDescent="0.25">
      <c r="B108" s="12"/>
      <c r="C108" s="12"/>
      <c r="D108" s="12" t="s">
        <v>50</v>
      </c>
      <c r="E108" s="12"/>
      <c r="F108" s="12"/>
      <c r="G108" s="12"/>
      <c r="H108" s="63" t="s">
        <v>718</v>
      </c>
      <c r="I108" s="472" t="s">
        <v>1054</v>
      </c>
      <c r="J108" s="72"/>
      <c r="K108" s="12"/>
      <c r="L108" s="12"/>
      <c r="M108" s="12"/>
      <c r="N108" s="12"/>
      <c r="O108" s="12"/>
      <c r="P108" s="12"/>
      <c r="Q108" s="12"/>
      <c r="R108" s="26"/>
      <c r="S108" s="26"/>
      <c r="T108" s="12"/>
      <c r="U108" s="12"/>
      <c r="V108" s="12"/>
    </row>
    <row r="109" spans="2:22" s="97" customFormat="1" ht="38.25" x14ac:dyDescent="0.25">
      <c r="B109" s="63"/>
      <c r="C109" s="63"/>
      <c r="D109" s="63" t="s">
        <v>50</v>
      </c>
      <c r="E109" s="63"/>
      <c r="F109" s="63"/>
      <c r="G109" s="63"/>
      <c r="H109" s="63" t="s">
        <v>723</v>
      </c>
      <c r="I109" s="817" t="s">
        <v>724</v>
      </c>
      <c r="J109" s="98"/>
      <c r="K109" s="63"/>
      <c r="L109" s="63"/>
      <c r="M109" s="63"/>
      <c r="N109" s="63"/>
      <c r="O109" s="63"/>
      <c r="P109" s="63"/>
      <c r="Q109" s="63"/>
      <c r="R109" s="99"/>
      <c r="S109" s="99"/>
      <c r="T109" s="63"/>
      <c r="U109" s="63"/>
      <c r="V109" s="63"/>
    </row>
    <row r="110" spans="2:22" ht="135" customHeight="1" x14ac:dyDescent="0.25">
      <c r="B110" s="12"/>
      <c r="C110" s="12"/>
      <c r="D110" s="12" t="s">
        <v>50</v>
      </c>
      <c r="E110" s="12"/>
      <c r="F110" s="12"/>
      <c r="G110" s="12"/>
      <c r="H110" s="63" t="s">
        <v>727</v>
      </c>
      <c r="I110" s="472" t="s">
        <v>1055</v>
      </c>
      <c r="J110" s="72"/>
      <c r="K110" s="12"/>
      <c r="L110" s="12"/>
      <c r="M110" s="12"/>
      <c r="N110" s="12"/>
      <c r="O110" s="12"/>
      <c r="P110" s="12"/>
      <c r="Q110" s="12"/>
      <c r="R110" s="26"/>
      <c r="S110" s="26"/>
      <c r="T110" s="12"/>
      <c r="U110" s="12"/>
      <c r="V110" s="12"/>
    </row>
    <row r="111" spans="2:22" ht="30" x14ac:dyDescent="0.25">
      <c r="B111" s="12"/>
      <c r="C111" s="12" t="s">
        <v>50</v>
      </c>
      <c r="D111" s="12"/>
      <c r="E111" s="12"/>
      <c r="F111" s="12"/>
      <c r="G111" s="12"/>
      <c r="H111" s="806" t="s">
        <v>735</v>
      </c>
      <c r="I111" s="472"/>
      <c r="J111" s="72"/>
      <c r="K111" s="12"/>
      <c r="L111" s="12"/>
      <c r="M111" s="12"/>
      <c r="N111" s="12"/>
      <c r="O111" s="12"/>
      <c r="P111" s="12"/>
      <c r="Q111" s="12"/>
      <c r="R111" s="26"/>
      <c r="S111" s="26"/>
      <c r="T111" s="12"/>
      <c r="U111" s="12"/>
      <c r="V111" s="12"/>
    </row>
    <row r="112" spans="2:22" s="97" customFormat="1" ht="124.5" customHeight="1" x14ac:dyDescent="0.25">
      <c r="B112" s="63"/>
      <c r="C112" s="63"/>
      <c r="D112" s="63" t="s">
        <v>50</v>
      </c>
      <c r="E112" s="63"/>
      <c r="F112" s="63"/>
      <c r="G112" s="63"/>
      <c r="H112" s="63" t="s">
        <v>736</v>
      </c>
      <c r="I112" s="817" t="s">
        <v>1056</v>
      </c>
      <c r="J112" s="98"/>
      <c r="K112" s="63"/>
      <c r="L112" s="63"/>
      <c r="M112" s="63"/>
      <c r="N112" s="63"/>
      <c r="O112" s="63"/>
      <c r="P112" s="63"/>
      <c r="Q112" s="63"/>
      <c r="R112" s="99"/>
      <c r="S112" s="99"/>
      <c r="T112" s="63"/>
      <c r="U112" s="63"/>
      <c r="V112" s="63"/>
    </row>
    <row r="113" spans="2:22" ht="63.75" x14ac:dyDescent="0.25">
      <c r="B113" s="12"/>
      <c r="C113" s="12"/>
      <c r="D113" s="12" t="s">
        <v>50</v>
      </c>
      <c r="E113" s="12"/>
      <c r="F113" s="12"/>
      <c r="G113" s="12"/>
      <c r="H113" s="63" t="s">
        <v>741</v>
      </c>
      <c r="I113" s="472" t="s">
        <v>1057</v>
      </c>
      <c r="J113" s="72"/>
      <c r="K113" s="12"/>
      <c r="L113" s="12"/>
      <c r="M113" s="12"/>
      <c r="N113" s="12"/>
      <c r="O113" s="12"/>
      <c r="P113" s="12"/>
      <c r="Q113" s="12"/>
      <c r="R113" s="26"/>
      <c r="S113" s="26"/>
      <c r="T113" s="12"/>
      <c r="U113" s="12"/>
      <c r="V113" s="12"/>
    </row>
    <row r="114" spans="2:22" ht="38.25" x14ac:dyDescent="0.25">
      <c r="B114" s="12"/>
      <c r="C114" s="12"/>
      <c r="D114" s="12" t="s">
        <v>50</v>
      </c>
      <c r="E114" s="12"/>
      <c r="F114" s="12"/>
      <c r="G114" s="12"/>
      <c r="H114" s="830" t="s">
        <v>745</v>
      </c>
      <c r="I114" s="472" t="s">
        <v>746</v>
      </c>
      <c r="J114" s="72"/>
      <c r="K114" s="12"/>
      <c r="L114" s="12"/>
      <c r="M114" s="12"/>
      <c r="N114" s="12"/>
      <c r="O114" s="12"/>
      <c r="P114" s="12"/>
      <c r="Q114" s="12"/>
      <c r="R114" s="26"/>
      <c r="S114" s="26"/>
      <c r="T114" s="12"/>
      <c r="U114" s="12"/>
      <c r="V114" s="12"/>
    </row>
    <row r="115" spans="2:22" ht="30" x14ac:dyDescent="0.25">
      <c r="B115" s="12"/>
      <c r="C115" s="12" t="s">
        <v>50</v>
      </c>
      <c r="D115" s="12"/>
      <c r="E115" s="12"/>
      <c r="F115" s="12"/>
      <c r="G115" s="12"/>
      <c r="H115" s="806" t="s">
        <v>747</v>
      </c>
      <c r="I115" s="472"/>
      <c r="J115" s="72"/>
      <c r="K115" s="12"/>
      <c r="L115" s="12"/>
      <c r="M115" s="12"/>
      <c r="N115" s="12"/>
      <c r="O115" s="12"/>
      <c r="P115" s="12"/>
      <c r="Q115" s="12"/>
      <c r="R115" s="26"/>
      <c r="S115" s="26"/>
      <c r="T115" s="12"/>
      <c r="U115" s="12"/>
      <c r="V115" s="12"/>
    </row>
    <row r="116" spans="2:22" s="75" customFormat="1" ht="38.25" x14ac:dyDescent="0.25">
      <c r="B116" s="76"/>
      <c r="C116" s="76"/>
      <c r="D116" s="76" t="s">
        <v>50</v>
      </c>
      <c r="E116" s="76"/>
      <c r="F116" s="76"/>
      <c r="G116" s="76"/>
      <c r="H116" s="832" t="s">
        <v>748</v>
      </c>
      <c r="I116" s="137" t="s">
        <v>749</v>
      </c>
      <c r="J116" s="77"/>
      <c r="K116" s="76"/>
      <c r="L116" s="76"/>
      <c r="M116" s="76"/>
      <c r="N116" s="76"/>
      <c r="O116" s="76"/>
      <c r="P116" s="76"/>
      <c r="Q116" s="76"/>
      <c r="R116" s="78"/>
      <c r="S116" s="78"/>
      <c r="T116" s="76"/>
      <c r="U116" s="76"/>
      <c r="V116" s="76"/>
    </row>
    <row r="117" spans="2:22" s="97" customFormat="1" ht="51" x14ac:dyDescent="0.25">
      <c r="B117" s="63"/>
      <c r="C117" s="63"/>
      <c r="D117" s="63" t="s">
        <v>50</v>
      </c>
      <c r="E117" s="63"/>
      <c r="F117" s="63"/>
      <c r="G117" s="63"/>
      <c r="H117" s="63" t="s">
        <v>750</v>
      </c>
      <c r="I117" s="817" t="s">
        <v>1058</v>
      </c>
      <c r="J117" s="98"/>
      <c r="K117" s="63"/>
      <c r="L117" s="63"/>
      <c r="M117" s="63"/>
      <c r="N117" s="63"/>
      <c r="O117" s="63"/>
      <c r="P117" s="63"/>
      <c r="Q117" s="63"/>
      <c r="R117" s="99"/>
      <c r="S117" s="99"/>
      <c r="T117" s="63"/>
      <c r="U117" s="63"/>
      <c r="V117" s="63"/>
    </row>
    <row r="118" spans="2:22" ht="102" x14ac:dyDescent="0.25">
      <c r="B118" s="12"/>
      <c r="C118" s="12"/>
      <c r="D118" s="12" t="s">
        <v>50</v>
      </c>
      <c r="E118" s="12"/>
      <c r="F118" s="12"/>
      <c r="G118" s="12"/>
      <c r="H118" s="1145" t="s">
        <v>757</v>
      </c>
      <c r="I118" s="472" t="s">
        <v>1059</v>
      </c>
      <c r="J118" s="72"/>
      <c r="K118" s="12"/>
      <c r="L118" s="12"/>
      <c r="M118" s="12"/>
      <c r="N118" s="12"/>
      <c r="O118" s="12"/>
      <c r="P118" s="12"/>
      <c r="Q118" s="12"/>
      <c r="R118" s="26"/>
      <c r="S118" s="26"/>
      <c r="T118" s="12"/>
      <c r="U118" s="12"/>
      <c r="V118" s="12"/>
    </row>
    <row r="119" spans="2:22" ht="25.5" x14ac:dyDescent="0.25">
      <c r="B119" s="12"/>
      <c r="C119" s="12"/>
      <c r="D119" s="12"/>
      <c r="E119" s="12"/>
      <c r="F119" s="12"/>
      <c r="G119" s="12"/>
      <c r="H119" s="1146"/>
      <c r="I119" s="472" t="s">
        <v>1060</v>
      </c>
      <c r="J119" s="72"/>
      <c r="K119" s="12"/>
      <c r="L119" s="12"/>
      <c r="M119" s="12"/>
      <c r="N119" s="12"/>
      <c r="O119" s="12"/>
      <c r="P119" s="12"/>
      <c r="Q119" s="12"/>
      <c r="R119" s="26"/>
      <c r="S119" s="26"/>
      <c r="T119" s="12"/>
      <c r="U119" s="12"/>
      <c r="V119" s="12"/>
    </row>
    <row r="120" spans="2:22" ht="25.5" x14ac:dyDescent="0.25">
      <c r="B120" s="12"/>
      <c r="C120" s="12"/>
      <c r="D120" s="12"/>
      <c r="E120" s="12"/>
      <c r="F120" s="12"/>
      <c r="G120" s="12"/>
      <c r="H120" s="1146"/>
      <c r="I120" s="472" t="s">
        <v>764</v>
      </c>
      <c r="J120" s="72"/>
      <c r="K120" s="12"/>
      <c r="L120" s="12"/>
      <c r="M120" s="12"/>
      <c r="N120" s="12"/>
      <c r="O120" s="12"/>
      <c r="P120" s="12"/>
      <c r="Q120" s="12"/>
      <c r="R120" s="26"/>
      <c r="S120" s="26"/>
      <c r="T120" s="12"/>
      <c r="U120" s="12"/>
      <c r="V120" s="12"/>
    </row>
    <row r="121" spans="2:22" x14ac:dyDescent="0.25">
      <c r="B121" s="12"/>
      <c r="C121" s="12" t="s">
        <v>50</v>
      </c>
      <c r="D121" s="12"/>
      <c r="E121" s="12"/>
      <c r="F121" s="12"/>
      <c r="G121" s="12"/>
      <c r="H121" s="806" t="s">
        <v>766</v>
      </c>
      <c r="I121" s="472"/>
      <c r="J121" s="72"/>
      <c r="K121" s="12"/>
      <c r="L121" s="12"/>
      <c r="M121" s="12"/>
      <c r="N121" s="12"/>
      <c r="O121" s="12"/>
      <c r="P121" s="12"/>
      <c r="Q121" s="12"/>
      <c r="R121" s="26"/>
      <c r="S121" s="26"/>
      <c r="T121" s="12"/>
      <c r="U121" s="12"/>
      <c r="V121" s="12"/>
    </row>
    <row r="122" spans="2:22" ht="63.75" x14ac:dyDescent="0.25">
      <c r="B122" s="12"/>
      <c r="C122" s="12"/>
      <c r="D122" s="12" t="s">
        <v>50</v>
      </c>
      <c r="E122" s="12"/>
      <c r="F122" s="12"/>
      <c r="G122" s="12"/>
      <c r="H122" s="63" t="s">
        <v>767</v>
      </c>
      <c r="I122" s="472" t="s">
        <v>1061</v>
      </c>
      <c r="J122" s="72"/>
      <c r="K122" s="12"/>
      <c r="L122" s="12"/>
      <c r="M122" s="12"/>
      <c r="N122" s="12"/>
      <c r="O122" s="12"/>
      <c r="P122" s="12"/>
      <c r="Q122" s="12"/>
      <c r="R122" s="26"/>
      <c r="S122" s="26"/>
      <c r="T122" s="12"/>
      <c r="U122" s="12"/>
      <c r="V122" s="12"/>
    </row>
    <row r="123" spans="2:22" ht="99.75" customHeight="1" x14ac:dyDescent="0.25">
      <c r="B123" s="12"/>
      <c r="C123" s="12"/>
      <c r="D123" s="12" t="s">
        <v>50</v>
      </c>
      <c r="E123" s="12"/>
      <c r="F123" s="12"/>
      <c r="G123" s="12"/>
      <c r="H123" s="63" t="s">
        <v>770</v>
      </c>
      <c r="I123" s="472" t="s">
        <v>1062</v>
      </c>
      <c r="J123" s="72"/>
      <c r="K123" s="12"/>
      <c r="L123" s="12"/>
      <c r="M123" s="12"/>
      <c r="N123" s="12"/>
      <c r="O123" s="12"/>
      <c r="P123" s="12"/>
      <c r="Q123" s="12"/>
      <c r="R123" s="26"/>
      <c r="S123" s="26"/>
      <c r="T123" s="12"/>
      <c r="U123" s="12"/>
      <c r="V123" s="12"/>
    </row>
    <row r="124" spans="2:22" ht="51" x14ac:dyDescent="0.25">
      <c r="B124" s="12"/>
      <c r="C124" s="12"/>
      <c r="D124" s="12" t="s">
        <v>50</v>
      </c>
      <c r="E124" s="12"/>
      <c r="F124" s="12"/>
      <c r="G124" s="12"/>
      <c r="H124" s="63" t="s">
        <v>777</v>
      </c>
      <c r="I124" s="472" t="s">
        <v>1063</v>
      </c>
      <c r="J124" s="72"/>
      <c r="K124" s="12"/>
      <c r="L124" s="12"/>
      <c r="M124" s="12"/>
      <c r="N124" s="12"/>
      <c r="O124" s="12"/>
      <c r="P124" s="12"/>
      <c r="Q124" s="12"/>
      <c r="R124" s="26"/>
      <c r="S124" s="26"/>
      <c r="T124" s="12"/>
      <c r="U124" s="12"/>
      <c r="V124" s="12"/>
    </row>
    <row r="125" spans="2:22" x14ac:dyDescent="0.25">
      <c r="B125" s="12"/>
      <c r="C125" s="12" t="s">
        <v>50</v>
      </c>
      <c r="D125" s="12"/>
      <c r="E125" s="12"/>
      <c r="F125" s="12"/>
      <c r="G125" s="12"/>
      <c r="H125" s="806" t="s">
        <v>782</v>
      </c>
      <c r="I125" s="472"/>
      <c r="J125" s="72"/>
      <c r="K125" s="12"/>
      <c r="L125" s="12"/>
      <c r="M125" s="12"/>
      <c r="N125" s="12"/>
      <c r="O125" s="12"/>
      <c r="P125" s="12"/>
      <c r="Q125" s="12"/>
      <c r="R125" s="26"/>
      <c r="S125" s="26"/>
      <c r="T125" s="12"/>
      <c r="U125" s="12"/>
      <c r="V125" s="12"/>
    </row>
    <row r="126" spans="2:22" ht="63.75" x14ac:dyDescent="0.25">
      <c r="B126" s="12"/>
      <c r="C126" s="12"/>
      <c r="D126" s="12" t="s">
        <v>50</v>
      </c>
      <c r="E126" s="12"/>
      <c r="F126" s="12"/>
      <c r="G126" s="12"/>
      <c r="H126" s="63" t="s">
        <v>1064</v>
      </c>
      <c r="I126" s="472" t="s">
        <v>1065</v>
      </c>
      <c r="J126" s="72"/>
      <c r="K126" s="12"/>
      <c r="L126" s="12"/>
      <c r="M126" s="12"/>
      <c r="N126" s="12"/>
      <c r="O126" s="12"/>
      <c r="P126" s="12"/>
      <c r="Q126" s="12"/>
      <c r="R126" s="26"/>
      <c r="S126" s="26"/>
      <c r="T126" s="12"/>
      <c r="U126" s="12"/>
      <c r="V126" s="12"/>
    </row>
    <row r="127" spans="2:22" ht="157.5" x14ac:dyDescent="0.25">
      <c r="B127" s="12"/>
      <c r="C127" s="12"/>
      <c r="D127" s="12" t="s">
        <v>50</v>
      </c>
      <c r="E127" s="12"/>
      <c r="F127" s="12"/>
      <c r="G127" s="12"/>
      <c r="H127" s="63" t="s">
        <v>1066</v>
      </c>
      <c r="I127" s="472" t="s">
        <v>792</v>
      </c>
      <c r="J127" s="72"/>
      <c r="K127" s="12"/>
      <c r="L127" s="12"/>
      <c r="M127" s="12"/>
      <c r="N127" s="12"/>
      <c r="O127" s="12"/>
      <c r="P127" s="12"/>
      <c r="Q127" s="12"/>
      <c r="R127" s="26"/>
      <c r="S127" s="26"/>
      <c r="T127" s="12"/>
      <c r="U127" s="12"/>
      <c r="V127" s="12"/>
    </row>
    <row r="128" spans="2:22" ht="30" x14ac:dyDescent="0.25">
      <c r="B128" s="12"/>
      <c r="C128" s="12" t="s">
        <v>50</v>
      </c>
      <c r="D128" s="12"/>
      <c r="E128" s="12"/>
      <c r="F128" s="12"/>
      <c r="G128" s="12"/>
      <c r="H128" s="806" t="s">
        <v>796</v>
      </c>
      <c r="I128" s="472"/>
      <c r="J128" s="72"/>
      <c r="K128" s="12"/>
      <c r="L128" s="12"/>
      <c r="M128" s="12"/>
      <c r="N128" s="12"/>
      <c r="O128" s="12"/>
      <c r="P128" s="12"/>
      <c r="Q128" s="12"/>
      <c r="R128" s="26"/>
      <c r="S128" s="26"/>
      <c r="T128" s="12"/>
      <c r="U128" s="12"/>
      <c r="V128" s="12"/>
    </row>
    <row r="129" spans="2:22" ht="63.75" x14ac:dyDescent="0.25">
      <c r="B129" s="12"/>
      <c r="C129" s="12"/>
      <c r="D129" s="12" t="s">
        <v>50</v>
      </c>
      <c r="E129" s="12"/>
      <c r="F129" s="12"/>
      <c r="G129" s="12"/>
      <c r="H129" s="63" t="s">
        <v>797</v>
      </c>
      <c r="I129" s="472" t="s">
        <v>1067</v>
      </c>
      <c r="J129" s="72"/>
      <c r="K129" s="12"/>
      <c r="L129" s="12"/>
      <c r="M129" s="12"/>
      <c r="N129" s="12"/>
      <c r="O129" s="12"/>
      <c r="P129" s="12"/>
      <c r="Q129" s="12"/>
      <c r="R129" s="26"/>
      <c r="S129" s="26"/>
      <c r="T129" s="12"/>
      <c r="U129" s="12"/>
      <c r="V129" s="12"/>
    </row>
    <row r="130" spans="2:22" ht="38.25" x14ac:dyDescent="0.25">
      <c r="B130" s="12" t="s">
        <v>50</v>
      </c>
      <c r="C130" s="12"/>
      <c r="D130" s="12"/>
      <c r="E130" s="12"/>
      <c r="F130" s="12"/>
      <c r="G130" s="12"/>
      <c r="H130" s="73" t="s">
        <v>804</v>
      </c>
      <c r="I130" s="472" t="s">
        <v>805</v>
      </c>
      <c r="J130" s="72"/>
      <c r="K130" s="12"/>
      <c r="L130" s="12"/>
      <c r="M130" s="12"/>
      <c r="N130" s="12"/>
      <c r="O130" s="12"/>
      <c r="P130" s="12"/>
      <c r="Q130" s="12"/>
      <c r="R130" s="26"/>
      <c r="S130" s="26"/>
      <c r="T130" s="12"/>
      <c r="U130" s="12"/>
      <c r="V130" s="12"/>
    </row>
    <row r="131" spans="2:22" x14ac:dyDescent="0.25">
      <c r="B131" s="12"/>
      <c r="C131" s="12" t="s">
        <v>50</v>
      </c>
      <c r="D131" s="12"/>
      <c r="E131" s="12"/>
      <c r="F131" s="12"/>
      <c r="G131" s="12"/>
      <c r="H131" s="806" t="s">
        <v>806</v>
      </c>
      <c r="I131" s="472"/>
      <c r="J131" s="72"/>
      <c r="K131" s="12"/>
      <c r="L131" s="12"/>
      <c r="M131" s="12"/>
      <c r="N131" s="12"/>
      <c r="O131" s="12"/>
      <c r="P131" s="12"/>
      <c r="Q131" s="12"/>
      <c r="R131" s="26"/>
      <c r="S131" s="26"/>
      <c r="T131" s="12"/>
      <c r="U131" s="12"/>
      <c r="V131" s="12"/>
    </row>
    <row r="132" spans="2:22" ht="63.75" x14ac:dyDescent="0.25">
      <c r="B132" s="12"/>
      <c r="C132" s="12"/>
      <c r="D132" s="12" t="s">
        <v>50</v>
      </c>
      <c r="E132" s="12"/>
      <c r="F132" s="12"/>
      <c r="G132" s="12"/>
      <c r="H132" s="63" t="s">
        <v>807</v>
      </c>
      <c r="I132" s="472" t="s">
        <v>1068</v>
      </c>
      <c r="J132" s="72"/>
      <c r="K132" s="12"/>
      <c r="L132" s="12"/>
      <c r="M132" s="12"/>
      <c r="N132" s="12"/>
      <c r="O132" s="12"/>
      <c r="P132" s="12"/>
      <c r="Q132" s="12"/>
      <c r="R132" s="26"/>
      <c r="S132" s="26"/>
      <c r="T132" s="12"/>
      <c r="U132" s="12"/>
      <c r="V132" s="12"/>
    </row>
    <row r="133" spans="2:22" ht="76.5" x14ac:dyDescent="0.25">
      <c r="B133" s="12"/>
      <c r="C133" s="12"/>
      <c r="D133" s="12" t="s">
        <v>50</v>
      </c>
      <c r="E133" s="12"/>
      <c r="F133" s="12"/>
      <c r="G133" s="12"/>
      <c r="H133" s="123" t="s">
        <v>815</v>
      </c>
      <c r="I133" s="472" t="s">
        <v>1069</v>
      </c>
      <c r="J133" s="72"/>
      <c r="K133" s="12"/>
      <c r="L133" s="12"/>
      <c r="M133" s="12"/>
      <c r="N133" s="12"/>
      <c r="O133" s="12"/>
      <c r="P133" s="12"/>
      <c r="Q133" s="12"/>
      <c r="R133" s="26"/>
      <c r="S133" s="26"/>
      <c r="T133" s="12"/>
      <c r="U133" s="12"/>
      <c r="V133" s="12"/>
    </row>
    <row r="134" spans="2:22" ht="38.25" x14ac:dyDescent="0.25">
      <c r="B134" s="12"/>
      <c r="C134" s="12"/>
      <c r="D134" s="12" t="s">
        <v>50</v>
      </c>
      <c r="E134" s="12"/>
      <c r="F134" s="12"/>
      <c r="G134" s="124"/>
      <c r="H134" s="1147" t="s">
        <v>1070</v>
      </c>
      <c r="I134" s="472" t="s">
        <v>1071</v>
      </c>
      <c r="J134" s="72"/>
      <c r="K134" s="12"/>
      <c r="L134" s="12"/>
      <c r="M134" s="12"/>
      <c r="N134" s="12"/>
      <c r="O134" s="12"/>
      <c r="P134" s="12"/>
      <c r="Q134" s="12"/>
      <c r="R134" s="26"/>
      <c r="S134" s="26"/>
      <c r="T134" s="12"/>
      <c r="U134" s="12"/>
      <c r="V134" s="12"/>
    </row>
    <row r="135" spans="2:22" x14ac:dyDescent="0.2">
      <c r="B135" s="12"/>
      <c r="C135" s="12"/>
      <c r="D135" s="12" t="s">
        <v>50</v>
      </c>
      <c r="E135" s="12"/>
      <c r="F135" s="12"/>
      <c r="G135" s="124"/>
      <c r="H135" s="1148"/>
      <c r="I135" s="833" t="s">
        <v>824</v>
      </c>
      <c r="J135" s="72"/>
      <c r="K135" s="12"/>
      <c r="L135" s="12"/>
      <c r="M135" s="12"/>
      <c r="N135" s="12"/>
      <c r="O135" s="12"/>
      <c r="P135" s="12"/>
      <c r="Q135" s="12"/>
      <c r="R135" s="26"/>
      <c r="S135" s="26"/>
      <c r="T135" s="12"/>
      <c r="U135" s="12"/>
      <c r="V135" s="12"/>
    </row>
    <row r="136" spans="2:22" x14ac:dyDescent="0.2">
      <c r="B136" s="12"/>
      <c r="C136" s="12"/>
      <c r="D136" s="12" t="s">
        <v>50</v>
      </c>
      <c r="E136" s="12"/>
      <c r="F136" s="12"/>
      <c r="G136" s="124"/>
      <c r="H136" s="1148"/>
      <c r="I136" s="834" t="s">
        <v>825</v>
      </c>
      <c r="J136" s="72"/>
      <c r="K136" s="12"/>
      <c r="L136" s="12"/>
      <c r="M136" s="12"/>
      <c r="N136" s="12"/>
      <c r="O136" s="12"/>
      <c r="P136" s="12"/>
      <c r="Q136" s="12"/>
      <c r="R136" s="26"/>
      <c r="S136" s="26"/>
      <c r="T136" s="12"/>
      <c r="U136" s="12"/>
      <c r="V136" s="12"/>
    </row>
    <row r="137" spans="2:22" x14ac:dyDescent="0.2">
      <c r="B137" s="12"/>
      <c r="C137" s="12"/>
      <c r="D137" s="12" t="s">
        <v>50</v>
      </c>
      <c r="E137" s="12"/>
      <c r="F137" s="12"/>
      <c r="G137" s="124"/>
      <c r="H137" s="1148"/>
      <c r="I137" s="833" t="s">
        <v>826</v>
      </c>
      <c r="J137" s="72"/>
      <c r="K137" s="12"/>
      <c r="L137" s="12"/>
      <c r="M137" s="12"/>
      <c r="N137" s="12"/>
      <c r="O137" s="12"/>
      <c r="P137" s="12"/>
      <c r="Q137" s="12"/>
      <c r="R137" s="26"/>
      <c r="S137" s="26"/>
      <c r="T137" s="12"/>
      <c r="U137" s="12"/>
      <c r="V137" s="12"/>
    </row>
    <row r="138" spans="2:22" x14ac:dyDescent="0.25">
      <c r="B138" s="12"/>
      <c r="C138" s="12"/>
      <c r="D138" s="12" t="s">
        <v>50</v>
      </c>
      <c r="E138" s="12"/>
      <c r="F138" s="12"/>
      <c r="G138" s="124"/>
      <c r="H138" s="1148"/>
      <c r="I138" s="472" t="s">
        <v>1072</v>
      </c>
      <c r="J138" s="72"/>
      <c r="K138" s="12"/>
      <c r="L138" s="12"/>
      <c r="M138" s="12"/>
      <c r="N138" s="12"/>
      <c r="O138" s="12"/>
      <c r="P138" s="12"/>
      <c r="Q138" s="12"/>
      <c r="R138" s="26"/>
      <c r="S138" s="26"/>
      <c r="T138" s="12"/>
      <c r="U138" s="12"/>
      <c r="V138" s="12"/>
    </row>
    <row r="139" spans="2:22" ht="51" x14ac:dyDescent="0.25">
      <c r="B139" s="12"/>
      <c r="C139" s="12"/>
      <c r="D139" s="12" t="s">
        <v>50</v>
      </c>
      <c r="E139" s="12"/>
      <c r="F139" s="12"/>
      <c r="G139" s="124"/>
      <c r="H139" s="1149"/>
      <c r="I139" s="472" t="s">
        <v>1073</v>
      </c>
      <c r="J139" s="72"/>
      <c r="K139" s="12"/>
      <c r="L139" s="12"/>
      <c r="M139" s="12"/>
      <c r="N139" s="12"/>
      <c r="O139" s="12"/>
      <c r="P139" s="12"/>
      <c r="Q139" s="12"/>
      <c r="R139" s="26"/>
      <c r="S139" s="26"/>
      <c r="T139" s="12"/>
      <c r="U139" s="12"/>
      <c r="V139" s="12"/>
    </row>
    <row r="140" spans="2:22" ht="38.25" x14ac:dyDescent="0.25">
      <c r="B140" s="12"/>
      <c r="C140" s="12"/>
      <c r="D140" s="12" t="s">
        <v>50</v>
      </c>
      <c r="E140" s="12"/>
      <c r="F140" s="12"/>
      <c r="G140" s="12"/>
      <c r="H140" s="63" t="s">
        <v>833</v>
      </c>
      <c r="I140" s="472" t="s">
        <v>1074</v>
      </c>
      <c r="J140" s="72"/>
      <c r="K140" s="12"/>
      <c r="L140" s="12"/>
      <c r="M140" s="12"/>
      <c r="N140" s="12"/>
      <c r="O140" s="12"/>
      <c r="P140" s="12"/>
      <c r="Q140" s="12"/>
      <c r="R140" s="26"/>
      <c r="S140" s="26"/>
      <c r="T140" s="12"/>
      <c r="U140" s="12"/>
      <c r="V140" s="12"/>
    </row>
    <row r="141" spans="2:22" ht="39" customHeight="1" x14ac:dyDescent="0.25">
      <c r="B141" s="12"/>
      <c r="C141" s="12" t="s">
        <v>50</v>
      </c>
      <c r="D141" s="12"/>
      <c r="E141" s="12"/>
      <c r="F141" s="12"/>
      <c r="G141" s="12"/>
      <c r="H141" s="806" t="s">
        <v>519</v>
      </c>
      <c r="I141" s="472"/>
      <c r="J141" s="72"/>
      <c r="K141" s="12"/>
      <c r="L141" s="12"/>
      <c r="M141" s="12"/>
      <c r="N141" s="12"/>
      <c r="O141" s="12"/>
      <c r="P141" s="12"/>
      <c r="Q141" s="12"/>
      <c r="R141" s="26"/>
      <c r="S141" s="26"/>
      <c r="T141" s="12"/>
      <c r="U141" s="12"/>
      <c r="V141" s="12"/>
    </row>
    <row r="142" spans="2:22" ht="51" x14ac:dyDescent="0.25">
      <c r="B142" s="12"/>
      <c r="C142" s="12"/>
      <c r="D142" s="12" t="s">
        <v>50</v>
      </c>
      <c r="E142" s="12"/>
      <c r="F142" s="12"/>
      <c r="G142" s="12"/>
      <c r="H142" s="63" t="s">
        <v>838</v>
      </c>
      <c r="I142" s="472" t="s">
        <v>1075</v>
      </c>
      <c r="J142" s="72"/>
      <c r="K142" s="12"/>
      <c r="L142" s="12"/>
      <c r="M142" s="12"/>
      <c r="N142" s="12"/>
      <c r="O142" s="12"/>
      <c r="P142" s="12"/>
      <c r="Q142" s="12"/>
      <c r="R142" s="26"/>
      <c r="S142" s="26"/>
      <c r="T142" s="12"/>
      <c r="U142" s="12"/>
      <c r="V142" s="12"/>
    </row>
    <row r="143" spans="2:22" ht="25.5" x14ac:dyDescent="0.25">
      <c r="B143" s="12"/>
      <c r="C143" s="12"/>
      <c r="D143" s="12" t="s">
        <v>50</v>
      </c>
      <c r="E143" s="12"/>
      <c r="F143" s="12"/>
      <c r="G143" s="12"/>
      <c r="H143" s="63" t="s">
        <v>844</v>
      </c>
      <c r="I143" s="472" t="s">
        <v>1076</v>
      </c>
      <c r="J143" s="72"/>
      <c r="K143" s="12"/>
      <c r="L143" s="12"/>
      <c r="M143" s="12"/>
      <c r="N143" s="12"/>
      <c r="O143" s="12"/>
      <c r="P143" s="12"/>
      <c r="Q143" s="12"/>
      <c r="R143" s="26"/>
      <c r="S143" s="26"/>
      <c r="T143" s="12"/>
      <c r="U143" s="12"/>
      <c r="V143" s="12"/>
    </row>
    <row r="144" spans="2:22" ht="51" x14ac:dyDescent="0.25">
      <c r="B144" s="12"/>
      <c r="C144" s="12"/>
      <c r="D144" s="12" t="s">
        <v>50</v>
      </c>
      <c r="E144" s="12"/>
      <c r="F144" s="12"/>
      <c r="G144" s="12"/>
      <c r="H144" s="63" t="s">
        <v>846</v>
      </c>
      <c r="I144" s="472" t="s">
        <v>1077</v>
      </c>
      <c r="J144" s="72"/>
      <c r="K144" s="12"/>
      <c r="L144" s="12"/>
      <c r="M144" s="12"/>
      <c r="N144" s="12"/>
      <c r="O144" s="12"/>
      <c r="P144" s="12"/>
      <c r="Q144" s="12"/>
      <c r="R144" s="26"/>
      <c r="S144" s="26"/>
      <c r="T144" s="12"/>
      <c r="U144" s="12"/>
      <c r="V144" s="12"/>
    </row>
    <row r="145" spans="2:22" ht="30" x14ac:dyDescent="0.25">
      <c r="B145" s="12"/>
      <c r="C145" s="12" t="s">
        <v>50</v>
      </c>
      <c r="D145" s="12"/>
      <c r="E145" s="12"/>
      <c r="F145" s="12"/>
      <c r="G145" s="12"/>
      <c r="H145" s="806" t="s">
        <v>851</v>
      </c>
      <c r="I145" s="472"/>
      <c r="J145" s="72"/>
      <c r="K145" s="12"/>
      <c r="L145" s="12"/>
      <c r="M145" s="12"/>
      <c r="N145" s="12"/>
      <c r="O145" s="12"/>
      <c r="P145" s="12"/>
      <c r="Q145" s="12"/>
      <c r="R145" s="26"/>
      <c r="S145" s="26"/>
      <c r="T145" s="12"/>
      <c r="U145" s="12"/>
      <c r="V145" s="12"/>
    </row>
    <row r="146" spans="2:22" ht="102" x14ac:dyDescent="0.25">
      <c r="B146" s="12"/>
      <c r="C146" s="12"/>
      <c r="D146" s="12" t="s">
        <v>50</v>
      </c>
      <c r="E146" s="12"/>
      <c r="F146" s="12"/>
      <c r="G146" s="12"/>
      <c r="H146" s="63" t="s">
        <v>852</v>
      </c>
      <c r="I146" s="472" t="s">
        <v>1078</v>
      </c>
      <c r="J146" s="72"/>
      <c r="K146" s="12"/>
      <c r="L146" s="12"/>
      <c r="M146" s="12"/>
      <c r="N146" s="12"/>
      <c r="O146" s="12"/>
      <c r="P146" s="12"/>
      <c r="Q146" s="12"/>
      <c r="R146" s="26"/>
      <c r="S146" s="26"/>
      <c r="T146" s="12"/>
      <c r="U146" s="12"/>
      <c r="V146" s="12"/>
    </row>
    <row r="147" spans="2:22" ht="89.25" x14ac:dyDescent="0.25">
      <c r="B147" s="12"/>
      <c r="C147" s="12"/>
      <c r="D147" s="12" t="s">
        <v>50</v>
      </c>
      <c r="E147" s="12"/>
      <c r="F147" s="12"/>
      <c r="G147" s="12"/>
      <c r="H147" s="63" t="s">
        <v>858</v>
      </c>
      <c r="I147" s="472" t="s">
        <v>1079</v>
      </c>
      <c r="J147" s="72"/>
      <c r="K147" s="12"/>
      <c r="L147" s="12"/>
      <c r="M147" s="12"/>
      <c r="N147" s="12"/>
      <c r="O147" s="12"/>
      <c r="P147" s="12"/>
      <c r="Q147" s="12"/>
      <c r="R147" s="26"/>
      <c r="S147" s="26"/>
      <c r="T147" s="12"/>
      <c r="U147" s="12"/>
      <c r="V147" s="12"/>
    </row>
    <row r="148" spans="2:22" ht="122.25" customHeight="1" x14ac:dyDescent="0.25">
      <c r="B148" s="12"/>
      <c r="C148" s="12"/>
      <c r="D148" s="12" t="s">
        <v>50</v>
      </c>
      <c r="E148" s="12"/>
      <c r="F148" s="12"/>
      <c r="G148" s="12"/>
      <c r="H148" s="63" t="s">
        <v>862</v>
      </c>
      <c r="I148" s="472" t="s">
        <v>1080</v>
      </c>
      <c r="J148" s="72"/>
      <c r="K148" s="12"/>
      <c r="L148" s="12"/>
      <c r="M148" s="12"/>
      <c r="N148" s="12"/>
      <c r="O148" s="12"/>
      <c r="P148" s="12"/>
      <c r="Q148" s="12"/>
      <c r="R148" s="26"/>
      <c r="S148" s="26"/>
      <c r="T148" s="12"/>
      <c r="U148" s="12"/>
      <c r="V148" s="12"/>
    </row>
    <row r="149" spans="2:22" ht="30" x14ac:dyDescent="0.25">
      <c r="B149" s="12"/>
      <c r="C149" s="12" t="s">
        <v>50</v>
      </c>
      <c r="D149" s="12"/>
      <c r="E149" s="12"/>
      <c r="F149" s="12"/>
      <c r="G149" s="12"/>
      <c r="H149" s="806" t="s">
        <v>867</v>
      </c>
      <c r="I149" s="472"/>
      <c r="J149" s="72"/>
      <c r="K149" s="12"/>
      <c r="L149" s="12"/>
      <c r="M149" s="12"/>
      <c r="N149" s="12"/>
      <c r="O149" s="12"/>
      <c r="P149" s="12"/>
      <c r="Q149" s="12"/>
      <c r="R149" s="26"/>
      <c r="S149" s="26"/>
      <c r="T149" s="12"/>
      <c r="U149" s="12"/>
      <c r="V149" s="12"/>
    </row>
    <row r="150" spans="2:22" ht="76.5" x14ac:dyDescent="0.25">
      <c r="B150" s="12"/>
      <c r="C150" s="12"/>
      <c r="D150" s="12" t="s">
        <v>50</v>
      </c>
      <c r="E150" s="12"/>
      <c r="F150" s="12"/>
      <c r="G150" s="12"/>
      <c r="H150" s="63" t="s">
        <v>868</v>
      </c>
      <c r="I150" s="472" t="s">
        <v>1081</v>
      </c>
      <c r="J150" s="72"/>
      <c r="K150" s="12"/>
      <c r="L150" s="12"/>
      <c r="M150" s="12"/>
      <c r="N150" s="12"/>
      <c r="O150" s="12"/>
      <c r="P150" s="12"/>
      <c r="Q150" s="12"/>
      <c r="R150" s="26"/>
      <c r="S150" s="26"/>
      <c r="T150" s="12"/>
      <c r="U150" s="12"/>
      <c r="V150" s="12"/>
    </row>
    <row r="151" spans="2:22" ht="51" x14ac:dyDescent="0.25">
      <c r="B151" s="12"/>
      <c r="C151" s="12"/>
      <c r="D151" s="12" t="s">
        <v>50</v>
      </c>
      <c r="E151" s="12"/>
      <c r="F151" s="12"/>
      <c r="G151" s="12"/>
      <c r="H151" s="63" t="s">
        <v>873</v>
      </c>
      <c r="I151" s="472" t="s">
        <v>1082</v>
      </c>
      <c r="J151" s="72"/>
      <c r="K151" s="12"/>
      <c r="L151" s="12"/>
      <c r="M151" s="12"/>
      <c r="N151" s="12"/>
      <c r="O151" s="12"/>
      <c r="P151" s="12"/>
      <c r="Q151" s="12"/>
      <c r="R151" s="26"/>
      <c r="S151" s="26"/>
      <c r="T151" s="12"/>
      <c r="U151" s="12"/>
      <c r="V151" s="12"/>
    </row>
    <row r="152" spans="2:22" ht="63.75" x14ac:dyDescent="0.25">
      <c r="B152" s="12"/>
      <c r="C152" s="12"/>
      <c r="D152" s="12" t="s">
        <v>50</v>
      </c>
      <c r="E152" s="12"/>
      <c r="F152" s="12"/>
      <c r="G152" s="12"/>
      <c r="H152" s="63" t="s">
        <v>879</v>
      </c>
      <c r="I152" s="472" t="s">
        <v>1083</v>
      </c>
      <c r="J152" s="72"/>
      <c r="K152" s="12"/>
      <c r="L152" s="12"/>
      <c r="M152" s="12"/>
      <c r="N152" s="12"/>
      <c r="O152" s="12"/>
      <c r="P152" s="12"/>
      <c r="Q152" s="12"/>
      <c r="R152" s="26"/>
      <c r="S152" s="26"/>
      <c r="T152" s="12"/>
      <c r="U152" s="12"/>
      <c r="V152" s="12"/>
    </row>
    <row r="153" spans="2:22" ht="38.25" x14ac:dyDescent="0.25">
      <c r="B153" s="12" t="s">
        <v>50</v>
      </c>
      <c r="C153" s="12"/>
      <c r="D153" s="12"/>
      <c r="E153" s="12"/>
      <c r="F153" s="12"/>
      <c r="G153" s="12"/>
      <c r="H153" s="73" t="s">
        <v>886</v>
      </c>
      <c r="I153" s="472" t="s">
        <v>887</v>
      </c>
      <c r="J153" s="72"/>
      <c r="K153" s="12"/>
      <c r="L153" s="12"/>
      <c r="M153" s="12"/>
      <c r="N153" s="12"/>
      <c r="O153" s="12"/>
      <c r="P153" s="12"/>
      <c r="Q153" s="12"/>
      <c r="R153" s="26"/>
      <c r="S153" s="26"/>
      <c r="T153" s="12"/>
      <c r="U153" s="12"/>
      <c r="V153" s="12"/>
    </row>
    <row r="154" spans="2:22" x14ac:dyDescent="0.25">
      <c r="B154" s="12"/>
      <c r="C154" s="12" t="s">
        <v>50</v>
      </c>
      <c r="D154" s="12"/>
      <c r="E154" s="12"/>
      <c r="F154" s="12"/>
      <c r="G154" s="12"/>
      <c r="H154" s="806" t="s">
        <v>888</v>
      </c>
      <c r="I154" s="472"/>
      <c r="J154" s="72"/>
      <c r="K154" s="12"/>
      <c r="L154" s="12"/>
      <c r="M154" s="12"/>
      <c r="N154" s="12"/>
      <c r="O154" s="12"/>
      <c r="P154" s="12"/>
      <c r="Q154" s="12"/>
      <c r="R154" s="26"/>
      <c r="S154" s="26"/>
      <c r="T154" s="12"/>
      <c r="U154" s="12"/>
      <c r="V154" s="12"/>
    </row>
    <row r="155" spans="2:22" ht="63.75" x14ac:dyDescent="0.25">
      <c r="B155" s="12"/>
      <c r="C155" s="12"/>
      <c r="D155" s="12" t="s">
        <v>50</v>
      </c>
      <c r="E155" s="12"/>
      <c r="F155" s="12"/>
      <c r="G155" s="12"/>
      <c r="H155" s="63" t="s">
        <v>889</v>
      </c>
      <c r="I155" s="472" t="s">
        <v>1084</v>
      </c>
      <c r="J155" s="72"/>
      <c r="K155" s="12"/>
      <c r="L155" s="12"/>
      <c r="M155" s="12"/>
      <c r="N155" s="12"/>
      <c r="O155" s="12"/>
      <c r="P155" s="12"/>
      <c r="Q155" s="12"/>
      <c r="R155" s="26"/>
      <c r="S155" s="26"/>
      <c r="T155" s="12"/>
      <c r="U155" s="12"/>
      <c r="V155" s="12"/>
    </row>
    <row r="156" spans="2:22" ht="38.25" x14ac:dyDescent="0.25">
      <c r="B156" s="12"/>
      <c r="C156" s="12"/>
      <c r="D156" s="12" t="s">
        <v>50</v>
      </c>
      <c r="E156" s="12"/>
      <c r="F156" s="12"/>
      <c r="G156" s="12"/>
      <c r="H156" s="63" t="s">
        <v>896</v>
      </c>
      <c r="I156" s="472" t="s">
        <v>1085</v>
      </c>
      <c r="J156" s="72"/>
      <c r="K156" s="12"/>
      <c r="L156" s="12"/>
      <c r="M156" s="12"/>
      <c r="N156" s="12"/>
      <c r="O156" s="12"/>
      <c r="P156" s="12"/>
      <c r="Q156" s="12"/>
      <c r="R156" s="26"/>
      <c r="S156" s="26"/>
      <c r="T156" s="12"/>
      <c r="U156" s="12"/>
      <c r="V156" s="12"/>
    </row>
    <row r="157" spans="2:22" ht="25.5" x14ac:dyDescent="0.25">
      <c r="B157" s="12"/>
      <c r="C157" s="12"/>
      <c r="D157" s="12" t="s">
        <v>50</v>
      </c>
      <c r="E157" s="12"/>
      <c r="F157" s="12"/>
      <c r="G157" s="12"/>
      <c r="H157" s="63" t="s">
        <v>899</v>
      </c>
      <c r="I157" s="472" t="s">
        <v>900</v>
      </c>
      <c r="J157" s="72"/>
      <c r="K157" s="12"/>
      <c r="L157" s="12"/>
      <c r="M157" s="12"/>
      <c r="N157" s="12"/>
      <c r="O157" s="12"/>
      <c r="P157" s="12"/>
      <c r="Q157" s="12"/>
      <c r="R157" s="26"/>
      <c r="S157" s="26"/>
      <c r="T157" s="12"/>
      <c r="U157" s="12"/>
      <c r="V157" s="12"/>
    </row>
    <row r="158" spans="2:22" x14ac:dyDescent="0.25">
      <c r="B158" s="12"/>
      <c r="C158" s="12" t="s">
        <v>50</v>
      </c>
      <c r="D158" s="12"/>
      <c r="E158" s="12"/>
      <c r="F158" s="12"/>
      <c r="G158" s="12"/>
      <c r="H158" s="806" t="s">
        <v>901</v>
      </c>
      <c r="I158" s="472"/>
      <c r="J158" s="72"/>
      <c r="K158" s="12"/>
      <c r="L158" s="12"/>
      <c r="M158" s="12"/>
      <c r="N158" s="12"/>
      <c r="O158" s="12"/>
      <c r="P158" s="12"/>
      <c r="Q158" s="12"/>
      <c r="R158" s="26"/>
      <c r="S158" s="26"/>
      <c r="T158" s="12"/>
      <c r="U158" s="12"/>
      <c r="V158" s="12"/>
    </row>
    <row r="159" spans="2:22" ht="51" x14ac:dyDescent="0.25">
      <c r="B159" s="12"/>
      <c r="C159" s="12"/>
      <c r="D159" s="12" t="s">
        <v>50</v>
      </c>
      <c r="E159" s="12"/>
      <c r="F159" s="12"/>
      <c r="G159" s="12"/>
      <c r="H159" s="63" t="s">
        <v>902</v>
      </c>
      <c r="I159" s="472" t="s">
        <v>1086</v>
      </c>
      <c r="J159" s="72"/>
      <c r="K159" s="12"/>
      <c r="L159" s="12"/>
      <c r="M159" s="12"/>
      <c r="N159" s="12"/>
      <c r="O159" s="12"/>
      <c r="P159" s="12"/>
      <c r="Q159" s="12"/>
      <c r="R159" s="26"/>
      <c r="S159" s="26"/>
      <c r="T159" s="12"/>
      <c r="U159" s="12"/>
      <c r="V159" s="12"/>
    </row>
    <row r="160" spans="2:22" x14ac:dyDescent="0.25">
      <c r="B160" s="12" t="s">
        <v>50</v>
      </c>
      <c r="C160" s="12"/>
      <c r="D160" s="12"/>
      <c r="E160" s="12"/>
      <c r="F160" s="12"/>
      <c r="G160" s="12"/>
      <c r="H160" s="73" t="s">
        <v>907</v>
      </c>
      <c r="I160" s="472"/>
      <c r="J160" s="72"/>
      <c r="K160" s="12"/>
      <c r="L160" s="12"/>
      <c r="M160" s="12"/>
      <c r="N160" s="12"/>
      <c r="O160" s="12"/>
      <c r="P160" s="12"/>
      <c r="Q160" s="12"/>
      <c r="R160" s="26"/>
      <c r="S160" s="26"/>
      <c r="T160" s="12"/>
      <c r="U160" s="12"/>
      <c r="V160" s="12"/>
    </row>
    <row r="161" spans="2:38" x14ac:dyDescent="0.25">
      <c r="B161" s="12"/>
      <c r="C161" s="12" t="s">
        <v>50</v>
      </c>
      <c r="D161" s="12"/>
      <c r="E161" s="12"/>
      <c r="F161" s="12"/>
      <c r="G161" s="12"/>
      <c r="H161" s="806" t="s">
        <v>908</v>
      </c>
      <c r="I161" s="472"/>
      <c r="J161" s="72"/>
      <c r="K161" s="12"/>
      <c r="L161" s="12"/>
      <c r="M161" s="12"/>
      <c r="N161" s="12"/>
      <c r="O161" s="12"/>
      <c r="P161" s="12"/>
      <c r="Q161" s="12"/>
      <c r="R161" s="26"/>
      <c r="S161" s="26"/>
      <c r="T161" s="12"/>
      <c r="U161" s="12"/>
      <c r="V161" s="12"/>
    </row>
    <row r="162" spans="2:38" ht="116.25" x14ac:dyDescent="0.25">
      <c r="B162" s="12"/>
      <c r="C162" s="12"/>
      <c r="D162" s="12" t="s">
        <v>50</v>
      </c>
      <c r="E162" s="12"/>
      <c r="F162" s="12"/>
      <c r="G162" s="12"/>
      <c r="H162" s="63" t="s">
        <v>909</v>
      </c>
      <c r="I162" s="472" t="s">
        <v>1087</v>
      </c>
      <c r="J162" s="72"/>
      <c r="K162" s="12"/>
      <c r="L162" s="12"/>
      <c r="M162" s="12"/>
      <c r="N162" s="12"/>
      <c r="O162" s="12"/>
      <c r="P162" s="12"/>
      <c r="Q162" s="12"/>
      <c r="R162" s="26"/>
      <c r="S162" s="26"/>
      <c r="T162" s="12"/>
      <c r="U162" s="12"/>
      <c r="V162" s="12"/>
    </row>
    <row r="163" spans="2:38" ht="76.5" x14ac:dyDescent="0.25">
      <c r="B163" s="12"/>
      <c r="C163" s="12"/>
      <c r="D163" s="12" t="s">
        <v>50</v>
      </c>
      <c r="E163" s="12"/>
      <c r="F163" s="12"/>
      <c r="G163" s="12"/>
      <c r="H163" s="63" t="s">
        <v>917</v>
      </c>
      <c r="I163" s="472" t="s">
        <v>1088</v>
      </c>
      <c r="J163" s="72"/>
      <c r="K163" s="12"/>
      <c r="L163" s="12"/>
      <c r="M163" s="12"/>
      <c r="N163" s="12"/>
      <c r="O163" s="12"/>
      <c r="P163" s="12"/>
      <c r="Q163" s="12"/>
      <c r="R163" s="26"/>
      <c r="S163" s="26"/>
      <c r="T163" s="12"/>
      <c r="U163" s="12"/>
      <c r="V163" s="12"/>
    </row>
    <row r="164" spans="2:38" ht="102" x14ac:dyDescent="0.25">
      <c r="B164" s="12"/>
      <c r="C164" s="12"/>
      <c r="D164" s="12" t="s">
        <v>50</v>
      </c>
      <c r="E164" s="12"/>
      <c r="F164" s="12"/>
      <c r="G164" s="12"/>
      <c r="H164" s="63" t="s">
        <v>920</v>
      </c>
      <c r="I164" s="472" t="s">
        <v>1089</v>
      </c>
      <c r="J164" s="72"/>
      <c r="K164" s="12"/>
      <c r="L164" s="12"/>
      <c r="M164" s="12"/>
      <c r="N164" s="12"/>
      <c r="O164" s="12"/>
      <c r="P164" s="12"/>
      <c r="Q164" s="12"/>
      <c r="R164" s="26"/>
      <c r="S164" s="26"/>
      <c r="T164" s="12"/>
      <c r="U164" s="12"/>
      <c r="V164" s="12"/>
    </row>
    <row r="165" spans="2:38" x14ac:dyDescent="0.25">
      <c r="B165" s="12"/>
      <c r="C165" s="12" t="s">
        <v>50</v>
      </c>
      <c r="D165" s="12"/>
      <c r="E165" s="12"/>
      <c r="F165" s="12"/>
      <c r="G165" s="12"/>
      <c r="H165" s="806" t="s">
        <v>926</v>
      </c>
      <c r="I165" s="472"/>
      <c r="J165" s="72"/>
      <c r="K165" s="12"/>
      <c r="L165" s="12"/>
      <c r="M165" s="12"/>
      <c r="N165" s="12"/>
      <c r="O165" s="12"/>
      <c r="P165" s="12"/>
      <c r="Q165" s="12"/>
      <c r="R165" s="26"/>
      <c r="S165" s="26"/>
      <c r="T165" s="12"/>
      <c r="U165" s="12"/>
      <c r="V165" s="12"/>
    </row>
    <row r="166" spans="2:38" x14ac:dyDescent="0.25">
      <c r="B166" s="12"/>
      <c r="C166" s="12"/>
      <c r="D166" s="12" t="s">
        <v>50</v>
      </c>
      <c r="E166" s="12"/>
      <c r="F166" s="12"/>
      <c r="G166" s="12"/>
      <c r="H166" s="830" t="s">
        <v>927</v>
      </c>
      <c r="I166" s="472"/>
      <c r="J166" s="72"/>
      <c r="K166" s="12"/>
      <c r="L166" s="12"/>
      <c r="M166" s="12"/>
      <c r="N166" s="12"/>
      <c r="O166" s="12"/>
      <c r="P166" s="12"/>
      <c r="Q166" s="12"/>
      <c r="R166" s="26"/>
      <c r="S166" s="26"/>
      <c r="T166" s="12"/>
      <c r="U166" s="12"/>
      <c r="V166" s="12"/>
    </row>
    <row r="167" spans="2:38" s="74" customFormat="1" ht="25.5" x14ac:dyDescent="0.25">
      <c r="B167" s="69"/>
      <c r="C167" s="69"/>
      <c r="D167" s="69"/>
      <c r="E167" s="69" t="s">
        <v>50</v>
      </c>
      <c r="F167" s="69"/>
      <c r="G167" s="71"/>
      <c r="H167" s="835" t="s">
        <v>928</v>
      </c>
      <c r="I167" s="472" t="s">
        <v>1090</v>
      </c>
      <c r="J167" s="72"/>
      <c r="K167" s="69"/>
      <c r="L167" s="69"/>
      <c r="M167" s="69"/>
      <c r="N167" s="69"/>
      <c r="O167" s="69"/>
      <c r="P167" s="70"/>
      <c r="Q167" s="69"/>
      <c r="R167" s="188" t="s">
        <v>31</v>
      </c>
      <c r="S167" s="188" t="s">
        <v>31</v>
      </c>
      <c r="T167" s="70"/>
      <c r="U167" s="70"/>
      <c r="V167" s="70"/>
      <c r="W167" s="68"/>
      <c r="X167" s="68"/>
      <c r="Y167" s="68"/>
      <c r="Z167" s="68"/>
      <c r="AA167" s="68"/>
      <c r="AB167" s="68"/>
      <c r="AC167" s="68"/>
      <c r="AD167" s="68"/>
      <c r="AE167" s="68"/>
      <c r="AF167" s="68"/>
      <c r="AG167" s="68"/>
      <c r="AH167" s="68"/>
      <c r="AI167" s="68"/>
      <c r="AJ167" s="68"/>
      <c r="AK167" s="68"/>
      <c r="AL167" s="68"/>
    </row>
    <row r="168" spans="2:38" ht="25.5" x14ac:dyDescent="0.25">
      <c r="B168" s="12"/>
      <c r="C168" s="12"/>
      <c r="D168" s="12"/>
      <c r="E168" s="12" t="s">
        <v>50</v>
      </c>
      <c r="F168" s="12"/>
      <c r="G168" s="12"/>
      <c r="H168" s="79" t="s">
        <v>936</v>
      </c>
      <c r="I168" s="472" t="s">
        <v>937</v>
      </c>
      <c r="J168" s="72"/>
      <c r="K168" s="12"/>
      <c r="L168" s="12"/>
      <c r="M168" s="12"/>
      <c r="N168" s="12"/>
      <c r="O168" s="12"/>
      <c r="P168" s="12"/>
      <c r="Q168" s="12"/>
      <c r="R168" s="26"/>
      <c r="S168" s="26"/>
      <c r="T168" s="12"/>
      <c r="U168" s="12"/>
      <c r="V168" s="12"/>
    </row>
    <row r="169" spans="2:38" x14ac:dyDescent="0.25">
      <c r="B169" s="12"/>
      <c r="C169" s="12"/>
      <c r="D169" s="12"/>
      <c r="E169" s="12" t="s">
        <v>50</v>
      </c>
      <c r="F169" s="12"/>
      <c r="G169" s="12"/>
      <c r="H169" s="79" t="s">
        <v>942</v>
      </c>
      <c r="I169" s="472" t="s">
        <v>943</v>
      </c>
      <c r="J169" s="72"/>
      <c r="K169" s="12"/>
      <c r="L169" s="12"/>
      <c r="M169" s="12"/>
      <c r="N169" s="12"/>
      <c r="O169" s="12"/>
      <c r="P169" s="12"/>
      <c r="Q169" s="12"/>
      <c r="R169" s="26"/>
      <c r="S169" s="26"/>
      <c r="T169" s="12"/>
      <c r="U169" s="12"/>
      <c r="V169" s="12"/>
    </row>
    <row r="170" spans="2:38" ht="25.5" x14ac:dyDescent="0.25">
      <c r="B170" s="12"/>
      <c r="C170" s="12"/>
      <c r="D170" s="12"/>
      <c r="E170" s="12" t="s">
        <v>50</v>
      </c>
      <c r="F170" s="12"/>
      <c r="G170" s="12"/>
      <c r="H170" s="79" t="s">
        <v>949</v>
      </c>
      <c r="I170" s="472" t="s">
        <v>950</v>
      </c>
      <c r="J170" s="72"/>
      <c r="K170" s="12"/>
      <c r="L170" s="12"/>
      <c r="M170" s="12"/>
      <c r="N170" s="12"/>
      <c r="O170" s="12"/>
      <c r="P170" s="12"/>
      <c r="Q170" s="12"/>
      <c r="R170" s="26"/>
      <c r="S170" s="26"/>
      <c r="T170" s="12"/>
      <c r="U170" s="12"/>
      <c r="V170" s="12"/>
    </row>
    <row r="171" spans="2:38" x14ac:dyDescent="0.25">
      <c r="B171" s="12"/>
      <c r="C171" s="12"/>
      <c r="D171" s="12" t="s">
        <v>50</v>
      </c>
      <c r="E171" s="12"/>
      <c r="F171" s="12"/>
      <c r="G171" s="12"/>
      <c r="H171" s="832" t="s">
        <v>953</v>
      </c>
      <c r="I171" s="472" t="s">
        <v>954</v>
      </c>
      <c r="J171" s="72"/>
      <c r="K171" s="12"/>
      <c r="L171" s="12"/>
      <c r="M171" s="12"/>
      <c r="N171" s="12"/>
      <c r="O171" s="12"/>
      <c r="P171" s="12"/>
      <c r="Q171" s="12"/>
      <c r="R171" s="26"/>
      <c r="S171" s="26"/>
      <c r="T171" s="12"/>
      <c r="U171" s="12"/>
      <c r="V171" s="12"/>
    </row>
    <row r="172" spans="2:38" ht="30" x14ac:dyDescent="0.25">
      <c r="B172" s="12"/>
      <c r="C172" s="12"/>
      <c r="D172" s="12"/>
      <c r="E172" s="12" t="s">
        <v>50</v>
      </c>
      <c r="F172" s="12"/>
      <c r="G172" s="12"/>
      <c r="H172" s="79" t="s">
        <v>955</v>
      </c>
      <c r="I172" s="472" t="s">
        <v>956</v>
      </c>
      <c r="J172" s="72"/>
      <c r="K172" s="12"/>
      <c r="L172" s="12"/>
      <c r="M172" s="12"/>
      <c r="N172" s="12"/>
      <c r="O172" s="12"/>
      <c r="P172" s="12"/>
      <c r="Q172" s="12"/>
      <c r="R172" s="26"/>
      <c r="S172" s="26"/>
      <c r="T172" s="12"/>
      <c r="U172" s="12"/>
      <c r="V172" s="12"/>
    </row>
    <row r="173" spans="2:38" ht="30" x14ac:dyDescent="0.25">
      <c r="B173" s="12"/>
      <c r="C173" s="12"/>
      <c r="D173" s="12"/>
      <c r="E173" s="12" t="s">
        <v>50</v>
      </c>
      <c r="F173" s="12"/>
      <c r="G173" s="12"/>
      <c r="H173" s="79" t="s">
        <v>961</v>
      </c>
      <c r="I173" s="472" t="s">
        <v>962</v>
      </c>
      <c r="J173" s="72"/>
      <c r="K173" s="12"/>
      <c r="L173" s="12"/>
      <c r="M173" s="12"/>
      <c r="N173" s="12"/>
      <c r="O173" s="12"/>
      <c r="P173" s="12"/>
      <c r="Q173" s="12"/>
      <c r="R173" s="26"/>
      <c r="S173" s="26"/>
      <c r="T173" s="12"/>
      <c r="U173" s="12"/>
      <c r="V173" s="12"/>
    </row>
    <row r="174" spans="2:38" x14ac:dyDescent="0.25">
      <c r="B174" s="12"/>
      <c r="C174" s="12" t="s">
        <v>50</v>
      </c>
      <c r="D174" s="12"/>
      <c r="E174" s="12"/>
      <c r="F174" s="12"/>
      <c r="G174" s="12"/>
      <c r="H174" s="806" t="s">
        <v>964</v>
      </c>
      <c r="I174" s="472"/>
      <c r="J174" s="72"/>
      <c r="K174" s="12"/>
      <c r="L174" s="12"/>
      <c r="M174" s="12"/>
      <c r="N174" s="12"/>
      <c r="O174" s="12"/>
      <c r="P174" s="12"/>
      <c r="Q174" s="12"/>
      <c r="R174" s="26"/>
      <c r="S174" s="26"/>
      <c r="T174" s="12"/>
      <c r="U174" s="12"/>
      <c r="V174" s="12"/>
    </row>
    <row r="175" spans="2:38" ht="25.5" x14ac:dyDescent="0.25">
      <c r="B175" s="12"/>
      <c r="C175" s="12"/>
      <c r="D175" s="12" t="s">
        <v>50</v>
      </c>
      <c r="E175" s="12"/>
      <c r="F175" s="12"/>
      <c r="G175" s="12"/>
      <c r="H175" s="63" t="s">
        <v>965</v>
      </c>
      <c r="I175" s="472" t="s">
        <v>1091</v>
      </c>
      <c r="J175" s="72"/>
      <c r="K175" s="12"/>
      <c r="L175" s="12"/>
      <c r="M175" s="12"/>
      <c r="N175" s="12"/>
      <c r="O175" s="12"/>
      <c r="P175" s="12"/>
      <c r="Q175" s="12"/>
      <c r="R175" s="26"/>
      <c r="S175" s="26"/>
      <c r="T175" s="12"/>
      <c r="U175" s="12"/>
      <c r="V175" s="12"/>
    </row>
    <row r="176" spans="2:38" ht="38.25" x14ac:dyDescent="0.25">
      <c r="B176" s="12"/>
      <c r="C176" s="12"/>
      <c r="D176" s="12" t="s">
        <v>50</v>
      </c>
      <c r="E176" s="12"/>
      <c r="F176" s="12"/>
      <c r="G176" s="12"/>
      <c r="H176" s="63" t="s">
        <v>972</v>
      </c>
      <c r="I176" s="472" t="s">
        <v>973</v>
      </c>
      <c r="J176" s="72"/>
      <c r="K176" s="12"/>
      <c r="L176" s="12"/>
      <c r="M176" s="12"/>
      <c r="N176" s="12"/>
      <c r="O176" s="12"/>
      <c r="P176" s="12"/>
      <c r="Q176" s="12"/>
      <c r="R176" s="26"/>
      <c r="S176" s="26"/>
      <c r="T176" s="12"/>
      <c r="U176" s="12"/>
      <c r="V176" s="12"/>
    </row>
    <row r="177" spans="2:22" ht="45" x14ac:dyDescent="0.25">
      <c r="B177" s="12"/>
      <c r="C177" s="12"/>
      <c r="D177" s="12" t="s">
        <v>50</v>
      </c>
      <c r="E177" s="12"/>
      <c r="F177" s="12"/>
      <c r="G177" s="12"/>
      <c r="H177" s="63" t="s">
        <v>974</v>
      </c>
      <c r="I177" s="140" t="s">
        <v>1092</v>
      </c>
      <c r="J177" s="72"/>
      <c r="K177" s="12"/>
      <c r="L177" s="12"/>
      <c r="M177" s="12"/>
      <c r="N177" s="12"/>
      <c r="O177" s="12"/>
      <c r="P177" s="12"/>
      <c r="Q177" s="12"/>
      <c r="R177" s="26"/>
      <c r="S177" s="26"/>
      <c r="T177" s="12"/>
      <c r="U177" s="12"/>
      <c r="V177" s="12"/>
    </row>
    <row r="178" spans="2:22" x14ac:dyDescent="0.25">
      <c r="B178" s="12"/>
      <c r="C178" s="12" t="s">
        <v>50</v>
      </c>
      <c r="D178" s="12"/>
      <c r="E178" s="12"/>
      <c r="F178" s="12"/>
      <c r="G178" s="12"/>
      <c r="H178" s="806" t="s">
        <v>978</v>
      </c>
      <c r="I178" s="472"/>
      <c r="J178" s="72"/>
      <c r="K178" s="12"/>
      <c r="L178" s="12"/>
      <c r="M178" s="12"/>
      <c r="N178" s="12"/>
      <c r="O178" s="12"/>
      <c r="P178" s="12"/>
      <c r="Q178" s="12"/>
      <c r="R178" s="26"/>
      <c r="S178" s="26"/>
      <c r="T178" s="12"/>
      <c r="U178" s="12"/>
      <c r="V178" s="12"/>
    </row>
    <row r="179" spans="2:22" x14ac:dyDescent="0.25">
      <c r="B179" s="12"/>
      <c r="C179" s="12"/>
      <c r="D179" s="12" t="s">
        <v>50</v>
      </c>
      <c r="E179" s="12"/>
      <c r="F179" s="12"/>
      <c r="G179" s="12"/>
      <c r="H179" s="832" t="s">
        <v>979</v>
      </c>
      <c r="I179" s="472" t="s">
        <v>954</v>
      </c>
      <c r="J179" s="72"/>
      <c r="K179" s="12"/>
      <c r="L179" s="12"/>
      <c r="M179" s="12"/>
      <c r="N179" s="12"/>
      <c r="O179" s="12"/>
      <c r="P179" s="12"/>
      <c r="Q179" s="12"/>
      <c r="R179" s="26"/>
      <c r="S179" s="26"/>
      <c r="T179" s="12"/>
      <c r="U179" s="12"/>
      <c r="V179" s="12"/>
    </row>
    <row r="180" spans="2:22" ht="38.25" x14ac:dyDescent="0.25">
      <c r="B180" s="12"/>
      <c r="C180" s="12"/>
      <c r="D180" s="12" t="s">
        <v>50</v>
      </c>
      <c r="E180" s="12"/>
      <c r="F180" s="12"/>
      <c r="G180" s="12"/>
      <c r="H180" s="63" t="s">
        <v>980</v>
      </c>
      <c r="I180" s="472" t="s">
        <v>981</v>
      </c>
      <c r="J180" s="72"/>
      <c r="K180" s="12"/>
      <c r="L180" s="12"/>
      <c r="M180" s="12"/>
      <c r="N180" s="12"/>
      <c r="O180" s="12"/>
      <c r="P180" s="12"/>
      <c r="Q180" s="12"/>
      <c r="R180" s="26"/>
      <c r="S180" s="26"/>
      <c r="T180" s="12"/>
      <c r="U180" s="12"/>
      <c r="V180" s="12"/>
    </row>
    <row r="181" spans="2:22" x14ac:dyDescent="0.25">
      <c r="B181" s="12"/>
      <c r="C181" s="12" t="s">
        <v>50</v>
      </c>
      <c r="D181" s="12"/>
      <c r="E181" s="12"/>
      <c r="F181" s="12"/>
      <c r="G181" s="12"/>
      <c r="H181" s="806" t="s">
        <v>985</v>
      </c>
      <c r="I181" s="472"/>
      <c r="J181" s="72"/>
      <c r="K181" s="12"/>
      <c r="L181" s="12"/>
      <c r="M181" s="12"/>
      <c r="N181" s="12"/>
      <c r="O181" s="12"/>
      <c r="P181" s="12"/>
      <c r="Q181" s="12"/>
      <c r="R181" s="26"/>
      <c r="S181" s="26"/>
      <c r="T181" s="12"/>
      <c r="U181" s="12"/>
      <c r="V181" s="12"/>
    </row>
    <row r="182" spans="2:22" ht="60" x14ac:dyDescent="0.25">
      <c r="B182" s="12"/>
      <c r="C182" s="12"/>
      <c r="D182" s="12" t="s">
        <v>50</v>
      </c>
      <c r="E182" s="12"/>
      <c r="F182" s="12"/>
      <c r="G182" s="12"/>
      <c r="H182" s="63" t="s">
        <v>986</v>
      </c>
      <c r="I182" s="140" t="s">
        <v>1093</v>
      </c>
      <c r="J182" s="72"/>
      <c r="K182" s="12"/>
      <c r="L182" s="12"/>
      <c r="M182" s="12"/>
      <c r="N182" s="12"/>
      <c r="O182" s="12"/>
      <c r="P182" s="12"/>
      <c r="Q182" s="12"/>
      <c r="R182" s="26"/>
      <c r="S182" s="26"/>
      <c r="T182" s="12"/>
      <c r="U182" s="12"/>
      <c r="V182" s="12"/>
    </row>
    <row r="183" spans="2:22" ht="38.25" x14ac:dyDescent="0.25">
      <c r="B183" s="12"/>
      <c r="C183" s="12"/>
      <c r="D183" s="12" t="s">
        <v>50</v>
      </c>
      <c r="E183" s="12"/>
      <c r="F183" s="12"/>
      <c r="G183" s="12"/>
      <c r="H183" s="63" t="s">
        <v>1094</v>
      </c>
      <c r="I183" s="472" t="s">
        <v>1095</v>
      </c>
      <c r="J183" s="72"/>
      <c r="K183" s="12"/>
      <c r="L183" s="12"/>
      <c r="M183" s="12"/>
      <c r="N183" s="12"/>
      <c r="O183" s="12"/>
      <c r="P183" s="12"/>
      <c r="Q183" s="12"/>
      <c r="R183" s="26"/>
      <c r="S183" s="26"/>
      <c r="T183" s="12"/>
      <c r="U183" s="12"/>
      <c r="V183" s="12"/>
    </row>
    <row r="184" spans="2:22" x14ac:dyDescent="0.25">
      <c r="B184" s="12" t="s">
        <v>50</v>
      </c>
      <c r="C184" s="12"/>
      <c r="D184" s="12"/>
      <c r="E184" s="12"/>
      <c r="F184" s="12"/>
      <c r="G184" s="12"/>
      <c r="H184" s="73" t="s">
        <v>998</v>
      </c>
      <c r="I184" s="472"/>
      <c r="J184" s="72"/>
      <c r="K184" s="12"/>
      <c r="L184" s="12"/>
      <c r="M184" s="12"/>
      <c r="N184" s="12"/>
      <c r="O184" s="12"/>
      <c r="P184" s="12"/>
      <c r="Q184" s="12"/>
      <c r="R184" s="26"/>
      <c r="S184" s="26"/>
      <c r="T184" s="12"/>
      <c r="U184" s="12"/>
      <c r="V184" s="12"/>
    </row>
    <row r="185" spans="2:22" s="74" customFormat="1" ht="25.5" x14ac:dyDescent="0.25">
      <c r="B185" s="69"/>
      <c r="C185" s="69" t="s">
        <v>50</v>
      </c>
      <c r="D185" s="69"/>
      <c r="E185" s="69"/>
      <c r="F185" s="69"/>
      <c r="G185" s="69"/>
      <c r="H185" s="808" t="s">
        <v>999</v>
      </c>
      <c r="I185" s="472" t="s">
        <v>1096</v>
      </c>
      <c r="J185" s="72"/>
      <c r="K185" s="69"/>
      <c r="L185" s="69"/>
      <c r="M185" s="69"/>
      <c r="N185" s="69"/>
      <c r="O185" s="69"/>
      <c r="P185" s="69"/>
      <c r="Q185" s="69"/>
      <c r="R185" s="188"/>
      <c r="S185" s="188"/>
      <c r="T185" s="69"/>
      <c r="U185" s="69"/>
      <c r="V185" s="69"/>
    </row>
    <row r="186" spans="2:22" x14ac:dyDescent="0.25">
      <c r="B186" s="12"/>
      <c r="C186" s="12"/>
      <c r="D186" s="12"/>
      <c r="E186" s="12"/>
      <c r="F186" s="12"/>
      <c r="G186" s="12"/>
      <c r="H186" s="12"/>
      <c r="I186" s="472"/>
      <c r="J186" s="72"/>
      <c r="K186" s="12"/>
      <c r="L186" s="12"/>
      <c r="M186" s="12"/>
      <c r="N186" s="12"/>
      <c r="O186" s="12"/>
      <c r="P186" s="12"/>
      <c r="Q186" s="12"/>
      <c r="R186" s="26"/>
      <c r="S186" s="26"/>
      <c r="T186" s="12"/>
      <c r="U186" s="12"/>
      <c r="V186" s="12"/>
    </row>
    <row r="187" spans="2:22" x14ac:dyDescent="0.25">
      <c r="B187" s="12"/>
      <c r="C187" s="12"/>
      <c r="D187" s="12"/>
      <c r="E187" s="12"/>
      <c r="F187" s="12"/>
      <c r="G187" s="12"/>
      <c r="H187" s="12"/>
      <c r="I187" s="472"/>
      <c r="J187" s="72"/>
      <c r="K187" s="12"/>
      <c r="L187" s="12"/>
      <c r="M187" s="12"/>
      <c r="N187" s="12"/>
      <c r="O187" s="12"/>
      <c r="P187" s="12"/>
      <c r="Q187" s="12"/>
      <c r="R187" s="26"/>
      <c r="S187" s="26"/>
      <c r="T187" s="12"/>
      <c r="U187" s="12"/>
      <c r="V187" s="12"/>
    </row>
    <row r="188" spans="2:22" x14ac:dyDescent="0.25">
      <c r="B188" s="12"/>
      <c r="C188" s="12"/>
      <c r="D188" s="12"/>
      <c r="E188" s="12"/>
      <c r="F188" s="12"/>
      <c r="G188" s="12"/>
      <c r="H188" s="12"/>
      <c r="I188" s="472"/>
      <c r="J188" s="72"/>
      <c r="K188" s="12"/>
      <c r="L188" s="12"/>
      <c r="M188" s="12"/>
      <c r="N188" s="12"/>
      <c r="O188" s="12"/>
      <c r="P188" s="12"/>
      <c r="Q188" s="12"/>
      <c r="R188" s="26"/>
      <c r="S188" s="26"/>
      <c r="T188" s="12"/>
      <c r="U188" s="12"/>
      <c r="V188" s="12"/>
    </row>
    <row r="189" spans="2:22" x14ac:dyDescent="0.25">
      <c r="B189" s="12"/>
      <c r="C189" s="12"/>
      <c r="D189" s="12"/>
      <c r="E189" s="12"/>
      <c r="F189" s="12"/>
      <c r="G189" s="12"/>
      <c r="H189" s="12"/>
      <c r="I189" s="472"/>
      <c r="J189" s="72"/>
      <c r="K189" s="12"/>
      <c r="L189" s="12"/>
      <c r="M189" s="12"/>
      <c r="N189" s="12"/>
      <c r="O189" s="12"/>
      <c r="P189" s="12"/>
      <c r="Q189" s="12"/>
      <c r="R189" s="26"/>
      <c r="S189" s="26"/>
      <c r="T189" s="12"/>
      <c r="U189" s="12"/>
      <c r="V189" s="12"/>
    </row>
    <row r="190" spans="2:22" x14ac:dyDescent="0.25">
      <c r="B190" s="12"/>
      <c r="C190" s="12"/>
      <c r="D190" s="12"/>
      <c r="E190" s="12"/>
      <c r="F190" s="12"/>
      <c r="G190" s="12"/>
      <c r="H190" s="12"/>
      <c r="I190" s="472"/>
      <c r="J190" s="72"/>
      <c r="K190" s="12"/>
      <c r="L190" s="12"/>
      <c r="M190" s="12"/>
      <c r="N190" s="12"/>
      <c r="O190" s="12"/>
      <c r="P190" s="12"/>
      <c r="Q190" s="12"/>
      <c r="R190" s="26"/>
      <c r="S190" s="26"/>
      <c r="T190" s="12"/>
      <c r="U190" s="12"/>
      <c r="V190" s="12"/>
    </row>
    <row r="191" spans="2:22" x14ac:dyDescent="0.25">
      <c r="B191" s="12"/>
      <c r="C191" s="12"/>
      <c r="D191" s="12"/>
      <c r="E191" s="12"/>
      <c r="F191" s="12"/>
      <c r="G191" s="12"/>
      <c r="H191" s="12"/>
      <c r="I191" s="472"/>
      <c r="J191" s="72"/>
      <c r="K191" s="12"/>
      <c r="L191" s="12"/>
      <c r="M191" s="12"/>
      <c r="N191" s="12"/>
      <c r="O191" s="12"/>
      <c r="P191" s="12"/>
      <c r="Q191" s="12"/>
      <c r="R191" s="26"/>
      <c r="S191" s="26"/>
      <c r="T191" s="12"/>
      <c r="U191" s="12"/>
      <c r="V191" s="12"/>
    </row>
    <row r="192" spans="2:22" x14ac:dyDescent="0.25">
      <c r="B192" s="12"/>
      <c r="C192" s="12"/>
      <c r="D192" s="12"/>
      <c r="E192" s="12"/>
      <c r="F192" s="12"/>
      <c r="G192" s="12"/>
      <c r="H192" s="12"/>
      <c r="I192" s="472"/>
      <c r="J192" s="72"/>
      <c r="K192" s="12"/>
      <c r="L192" s="12"/>
      <c r="M192" s="12"/>
      <c r="N192" s="12"/>
      <c r="O192" s="12"/>
      <c r="P192" s="12"/>
      <c r="Q192" s="12"/>
      <c r="R192" s="26"/>
      <c r="S192" s="26"/>
      <c r="T192" s="12"/>
      <c r="U192" s="12"/>
      <c r="V192" s="12"/>
    </row>
    <row r="193" spans="2:22" x14ac:dyDescent="0.25">
      <c r="B193" s="12"/>
      <c r="C193" s="12"/>
      <c r="D193" s="12"/>
      <c r="E193" s="12"/>
      <c r="F193" s="12"/>
      <c r="G193" s="12"/>
      <c r="H193" s="12"/>
      <c r="I193" s="472"/>
      <c r="J193" s="72"/>
      <c r="K193" s="12"/>
      <c r="L193" s="12"/>
      <c r="M193" s="12"/>
      <c r="N193" s="12"/>
      <c r="O193" s="12"/>
      <c r="P193" s="12"/>
      <c r="Q193" s="12"/>
      <c r="R193" s="26"/>
      <c r="S193" s="26"/>
      <c r="T193" s="12"/>
      <c r="U193" s="12"/>
      <c r="V193" s="12"/>
    </row>
    <row r="194" spans="2:22" x14ac:dyDescent="0.25">
      <c r="B194" s="12"/>
      <c r="C194" s="12"/>
      <c r="D194" s="12"/>
      <c r="E194" s="12"/>
      <c r="F194" s="12"/>
      <c r="G194" s="12"/>
      <c r="H194" s="12"/>
      <c r="I194" s="472"/>
      <c r="J194" s="72"/>
      <c r="K194" s="12"/>
      <c r="L194" s="12"/>
      <c r="M194" s="12"/>
      <c r="N194" s="12"/>
      <c r="O194" s="12"/>
      <c r="P194" s="12"/>
      <c r="Q194" s="12"/>
      <c r="R194" s="26"/>
      <c r="S194" s="26"/>
      <c r="T194" s="12"/>
      <c r="U194" s="12"/>
      <c r="V194" s="12"/>
    </row>
    <row r="195" spans="2:22" x14ac:dyDescent="0.25">
      <c r="B195" s="12"/>
      <c r="C195" s="12"/>
      <c r="D195" s="12"/>
      <c r="E195" s="12"/>
      <c r="F195" s="12"/>
      <c r="G195" s="12"/>
      <c r="H195" s="12"/>
      <c r="I195" s="472"/>
      <c r="J195" s="72"/>
      <c r="K195" s="12"/>
      <c r="L195" s="12"/>
      <c r="M195" s="12"/>
      <c r="N195" s="12"/>
      <c r="O195" s="12"/>
      <c r="P195" s="12"/>
      <c r="Q195" s="12"/>
      <c r="R195" s="26"/>
      <c r="S195" s="26"/>
      <c r="T195" s="12"/>
      <c r="U195" s="12"/>
      <c r="V195" s="12"/>
    </row>
    <row r="196" spans="2:22" x14ac:dyDescent="0.25">
      <c r="B196" s="12"/>
      <c r="C196" s="12"/>
      <c r="D196" s="12"/>
      <c r="E196" s="12"/>
      <c r="F196" s="12"/>
      <c r="G196" s="12"/>
      <c r="H196" s="12"/>
      <c r="I196" s="472"/>
      <c r="J196" s="72"/>
      <c r="K196" s="12"/>
      <c r="L196" s="12"/>
      <c r="M196" s="12"/>
      <c r="N196" s="12"/>
      <c r="O196" s="12"/>
      <c r="P196" s="12"/>
      <c r="Q196" s="12"/>
      <c r="R196" s="26"/>
      <c r="S196" s="26"/>
      <c r="T196" s="12"/>
      <c r="U196" s="12"/>
      <c r="V196" s="12"/>
    </row>
    <row r="197" spans="2:22" x14ac:dyDescent="0.25">
      <c r="B197" s="12"/>
      <c r="C197" s="12"/>
      <c r="D197" s="12"/>
      <c r="E197" s="12"/>
      <c r="F197" s="12"/>
      <c r="G197" s="12"/>
      <c r="H197" s="12"/>
      <c r="I197" s="472"/>
      <c r="J197" s="72"/>
      <c r="K197" s="12"/>
      <c r="L197" s="12"/>
      <c r="M197" s="12"/>
      <c r="N197" s="12"/>
      <c r="O197" s="12"/>
      <c r="P197" s="12"/>
      <c r="Q197" s="12"/>
      <c r="R197" s="26"/>
      <c r="S197" s="26"/>
      <c r="T197" s="12"/>
      <c r="U197" s="12"/>
      <c r="V197" s="12"/>
    </row>
    <row r="198" spans="2:22" x14ac:dyDescent="0.25">
      <c r="B198" s="12"/>
      <c r="C198" s="12"/>
      <c r="D198" s="12"/>
      <c r="E198" s="12"/>
      <c r="F198" s="12"/>
      <c r="G198" s="12"/>
      <c r="H198" s="12"/>
      <c r="I198" s="472"/>
      <c r="J198" s="72"/>
      <c r="K198" s="12"/>
      <c r="L198" s="12"/>
      <c r="M198" s="12"/>
      <c r="N198" s="12"/>
      <c r="O198" s="12"/>
      <c r="P198" s="12"/>
      <c r="Q198" s="12"/>
      <c r="R198" s="26"/>
      <c r="S198" s="26"/>
      <c r="T198" s="12"/>
      <c r="U198" s="12"/>
      <c r="V198" s="12"/>
    </row>
    <row r="199" spans="2:22" x14ac:dyDescent="0.25">
      <c r="B199" s="12"/>
      <c r="C199" s="12"/>
      <c r="D199" s="12"/>
      <c r="E199" s="12"/>
      <c r="F199" s="12"/>
      <c r="G199" s="12"/>
      <c r="H199" s="12"/>
      <c r="I199" s="472"/>
      <c r="J199" s="72"/>
      <c r="K199" s="12"/>
      <c r="L199" s="12"/>
      <c r="M199" s="12"/>
      <c r="N199" s="12"/>
      <c r="O199" s="12"/>
      <c r="P199" s="12"/>
      <c r="Q199" s="12"/>
      <c r="R199" s="26"/>
      <c r="S199" s="26"/>
      <c r="T199" s="12"/>
      <c r="U199" s="12"/>
      <c r="V199" s="12"/>
    </row>
    <row r="200" spans="2:22" x14ac:dyDescent="0.25">
      <c r="B200" s="12"/>
      <c r="C200" s="12"/>
      <c r="D200" s="12"/>
      <c r="E200" s="12"/>
      <c r="F200" s="12"/>
      <c r="G200" s="12"/>
      <c r="H200" s="12"/>
      <c r="I200" s="472"/>
      <c r="J200" s="72"/>
      <c r="K200" s="12"/>
      <c r="L200" s="12"/>
      <c r="M200" s="12"/>
      <c r="N200" s="12"/>
      <c r="O200" s="12"/>
      <c r="P200" s="12"/>
      <c r="Q200" s="12"/>
      <c r="R200" s="26"/>
      <c r="S200" s="26"/>
      <c r="T200" s="12"/>
      <c r="U200" s="12"/>
      <c r="V200" s="12"/>
    </row>
    <row r="201" spans="2:22" x14ac:dyDescent="0.25">
      <c r="B201" s="12"/>
      <c r="C201" s="12"/>
      <c r="D201" s="12"/>
      <c r="E201" s="12"/>
      <c r="F201" s="12"/>
      <c r="G201" s="12"/>
      <c r="H201" s="12"/>
      <c r="I201" s="472"/>
      <c r="J201" s="72"/>
      <c r="K201" s="12"/>
      <c r="L201" s="12"/>
      <c r="M201" s="12"/>
      <c r="N201" s="12"/>
      <c r="O201" s="12"/>
      <c r="P201" s="12"/>
      <c r="Q201" s="12"/>
      <c r="R201" s="26"/>
      <c r="S201" s="26"/>
      <c r="T201" s="12"/>
      <c r="U201" s="12"/>
      <c r="V201" s="12"/>
    </row>
    <row r="202" spans="2:22" x14ac:dyDescent="0.25">
      <c r="B202" s="12"/>
      <c r="C202" s="12"/>
      <c r="D202" s="12"/>
      <c r="E202" s="12"/>
      <c r="F202" s="12"/>
      <c r="G202" s="12"/>
      <c r="H202" s="12"/>
      <c r="I202" s="472"/>
      <c r="J202" s="72"/>
      <c r="K202" s="12"/>
      <c r="L202" s="12"/>
      <c r="M202" s="12"/>
      <c r="N202" s="12"/>
      <c r="O202" s="12"/>
      <c r="P202" s="12"/>
      <c r="Q202" s="12"/>
      <c r="R202" s="26"/>
      <c r="S202" s="26"/>
      <c r="T202" s="12"/>
      <c r="U202" s="12"/>
      <c r="V202" s="12"/>
    </row>
    <row r="203" spans="2:22" x14ac:dyDescent="0.25">
      <c r="B203" s="12"/>
      <c r="C203" s="12"/>
      <c r="D203" s="12"/>
      <c r="E203" s="12"/>
      <c r="F203" s="12"/>
      <c r="G203" s="12"/>
      <c r="H203" s="12"/>
      <c r="I203" s="472"/>
      <c r="J203" s="72"/>
      <c r="K203" s="12"/>
      <c r="L203" s="12"/>
      <c r="M203" s="12"/>
      <c r="N203" s="12"/>
      <c r="O203" s="12"/>
      <c r="P203" s="12"/>
      <c r="Q203" s="12"/>
      <c r="R203" s="26"/>
      <c r="S203" s="26"/>
      <c r="T203" s="12"/>
      <c r="U203" s="12"/>
      <c r="V203" s="12"/>
    </row>
    <row r="204" spans="2:22" x14ac:dyDescent="0.25">
      <c r="B204" s="12"/>
      <c r="C204" s="12"/>
      <c r="D204" s="12"/>
      <c r="E204" s="12"/>
      <c r="F204" s="12"/>
      <c r="G204" s="12"/>
      <c r="H204" s="12"/>
      <c r="I204" s="472"/>
      <c r="J204" s="72"/>
      <c r="K204" s="12"/>
      <c r="L204" s="12"/>
      <c r="M204" s="12"/>
      <c r="N204" s="12"/>
      <c r="O204" s="12"/>
      <c r="P204" s="12"/>
      <c r="Q204" s="12"/>
      <c r="R204" s="26"/>
      <c r="S204" s="26"/>
      <c r="T204" s="12"/>
      <c r="U204" s="12"/>
      <c r="V204" s="12"/>
    </row>
    <row r="205" spans="2:22" x14ac:dyDescent="0.25">
      <c r="B205" s="12"/>
      <c r="C205" s="12"/>
      <c r="D205" s="12"/>
      <c r="E205" s="12"/>
      <c r="F205" s="12"/>
      <c r="G205" s="12"/>
      <c r="H205" s="12"/>
      <c r="I205" s="472"/>
      <c r="J205" s="72"/>
      <c r="K205" s="12"/>
      <c r="L205" s="12"/>
      <c r="M205" s="12"/>
      <c r="N205" s="12"/>
      <c r="O205" s="12"/>
      <c r="P205" s="12"/>
      <c r="Q205" s="12"/>
      <c r="R205" s="26"/>
      <c r="S205" s="26"/>
      <c r="T205" s="12"/>
      <c r="U205" s="12"/>
      <c r="V205" s="12"/>
    </row>
    <row r="206" spans="2:22" x14ac:dyDescent="0.25">
      <c r="B206" s="12"/>
      <c r="C206" s="12"/>
      <c r="D206" s="12"/>
      <c r="E206" s="12"/>
      <c r="F206" s="12"/>
      <c r="G206" s="12"/>
      <c r="H206" s="12"/>
      <c r="I206" s="472"/>
      <c r="J206" s="72"/>
      <c r="K206" s="12"/>
      <c r="L206" s="12"/>
      <c r="M206" s="12"/>
      <c r="N206" s="12"/>
      <c r="O206" s="12"/>
      <c r="P206" s="12"/>
      <c r="Q206" s="12"/>
      <c r="R206" s="26"/>
      <c r="S206" s="26"/>
      <c r="T206" s="12"/>
      <c r="U206" s="12"/>
      <c r="V206" s="12"/>
    </row>
    <row r="207" spans="2:22" x14ac:dyDescent="0.25">
      <c r="B207" s="12"/>
      <c r="C207" s="12"/>
      <c r="D207" s="12"/>
      <c r="E207" s="12"/>
      <c r="F207" s="12"/>
      <c r="G207" s="12"/>
      <c r="H207" s="12"/>
      <c r="I207" s="472"/>
      <c r="J207" s="72"/>
      <c r="K207" s="12"/>
      <c r="L207" s="12"/>
      <c r="M207" s="12"/>
      <c r="N207" s="12"/>
      <c r="O207" s="12"/>
      <c r="P207" s="12"/>
      <c r="Q207" s="12"/>
      <c r="R207" s="26"/>
      <c r="S207" s="26"/>
      <c r="T207" s="12"/>
      <c r="U207" s="12"/>
      <c r="V207" s="12"/>
    </row>
    <row r="208" spans="2:22" x14ac:dyDescent="0.25">
      <c r="B208" s="12"/>
      <c r="C208" s="12"/>
      <c r="D208" s="12"/>
      <c r="E208" s="12"/>
      <c r="F208" s="12"/>
      <c r="G208" s="12"/>
      <c r="H208" s="12"/>
      <c r="I208" s="472"/>
      <c r="J208" s="72"/>
      <c r="K208" s="12"/>
      <c r="L208" s="12"/>
      <c r="M208" s="12"/>
      <c r="N208" s="12"/>
      <c r="O208" s="12"/>
      <c r="P208" s="12"/>
      <c r="Q208" s="12"/>
      <c r="R208" s="26"/>
      <c r="S208" s="26"/>
      <c r="T208" s="12"/>
      <c r="U208" s="12"/>
      <c r="V208" s="12"/>
    </row>
    <row r="209" spans="2:22" x14ac:dyDescent="0.25">
      <c r="B209" s="12"/>
      <c r="C209" s="12"/>
      <c r="D209" s="12"/>
      <c r="E209" s="12"/>
      <c r="F209" s="12"/>
      <c r="G209" s="12"/>
      <c r="H209" s="12"/>
      <c r="I209" s="472"/>
      <c r="J209" s="72"/>
      <c r="K209" s="12"/>
      <c r="L209" s="12"/>
      <c r="M209" s="12"/>
      <c r="N209" s="12"/>
      <c r="O209" s="12"/>
      <c r="P209" s="12"/>
      <c r="Q209" s="12"/>
      <c r="R209" s="26"/>
      <c r="S209" s="26"/>
      <c r="T209" s="12"/>
      <c r="U209" s="12"/>
      <c r="V209" s="12"/>
    </row>
    <row r="210" spans="2:22" x14ac:dyDescent="0.25">
      <c r="B210" s="12"/>
      <c r="C210" s="12"/>
      <c r="D210" s="12"/>
      <c r="E210" s="12"/>
      <c r="F210" s="12"/>
      <c r="G210" s="12"/>
      <c r="H210" s="12"/>
      <c r="I210" s="472"/>
      <c r="J210" s="72"/>
      <c r="K210" s="12"/>
      <c r="L210" s="12"/>
      <c r="M210" s="12"/>
      <c r="N210" s="12"/>
      <c r="O210" s="12"/>
      <c r="P210" s="12"/>
      <c r="Q210" s="12"/>
      <c r="R210" s="26"/>
      <c r="S210" s="26"/>
      <c r="T210" s="12"/>
      <c r="U210" s="12"/>
      <c r="V210" s="12"/>
    </row>
    <row r="211" spans="2:22" x14ac:dyDescent="0.25">
      <c r="B211" s="12"/>
      <c r="C211" s="12"/>
      <c r="D211" s="12"/>
      <c r="E211" s="12"/>
      <c r="F211" s="12"/>
      <c r="G211" s="12"/>
      <c r="H211" s="12"/>
      <c r="I211" s="472"/>
      <c r="J211" s="72"/>
      <c r="K211" s="12"/>
      <c r="L211" s="12"/>
      <c r="M211" s="12"/>
      <c r="N211" s="12"/>
      <c r="O211" s="12"/>
      <c r="P211" s="12"/>
      <c r="Q211" s="12"/>
      <c r="R211" s="26"/>
      <c r="S211" s="26"/>
      <c r="T211" s="12"/>
      <c r="U211" s="12"/>
      <c r="V211" s="12"/>
    </row>
    <row r="212" spans="2:22" x14ac:dyDescent="0.25">
      <c r="B212" s="12"/>
      <c r="C212" s="12"/>
      <c r="D212" s="12"/>
      <c r="E212" s="12"/>
      <c r="F212" s="12"/>
      <c r="G212" s="12"/>
      <c r="H212" s="12"/>
      <c r="I212" s="472"/>
      <c r="J212" s="72"/>
      <c r="K212" s="12"/>
      <c r="L212" s="12"/>
      <c r="M212" s="12"/>
      <c r="N212" s="12"/>
      <c r="O212" s="12"/>
      <c r="P212" s="12"/>
      <c r="Q212" s="12"/>
      <c r="R212" s="26"/>
      <c r="S212" s="26"/>
      <c r="T212" s="12"/>
      <c r="U212" s="12"/>
      <c r="V212" s="12"/>
    </row>
    <row r="213" spans="2:22" x14ac:dyDescent="0.25">
      <c r="B213" s="12"/>
      <c r="C213" s="12"/>
      <c r="D213" s="12"/>
      <c r="E213" s="12"/>
      <c r="F213" s="12"/>
      <c r="G213" s="12"/>
      <c r="H213" s="12"/>
      <c r="I213" s="472"/>
      <c r="J213" s="72"/>
      <c r="K213" s="12"/>
      <c r="L213" s="12"/>
      <c r="M213" s="12"/>
      <c r="N213" s="12"/>
      <c r="O213" s="12"/>
      <c r="P213" s="12"/>
      <c r="Q213" s="12"/>
      <c r="R213" s="26"/>
      <c r="S213" s="26"/>
      <c r="T213" s="12"/>
      <c r="U213" s="12"/>
      <c r="V213" s="12"/>
    </row>
    <row r="214" spans="2:22" x14ac:dyDescent="0.25">
      <c r="B214" s="12"/>
      <c r="C214" s="12"/>
      <c r="D214" s="12"/>
      <c r="E214" s="12"/>
      <c r="F214" s="12"/>
      <c r="G214" s="12"/>
      <c r="H214" s="12"/>
      <c r="I214" s="472"/>
      <c r="J214" s="72"/>
      <c r="K214" s="12"/>
      <c r="L214" s="12"/>
      <c r="M214" s="12"/>
      <c r="N214" s="12"/>
      <c r="O214" s="12"/>
      <c r="P214" s="12"/>
      <c r="Q214" s="12"/>
      <c r="R214" s="26"/>
      <c r="S214" s="26"/>
      <c r="T214" s="12"/>
      <c r="U214" s="12"/>
      <c r="V214" s="12"/>
    </row>
    <row r="215" spans="2:22" x14ac:dyDescent="0.25">
      <c r="B215" s="12"/>
      <c r="C215" s="12"/>
      <c r="D215" s="12"/>
      <c r="E215" s="12"/>
      <c r="F215" s="12"/>
      <c r="G215" s="12"/>
      <c r="H215" s="12"/>
      <c r="I215" s="472"/>
      <c r="J215" s="72"/>
      <c r="K215" s="12"/>
      <c r="L215" s="12"/>
      <c r="M215" s="12"/>
      <c r="N215" s="12"/>
      <c r="O215" s="12"/>
      <c r="P215" s="12"/>
      <c r="Q215" s="12"/>
      <c r="R215" s="26"/>
      <c r="S215" s="26"/>
      <c r="T215" s="12"/>
      <c r="U215" s="12"/>
      <c r="V215" s="12"/>
    </row>
    <row r="216" spans="2:22" x14ac:dyDescent="0.25">
      <c r="B216" s="12"/>
      <c r="C216" s="12"/>
      <c r="D216" s="12"/>
      <c r="E216" s="12"/>
      <c r="F216" s="12"/>
      <c r="G216" s="12"/>
      <c r="H216" s="12"/>
      <c r="I216" s="472"/>
      <c r="J216" s="72"/>
      <c r="K216" s="12"/>
      <c r="L216" s="12"/>
      <c r="M216" s="12"/>
      <c r="N216" s="12"/>
      <c r="O216" s="12"/>
      <c r="P216" s="12"/>
      <c r="Q216" s="12"/>
      <c r="R216" s="26"/>
      <c r="S216" s="26"/>
      <c r="T216" s="12"/>
      <c r="U216" s="12"/>
      <c r="V216" s="12"/>
    </row>
    <row r="217" spans="2:22" x14ac:dyDescent="0.25">
      <c r="B217" s="12"/>
      <c r="C217" s="12"/>
      <c r="D217" s="12"/>
      <c r="E217" s="12"/>
      <c r="F217" s="12"/>
      <c r="G217" s="12"/>
      <c r="H217" s="12"/>
      <c r="I217" s="472"/>
      <c r="J217" s="72"/>
      <c r="K217" s="12"/>
      <c r="L217" s="12"/>
      <c r="M217" s="12"/>
      <c r="N217" s="12"/>
      <c r="O217" s="12"/>
      <c r="P217" s="12"/>
      <c r="Q217" s="12"/>
      <c r="R217" s="26"/>
      <c r="S217" s="26"/>
      <c r="T217" s="12"/>
      <c r="U217" s="12"/>
      <c r="V217" s="12"/>
    </row>
    <row r="218" spans="2:22" x14ac:dyDescent="0.25">
      <c r="B218" s="12"/>
      <c r="C218" s="12"/>
      <c r="D218" s="12"/>
      <c r="E218" s="12"/>
      <c r="F218" s="12"/>
      <c r="G218" s="12"/>
      <c r="H218" s="12"/>
      <c r="I218" s="472"/>
      <c r="J218" s="72"/>
      <c r="K218" s="12"/>
      <c r="L218" s="12"/>
      <c r="M218" s="12"/>
      <c r="N218" s="12"/>
      <c r="O218" s="12"/>
      <c r="P218" s="12"/>
      <c r="Q218" s="12"/>
      <c r="R218" s="26"/>
      <c r="S218" s="26"/>
      <c r="T218" s="12"/>
      <c r="U218" s="12"/>
      <c r="V218" s="12"/>
    </row>
    <row r="219" spans="2:22" x14ac:dyDescent="0.25">
      <c r="B219" s="12"/>
      <c r="C219" s="12"/>
      <c r="D219" s="12"/>
      <c r="E219" s="12"/>
      <c r="F219" s="12"/>
      <c r="G219" s="12"/>
      <c r="H219" s="12"/>
      <c r="I219" s="472"/>
      <c r="J219" s="72"/>
      <c r="K219" s="12"/>
      <c r="L219" s="12"/>
      <c r="M219" s="12"/>
      <c r="N219" s="12"/>
      <c r="O219" s="12"/>
      <c r="P219" s="12"/>
      <c r="Q219" s="12"/>
      <c r="R219" s="26"/>
      <c r="S219" s="26"/>
      <c r="T219" s="12"/>
      <c r="U219" s="12"/>
      <c r="V219" s="12"/>
    </row>
    <row r="220" spans="2:22" x14ac:dyDescent="0.25">
      <c r="B220" s="12"/>
      <c r="C220" s="12"/>
      <c r="D220" s="12"/>
      <c r="E220" s="12"/>
      <c r="F220" s="12"/>
      <c r="G220" s="12"/>
      <c r="H220" s="12"/>
      <c r="I220" s="472"/>
      <c r="J220" s="72"/>
      <c r="K220" s="12"/>
      <c r="L220" s="12"/>
      <c r="M220" s="12"/>
      <c r="N220" s="12"/>
      <c r="O220" s="12"/>
      <c r="P220" s="12"/>
      <c r="Q220" s="12"/>
      <c r="R220" s="26"/>
      <c r="S220" s="26"/>
      <c r="T220" s="12"/>
      <c r="U220" s="12"/>
      <c r="V220" s="12"/>
    </row>
    <row r="221" spans="2:22" x14ac:dyDescent="0.25">
      <c r="B221" s="12"/>
      <c r="C221" s="12"/>
      <c r="D221" s="12"/>
      <c r="E221" s="12"/>
      <c r="F221" s="12"/>
      <c r="G221" s="12"/>
      <c r="H221" s="12"/>
      <c r="I221" s="472"/>
      <c r="J221" s="72"/>
      <c r="K221" s="12"/>
      <c r="L221" s="12"/>
      <c r="M221" s="12"/>
      <c r="N221" s="12"/>
      <c r="O221" s="12"/>
      <c r="P221" s="12"/>
      <c r="Q221" s="12"/>
      <c r="R221" s="26"/>
      <c r="S221" s="26"/>
      <c r="T221" s="12"/>
      <c r="U221" s="12"/>
      <c r="V221" s="12"/>
    </row>
    <row r="222" spans="2:22" x14ac:dyDescent="0.25">
      <c r="H222" s="68"/>
      <c r="I222" s="836"/>
      <c r="J222" s="68"/>
    </row>
    <row r="223" spans="2:22" x14ac:dyDescent="0.25">
      <c r="I223" s="824"/>
    </row>
    <row r="224" spans="2:22" x14ac:dyDescent="0.25">
      <c r="H224" s="68"/>
      <c r="I224" s="824"/>
      <c r="J224" s="68"/>
    </row>
    <row r="225" spans="8:10" x14ac:dyDescent="0.25">
      <c r="I225" s="824"/>
    </row>
    <row r="226" spans="8:10" x14ac:dyDescent="0.25">
      <c r="H226" s="68"/>
      <c r="I226" s="824"/>
      <c r="J226" s="68"/>
    </row>
    <row r="227" spans="8:10" x14ac:dyDescent="0.25">
      <c r="I227" s="824"/>
    </row>
    <row r="228" spans="8:10" x14ac:dyDescent="0.25">
      <c r="H228" s="68"/>
      <c r="I228" s="824"/>
      <c r="J228" s="68"/>
    </row>
    <row r="229" spans="8:10" x14ac:dyDescent="0.25">
      <c r="I229" s="824"/>
    </row>
    <row r="230" spans="8:10" x14ac:dyDescent="0.25">
      <c r="H230" s="68"/>
      <c r="I230" s="824"/>
      <c r="J230" s="68"/>
    </row>
    <row r="231" spans="8:10" x14ac:dyDescent="0.25">
      <c r="I231" s="824"/>
    </row>
    <row r="232" spans="8:10" x14ac:dyDescent="0.25">
      <c r="H232" s="68"/>
      <c r="I232" s="824"/>
      <c r="J232" s="68"/>
    </row>
    <row r="233" spans="8:10" x14ac:dyDescent="0.25">
      <c r="I233" s="824"/>
    </row>
    <row r="234" spans="8:10" x14ac:dyDescent="0.25">
      <c r="H234" s="68"/>
      <c r="I234" s="824"/>
      <c r="J234" s="68"/>
    </row>
    <row r="235" spans="8:10" x14ac:dyDescent="0.25">
      <c r="I235" s="824"/>
    </row>
    <row r="236" spans="8:10" x14ac:dyDescent="0.25">
      <c r="H236" s="68"/>
      <c r="I236" s="824"/>
      <c r="J236" s="68"/>
    </row>
    <row r="237" spans="8:10" x14ac:dyDescent="0.25">
      <c r="I237" s="824"/>
    </row>
    <row r="238" spans="8:10" x14ac:dyDescent="0.25">
      <c r="H238" s="68"/>
      <c r="I238" s="824"/>
      <c r="J238" s="68"/>
    </row>
    <row r="239" spans="8:10" x14ac:dyDescent="0.25">
      <c r="I239" s="824"/>
    </row>
    <row r="240" spans="8:10" x14ac:dyDescent="0.25">
      <c r="H240" s="68"/>
      <c r="I240" s="824"/>
      <c r="J240" s="68"/>
    </row>
    <row r="241" spans="9:9" x14ac:dyDescent="0.25">
      <c r="I241" s="824"/>
    </row>
    <row r="242" spans="9:9" x14ac:dyDescent="0.25">
      <c r="I242" s="824"/>
    </row>
    <row r="243" spans="9:9" x14ac:dyDescent="0.25">
      <c r="I243" s="824"/>
    </row>
    <row r="244" spans="9:9" x14ac:dyDescent="0.25">
      <c r="I244" s="824"/>
    </row>
    <row r="245" spans="9:9" x14ac:dyDescent="0.25">
      <c r="I245" s="824"/>
    </row>
    <row r="246" spans="9:9" x14ac:dyDescent="0.25">
      <c r="I246" s="824"/>
    </row>
    <row r="247" spans="9:9" x14ac:dyDescent="0.25">
      <c r="I247" s="824"/>
    </row>
    <row r="248" spans="9:9" x14ac:dyDescent="0.25">
      <c r="I248" s="824"/>
    </row>
    <row r="249" spans="9:9" x14ac:dyDescent="0.25">
      <c r="I249" s="824"/>
    </row>
    <row r="250" spans="9:9" x14ac:dyDescent="0.25">
      <c r="I250" s="824"/>
    </row>
    <row r="251" spans="9:9" x14ac:dyDescent="0.25">
      <c r="I251" s="824"/>
    </row>
    <row r="252" spans="9:9" x14ac:dyDescent="0.25">
      <c r="I252" s="824"/>
    </row>
    <row r="253" spans="9:9" x14ac:dyDescent="0.25">
      <c r="I253" s="824"/>
    </row>
    <row r="254" spans="9:9" x14ac:dyDescent="0.25">
      <c r="I254" s="824"/>
    </row>
    <row r="255" spans="9:9" x14ac:dyDescent="0.25">
      <c r="I255" s="824"/>
    </row>
    <row r="256" spans="9:9" x14ac:dyDescent="0.25">
      <c r="I256" s="824"/>
    </row>
    <row r="257" spans="9:9" x14ac:dyDescent="0.25">
      <c r="I257" s="824"/>
    </row>
    <row r="258" spans="9:9" x14ac:dyDescent="0.25">
      <c r="I258" s="824"/>
    </row>
    <row r="259" spans="9:9" x14ac:dyDescent="0.25">
      <c r="I259" s="824"/>
    </row>
    <row r="260" spans="9:9" x14ac:dyDescent="0.25">
      <c r="I260" s="824"/>
    </row>
    <row r="261" spans="9:9" x14ac:dyDescent="0.25">
      <c r="I261" s="824"/>
    </row>
    <row r="262" spans="9:9" x14ac:dyDescent="0.25">
      <c r="I262" s="824"/>
    </row>
    <row r="263" spans="9:9" x14ac:dyDescent="0.25">
      <c r="I263" s="824"/>
    </row>
    <row r="264" spans="9:9" x14ac:dyDescent="0.25">
      <c r="I264" s="824"/>
    </row>
    <row r="265" spans="9:9" x14ac:dyDescent="0.25">
      <c r="I265" s="824"/>
    </row>
    <row r="266" spans="9:9" x14ac:dyDescent="0.25">
      <c r="I266" s="824"/>
    </row>
    <row r="267" spans="9:9" x14ac:dyDescent="0.25">
      <c r="I267" s="824"/>
    </row>
    <row r="268" spans="9:9" x14ac:dyDescent="0.25">
      <c r="I268" s="824"/>
    </row>
    <row r="269" spans="9:9" x14ac:dyDescent="0.25">
      <c r="I269" s="824"/>
    </row>
    <row r="270" spans="9:9" x14ac:dyDescent="0.25">
      <c r="I270" s="824"/>
    </row>
    <row r="271" spans="9:9" x14ac:dyDescent="0.25">
      <c r="I271" s="824"/>
    </row>
    <row r="272" spans="9:9" x14ac:dyDescent="0.25">
      <c r="I272" s="824"/>
    </row>
    <row r="273" spans="9:9" x14ac:dyDescent="0.25">
      <c r="I273" s="824"/>
    </row>
    <row r="274" spans="9:9" x14ac:dyDescent="0.25">
      <c r="I274" s="824"/>
    </row>
    <row r="275" spans="9:9" x14ac:dyDescent="0.25">
      <c r="I275" s="824"/>
    </row>
    <row r="276" spans="9:9" x14ac:dyDescent="0.25">
      <c r="I276" s="824"/>
    </row>
    <row r="277" spans="9:9" x14ac:dyDescent="0.25">
      <c r="I277" s="824"/>
    </row>
    <row r="278" spans="9:9" x14ac:dyDescent="0.25">
      <c r="I278" s="824"/>
    </row>
    <row r="279" spans="9:9" x14ac:dyDescent="0.25">
      <c r="I279" s="824"/>
    </row>
    <row r="280" spans="9:9" x14ac:dyDescent="0.25">
      <c r="I280" s="824"/>
    </row>
    <row r="281" spans="9:9" x14ac:dyDescent="0.25">
      <c r="I281" s="824"/>
    </row>
    <row r="282" spans="9:9" x14ac:dyDescent="0.25">
      <c r="I282" s="824"/>
    </row>
    <row r="283" spans="9:9" x14ac:dyDescent="0.25">
      <c r="I283" s="824"/>
    </row>
    <row r="284" spans="9:9" x14ac:dyDescent="0.25">
      <c r="I284" s="824"/>
    </row>
    <row r="285" spans="9:9" x14ac:dyDescent="0.25">
      <c r="I285" s="824"/>
    </row>
    <row r="286" spans="9:9" x14ac:dyDescent="0.25">
      <c r="I286" s="824"/>
    </row>
    <row r="287" spans="9:9" x14ac:dyDescent="0.25">
      <c r="I287" s="824"/>
    </row>
    <row r="288" spans="9:9" x14ac:dyDescent="0.25">
      <c r="I288" s="824"/>
    </row>
    <row r="289" spans="1:23" x14ac:dyDescent="0.25">
      <c r="I289" s="824"/>
    </row>
    <row r="290" spans="1:23" x14ac:dyDescent="0.25">
      <c r="I290" s="824"/>
    </row>
    <row r="291" spans="1:23" x14ac:dyDescent="0.25">
      <c r="I291" s="824"/>
    </row>
    <row r="292" spans="1:23" x14ac:dyDescent="0.25">
      <c r="I292" s="824"/>
    </row>
    <row r="293" spans="1:23" s="68" customFormat="1" x14ac:dyDescent="0.25">
      <c r="A293" s="25"/>
      <c r="B293" s="25"/>
      <c r="C293" s="25"/>
      <c r="D293" s="25"/>
      <c r="E293" s="25"/>
      <c r="F293" s="25"/>
      <c r="G293" s="25"/>
      <c r="H293" s="25"/>
      <c r="I293" s="824"/>
      <c r="J293" s="25"/>
      <c r="K293" s="25"/>
      <c r="L293" s="25"/>
      <c r="M293" s="25"/>
      <c r="N293" s="25"/>
      <c r="O293" s="25"/>
      <c r="P293" s="25"/>
      <c r="Q293" s="25"/>
      <c r="R293" s="25"/>
      <c r="S293" s="25"/>
      <c r="T293" s="25"/>
      <c r="U293" s="25"/>
      <c r="V293" s="25"/>
      <c r="W293" s="25"/>
    </row>
    <row r="294" spans="1:23" x14ac:dyDescent="0.25">
      <c r="I294" s="824"/>
    </row>
    <row r="295" spans="1:23" x14ac:dyDescent="0.25">
      <c r="I295" s="824"/>
    </row>
    <row r="296" spans="1:23" x14ac:dyDescent="0.25">
      <c r="I296" s="824"/>
    </row>
    <row r="297" spans="1:23" x14ac:dyDescent="0.25">
      <c r="I297" s="824"/>
    </row>
    <row r="298" spans="1:23" x14ac:dyDescent="0.25">
      <c r="I298" s="824"/>
    </row>
    <row r="299" spans="1:23" x14ac:dyDescent="0.25">
      <c r="I299" s="824"/>
    </row>
    <row r="300" spans="1:23" x14ac:dyDescent="0.25">
      <c r="I300" s="824"/>
    </row>
    <row r="301" spans="1:23" s="68" customFormat="1" x14ac:dyDescent="0.25">
      <c r="A301" s="25"/>
      <c r="B301" s="25"/>
      <c r="C301" s="25"/>
      <c r="D301" s="25"/>
      <c r="E301" s="25"/>
      <c r="F301" s="25"/>
      <c r="G301" s="25"/>
      <c r="H301" s="25"/>
      <c r="I301" s="824"/>
      <c r="J301" s="25"/>
      <c r="K301" s="25"/>
      <c r="L301" s="25"/>
      <c r="M301" s="25"/>
      <c r="N301" s="25"/>
      <c r="O301" s="25"/>
      <c r="P301" s="25"/>
      <c r="Q301" s="25"/>
      <c r="R301" s="25"/>
      <c r="S301" s="25"/>
      <c r="T301" s="25"/>
      <c r="U301" s="25"/>
      <c r="V301" s="25"/>
      <c r="W301" s="25"/>
    </row>
    <row r="302" spans="1:23" x14ac:dyDescent="0.25">
      <c r="I302" s="824"/>
    </row>
    <row r="303" spans="1:23" x14ac:dyDescent="0.25">
      <c r="I303" s="824"/>
    </row>
    <row r="304" spans="1:23" x14ac:dyDescent="0.25">
      <c r="I304" s="824"/>
    </row>
    <row r="305" spans="9:9" x14ac:dyDescent="0.25">
      <c r="I305" s="824"/>
    </row>
    <row r="306" spans="9:9" x14ac:dyDescent="0.25">
      <c r="I306" s="824"/>
    </row>
    <row r="307" spans="9:9" x14ac:dyDescent="0.25">
      <c r="I307" s="824"/>
    </row>
    <row r="308" spans="9:9" x14ac:dyDescent="0.25">
      <c r="I308" s="824"/>
    </row>
    <row r="309" spans="9:9" x14ac:dyDescent="0.25">
      <c r="I309" s="824"/>
    </row>
    <row r="310" spans="9:9" x14ac:dyDescent="0.25">
      <c r="I310" s="824"/>
    </row>
    <row r="311" spans="9:9" x14ac:dyDescent="0.25">
      <c r="I311" s="824"/>
    </row>
    <row r="312" spans="9:9" x14ac:dyDescent="0.25">
      <c r="I312" s="824"/>
    </row>
    <row r="313" spans="9:9" x14ac:dyDescent="0.25">
      <c r="I313" s="824"/>
    </row>
    <row r="314" spans="9:9" x14ac:dyDescent="0.25">
      <c r="I314" s="824"/>
    </row>
    <row r="315" spans="9:9" x14ac:dyDescent="0.25">
      <c r="I315" s="824"/>
    </row>
    <row r="316" spans="9:9" x14ac:dyDescent="0.25">
      <c r="I316" s="824"/>
    </row>
    <row r="317" spans="9:9" x14ac:dyDescent="0.25">
      <c r="I317" s="824"/>
    </row>
    <row r="318" spans="9:9" x14ac:dyDescent="0.25">
      <c r="I318" s="824"/>
    </row>
    <row r="319" spans="9:9" x14ac:dyDescent="0.25">
      <c r="I319" s="824"/>
    </row>
    <row r="320" spans="9:9" x14ac:dyDescent="0.25">
      <c r="I320" s="824"/>
    </row>
    <row r="321" spans="9:9" x14ac:dyDescent="0.25">
      <c r="I321" s="824"/>
    </row>
    <row r="322" spans="9:9" x14ac:dyDescent="0.25">
      <c r="I322" s="824"/>
    </row>
    <row r="323" spans="9:9" x14ac:dyDescent="0.25">
      <c r="I323" s="824"/>
    </row>
    <row r="324" spans="9:9" x14ac:dyDescent="0.25">
      <c r="I324" s="824"/>
    </row>
    <row r="325" spans="9:9" x14ac:dyDescent="0.25">
      <c r="I325" s="824"/>
    </row>
    <row r="326" spans="9:9" x14ac:dyDescent="0.25">
      <c r="I326" s="824"/>
    </row>
    <row r="327" spans="9:9" x14ac:dyDescent="0.25">
      <c r="I327" s="824"/>
    </row>
    <row r="328" spans="9:9" x14ac:dyDescent="0.25">
      <c r="I328" s="824"/>
    </row>
    <row r="329" spans="9:9" x14ac:dyDescent="0.25">
      <c r="I329" s="824"/>
    </row>
    <row r="330" spans="9:9" x14ac:dyDescent="0.25">
      <c r="I330" s="824"/>
    </row>
    <row r="331" spans="9:9" x14ac:dyDescent="0.25">
      <c r="I331" s="824"/>
    </row>
    <row r="332" spans="9:9" x14ac:dyDescent="0.25">
      <c r="I332" s="824"/>
    </row>
    <row r="333" spans="9:9" x14ac:dyDescent="0.25">
      <c r="I333" s="824"/>
    </row>
    <row r="334" spans="9:9" x14ac:dyDescent="0.25">
      <c r="I334" s="824"/>
    </row>
    <row r="335" spans="9:9" x14ac:dyDescent="0.25">
      <c r="I335" s="824"/>
    </row>
    <row r="336" spans="9:9" x14ac:dyDescent="0.25">
      <c r="I336" s="824"/>
    </row>
    <row r="337" spans="1:23" x14ac:dyDescent="0.25">
      <c r="I337" s="824"/>
    </row>
    <row r="338" spans="1:23" x14ac:dyDescent="0.25">
      <c r="I338" s="824"/>
    </row>
    <row r="339" spans="1:23" x14ac:dyDescent="0.25">
      <c r="I339" s="824"/>
    </row>
    <row r="340" spans="1:23" x14ac:dyDescent="0.25">
      <c r="I340" s="824"/>
    </row>
    <row r="341" spans="1:23" x14ac:dyDescent="0.25">
      <c r="I341" s="824"/>
    </row>
    <row r="342" spans="1:23" x14ac:dyDescent="0.25">
      <c r="I342" s="824"/>
    </row>
    <row r="343" spans="1:23" x14ac:dyDescent="0.25">
      <c r="I343" s="824"/>
    </row>
    <row r="344" spans="1:23" x14ac:dyDescent="0.25">
      <c r="I344" s="824"/>
    </row>
    <row r="345" spans="1:23" x14ac:dyDescent="0.25">
      <c r="I345" s="824"/>
    </row>
    <row r="346" spans="1:23" x14ac:dyDescent="0.25">
      <c r="I346" s="824"/>
    </row>
    <row r="347" spans="1:23" x14ac:dyDescent="0.25">
      <c r="I347" s="824"/>
    </row>
    <row r="348" spans="1:23" s="68" customFormat="1" x14ac:dyDescent="0.25">
      <c r="A348" s="25"/>
      <c r="B348" s="25"/>
      <c r="C348" s="25"/>
      <c r="D348" s="25"/>
      <c r="E348" s="25"/>
      <c r="F348" s="25"/>
      <c r="G348" s="25"/>
      <c r="H348" s="25"/>
      <c r="I348" s="824"/>
      <c r="J348" s="25"/>
      <c r="K348" s="25"/>
      <c r="L348" s="25"/>
      <c r="M348" s="25"/>
      <c r="N348" s="25"/>
      <c r="O348" s="25"/>
      <c r="P348" s="25"/>
      <c r="Q348" s="25"/>
      <c r="R348" s="25"/>
      <c r="S348" s="25"/>
      <c r="T348" s="25"/>
      <c r="U348" s="25"/>
      <c r="V348" s="25"/>
      <c r="W348" s="25"/>
    </row>
    <row r="349" spans="1:23" x14ac:dyDescent="0.25">
      <c r="I349" s="824"/>
    </row>
    <row r="350" spans="1:23" x14ac:dyDescent="0.25">
      <c r="I350" s="824"/>
    </row>
    <row r="351" spans="1:23" x14ac:dyDescent="0.25">
      <c r="I351" s="824"/>
    </row>
    <row r="352" spans="1:23" x14ac:dyDescent="0.25">
      <c r="I352" s="824"/>
    </row>
    <row r="353" spans="9:9" x14ac:dyDescent="0.25">
      <c r="I353" s="824"/>
    </row>
    <row r="354" spans="9:9" x14ac:dyDescent="0.25">
      <c r="I354" s="824"/>
    </row>
    <row r="355" spans="9:9" x14ac:dyDescent="0.25">
      <c r="I355" s="824"/>
    </row>
    <row r="356" spans="9:9" x14ac:dyDescent="0.25">
      <c r="I356" s="824"/>
    </row>
    <row r="357" spans="9:9" x14ac:dyDescent="0.25">
      <c r="I357" s="824"/>
    </row>
    <row r="358" spans="9:9" x14ac:dyDescent="0.25">
      <c r="I358" s="824"/>
    </row>
    <row r="359" spans="9:9" x14ac:dyDescent="0.25">
      <c r="I359" s="824"/>
    </row>
    <row r="360" spans="9:9" x14ac:dyDescent="0.25">
      <c r="I360" s="824"/>
    </row>
    <row r="361" spans="9:9" x14ac:dyDescent="0.25">
      <c r="I361" s="824"/>
    </row>
    <row r="362" spans="9:9" x14ac:dyDescent="0.25">
      <c r="I362" s="824"/>
    </row>
    <row r="363" spans="9:9" x14ac:dyDescent="0.25">
      <c r="I363" s="824"/>
    </row>
    <row r="364" spans="9:9" x14ac:dyDescent="0.25">
      <c r="I364" s="824"/>
    </row>
    <row r="365" spans="9:9" x14ac:dyDescent="0.25">
      <c r="I365" s="824"/>
    </row>
    <row r="366" spans="9:9" x14ac:dyDescent="0.25">
      <c r="I366" s="824"/>
    </row>
    <row r="367" spans="9:9" x14ac:dyDescent="0.25">
      <c r="I367" s="824"/>
    </row>
    <row r="368" spans="9:9" x14ac:dyDescent="0.25">
      <c r="I368" s="824"/>
    </row>
    <row r="369" spans="9:9" x14ac:dyDescent="0.25">
      <c r="I369" s="824"/>
    </row>
    <row r="370" spans="9:9" x14ac:dyDescent="0.25">
      <c r="I370" s="824"/>
    </row>
    <row r="371" spans="9:9" x14ac:dyDescent="0.25">
      <c r="I371" s="824"/>
    </row>
    <row r="372" spans="9:9" x14ac:dyDescent="0.25">
      <c r="I372" s="824"/>
    </row>
    <row r="373" spans="9:9" x14ac:dyDescent="0.25">
      <c r="I373" s="824"/>
    </row>
    <row r="374" spans="9:9" x14ac:dyDescent="0.25">
      <c r="I374" s="824"/>
    </row>
    <row r="375" spans="9:9" x14ac:dyDescent="0.25">
      <c r="I375" s="824"/>
    </row>
    <row r="376" spans="9:9" x14ac:dyDescent="0.25">
      <c r="I376" s="824"/>
    </row>
    <row r="377" spans="9:9" x14ac:dyDescent="0.25">
      <c r="I377" s="824"/>
    </row>
    <row r="378" spans="9:9" x14ac:dyDescent="0.25">
      <c r="I378" s="824"/>
    </row>
    <row r="379" spans="9:9" x14ac:dyDescent="0.25">
      <c r="I379" s="824"/>
    </row>
    <row r="380" spans="9:9" x14ac:dyDescent="0.25">
      <c r="I380" s="824"/>
    </row>
    <row r="381" spans="9:9" x14ac:dyDescent="0.25">
      <c r="I381" s="824"/>
    </row>
    <row r="382" spans="9:9" x14ac:dyDescent="0.25">
      <c r="I382" s="824"/>
    </row>
    <row r="383" spans="9:9" x14ac:dyDescent="0.25">
      <c r="I383" s="824"/>
    </row>
    <row r="384" spans="9:9" x14ac:dyDescent="0.25">
      <c r="I384" s="824"/>
    </row>
    <row r="385" spans="9:9" x14ac:dyDescent="0.25">
      <c r="I385" s="824"/>
    </row>
    <row r="386" spans="9:9" x14ac:dyDescent="0.25">
      <c r="I386" s="824"/>
    </row>
    <row r="387" spans="9:9" x14ac:dyDescent="0.25">
      <c r="I387" s="824"/>
    </row>
    <row r="388" spans="9:9" x14ac:dyDescent="0.25">
      <c r="I388" s="824"/>
    </row>
    <row r="389" spans="9:9" x14ac:dyDescent="0.25">
      <c r="I389" s="824"/>
    </row>
    <row r="390" spans="9:9" x14ac:dyDescent="0.25">
      <c r="I390" s="824"/>
    </row>
    <row r="391" spans="9:9" x14ac:dyDescent="0.25">
      <c r="I391" s="824"/>
    </row>
    <row r="392" spans="9:9" x14ac:dyDescent="0.25">
      <c r="I392" s="824"/>
    </row>
    <row r="393" spans="9:9" x14ac:dyDescent="0.25">
      <c r="I393" s="824"/>
    </row>
    <row r="394" spans="9:9" x14ac:dyDescent="0.25">
      <c r="I394" s="824"/>
    </row>
    <row r="395" spans="9:9" x14ac:dyDescent="0.25">
      <c r="I395" s="824"/>
    </row>
    <row r="396" spans="9:9" x14ac:dyDescent="0.25">
      <c r="I396" s="824"/>
    </row>
    <row r="397" spans="9:9" x14ac:dyDescent="0.25">
      <c r="I397" s="824"/>
    </row>
    <row r="398" spans="9:9" x14ac:dyDescent="0.25">
      <c r="I398" s="824"/>
    </row>
    <row r="399" spans="9:9" x14ac:dyDescent="0.25">
      <c r="I399" s="824"/>
    </row>
    <row r="400" spans="9:9" x14ac:dyDescent="0.25">
      <c r="I400" s="824"/>
    </row>
    <row r="401" spans="9:9" x14ac:dyDescent="0.25">
      <c r="I401" s="824"/>
    </row>
    <row r="402" spans="9:9" x14ac:dyDescent="0.25">
      <c r="I402" s="824"/>
    </row>
    <row r="403" spans="9:9" x14ac:dyDescent="0.25">
      <c r="I403" s="824"/>
    </row>
    <row r="404" spans="9:9" x14ac:dyDescent="0.25">
      <c r="I404" s="824"/>
    </row>
    <row r="405" spans="9:9" x14ac:dyDescent="0.25">
      <c r="I405" s="824"/>
    </row>
    <row r="406" spans="9:9" x14ac:dyDescent="0.25">
      <c r="I406" s="824"/>
    </row>
    <row r="407" spans="9:9" x14ac:dyDescent="0.25">
      <c r="I407" s="824"/>
    </row>
    <row r="408" spans="9:9" x14ac:dyDescent="0.25">
      <c r="I408" s="824"/>
    </row>
    <row r="409" spans="9:9" x14ac:dyDescent="0.25">
      <c r="I409" s="824"/>
    </row>
    <row r="410" spans="9:9" x14ac:dyDescent="0.25">
      <c r="I410" s="824"/>
    </row>
    <row r="411" spans="9:9" x14ac:dyDescent="0.25">
      <c r="I411" s="824"/>
    </row>
    <row r="412" spans="9:9" x14ac:dyDescent="0.25">
      <c r="I412" s="824"/>
    </row>
    <row r="413" spans="9:9" x14ac:dyDescent="0.25">
      <c r="I413" s="824"/>
    </row>
    <row r="414" spans="9:9" x14ac:dyDescent="0.25">
      <c r="I414" s="824"/>
    </row>
    <row r="415" spans="9:9" x14ac:dyDescent="0.25">
      <c r="I415" s="824"/>
    </row>
    <row r="416" spans="9:9" x14ac:dyDescent="0.25">
      <c r="I416" s="824"/>
    </row>
    <row r="417" spans="9:9" x14ac:dyDescent="0.25">
      <c r="I417" s="824"/>
    </row>
    <row r="418" spans="9:9" x14ac:dyDescent="0.25">
      <c r="I418" s="824"/>
    </row>
    <row r="419" spans="9:9" x14ac:dyDescent="0.25">
      <c r="I419" s="824"/>
    </row>
    <row r="420" spans="9:9" x14ac:dyDescent="0.25">
      <c r="I420" s="824"/>
    </row>
    <row r="421" spans="9:9" x14ac:dyDescent="0.25">
      <c r="I421" s="824"/>
    </row>
    <row r="422" spans="9:9" x14ac:dyDescent="0.25">
      <c r="I422" s="824"/>
    </row>
    <row r="423" spans="9:9" x14ac:dyDescent="0.25">
      <c r="I423" s="824"/>
    </row>
    <row r="424" spans="9:9" x14ac:dyDescent="0.25">
      <c r="I424" s="824"/>
    </row>
    <row r="425" spans="9:9" x14ac:dyDescent="0.25">
      <c r="I425" s="824"/>
    </row>
    <row r="426" spans="9:9" x14ac:dyDescent="0.25">
      <c r="I426" s="824"/>
    </row>
    <row r="427" spans="9:9" x14ac:dyDescent="0.25">
      <c r="I427" s="824"/>
    </row>
    <row r="428" spans="9:9" x14ac:dyDescent="0.25">
      <c r="I428" s="824"/>
    </row>
    <row r="429" spans="9:9" x14ac:dyDescent="0.25">
      <c r="I429" s="824"/>
    </row>
    <row r="430" spans="9:9" x14ac:dyDescent="0.25">
      <c r="I430" s="824"/>
    </row>
    <row r="431" spans="9:9" x14ac:dyDescent="0.25">
      <c r="I431" s="824"/>
    </row>
    <row r="432" spans="9:9" x14ac:dyDescent="0.25">
      <c r="I432" s="824"/>
    </row>
    <row r="433" spans="9:9" x14ac:dyDescent="0.25">
      <c r="I433" s="824"/>
    </row>
    <row r="434" spans="9:9" x14ac:dyDescent="0.25">
      <c r="I434" s="824"/>
    </row>
    <row r="435" spans="9:9" x14ac:dyDescent="0.25">
      <c r="I435" s="824"/>
    </row>
    <row r="436" spans="9:9" x14ac:dyDescent="0.25">
      <c r="I436" s="824"/>
    </row>
    <row r="437" spans="9:9" x14ac:dyDescent="0.25">
      <c r="I437" s="824"/>
    </row>
    <row r="438" spans="9:9" x14ac:dyDescent="0.25">
      <c r="I438" s="824"/>
    </row>
    <row r="439" spans="9:9" x14ac:dyDescent="0.25">
      <c r="I439" s="824"/>
    </row>
    <row r="440" spans="9:9" x14ac:dyDescent="0.25">
      <c r="I440" s="824"/>
    </row>
    <row r="441" spans="9:9" x14ac:dyDescent="0.25">
      <c r="I441" s="824"/>
    </row>
    <row r="442" spans="9:9" x14ac:dyDescent="0.25">
      <c r="I442" s="824"/>
    </row>
    <row r="443" spans="9:9" x14ac:dyDescent="0.25">
      <c r="I443" s="824"/>
    </row>
    <row r="444" spans="9:9" x14ac:dyDescent="0.25">
      <c r="I444" s="824"/>
    </row>
    <row r="445" spans="9:9" x14ac:dyDescent="0.25">
      <c r="I445" s="824"/>
    </row>
    <row r="446" spans="9:9" x14ac:dyDescent="0.25">
      <c r="I446" s="824"/>
    </row>
    <row r="447" spans="9:9" x14ac:dyDescent="0.25">
      <c r="I447" s="824"/>
    </row>
    <row r="448" spans="9:9" x14ac:dyDescent="0.25">
      <c r="I448" s="824"/>
    </row>
    <row r="449" spans="9:9" x14ac:dyDescent="0.25">
      <c r="I449" s="824"/>
    </row>
    <row r="450" spans="9:9" x14ac:dyDescent="0.25">
      <c r="I450" s="824"/>
    </row>
    <row r="451" spans="9:9" x14ac:dyDescent="0.25">
      <c r="I451" s="824"/>
    </row>
    <row r="452" spans="9:9" x14ac:dyDescent="0.25">
      <c r="I452" s="824"/>
    </row>
    <row r="453" spans="9:9" x14ac:dyDescent="0.25">
      <c r="I453" s="824"/>
    </row>
    <row r="454" spans="9:9" x14ac:dyDescent="0.25">
      <c r="I454" s="824"/>
    </row>
    <row r="455" spans="9:9" x14ac:dyDescent="0.25">
      <c r="I455" s="824"/>
    </row>
    <row r="456" spans="9:9" x14ac:dyDescent="0.25">
      <c r="I456" s="824"/>
    </row>
    <row r="457" spans="9:9" x14ac:dyDescent="0.25">
      <c r="I457" s="824"/>
    </row>
    <row r="458" spans="9:9" x14ac:dyDescent="0.25">
      <c r="I458" s="824"/>
    </row>
    <row r="459" spans="9:9" x14ac:dyDescent="0.25">
      <c r="I459" s="824"/>
    </row>
    <row r="460" spans="9:9" x14ac:dyDescent="0.25">
      <c r="I460" s="824"/>
    </row>
    <row r="461" spans="9:9" x14ac:dyDescent="0.25">
      <c r="I461" s="824"/>
    </row>
    <row r="462" spans="9:9" x14ac:dyDescent="0.25">
      <c r="I462" s="824"/>
    </row>
    <row r="463" spans="9:9" x14ac:dyDescent="0.25">
      <c r="I463" s="824"/>
    </row>
    <row r="464" spans="9:9" x14ac:dyDescent="0.25">
      <c r="I464" s="824"/>
    </row>
    <row r="465" spans="9:9" x14ac:dyDescent="0.25">
      <c r="I465" s="824"/>
    </row>
    <row r="466" spans="9:9" x14ac:dyDescent="0.25">
      <c r="I466" s="824"/>
    </row>
    <row r="467" spans="9:9" x14ac:dyDescent="0.25">
      <c r="I467" s="824"/>
    </row>
    <row r="468" spans="9:9" x14ac:dyDescent="0.25">
      <c r="I468" s="824"/>
    </row>
    <row r="469" spans="9:9" x14ac:dyDescent="0.25">
      <c r="I469"/>
    </row>
  </sheetData>
  <mergeCells count="7">
    <mergeCell ref="I53:I55"/>
    <mergeCell ref="I69:I70"/>
    <mergeCell ref="H118:H120"/>
    <mergeCell ref="H134:H139"/>
    <mergeCell ref="B4:G4"/>
    <mergeCell ref="H40:H41"/>
    <mergeCell ref="H44:H46"/>
  </mergeCells>
  <conditionalFormatting sqref="S1:V4 P5:P221 R5:V469">
    <cfRule type="containsText" dxfId="37" priority="1" operator="containsText" text="ja">
      <formula>NOT(ISERROR(SEARCH(("ja"),(S1))))</formula>
    </cfRule>
    <cfRule type="containsText" dxfId="36" priority="2" operator="containsText" text="nein">
      <formula>NOT(ISERROR(SEARCH(("nein"),(S1))))</formula>
    </cfRule>
  </conditionalFormatting>
  <dataValidations count="2">
    <dataValidation type="list" errorStyle="warning" showErrorMessage="1" sqref="V6:V12 V13:V17 V167" xr:uid="{00000000-0002-0000-0300-000000000000}">
      <formula1>",Ready, CICD"</formula1>
    </dataValidation>
    <dataValidation type="list" errorStyle="warning" showErrorMessage="1" sqref="S6 S18:S166 S168 S169:S184 S186:S221 R6 R18:R166 R168 R169:R184 R186:R221 R7:S12 R13:S17 R185:S185 R167:S167" xr:uid="{00000000-0002-0000-0300-000001000000}">
      <formula1>"unbestimmt, ja, nein"</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N312"/>
  <sheetViews>
    <sheetView workbookViewId="0">
      <pane ySplit="9" topLeftCell="A10" activePane="bottomLeft" state="frozen"/>
      <selection pane="bottomLeft" activeCell="E35" sqref="E35"/>
    </sheetView>
  </sheetViews>
  <sheetFormatPr baseColWidth="10" defaultColWidth="14.5703125" defaultRowHeight="15" x14ac:dyDescent="0.25"/>
  <cols>
    <col min="1" max="1" width="11.85546875" customWidth="1"/>
    <col min="2" max="2" width="10.85546875" customWidth="1"/>
    <col min="3" max="3" width="6.140625" customWidth="1"/>
    <col min="4" max="9" width="3.42578125" style="2" customWidth="1"/>
    <col min="10" max="10" width="42.7109375" customWidth="1"/>
    <col min="11" max="11" width="84.28515625" customWidth="1"/>
    <col min="12" max="12" width="23.140625" style="323" customWidth="1"/>
    <col min="13" max="17" width="17" customWidth="1"/>
    <col min="18" max="18" width="52" customWidth="1"/>
    <col min="20" max="20" width="14.42578125" customWidth="1"/>
    <col min="21" max="21" width="13.85546875" customWidth="1"/>
    <col min="22" max="23" width="31.85546875" customWidth="1"/>
    <col min="24" max="24" width="14.42578125" customWidth="1"/>
  </cols>
  <sheetData>
    <row r="2" spans="1:24" x14ac:dyDescent="0.25">
      <c r="I2" s="837"/>
      <c r="J2" t="s">
        <v>0</v>
      </c>
    </row>
    <row r="3" spans="1:24" x14ac:dyDescent="0.25">
      <c r="I3" s="67"/>
      <c r="J3" t="s">
        <v>1</v>
      </c>
    </row>
    <row r="4" spans="1:24" x14ac:dyDescent="0.25">
      <c r="I4" s="347"/>
      <c r="J4" t="s">
        <v>2</v>
      </c>
    </row>
    <row r="5" spans="1:24" x14ac:dyDescent="0.25">
      <c r="I5" s="350"/>
      <c r="J5" t="s">
        <v>3</v>
      </c>
    </row>
    <row r="6" spans="1:24" x14ac:dyDescent="0.25">
      <c r="I6" s="349"/>
      <c r="J6" t="s">
        <v>4</v>
      </c>
    </row>
    <row r="8" spans="1:24" x14ac:dyDescent="0.25">
      <c r="A8" s="122" t="s">
        <v>5</v>
      </c>
      <c r="B8" s="122" t="s">
        <v>6</v>
      </c>
      <c r="C8" s="838" t="s">
        <v>7</v>
      </c>
      <c r="D8" s="1151" t="s">
        <v>8</v>
      </c>
      <c r="E8" s="1152"/>
      <c r="F8" s="1152"/>
      <c r="G8" s="1152"/>
      <c r="H8" s="1152"/>
      <c r="I8" s="1153"/>
    </row>
    <row r="9" spans="1:24" s="2" customFormat="1" ht="36.75" customHeight="1" x14ac:dyDescent="0.2">
      <c r="A9" s="7"/>
      <c r="B9" s="7"/>
      <c r="C9" s="7"/>
      <c r="D9" s="7" t="s">
        <v>9</v>
      </c>
      <c r="E9" s="32" t="s">
        <v>10</v>
      </c>
      <c r="F9" s="32" t="s">
        <v>11</v>
      </c>
      <c r="G9" s="32" t="s">
        <v>12</v>
      </c>
      <c r="H9" s="32" t="s">
        <v>13</v>
      </c>
      <c r="I9" s="32" t="s">
        <v>14</v>
      </c>
      <c r="J9" s="737" t="s">
        <v>15</v>
      </c>
      <c r="K9" s="738" t="s">
        <v>16</v>
      </c>
      <c r="L9" s="739" t="s">
        <v>17</v>
      </c>
      <c r="M9" s="740" t="s">
        <v>18</v>
      </c>
      <c r="N9" s="740" t="s">
        <v>19</v>
      </c>
      <c r="O9" s="33" t="s">
        <v>20</v>
      </c>
      <c r="P9" s="740" t="s">
        <v>21</v>
      </c>
      <c r="Q9" s="740" t="s">
        <v>22</v>
      </c>
      <c r="R9" s="740" t="s">
        <v>23</v>
      </c>
      <c r="S9" s="741" t="s">
        <v>24</v>
      </c>
      <c r="T9" s="34" t="s">
        <v>25</v>
      </c>
      <c r="U9" s="34" t="s">
        <v>26</v>
      </c>
      <c r="V9" s="35" t="s">
        <v>27</v>
      </c>
      <c r="W9" s="34" t="s">
        <v>28</v>
      </c>
      <c r="X9" s="34" t="s">
        <v>29</v>
      </c>
    </row>
    <row r="10" spans="1:24" s="2" customFormat="1" ht="20.25" customHeight="1" x14ac:dyDescent="0.2">
      <c r="A10" s="742"/>
      <c r="B10" s="742"/>
      <c r="C10" s="742"/>
      <c r="D10" s="742" t="s">
        <v>91</v>
      </c>
      <c r="E10" s="1072" t="s">
        <v>1097</v>
      </c>
      <c r="F10" s="1072"/>
      <c r="G10" s="1072"/>
      <c r="H10" s="1072"/>
      <c r="I10" s="1072"/>
      <c r="J10" s="1072"/>
      <c r="K10" s="1073"/>
      <c r="L10" s="1074"/>
      <c r="M10" s="1075"/>
      <c r="N10" s="1075"/>
      <c r="O10" s="1075"/>
      <c r="P10" s="1075"/>
      <c r="Q10" s="1075"/>
      <c r="R10" s="1075"/>
      <c r="S10" s="1075"/>
      <c r="T10" s="1075"/>
      <c r="U10" s="1075"/>
      <c r="V10" s="1075"/>
      <c r="W10" s="1075"/>
      <c r="X10" s="1076"/>
    </row>
    <row r="11" spans="1:24" s="2" customFormat="1" ht="30" x14ac:dyDescent="0.25">
      <c r="A11" s="3" t="s">
        <v>1098</v>
      </c>
      <c r="B11" s="3" t="s">
        <v>55</v>
      </c>
      <c r="C11" s="3"/>
      <c r="D11" s="3"/>
      <c r="E11" s="3" t="s">
        <v>91</v>
      </c>
      <c r="F11" s="3"/>
      <c r="G11" s="3"/>
      <c r="H11" s="3"/>
      <c r="I11" s="3"/>
      <c r="J11" s="285" t="s">
        <v>1099</v>
      </c>
      <c r="K11" s="6" t="s">
        <v>1100</v>
      </c>
      <c r="L11" s="16" t="s">
        <v>1101</v>
      </c>
      <c r="M11" s="6"/>
      <c r="N11" s="10"/>
      <c r="O11" s="10"/>
      <c r="P11" s="6"/>
      <c r="Q11" s="6"/>
      <c r="R11" s="6"/>
      <c r="S11" s="3"/>
      <c r="T11" s="4"/>
      <c r="U11" s="4"/>
      <c r="V11" s="3"/>
      <c r="W11" s="3"/>
      <c r="X11" s="3"/>
    </row>
    <row r="12" spans="1:24" s="2" customFormat="1" ht="45" x14ac:dyDescent="0.25">
      <c r="A12" s="3" t="s">
        <v>1098</v>
      </c>
      <c r="B12" s="3" t="s">
        <v>41</v>
      </c>
      <c r="C12" s="3"/>
      <c r="D12" s="3"/>
      <c r="E12" s="3"/>
      <c r="F12" s="3"/>
      <c r="G12" s="3"/>
      <c r="H12" s="3"/>
      <c r="I12" s="3"/>
      <c r="J12" s="840" t="s">
        <v>1102</v>
      </c>
      <c r="K12" s="395" t="s">
        <v>1103</v>
      </c>
      <c r="L12" s="16" t="s">
        <v>1101</v>
      </c>
      <c r="M12" s="6"/>
      <c r="N12" s="10"/>
      <c r="O12" s="10"/>
      <c r="P12" s="6" t="s">
        <v>1104</v>
      </c>
      <c r="Q12" s="6"/>
      <c r="R12" s="6"/>
      <c r="S12" s="3"/>
      <c r="T12" s="4"/>
      <c r="U12" s="4"/>
      <c r="V12" s="3"/>
      <c r="W12" s="3"/>
      <c r="X12" s="3"/>
    </row>
    <row r="13" spans="1:24" s="2" customFormat="1" x14ac:dyDescent="0.25">
      <c r="A13" s="3"/>
      <c r="B13" s="3"/>
      <c r="C13" s="3"/>
      <c r="D13" s="3"/>
      <c r="E13" s="3"/>
      <c r="F13" s="3" t="s">
        <v>91</v>
      </c>
      <c r="G13" s="3"/>
      <c r="H13" s="3"/>
      <c r="I13" s="3"/>
      <c r="J13" s="841" t="s">
        <v>1105</v>
      </c>
      <c r="K13" s="290"/>
      <c r="L13" s="332"/>
      <c r="M13" s="6"/>
      <c r="N13" s="10"/>
      <c r="O13" s="10"/>
      <c r="P13" s="6"/>
      <c r="Q13" s="6"/>
      <c r="R13" s="10"/>
      <c r="S13" s="3"/>
      <c r="T13" s="4"/>
      <c r="U13" s="4"/>
      <c r="V13" s="3"/>
      <c r="W13" s="3"/>
      <c r="X13" s="3"/>
    </row>
    <row r="14" spans="1:24" s="2" customFormat="1" x14ac:dyDescent="0.25">
      <c r="A14" s="3" t="s">
        <v>1106</v>
      </c>
      <c r="B14" s="3"/>
      <c r="C14" s="3"/>
      <c r="D14" s="3"/>
      <c r="E14" s="3"/>
      <c r="F14" s="3"/>
      <c r="G14" s="3" t="s">
        <v>91</v>
      </c>
      <c r="H14" s="3"/>
      <c r="I14" s="3"/>
      <c r="J14" s="290" t="s">
        <v>1107</v>
      </c>
      <c r="K14" s="290" t="s">
        <v>1108</v>
      </c>
      <c r="L14" s="332" t="s">
        <v>1101</v>
      </c>
      <c r="M14" s="6"/>
      <c r="N14" s="10"/>
      <c r="O14" s="10"/>
      <c r="P14" s="6"/>
      <c r="Q14" s="6"/>
      <c r="R14" s="10"/>
      <c r="S14" s="3"/>
      <c r="T14" s="4"/>
      <c r="U14" s="4"/>
      <c r="V14" s="3"/>
      <c r="W14" s="3"/>
      <c r="X14" s="3"/>
    </row>
    <row r="15" spans="1:24" s="2" customFormat="1" x14ac:dyDescent="0.25">
      <c r="A15" s="3" t="s">
        <v>1106</v>
      </c>
      <c r="B15" s="3"/>
      <c r="C15" s="3"/>
      <c r="D15" s="3"/>
      <c r="E15" s="3"/>
      <c r="F15" s="3"/>
      <c r="G15" s="3" t="s">
        <v>91</v>
      </c>
      <c r="H15" s="3"/>
      <c r="I15" s="3"/>
      <c r="J15" s="290" t="s">
        <v>1109</v>
      </c>
      <c r="K15" s="290" t="s">
        <v>1110</v>
      </c>
      <c r="L15" s="332" t="s">
        <v>1101</v>
      </c>
      <c r="M15" s="6"/>
      <c r="N15" s="10"/>
      <c r="O15" s="10"/>
      <c r="P15" s="6"/>
      <c r="Q15" s="6"/>
      <c r="R15" s="10"/>
      <c r="S15" s="3"/>
      <c r="T15" s="4"/>
      <c r="U15" s="4"/>
      <c r="V15" s="3"/>
      <c r="W15" s="3"/>
      <c r="X15" s="3"/>
    </row>
    <row r="16" spans="1:24" s="2" customFormat="1" ht="43.5" x14ac:dyDescent="0.25">
      <c r="A16" s="3" t="s">
        <v>1106</v>
      </c>
      <c r="B16" s="3"/>
      <c r="C16" s="3"/>
      <c r="D16" s="3"/>
      <c r="E16" s="3"/>
      <c r="F16" s="3"/>
      <c r="G16" s="3" t="s">
        <v>91</v>
      </c>
      <c r="H16" s="3"/>
      <c r="I16" s="3"/>
      <c r="J16" s="290" t="s">
        <v>1111</v>
      </c>
      <c r="K16" s="290" t="s">
        <v>1112</v>
      </c>
      <c r="L16" s="332" t="s">
        <v>1113</v>
      </c>
      <c r="M16" s="6"/>
      <c r="N16" s="10"/>
      <c r="O16" s="10"/>
      <c r="P16" s="6"/>
      <c r="Q16" s="6"/>
      <c r="R16" s="10"/>
      <c r="S16" s="3"/>
      <c r="T16" s="4"/>
      <c r="U16" s="4"/>
      <c r="V16" s="3"/>
      <c r="W16" s="3"/>
      <c r="X16" s="3"/>
    </row>
    <row r="17" spans="1:40" s="2" customFormat="1" x14ac:dyDescent="0.25">
      <c r="A17" s="3"/>
      <c r="B17" s="3"/>
      <c r="C17" s="3"/>
      <c r="D17" s="3"/>
      <c r="E17" s="3"/>
      <c r="F17" s="3" t="s">
        <v>91</v>
      </c>
      <c r="G17" s="3"/>
      <c r="H17" s="3"/>
      <c r="I17" s="3"/>
      <c r="J17" s="841" t="s">
        <v>1114</v>
      </c>
      <c r="K17" s="6"/>
      <c r="L17" s="326"/>
      <c r="M17" s="6"/>
      <c r="N17" s="10"/>
      <c r="O17" s="10"/>
      <c r="P17" s="6"/>
      <c r="Q17" s="6"/>
      <c r="R17" s="10"/>
      <c r="S17" s="3"/>
      <c r="T17" s="4"/>
      <c r="U17" s="4"/>
      <c r="V17" s="3"/>
      <c r="W17" s="3"/>
      <c r="X17" s="3"/>
    </row>
    <row r="18" spans="1:40" s="2" customFormat="1" x14ac:dyDescent="0.25">
      <c r="A18" s="3" t="s">
        <v>1106</v>
      </c>
      <c r="B18" s="3"/>
      <c r="C18" s="3"/>
      <c r="D18" s="3"/>
      <c r="E18" s="3"/>
      <c r="F18" s="3"/>
      <c r="G18" s="3"/>
      <c r="H18" s="3"/>
      <c r="I18" s="3"/>
      <c r="J18" s="6" t="s">
        <v>1115</v>
      </c>
      <c r="K18" s="6" t="s">
        <v>1116</v>
      </c>
      <c r="L18" s="326" t="s">
        <v>1101</v>
      </c>
      <c r="M18" s="6"/>
      <c r="N18" s="10"/>
      <c r="O18" s="10"/>
      <c r="P18" s="6"/>
      <c r="Q18" s="6"/>
      <c r="R18" s="10"/>
      <c r="S18" s="3"/>
      <c r="T18" s="4"/>
      <c r="U18" s="4"/>
      <c r="V18" s="3"/>
      <c r="W18" s="3"/>
      <c r="X18" s="3"/>
    </row>
    <row r="19" spans="1:40" s="2" customFormat="1" ht="15.75" customHeight="1" x14ac:dyDescent="0.25">
      <c r="A19" s="3"/>
      <c r="B19" s="3"/>
      <c r="C19" s="3"/>
      <c r="D19" s="3"/>
      <c r="E19" s="3"/>
      <c r="F19" s="3" t="s">
        <v>91</v>
      </c>
      <c r="G19" s="3"/>
      <c r="H19" s="3"/>
      <c r="I19" s="3"/>
      <c r="J19" s="841" t="s">
        <v>1117</v>
      </c>
      <c r="K19" s="6"/>
      <c r="L19" s="326"/>
      <c r="M19" s="6"/>
      <c r="N19" s="10"/>
      <c r="O19" s="10"/>
      <c r="P19" s="6"/>
      <c r="Q19" s="6"/>
      <c r="R19" s="10"/>
      <c r="S19" s="3"/>
      <c r="T19" s="4"/>
      <c r="U19" s="4"/>
      <c r="V19" s="3"/>
      <c r="W19" s="3"/>
      <c r="X19" s="3"/>
    </row>
    <row r="20" spans="1:40" s="2" customFormat="1" ht="44.25" x14ac:dyDescent="0.25">
      <c r="A20" s="3" t="s">
        <v>1106</v>
      </c>
      <c r="B20" s="3"/>
      <c r="C20" s="3"/>
      <c r="D20" s="3"/>
      <c r="E20" s="3"/>
      <c r="F20" s="3"/>
      <c r="G20" s="3" t="s">
        <v>91</v>
      </c>
      <c r="H20" s="3"/>
      <c r="I20" s="3"/>
      <c r="J20" s="6" t="s">
        <v>1118</v>
      </c>
      <c r="K20" s="6" t="s">
        <v>1119</v>
      </c>
      <c r="L20" s="326" t="s">
        <v>1101</v>
      </c>
      <c r="M20" s="6"/>
      <c r="N20" s="10"/>
      <c r="O20" s="10"/>
      <c r="P20" s="6" t="s">
        <v>1120</v>
      </c>
      <c r="Q20" s="6"/>
      <c r="R20" s="10"/>
      <c r="S20" s="3"/>
      <c r="T20" s="4"/>
      <c r="U20" s="4"/>
      <c r="V20" s="3"/>
      <c r="W20" s="3"/>
      <c r="X20" s="3"/>
    </row>
    <row r="21" spans="1:40" s="2" customFormat="1" ht="15.75" customHeight="1" x14ac:dyDescent="0.25">
      <c r="A21" s="3"/>
      <c r="B21" s="3"/>
      <c r="C21" s="3"/>
      <c r="D21" s="3"/>
      <c r="E21" s="3"/>
      <c r="F21" s="3" t="s">
        <v>91</v>
      </c>
      <c r="G21" s="3"/>
      <c r="H21" s="3"/>
      <c r="I21" s="3"/>
      <c r="J21" s="841" t="s">
        <v>1121</v>
      </c>
      <c r="K21" s="6" t="s">
        <v>1122</v>
      </c>
      <c r="L21" s="326"/>
      <c r="M21" s="6"/>
      <c r="N21" s="10"/>
      <c r="O21" s="10"/>
      <c r="P21" s="6"/>
      <c r="Q21" s="6"/>
      <c r="R21" s="10"/>
      <c r="S21" s="3"/>
      <c r="T21" s="4"/>
      <c r="U21" s="4"/>
      <c r="V21" s="3"/>
      <c r="W21" s="3"/>
      <c r="X21" s="3"/>
    </row>
    <row r="22" spans="1:40" s="2" customFormat="1" ht="15.75" customHeight="1" x14ac:dyDescent="0.25">
      <c r="A22" s="3" t="s">
        <v>1106</v>
      </c>
      <c r="B22" s="3"/>
      <c r="C22" s="3"/>
      <c r="D22" s="3"/>
      <c r="E22" s="3"/>
      <c r="F22" s="3"/>
      <c r="G22" s="3" t="s">
        <v>91</v>
      </c>
      <c r="H22" s="3"/>
      <c r="I22" s="3"/>
      <c r="J22" s="6" t="s">
        <v>1123</v>
      </c>
      <c r="K22" s="6" t="s">
        <v>1122</v>
      </c>
      <c r="L22" s="326" t="s">
        <v>1101</v>
      </c>
      <c r="M22" s="6"/>
      <c r="N22" s="10"/>
      <c r="O22" s="10"/>
      <c r="P22" s="6"/>
      <c r="Q22" s="6"/>
      <c r="R22" s="10"/>
      <c r="S22" s="3"/>
      <c r="T22" s="4"/>
      <c r="U22" s="4"/>
      <c r="V22" s="3"/>
      <c r="W22" s="3"/>
      <c r="X22" s="3"/>
    </row>
    <row r="23" spans="1:40" ht="20.25" customHeight="1" x14ac:dyDescent="0.25">
      <c r="A23" s="3"/>
      <c r="B23" s="3"/>
      <c r="C23" s="742"/>
      <c r="D23" s="742" t="s">
        <v>91</v>
      </c>
      <c r="E23" s="1072" t="s">
        <v>1124</v>
      </c>
      <c r="F23" s="1072"/>
      <c r="G23" s="1072"/>
      <c r="H23" s="1072"/>
      <c r="I23" s="1072"/>
      <c r="J23" s="1072"/>
      <c r="K23" s="1073"/>
      <c r="L23" s="1074"/>
      <c r="M23" s="1075"/>
      <c r="N23" s="1075"/>
      <c r="O23" s="1075"/>
      <c r="P23" s="1075"/>
      <c r="Q23" s="1075"/>
      <c r="R23" s="1075"/>
      <c r="S23" s="1075"/>
      <c r="T23" s="1075"/>
      <c r="U23" s="1075"/>
      <c r="V23" s="1075"/>
      <c r="W23" s="1075"/>
      <c r="X23" s="1076"/>
      <c r="Y23" s="2"/>
      <c r="Z23" s="2"/>
      <c r="AA23" s="2"/>
      <c r="AB23" s="2"/>
      <c r="AC23" s="2"/>
      <c r="AD23" s="2"/>
      <c r="AE23" s="2"/>
      <c r="AF23" s="2"/>
      <c r="AG23" s="2"/>
      <c r="AH23" s="2"/>
      <c r="AI23" s="2"/>
      <c r="AJ23" s="2"/>
      <c r="AK23" s="2"/>
      <c r="AL23" s="2"/>
      <c r="AM23" s="2"/>
      <c r="AN23" s="2"/>
    </row>
    <row r="24" spans="1:40" x14ac:dyDescent="0.25">
      <c r="A24" s="3"/>
      <c r="B24" s="3"/>
      <c r="C24" s="1"/>
      <c r="D24" s="3"/>
      <c r="E24" s="3" t="s">
        <v>91</v>
      </c>
      <c r="F24" s="3"/>
      <c r="G24" s="3"/>
      <c r="H24" s="3"/>
      <c r="I24" s="3"/>
      <c r="J24" s="351" t="s">
        <v>1125</v>
      </c>
      <c r="K24" s="1"/>
      <c r="L24" s="326"/>
      <c r="M24" s="1"/>
      <c r="N24" s="1"/>
      <c r="O24" s="1"/>
      <c r="P24" s="1"/>
      <c r="Q24" s="1"/>
      <c r="R24" s="1"/>
      <c r="S24" s="1"/>
      <c r="T24" s="4"/>
      <c r="U24" s="4"/>
      <c r="V24" s="1"/>
      <c r="W24" s="1"/>
      <c r="X24" s="1"/>
    </row>
    <row r="25" spans="1:40" x14ac:dyDescent="0.25">
      <c r="A25" s="3" t="s">
        <v>1106</v>
      </c>
      <c r="B25" s="3"/>
      <c r="C25" s="1"/>
      <c r="D25" s="3"/>
      <c r="E25" s="3"/>
      <c r="F25" s="3" t="s">
        <v>91</v>
      </c>
      <c r="G25" s="3"/>
      <c r="H25" s="3"/>
      <c r="I25" s="3"/>
      <c r="J25" s="1" t="s">
        <v>1126</v>
      </c>
      <c r="K25" s="1" t="s">
        <v>1127</v>
      </c>
      <c r="L25" s="326" t="s">
        <v>1113</v>
      </c>
      <c r="M25" s="1"/>
      <c r="N25" s="1"/>
      <c r="O25" s="1"/>
      <c r="P25" s="1"/>
      <c r="Q25" s="1"/>
      <c r="R25" s="1" t="s">
        <v>1128</v>
      </c>
      <c r="S25" s="1"/>
      <c r="T25" s="4"/>
      <c r="U25" s="4"/>
      <c r="V25" s="1"/>
      <c r="W25" s="1"/>
      <c r="X25" s="1"/>
    </row>
    <row r="26" spans="1:40" x14ac:dyDescent="0.25">
      <c r="A26" s="3" t="s">
        <v>1106</v>
      </c>
      <c r="B26" s="3"/>
      <c r="C26" s="1"/>
      <c r="D26" s="3"/>
      <c r="E26" s="3"/>
      <c r="F26" s="3" t="s">
        <v>91</v>
      </c>
      <c r="G26" s="3"/>
      <c r="H26" s="3"/>
      <c r="I26" s="3"/>
      <c r="J26" s="337" t="s">
        <v>1129</v>
      </c>
      <c r="K26" s="337" t="s">
        <v>1130</v>
      </c>
      <c r="L26" s="340" t="s">
        <v>1131</v>
      </c>
      <c r="M26" s="1"/>
      <c r="N26" s="1"/>
      <c r="O26" s="1"/>
      <c r="P26" s="1"/>
      <c r="Q26" s="1"/>
      <c r="R26" s="1" t="s">
        <v>1132</v>
      </c>
      <c r="S26" s="1"/>
      <c r="T26" s="4"/>
      <c r="U26" s="4"/>
      <c r="V26" s="1"/>
      <c r="W26" s="1"/>
      <c r="X26" s="1"/>
    </row>
    <row r="27" spans="1:40" x14ac:dyDescent="0.25">
      <c r="A27" s="3" t="s">
        <v>1098</v>
      </c>
      <c r="B27" s="3"/>
      <c r="C27" s="1"/>
      <c r="D27" s="3"/>
      <c r="E27" s="3"/>
      <c r="F27" s="3" t="s">
        <v>91</v>
      </c>
      <c r="G27" s="3"/>
      <c r="H27" s="3"/>
      <c r="I27" s="3"/>
      <c r="J27" s="337" t="s">
        <v>1133</v>
      </c>
      <c r="K27" s="337" t="s">
        <v>1134</v>
      </c>
      <c r="L27" s="340" t="s">
        <v>1135</v>
      </c>
      <c r="M27" s="1"/>
      <c r="N27" s="1"/>
      <c r="O27" s="1"/>
      <c r="P27" s="1"/>
      <c r="Q27" s="1"/>
      <c r="R27" s="1"/>
      <c r="S27" s="1"/>
      <c r="T27" s="4"/>
      <c r="U27" s="4"/>
      <c r="V27" s="1"/>
      <c r="W27" s="1"/>
      <c r="X27" s="1"/>
    </row>
    <row r="28" spans="1:40" x14ac:dyDescent="0.25">
      <c r="A28" s="3"/>
      <c r="B28" s="3"/>
      <c r="C28" s="1"/>
      <c r="D28" s="3"/>
      <c r="E28" s="3" t="s">
        <v>91</v>
      </c>
      <c r="F28" s="3"/>
      <c r="G28" s="3"/>
      <c r="H28" s="3"/>
      <c r="I28" s="3"/>
      <c r="J28" s="351" t="s">
        <v>1136</v>
      </c>
      <c r="K28" s="1"/>
      <c r="L28" s="326"/>
      <c r="M28" s="1"/>
      <c r="N28" s="1"/>
      <c r="O28" s="1"/>
      <c r="P28" s="1"/>
      <c r="Q28" s="1"/>
      <c r="R28" s="1"/>
      <c r="S28" s="1"/>
      <c r="T28" s="4"/>
      <c r="U28" s="4"/>
      <c r="V28" s="1"/>
      <c r="W28" s="1"/>
      <c r="X28" s="1"/>
    </row>
    <row r="29" spans="1:40" x14ac:dyDescent="0.25">
      <c r="A29" s="3" t="s">
        <v>1106</v>
      </c>
      <c r="B29" s="3"/>
      <c r="C29" s="1"/>
      <c r="D29" s="3"/>
      <c r="E29" s="3"/>
      <c r="F29" s="3" t="s">
        <v>91</v>
      </c>
      <c r="G29" s="3"/>
      <c r="H29" s="3"/>
      <c r="I29" s="3"/>
      <c r="J29" s="1" t="s">
        <v>1137</v>
      </c>
      <c r="K29" s="1" t="s">
        <v>1138</v>
      </c>
      <c r="L29" s="4" t="s">
        <v>1139</v>
      </c>
      <c r="M29" s="1"/>
      <c r="N29" s="1"/>
      <c r="O29" s="1"/>
      <c r="P29" s="1" t="s">
        <v>1140</v>
      </c>
      <c r="Q29" s="1"/>
      <c r="R29" s="1"/>
      <c r="S29" s="1"/>
      <c r="T29" s="4"/>
      <c r="U29" s="4"/>
      <c r="V29" s="1"/>
      <c r="W29" s="1"/>
      <c r="X29" s="1"/>
    </row>
    <row r="30" spans="1:40" x14ac:dyDescent="0.25">
      <c r="A30" s="3"/>
      <c r="B30" s="3"/>
      <c r="C30" s="1"/>
      <c r="D30" s="3"/>
      <c r="E30" s="3" t="s">
        <v>91</v>
      </c>
      <c r="F30" s="3"/>
      <c r="G30" s="3"/>
      <c r="H30" s="3"/>
      <c r="I30" s="3"/>
      <c r="J30" s="351" t="s">
        <v>1141</v>
      </c>
      <c r="K30" s="1"/>
      <c r="L30" s="326"/>
      <c r="M30" s="1"/>
      <c r="N30" s="1"/>
      <c r="O30" s="1"/>
      <c r="P30" s="1"/>
      <c r="Q30" s="1"/>
      <c r="R30" s="1"/>
      <c r="S30" s="1"/>
      <c r="T30" s="4"/>
      <c r="U30" s="4"/>
      <c r="V30" s="1"/>
      <c r="W30" s="1"/>
      <c r="X30" s="1"/>
    </row>
    <row r="31" spans="1:40" x14ac:dyDescent="0.25">
      <c r="A31" s="3" t="s">
        <v>1098</v>
      </c>
      <c r="B31" s="3" t="s">
        <v>56</v>
      </c>
      <c r="C31" s="1"/>
      <c r="D31" s="3"/>
      <c r="E31" s="3"/>
      <c r="F31" s="3" t="s">
        <v>91</v>
      </c>
      <c r="G31" s="3"/>
      <c r="H31" s="3"/>
      <c r="I31" s="3"/>
      <c r="J31" s="1" t="s">
        <v>1142</v>
      </c>
      <c r="K31" s="1" t="s">
        <v>1143</v>
      </c>
      <c r="L31" s="326" t="s">
        <v>1101</v>
      </c>
      <c r="M31" s="1"/>
      <c r="N31" s="1" t="s">
        <v>1144</v>
      </c>
      <c r="O31" s="1"/>
      <c r="P31" s="1"/>
      <c r="Q31" s="1"/>
      <c r="R31" s="1"/>
      <c r="S31" s="1"/>
      <c r="T31" s="4"/>
      <c r="U31" s="4"/>
      <c r="V31" s="1"/>
      <c r="W31" s="1"/>
      <c r="X31" s="1"/>
    </row>
    <row r="32" spans="1:40" x14ac:dyDescent="0.25">
      <c r="A32" s="3" t="s">
        <v>1098</v>
      </c>
      <c r="B32" s="3" t="s">
        <v>56</v>
      </c>
      <c r="C32" s="1"/>
      <c r="D32" s="3"/>
      <c r="E32" s="3"/>
      <c r="F32" s="3" t="s">
        <v>91</v>
      </c>
      <c r="G32" s="3"/>
      <c r="H32" s="3"/>
      <c r="I32" s="3"/>
      <c r="J32" s="1" t="s">
        <v>1145</v>
      </c>
      <c r="K32" s="1" t="s">
        <v>1146</v>
      </c>
      <c r="L32" s="326" t="s">
        <v>1101</v>
      </c>
      <c r="M32" s="1"/>
      <c r="N32" s="1"/>
      <c r="O32" s="1"/>
      <c r="P32" s="1"/>
      <c r="Q32" s="1"/>
      <c r="R32" s="1"/>
      <c r="S32" s="1"/>
      <c r="T32" s="4"/>
      <c r="U32" s="4"/>
      <c r="V32" s="1"/>
      <c r="W32" s="1"/>
      <c r="X32" s="1"/>
    </row>
    <row r="33" spans="1:40" x14ac:dyDescent="0.25">
      <c r="A33" s="3" t="s">
        <v>1098</v>
      </c>
      <c r="B33" s="3" t="s">
        <v>56</v>
      </c>
      <c r="C33" s="1"/>
      <c r="D33" s="3"/>
      <c r="E33" s="3"/>
      <c r="F33" s="3" t="s">
        <v>91</v>
      </c>
      <c r="G33" s="3"/>
      <c r="H33" s="3"/>
      <c r="I33" s="3"/>
      <c r="J33" s="1" t="s">
        <v>1147</v>
      </c>
      <c r="K33" s="1" t="s">
        <v>1148</v>
      </c>
      <c r="L33" s="326" t="s">
        <v>1101</v>
      </c>
      <c r="M33" s="1"/>
      <c r="N33" s="1"/>
      <c r="O33" s="1"/>
      <c r="P33" s="1"/>
      <c r="Q33" s="1"/>
      <c r="R33" s="1"/>
      <c r="S33" s="1"/>
      <c r="T33" s="4"/>
      <c r="U33" s="4"/>
      <c r="V33" s="1"/>
      <c r="W33" s="1"/>
      <c r="X33" s="1"/>
    </row>
    <row r="34" spans="1:40" x14ac:dyDescent="0.25">
      <c r="A34" s="3"/>
      <c r="B34" s="3"/>
      <c r="C34" s="1"/>
      <c r="D34" s="3"/>
      <c r="E34" s="3" t="s">
        <v>91</v>
      </c>
      <c r="F34" s="3"/>
      <c r="G34" s="3"/>
      <c r="H34" s="3"/>
      <c r="I34" s="3"/>
      <c r="J34" s="351" t="s">
        <v>1149</v>
      </c>
      <c r="K34" s="1"/>
      <c r="L34" s="326"/>
      <c r="M34" s="1"/>
      <c r="N34" s="1"/>
      <c r="O34" s="1"/>
      <c r="P34" s="1"/>
      <c r="Q34" s="1"/>
      <c r="R34" s="1"/>
      <c r="S34" s="1"/>
      <c r="T34" s="4"/>
      <c r="U34" s="4"/>
      <c r="V34" s="1"/>
      <c r="W34" s="1"/>
      <c r="X34" s="1"/>
    </row>
    <row r="35" spans="1:40" x14ac:dyDescent="0.25">
      <c r="A35" s="3" t="s">
        <v>1098</v>
      </c>
      <c r="B35" s="3" t="s">
        <v>38</v>
      </c>
      <c r="C35" s="1"/>
      <c r="D35" s="3"/>
      <c r="E35" s="3"/>
      <c r="F35" s="3" t="s">
        <v>91</v>
      </c>
      <c r="G35" s="3"/>
      <c r="H35" s="3"/>
      <c r="I35" s="3"/>
      <c r="J35" s="842" t="s">
        <v>1150</v>
      </c>
      <c r="K35" s="842" t="s">
        <v>1151</v>
      </c>
      <c r="L35" s="326" t="s">
        <v>1101</v>
      </c>
      <c r="M35" s="1"/>
      <c r="N35" s="1"/>
      <c r="O35" s="1"/>
      <c r="P35" s="1"/>
      <c r="Q35" s="1"/>
      <c r="R35" s="1"/>
      <c r="S35" s="1"/>
      <c r="T35" s="4"/>
      <c r="U35" s="4"/>
      <c r="V35" s="1"/>
      <c r="W35" s="1"/>
      <c r="X35" s="1"/>
    </row>
    <row r="36" spans="1:40" ht="20.25" customHeight="1" x14ac:dyDescent="0.25">
      <c r="A36" s="3"/>
      <c r="B36" s="3"/>
      <c r="C36" s="742"/>
      <c r="D36" s="742" t="s">
        <v>91</v>
      </c>
      <c r="E36" s="1072" t="s">
        <v>1152</v>
      </c>
      <c r="F36" s="1072"/>
      <c r="G36" s="1072"/>
      <c r="H36" s="1072"/>
      <c r="I36" s="1072"/>
      <c r="J36" s="1072"/>
      <c r="K36" s="1073"/>
      <c r="L36" s="1074"/>
      <c r="M36" s="1075"/>
      <c r="N36" s="1075"/>
      <c r="O36" s="1075"/>
      <c r="P36" s="1075"/>
      <c r="Q36" s="1075"/>
      <c r="R36" s="1075"/>
      <c r="S36" s="1075"/>
      <c r="T36" s="1075"/>
      <c r="U36" s="1075"/>
      <c r="V36" s="1075"/>
      <c r="W36" s="1075"/>
      <c r="X36" s="1076"/>
      <c r="Y36" s="2"/>
      <c r="Z36" s="2"/>
      <c r="AA36" s="2"/>
      <c r="AB36" s="2"/>
      <c r="AC36" s="2"/>
      <c r="AD36" s="2"/>
      <c r="AE36" s="2"/>
      <c r="AF36" s="2"/>
      <c r="AG36" s="2"/>
      <c r="AH36" s="2"/>
      <c r="AI36" s="2"/>
      <c r="AJ36" s="2"/>
      <c r="AK36" s="2"/>
      <c r="AL36" s="2"/>
      <c r="AM36" s="2"/>
      <c r="AN36" s="2"/>
    </row>
    <row r="37" spans="1:40" x14ac:dyDescent="0.25">
      <c r="A37" s="3" t="s">
        <v>1106</v>
      </c>
      <c r="B37" s="3"/>
      <c r="C37" s="1"/>
      <c r="D37" s="3"/>
      <c r="E37" s="3" t="s">
        <v>91</v>
      </c>
      <c r="F37" s="3"/>
      <c r="G37" s="3"/>
      <c r="H37" s="3"/>
      <c r="I37" s="3"/>
      <c r="J37" s="1" t="s">
        <v>1153</v>
      </c>
      <c r="K37" s="1" t="s">
        <v>1154</v>
      </c>
      <c r="L37" s="326" t="s">
        <v>1113</v>
      </c>
      <c r="M37" s="1"/>
      <c r="N37" s="1"/>
      <c r="O37" s="1"/>
      <c r="P37" s="1"/>
      <c r="Q37" s="1"/>
      <c r="R37" s="1"/>
      <c r="S37" s="1"/>
      <c r="T37" s="4"/>
      <c r="U37" s="4"/>
      <c r="V37" s="1"/>
      <c r="W37" s="1"/>
      <c r="X37" s="1"/>
    </row>
    <row r="38" spans="1:40" ht="20.25" customHeight="1" x14ac:dyDescent="0.25">
      <c r="A38" s="3"/>
      <c r="B38" s="3"/>
      <c r="C38" s="742"/>
      <c r="D38" s="742" t="s">
        <v>91</v>
      </c>
      <c r="E38" s="1072" t="s">
        <v>1155</v>
      </c>
      <c r="F38" s="1072"/>
      <c r="G38" s="1072"/>
      <c r="H38" s="1072"/>
      <c r="I38" s="1072"/>
      <c r="J38" s="1072"/>
      <c r="K38" s="1073"/>
      <c r="L38" s="1074"/>
      <c r="M38" s="1075"/>
      <c r="N38" s="1075"/>
      <c r="O38" s="1075"/>
      <c r="P38" s="1075"/>
      <c r="Q38" s="1075"/>
      <c r="R38" s="1075"/>
      <c r="S38" s="1075"/>
      <c r="T38" s="1075"/>
      <c r="U38" s="1075"/>
      <c r="V38" s="1075"/>
      <c r="W38" s="1075"/>
      <c r="X38" s="1076"/>
      <c r="Y38" s="2"/>
      <c r="Z38" s="2"/>
      <c r="AA38" s="2"/>
      <c r="AB38" s="2"/>
      <c r="AC38" s="2"/>
      <c r="AD38" s="2"/>
      <c r="AE38" s="2"/>
      <c r="AF38" s="2"/>
      <c r="AG38" s="2"/>
      <c r="AH38" s="2"/>
      <c r="AI38" s="2"/>
      <c r="AJ38" s="2"/>
      <c r="AK38" s="2"/>
      <c r="AL38" s="2"/>
      <c r="AM38" s="2"/>
      <c r="AN38" s="2"/>
    </row>
    <row r="39" spans="1:40" x14ac:dyDescent="0.25">
      <c r="A39" s="3" t="s">
        <v>1106</v>
      </c>
      <c r="B39" s="3"/>
      <c r="C39" s="1"/>
      <c r="D39" s="3"/>
      <c r="E39" s="3" t="s">
        <v>91</v>
      </c>
      <c r="F39" s="3"/>
      <c r="G39" s="3"/>
      <c r="H39" s="3"/>
      <c r="I39" s="3"/>
      <c r="J39" s="1" t="s">
        <v>1156</v>
      </c>
      <c r="K39" s="1" t="s">
        <v>1157</v>
      </c>
      <c r="L39" s="326" t="s">
        <v>1113</v>
      </c>
      <c r="M39" s="1"/>
      <c r="N39" s="1"/>
      <c r="O39" s="1"/>
      <c r="P39" s="1"/>
      <c r="Q39" s="1"/>
      <c r="R39" s="1"/>
      <c r="S39" s="1"/>
      <c r="T39" s="4"/>
      <c r="U39" s="4"/>
      <c r="V39" s="1"/>
      <c r="W39" s="1"/>
      <c r="X39" s="1"/>
    </row>
    <row r="40" spans="1:40" ht="20.25" customHeight="1" x14ac:dyDescent="0.25">
      <c r="A40" s="3"/>
      <c r="B40" s="3"/>
      <c r="C40" s="742"/>
      <c r="D40" s="742" t="s">
        <v>91</v>
      </c>
      <c r="E40" s="1072" t="s">
        <v>1158</v>
      </c>
      <c r="F40" s="1072"/>
      <c r="G40" s="1072"/>
      <c r="H40" s="1072"/>
      <c r="I40" s="1072"/>
      <c r="J40" s="1072"/>
      <c r="K40" s="1073"/>
      <c r="L40" s="1074"/>
      <c r="M40" s="1075"/>
      <c r="N40" s="1075"/>
      <c r="O40" s="1075"/>
      <c r="P40" s="1075"/>
      <c r="Q40" s="1075"/>
      <c r="R40" s="1075"/>
      <c r="S40" s="1075"/>
      <c r="T40" s="1075"/>
      <c r="U40" s="1075"/>
      <c r="V40" s="1075"/>
      <c r="W40" s="1075"/>
      <c r="X40" s="1076"/>
      <c r="Y40" s="2"/>
      <c r="Z40" s="2"/>
      <c r="AA40" s="2"/>
      <c r="AB40" s="2"/>
      <c r="AC40" s="2"/>
      <c r="AD40" s="2"/>
      <c r="AE40" s="2"/>
      <c r="AF40" s="2"/>
      <c r="AG40" s="2"/>
      <c r="AH40" s="2"/>
      <c r="AI40" s="2"/>
      <c r="AJ40" s="2"/>
      <c r="AK40" s="2"/>
      <c r="AL40" s="2"/>
      <c r="AM40" s="2"/>
      <c r="AN40" s="2"/>
    </row>
    <row r="41" spans="1:40" x14ac:dyDescent="0.25">
      <c r="A41" s="3"/>
      <c r="B41" s="3"/>
      <c r="C41" s="1"/>
      <c r="D41" s="3"/>
      <c r="E41" s="3" t="s">
        <v>91</v>
      </c>
      <c r="F41" s="3"/>
      <c r="G41" s="3"/>
      <c r="H41" s="3"/>
      <c r="I41" s="3"/>
      <c r="J41" s="843" t="s">
        <v>1159</v>
      </c>
      <c r="K41" s="842"/>
      <c r="L41" s="326"/>
      <c r="M41" s="1"/>
      <c r="N41" s="1"/>
      <c r="O41" s="1"/>
      <c r="P41" s="1"/>
      <c r="Q41" s="1"/>
      <c r="R41" s="1"/>
      <c r="S41" s="1"/>
      <c r="T41" s="4"/>
      <c r="U41" s="4"/>
      <c r="V41" s="1"/>
      <c r="W41" s="1"/>
      <c r="X41" s="1"/>
    </row>
    <row r="42" spans="1:40" x14ac:dyDescent="0.25">
      <c r="A42" s="3" t="s">
        <v>1106</v>
      </c>
      <c r="B42" s="3"/>
      <c r="C42" s="1"/>
      <c r="D42" s="3"/>
      <c r="E42" s="3"/>
      <c r="F42" s="3" t="s">
        <v>91</v>
      </c>
      <c r="G42" s="3"/>
      <c r="H42" s="3"/>
      <c r="I42" s="3"/>
      <c r="J42" s="842" t="s">
        <v>1160</v>
      </c>
      <c r="K42" s="842" t="s">
        <v>1161</v>
      </c>
      <c r="L42" s="326" t="s">
        <v>1101</v>
      </c>
      <c r="M42" s="1"/>
      <c r="N42" s="1"/>
      <c r="O42" s="1"/>
      <c r="P42" s="1"/>
      <c r="Q42" s="1"/>
      <c r="R42" s="1"/>
      <c r="S42" s="1"/>
      <c r="T42" s="4"/>
      <c r="U42" s="4"/>
      <c r="V42" s="1"/>
      <c r="W42" s="1"/>
      <c r="X42" s="1"/>
    </row>
    <row r="43" spans="1:40" x14ac:dyDescent="0.25">
      <c r="A43" s="3" t="s">
        <v>1106</v>
      </c>
      <c r="B43" s="3"/>
      <c r="C43" s="1"/>
      <c r="D43" s="3"/>
      <c r="E43" s="3"/>
      <c r="F43" s="3" t="s">
        <v>91</v>
      </c>
      <c r="G43" s="3"/>
      <c r="H43" s="3"/>
      <c r="I43" s="3"/>
      <c r="J43" s="1" t="s">
        <v>1162</v>
      </c>
      <c r="K43" s="1" t="s">
        <v>1163</v>
      </c>
      <c r="L43" s="4" t="s">
        <v>1101</v>
      </c>
      <c r="M43" s="1"/>
      <c r="N43" s="1"/>
      <c r="O43" s="1"/>
      <c r="P43" s="1"/>
      <c r="Q43" s="1"/>
      <c r="R43" s="1"/>
      <c r="S43" s="1"/>
      <c r="T43" s="4"/>
      <c r="U43" s="4"/>
      <c r="V43" s="1"/>
      <c r="W43" s="1"/>
      <c r="X43" s="1"/>
    </row>
    <row r="44" spans="1:40" x14ac:dyDescent="0.25">
      <c r="A44" s="3" t="s">
        <v>1106</v>
      </c>
      <c r="B44" s="3"/>
      <c r="C44" s="1"/>
      <c r="D44" s="3"/>
      <c r="E44" s="3"/>
      <c r="F44" s="3" t="s">
        <v>91</v>
      </c>
      <c r="G44" s="3"/>
      <c r="H44" s="3"/>
      <c r="I44" s="3"/>
      <c r="J44" s="1" t="s">
        <v>1164</v>
      </c>
      <c r="K44" s="1" t="s">
        <v>1165</v>
      </c>
      <c r="L44" s="326" t="s">
        <v>1101</v>
      </c>
      <c r="M44" s="1"/>
      <c r="N44" s="1"/>
      <c r="O44" s="1"/>
      <c r="P44" s="1"/>
      <c r="Q44" s="1"/>
      <c r="R44" s="1" t="s">
        <v>1166</v>
      </c>
      <c r="S44" s="1"/>
      <c r="T44" s="4"/>
      <c r="U44" s="4"/>
      <c r="V44" s="1"/>
      <c r="W44" s="1"/>
      <c r="X44" s="1"/>
    </row>
    <row r="45" spans="1:40" x14ac:dyDescent="0.25">
      <c r="A45" s="3"/>
      <c r="B45" s="3"/>
      <c r="C45" s="1"/>
      <c r="D45" s="3"/>
      <c r="E45" s="3" t="s">
        <v>91</v>
      </c>
      <c r="F45" s="3"/>
      <c r="G45" s="3"/>
      <c r="H45" s="3"/>
      <c r="I45" s="3"/>
      <c r="J45" s="843" t="s">
        <v>1167</v>
      </c>
      <c r="K45" s="842"/>
      <c r="L45" s="4"/>
      <c r="M45" s="1"/>
      <c r="N45" s="1"/>
      <c r="O45" s="1"/>
      <c r="P45" s="1"/>
      <c r="Q45" s="1"/>
      <c r="R45" s="1"/>
      <c r="S45" s="1"/>
      <c r="T45" s="4"/>
      <c r="U45" s="4"/>
      <c r="V45" s="1"/>
      <c r="W45" s="1"/>
      <c r="X45" s="1"/>
    </row>
    <row r="46" spans="1:40" x14ac:dyDescent="0.25">
      <c r="A46" s="3" t="s">
        <v>1106</v>
      </c>
      <c r="B46" s="3"/>
      <c r="C46" s="1"/>
      <c r="D46" s="3"/>
      <c r="E46" s="3"/>
      <c r="F46" s="3"/>
      <c r="G46" s="3" t="s">
        <v>91</v>
      </c>
      <c r="H46" s="3"/>
      <c r="I46" s="3"/>
      <c r="J46" s="842" t="s">
        <v>1168</v>
      </c>
      <c r="K46" s="842" t="s">
        <v>1169</v>
      </c>
      <c r="L46" s="4" t="s">
        <v>1101</v>
      </c>
      <c r="M46" s="1"/>
      <c r="N46" s="1" t="s">
        <v>1170</v>
      </c>
      <c r="O46" s="1"/>
      <c r="P46" s="1"/>
      <c r="Q46" s="1"/>
      <c r="R46" s="1" t="s">
        <v>1171</v>
      </c>
      <c r="S46" s="1"/>
      <c r="T46" s="4"/>
      <c r="U46" s="4"/>
      <c r="V46" s="1"/>
      <c r="W46" s="1"/>
      <c r="X46" s="1"/>
    </row>
    <row r="47" spans="1:40" x14ac:dyDescent="0.25">
      <c r="A47" s="3" t="s">
        <v>1106</v>
      </c>
      <c r="B47" s="3"/>
      <c r="C47" s="1"/>
      <c r="D47" s="3"/>
      <c r="E47" s="3"/>
      <c r="F47" s="3"/>
      <c r="G47" s="3" t="s">
        <v>91</v>
      </c>
      <c r="H47" s="3"/>
      <c r="I47" s="3"/>
      <c r="J47" s="842" t="s">
        <v>1172</v>
      </c>
      <c r="K47" s="842" t="s">
        <v>1173</v>
      </c>
      <c r="L47" s="4" t="s">
        <v>1101</v>
      </c>
      <c r="M47" s="1"/>
      <c r="N47" s="1" t="s">
        <v>1170</v>
      </c>
      <c r="O47" s="1"/>
      <c r="P47" s="1"/>
      <c r="Q47" s="1"/>
      <c r="R47" s="1"/>
      <c r="S47" s="1"/>
      <c r="T47" s="4"/>
      <c r="U47" s="4"/>
      <c r="V47" s="1"/>
      <c r="W47" s="1"/>
      <c r="X47" s="1"/>
    </row>
    <row r="48" spans="1:40" x14ac:dyDescent="0.25">
      <c r="A48" s="3" t="s">
        <v>1106</v>
      </c>
      <c r="B48" s="3"/>
      <c r="C48" s="1"/>
      <c r="D48" s="3"/>
      <c r="E48" s="3"/>
      <c r="F48" s="3"/>
      <c r="G48" s="3" t="s">
        <v>91</v>
      </c>
      <c r="H48" s="3"/>
      <c r="I48" s="3"/>
      <c r="J48" s="1" t="s">
        <v>1174</v>
      </c>
      <c r="K48" s="1" t="s">
        <v>1175</v>
      </c>
      <c r="L48" s="326" t="s">
        <v>1113</v>
      </c>
      <c r="M48" s="1"/>
      <c r="N48" s="1"/>
      <c r="O48" s="1"/>
      <c r="P48" s="1"/>
      <c r="Q48" s="1"/>
      <c r="R48" s="1"/>
      <c r="S48" s="1"/>
      <c r="T48" s="4"/>
      <c r="U48" s="4"/>
      <c r="V48" s="1"/>
      <c r="W48" s="1"/>
      <c r="X48" s="1"/>
    </row>
    <row r="49" spans="1:40" x14ac:dyDescent="0.25">
      <c r="A49" s="3"/>
      <c r="B49" s="3"/>
      <c r="C49" s="1"/>
      <c r="D49" s="3"/>
      <c r="E49" s="3" t="s">
        <v>91</v>
      </c>
      <c r="F49" s="3"/>
      <c r="G49" s="3"/>
      <c r="H49" s="3"/>
      <c r="I49" s="3"/>
      <c r="J49" s="843" t="s">
        <v>1176</v>
      </c>
      <c r="K49" s="842"/>
      <c r="L49" s="4"/>
      <c r="M49" s="1"/>
      <c r="N49" s="1"/>
      <c r="O49" s="1"/>
      <c r="P49" s="1"/>
      <c r="Q49" s="1"/>
      <c r="R49" s="1"/>
      <c r="S49" s="1"/>
      <c r="T49" s="4"/>
      <c r="U49" s="4"/>
      <c r="V49" s="1"/>
      <c r="W49" s="1"/>
      <c r="X49" s="1"/>
    </row>
    <row r="50" spans="1:40" x14ac:dyDescent="0.25">
      <c r="A50" s="3" t="s">
        <v>1106</v>
      </c>
      <c r="B50" s="3"/>
      <c r="C50" s="1"/>
      <c r="D50" s="3"/>
      <c r="E50" s="3"/>
      <c r="F50" s="3" t="s">
        <v>91</v>
      </c>
      <c r="G50" s="3"/>
      <c r="H50" s="3"/>
      <c r="I50" s="3"/>
      <c r="J50" s="842" t="s">
        <v>1177</v>
      </c>
      <c r="K50" s="842" t="s">
        <v>1178</v>
      </c>
      <c r="L50" s="4" t="s">
        <v>1101</v>
      </c>
      <c r="M50" s="1"/>
      <c r="N50" s="1" t="s">
        <v>1170</v>
      </c>
      <c r="O50" s="1"/>
      <c r="P50" s="1"/>
      <c r="Q50" s="1"/>
      <c r="R50" s="1"/>
      <c r="S50" s="1"/>
      <c r="T50" s="4"/>
      <c r="U50" s="4"/>
      <c r="V50" s="1"/>
      <c r="W50" s="1"/>
      <c r="X50" s="1"/>
    </row>
    <row r="51" spans="1:40" x14ac:dyDescent="0.25">
      <c r="A51" s="3" t="s">
        <v>1106</v>
      </c>
      <c r="B51" s="3"/>
      <c r="C51" s="1"/>
      <c r="D51" s="3"/>
      <c r="E51" s="3"/>
      <c r="F51" s="3" t="s">
        <v>91</v>
      </c>
      <c r="G51" s="3"/>
      <c r="H51" s="3"/>
      <c r="I51" s="3"/>
      <c r="J51" s="842" t="s">
        <v>1179</v>
      </c>
      <c r="K51" s="842" t="s">
        <v>1180</v>
      </c>
      <c r="L51" s="4" t="s">
        <v>1101</v>
      </c>
      <c r="M51" s="1"/>
      <c r="N51" s="1" t="s">
        <v>1170</v>
      </c>
      <c r="O51" s="1"/>
      <c r="P51" s="1"/>
      <c r="Q51" s="1"/>
      <c r="R51" s="1"/>
      <c r="S51" s="1"/>
      <c r="T51" s="4"/>
      <c r="U51" s="4"/>
      <c r="V51" s="1"/>
      <c r="W51" s="1"/>
      <c r="X51" s="1"/>
    </row>
    <row r="52" spans="1:40" x14ac:dyDescent="0.25">
      <c r="A52" s="3" t="s">
        <v>1106</v>
      </c>
      <c r="B52" s="3"/>
      <c r="C52" s="1"/>
      <c r="D52" s="3"/>
      <c r="E52" s="3"/>
      <c r="F52" s="3" t="s">
        <v>91</v>
      </c>
      <c r="G52" s="3"/>
      <c r="H52" s="3"/>
      <c r="I52" s="3"/>
      <c r="J52" s="1" t="s">
        <v>1181</v>
      </c>
      <c r="K52" s="1" t="s">
        <v>1182</v>
      </c>
      <c r="L52" s="326" t="s">
        <v>1113</v>
      </c>
      <c r="M52" s="1"/>
      <c r="N52" s="1"/>
      <c r="O52" s="1"/>
      <c r="P52" s="1"/>
      <c r="Q52" s="1"/>
      <c r="R52" s="1"/>
      <c r="S52" s="1"/>
      <c r="T52" s="4"/>
      <c r="U52" s="4"/>
      <c r="V52" s="1"/>
      <c r="W52" s="1"/>
      <c r="X52" s="1"/>
    </row>
    <row r="53" spans="1:40" x14ac:dyDescent="0.25">
      <c r="A53" s="3"/>
      <c r="B53" s="3"/>
      <c r="C53" s="1"/>
      <c r="D53" s="3"/>
      <c r="E53" s="3" t="s">
        <v>91</v>
      </c>
      <c r="F53" s="3"/>
      <c r="G53" s="3"/>
      <c r="H53" s="3"/>
      <c r="I53" s="3"/>
      <c r="J53" s="351" t="s">
        <v>1183</v>
      </c>
      <c r="K53" s="1"/>
      <c r="L53" s="326"/>
      <c r="M53" s="1"/>
      <c r="N53" s="1"/>
      <c r="O53" s="1"/>
      <c r="P53" s="1"/>
      <c r="Q53" s="1"/>
      <c r="R53" s="1"/>
      <c r="S53" s="1"/>
      <c r="T53" s="4"/>
      <c r="U53" s="4"/>
      <c r="V53" s="1"/>
      <c r="W53" s="1"/>
      <c r="X53" s="1"/>
    </row>
    <row r="54" spans="1:40" x14ac:dyDescent="0.25">
      <c r="A54" s="3" t="s">
        <v>1106</v>
      </c>
      <c r="B54" s="3"/>
      <c r="C54" s="1"/>
      <c r="D54" s="3"/>
      <c r="E54" s="3"/>
      <c r="F54" s="3" t="s">
        <v>91</v>
      </c>
      <c r="G54" s="3"/>
      <c r="H54" s="3"/>
      <c r="I54" s="3"/>
      <c r="J54" s="1" t="s">
        <v>1184</v>
      </c>
      <c r="K54" s="1" t="s">
        <v>1185</v>
      </c>
      <c r="L54" s="326" t="s">
        <v>1113</v>
      </c>
      <c r="M54" s="1"/>
      <c r="N54" s="1" t="s">
        <v>1186</v>
      </c>
      <c r="O54" s="1"/>
      <c r="P54" s="1"/>
      <c r="Q54" s="1"/>
      <c r="R54" s="1"/>
      <c r="S54" s="1"/>
      <c r="T54" s="4"/>
      <c r="U54" s="4"/>
      <c r="V54" s="1"/>
      <c r="W54" s="1"/>
      <c r="X54" s="1"/>
    </row>
    <row r="55" spans="1:40" x14ac:dyDescent="0.25">
      <c r="A55" s="3"/>
      <c r="B55" s="3"/>
      <c r="C55" s="1"/>
      <c r="D55" s="3"/>
      <c r="E55" s="3" t="s">
        <v>91</v>
      </c>
      <c r="F55" s="3"/>
      <c r="G55" s="3"/>
      <c r="H55" s="3"/>
      <c r="I55" s="3"/>
      <c r="J55" s="351" t="s">
        <v>1187</v>
      </c>
      <c r="K55" s="1"/>
      <c r="L55" s="326"/>
      <c r="M55" s="1"/>
      <c r="N55" s="1"/>
      <c r="O55" s="1"/>
      <c r="P55" s="337"/>
      <c r="Q55" s="1"/>
      <c r="R55" s="1"/>
      <c r="S55" s="1"/>
      <c r="T55" s="4"/>
      <c r="U55" s="4"/>
      <c r="V55" s="1"/>
      <c r="W55" s="1"/>
      <c r="X55" s="1"/>
    </row>
    <row r="56" spans="1:40" x14ac:dyDescent="0.25">
      <c r="A56" s="3" t="s">
        <v>1106</v>
      </c>
      <c r="B56" s="3"/>
      <c r="C56" s="1"/>
      <c r="D56" s="3"/>
      <c r="E56" s="3"/>
      <c r="F56" s="3" t="s">
        <v>91</v>
      </c>
      <c r="G56" s="3"/>
      <c r="H56" s="3"/>
      <c r="I56" s="3"/>
      <c r="J56" s="1" t="s">
        <v>1188</v>
      </c>
      <c r="K56" s="1" t="s">
        <v>1189</v>
      </c>
      <c r="L56" s="326" t="s">
        <v>1113</v>
      </c>
      <c r="M56" s="1"/>
      <c r="N56" s="1"/>
      <c r="O56" s="1"/>
      <c r="P56" s="337" t="s">
        <v>1190</v>
      </c>
      <c r="Q56" s="1"/>
      <c r="R56" s="1" t="s">
        <v>1191</v>
      </c>
      <c r="S56" s="1"/>
      <c r="T56" s="4"/>
      <c r="U56" s="4"/>
      <c r="V56" s="1"/>
      <c r="W56" s="1"/>
      <c r="X56" s="1"/>
    </row>
    <row r="57" spans="1:40" ht="20.25" customHeight="1" x14ac:dyDescent="0.25">
      <c r="A57" s="3"/>
      <c r="B57" s="3"/>
      <c r="C57" s="742"/>
      <c r="D57" s="742" t="s">
        <v>91</v>
      </c>
      <c r="E57" s="1072" t="s">
        <v>1192</v>
      </c>
      <c r="F57" s="1072"/>
      <c r="G57" s="1072"/>
      <c r="H57" s="1072"/>
      <c r="I57" s="1072"/>
      <c r="J57" s="1072"/>
      <c r="K57" s="1073"/>
      <c r="L57" s="1074"/>
      <c r="M57" s="1075"/>
      <c r="N57" s="1075"/>
      <c r="O57" s="1075"/>
      <c r="P57" s="1075"/>
      <c r="Q57" s="1075"/>
      <c r="R57" s="1075"/>
      <c r="S57" s="1075"/>
      <c r="T57" s="1075"/>
      <c r="U57" s="1075"/>
      <c r="V57" s="1075"/>
      <c r="W57" s="1075"/>
      <c r="X57" s="1076"/>
      <c r="Y57" s="2"/>
      <c r="Z57" s="2"/>
      <c r="AA57" s="2"/>
      <c r="AB57" s="2"/>
      <c r="AC57" s="2"/>
      <c r="AD57" s="2"/>
      <c r="AE57" s="2"/>
      <c r="AF57" s="2"/>
      <c r="AG57" s="2"/>
      <c r="AH57" s="2"/>
      <c r="AI57" s="2"/>
      <c r="AJ57" s="2"/>
      <c r="AK57" s="2"/>
      <c r="AL57" s="2"/>
      <c r="AM57" s="2"/>
      <c r="AN57" s="2"/>
    </row>
    <row r="58" spans="1:40" x14ac:dyDescent="0.25">
      <c r="A58" s="3"/>
      <c r="B58" s="3"/>
      <c r="C58" s="1"/>
      <c r="D58" s="3"/>
      <c r="E58" s="3" t="s">
        <v>91</v>
      </c>
      <c r="F58" s="3"/>
      <c r="G58" s="3"/>
      <c r="H58" s="3"/>
      <c r="I58" s="3"/>
      <c r="J58" s="351" t="s">
        <v>1193</v>
      </c>
      <c r="K58" s="1"/>
      <c r="L58" s="5"/>
      <c r="M58" s="1"/>
      <c r="N58" s="1"/>
      <c r="O58" s="1"/>
      <c r="P58" s="1"/>
      <c r="Q58" s="1"/>
      <c r="R58" s="1"/>
      <c r="S58" s="1"/>
      <c r="T58" s="4"/>
      <c r="U58" s="4"/>
      <c r="V58" s="1"/>
      <c r="W58" s="1"/>
      <c r="X58" s="1"/>
    </row>
    <row r="59" spans="1:40" x14ac:dyDescent="0.25">
      <c r="A59" s="3" t="s">
        <v>1106</v>
      </c>
      <c r="B59" s="3"/>
      <c r="C59" s="1"/>
      <c r="D59" s="3"/>
      <c r="E59" s="3"/>
      <c r="F59" s="3" t="s">
        <v>91</v>
      </c>
      <c r="G59" s="3"/>
      <c r="H59" s="3"/>
      <c r="I59" s="3"/>
      <c r="J59" s="842" t="s">
        <v>1194</v>
      </c>
      <c r="K59" s="842" t="s">
        <v>1195</v>
      </c>
      <c r="L59" s="326" t="s">
        <v>1101</v>
      </c>
      <c r="M59" s="1"/>
      <c r="N59" s="1"/>
      <c r="O59" s="1"/>
      <c r="P59" s="1"/>
      <c r="Q59" s="1"/>
      <c r="R59" s="1"/>
      <c r="S59" s="1"/>
      <c r="T59" s="4"/>
      <c r="U59" s="4"/>
      <c r="V59" s="1"/>
      <c r="W59" s="1"/>
      <c r="X59" s="1"/>
    </row>
    <row r="60" spans="1:40" x14ac:dyDescent="0.25">
      <c r="A60" s="3" t="s">
        <v>1106</v>
      </c>
      <c r="B60" s="3"/>
      <c r="C60" s="1"/>
      <c r="D60" s="3"/>
      <c r="E60" s="3"/>
      <c r="F60" s="3" t="s">
        <v>91</v>
      </c>
      <c r="G60" s="3"/>
      <c r="H60" s="3"/>
      <c r="I60" s="3"/>
      <c r="J60" s="1" t="s">
        <v>1196</v>
      </c>
      <c r="K60" s="1" t="s">
        <v>1197</v>
      </c>
      <c r="L60" s="326" t="s">
        <v>1113</v>
      </c>
      <c r="M60" s="1"/>
      <c r="N60" s="1"/>
      <c r="O60" s="1"/>
      <c r="P60" s="1"/>
      <c r="Q60" s="1"/>
      <c r="R60" s="1" t="s">
        <v>1198</v>
      </c>
      <c r="S60" s="1"/>
      <c r="T60" s="4"/>
      <c r="U60" s="4"/>
      <c r="V60" s="1"/>
      <c r="W60" s="1"/>
      <c r="X60" s="1"/>
    </row>
    <row r="61" spans="1:40" ht="15.75" customHeight="1" x14ac:dyDescent="0.25">
      <c r="A61" s="3"/>
      <c r="B61" s="3"/>
      <c r="C61" s="1"/>
      <c r="D61" s="3"/>
      <c r="E61" s="3" t="s">
        <v>91</v>
      </c>
      <c r="F61" s="3"/>
      <c r="G61" s="3"/>
      <c r="H61" s="3"/>
      <c r="I61" s="3"/>
      <c r="J61" s="351" t="s">
        <v>1199</v>
      </c>
      <c r="K61" s="1"/>
      <c r="L61" s="326"/>
      <c r="M61" s="1"/>
      <c r="N61" s="1"/>
      <c r="O61" s="1"/>
      <c r="P61" s="1"/>
      <c r="Q61" s="1"/>
      <c r="R61" s="1"/>
      <c r="S61" s="1"/>
      <c r="T61" s="4"/>
      <c r="U61" s="4"/>
      <c r="V61" s="1"/>
      <c r="W61" s="1"/>
      <c r="X61" s="1"/>
    </row>
    <row r="62" spans="1:40" x14ac:dyDescent="0.25">
      <c r="A62" s="3" t="s">
        <v>1106</v>
      </c>
      <c r="B62" s="3"/>
      <c r="C62" s="1"/>
      <c r="D62" s="3"/>
      <c r="E62" s="3"/>
      <c r="F62" s="3" t="s">
        <v>91</v>
      </c>
      <c r="G62" s="3"/>
      <c r="H62" s="3"/>
      <c r="I62" s="3"/>
      <c r="J62" s="1" t="s">
        <v>1200</v>
      </c>
      <c r="K62" s="1" t="s">
        <v>1201</v>
      </c>
      <c r="L62" s="4" t="s">
        <v>1101</v>
      </c>
      <c r="M62" s="1"/>
      <c r="N62" s="1" t="s">
        <v>1202</v>
      </c>
      <c r="O62" s="1"/>
      <c r="P62" s="1"/>
      <c r="Q62" s="1"/>
      <c r="R62" s="1"/>
      <c r="S62" s="1"/>
      <c r="T62" s="4"/>
      <c r="U62" s="4"/>
      <c r="V62" s="1"/>
      <c r="W62" s="1"/>
      <c r="X62" s="1"/>
    </row>
    <row r="63" spans="1:40" x14ac:dyDescent="0.25">
      <c r="A63" s="3" t="s">
        <v>1106</v>
      </c>
      <c r="B63" s="3"/>
      <c r="C63" s="1"/>
      <c r="D63" s="3"/>
      <c r="E63" s="3"/>
      <c r="F63" s="3" t="s">
        <v>91</v>
      </c>
      <c r="G63" s="3"/>
      <c r="H63" s="3"/>
      <c r="I63" s="3"/>
      <c r="J63" s="1" t="s">
        <v>1203</v>
      </c>
      <c r="K63" s="1" t="s">
        <v>1204</v>
      </c>
      <c r="L63" s="326" t="s">
        <v>1113</v>
      </c>
      <c r="M63" s="1"/>
      <c r="N63" s="1"/>
      <c r="O63" s="1"/>
      <c r="P63" s="1"/>
      <c r="Q63" s="1"/>
      <c r="R63" s="1"/>
      <c r="S63" s="1"/>
      <c r="T63" s="4"/>
      <c r="U63" s="4"/>
      <c r="V63" s="1"/>
      <c r="W63" s="1"/>
      <c r="X63" s="1"/>
    </row>
    <row r="64" spans="1:40" x14ac:dyDescent="0.25">
      <c r="A64" s="3" t="s">
        <v>1106</v>
      </c>
      <c r="B64" s="3"/>
      <c r="C64" s="1"/>
      <c r="D64" s="3"/>
      <c r="E64" s="3"/>
      <c r="F64" s="3" t="s">
        <v>91</v>
      </c>
      <c r="G64" s="3"/>
      <c r="H64" s="3"/>
      <c r="I64" s="3"/>
      <c r="J64" s="1" t="s">
        <v>1205</v>
      </c>
      <c r="K64" s="1" t="s">
        <v>1206</v>
      </c>
      <c r="L64" s="326" t="s">
        <v>1101</v>
      </c>
      <c r="M64" s="1"/>
      <c r="N64" s="1" t="s">
        <v>1207</v>
      </c>
      <c r="O64" s="1"/>
      <c r="P64" s="1"/>
      <c r="Q64" s="1"/>
      <c r="R64" s="1"/>
      <c r="S64" s="1"/>
      <c r="T64" s="4"/>
      <c r="U64" s="4"/>
      <c r="V64" s="1"/>
      <c r="W64" s="1"/>
      <c r="X64" s="1"/>
    </row>
    <row r="65" spans="1:24" ht="15.75" customHeight="1" x14ac:dyDescent="0.25">
      <c r="A65" s="3"/>
      <c r="B65" s="3"/>
      <c r="C65" s="1"/>
      <c r="D65" s="3"/>
      <c r="E65" s="3" t="s">
        <v>91</v>
      </c>
      <c r="F65" s="3"/>
      <c r="G65" s="3"/>
      <c r="H65" s="3"/>
      <c r="I65" s="3"/>
      <c r="J65" s="351" t="s">
        <v>1208</v>
      </c>
      <c r="K65" s="1"/>
      <c r="L65" s="326"/>
      <c r="M65" s="1"/>
      <c r="N65" s="1"/>
      <c r="O65" s="1"/>
      <c r="P65" s="1"/>
      <c r="Q65" s="1"/>
      <c r="R65" s="1"/>
      <c r="S65" s="1"/>
      <c r="T65" s="4"/>
      <c r="U65" s="4"/>
      <c r="V65" s="1"/>
      <c r="W65" s="1"/>
      <c r="X65" s="1"/>
    </row>
    <row r="66" spans="1:24" x14ac:dyDescent="0.25">
      <c r="A66" s="3" t="s">
        <v>1106</v>
      </c>
      <c r="B66" s="3"/>
      <c r="C66" s="1"/>
      <c r="D66" s="3"/>
      <c r="E66" s="3"/>
      <c r="F66" s="3" t="s">
        <v>91</v>
      </c>
      <c r="G66" s="3"/>
      <c r="H66" s="3"/>
      <c r="I66" s="3"/>
      <c r="J66" s="1" t="s">
        <v>1209</v>
      </c>
      <c r="K66" s="1" t="s">
        <v>1210</v>
      </c>
      <c r="L66" s="4" t="s">
        <v>1101</v>
      </c>
      <c r="M66" s="1"/>
      <c r="N66" s="1" t="s">
        <v>1202</v>
      </c>
      <c r="O66" s="1"/>
      <c r="P66" s="1"/>
      <c r="Q66" s="1"/>
      <c r="R66" s="1"/>
      <c r="S66" s="1"/>
      <c r="T66" s="4"/>
      <c r="U66" s="4"/>
      <c r="V66" s="1"/>
      <c r="W66" s="1"/>
      <c r="X66" s="1"/>
    </row>
    <row r="67" spans="1:24" x14ac:dyDescent="0.25">
      <c r="A67" s="3" t="s">
        <v>1106</v>
      </c>
      <c r="B67" s="3"/>
      <c r="C67" s="1"/>
      <c r="D67" s="3"/>
      <c r="E67" s="3"/>
      <c r="F67" s="3" t="s">
        <v>91</v>
      </c>
      <c r="G67" s="3"/>
      <c r="H67" s="3"/>
      <c r="I67" s="3"/>
      <c r="J67" s="842" t="s">
        <v>1211</v>
      </c>
      <c r="K67" s="842" t="s">
        <v>1212</v>
      </c>
      <c r="L67" s="4" t="s">
        <v>1101</v>
      </c>
      <c r="M67" s="1"/>
      <c r="N67" s="1"/>
      <c r="O67" s="1"/>
      <c r="P67" s="1"/>
      <c r="Q67" s="1"/>
      <c r="R67" s="1"/>
      <c r="S67" s="1"/>
      <c r="T67" s="4"/>
      <c r="U67" s="4"/>
      <c r="V67" s="1"/>
      <c r="W67" s="1"/>
      <c r="X67" s="1"/>
    </row>
    <row r="68" spans="1:24" x14ac:dyDescent="0.25">
      <c r="A68" s="3" t="s">
        <v>1106</v>
      </c>
      <c r="B68" s="3"/>
      <c r="C68" s="1"/>
      <c r="D68" s="3"/>
      <c r="E68" s="3"/>
      <c r="F68" s="3" t="s">
        <v>91</v>
      </c>
      <c r="G68" s="3"/>
      <c r="H68" s="3"/>
      <c r="I68" s="3"/>
      <c r="J68" s="1" t="s">
        <v>1213</v>
      </c>
      <c r="K68" s="1" t="s">
        <v>1204</v>
      </c>
      <c r="L68" s="326" t="s">
        <v>1113</v>
      </c>
      <c r="M68" s="1"/>
      <c r="N68" s="1"/>
      <c r="O68" s="1"/>
      <c r="P68" s="1"/>
      <c r="Q68" s="1"/>
      <c r="R68" s="1"/>
      <c r="S68" s="1"/>
      <c r="T68" s="4"/>
      <c r="U68" s="4"/>
      <c r="V68" s="1"/>
      <c r="W68" s="1"/>
      <c r="X68" s="1"/>
    </row>
    <row r="69" spans="1:24" x14ac:dyDescent="0.25">
      <c r="A69" s="3" t="s">
        <v>1106</v>
      </c>
      <c r="B69" s="3"/>
      <c r="C69" s="1"/>
      <c r="D69" s="3"/>
      <c r="E69" s="3"/>
      <c r="F69" s="3" t="s">
        <v>91</v>
      </c>
      <c r="G69" s="3"/>
      <c r="H69" s="3"/>
      <c r="I69" s="3"/>
      <c r="J69" s="1" t="s">
        <v>1214</v>
      </c>
      <c r="K69" s="1" t="s">
        <v>1215</v>
      </c>
      <c r="L69" s="326" t="s">
        <v>1101</v>
      </c>
      <c r="N69" s="1" t="s">
        <v>1207</v>
      </c>
      <c r="O69" s="1"/>
      <c r="P69" s="1"/>
      <c r="Q69" s="1"/>
      <c r="R69" s="1"/>
      <c r="S69" s="1"/>
      <c r="T69" s="4"/>
      <c r="U69" s="4"/>
      <c r="V69" s="1"/>
      <c r="W69" s="1"/>
      <c r="X69" s="1"/>
    </row>
    <row r="70" spans="1:24" ht="15.75" customHeight="1" x14ac:dyDescent="0.25">
      <c r="A70" s="3"/>
      <c r="B70" s="3"/>
      <c r="C70" s="1"/>
      <c r="D70" s="3"/>
      <c r="E70" s="3"/>
      <c r="F70" s="3" t="s">
        <v>91</v>
      </c>
      <c r="G70" s="3"/>
      <c r="H70" s="3"/>
      <c r="I70" s="3"/>
      <c r="J70" s="351" t="s">
        <v>1216</v>
      </c>
      <c r="K70" s="1"/>
      <c r="L70" s="326"/>
      <c r="M70" s="1"/>
      <c r="N70" s="1"/>
      <c r="O70" s="1"/>
      <c r="P70" s="1"/>
      <c r="Q70" s="1"/>
      <c r="R70" s="1"/>
      <c r="S70" s="1"/>
      <c r="T70" s="4"/>
      <c r="U70" s="4"/>
      <c r="V70" s="1"/>
      <c r="W70" s="1"/>
      <c r="X70" s="1"/>
    </row>
    <row r="71" spans="1:24" x14ac:dyDescent="0.25">
      <c r="A71" s="3" t="s">
        <v>1106</v>
      </c>
      <c r="B71" s="3"/>
      <c r="C71" s="1"/>
      <c r="D71" s="3"/>
      <c r="E71" s="3"/>
      <c r="F71" s="3" t="s">
        <v>91</v>
      </c>
      <c r="G71" s="3"/>
      <c r="H71" s="3"/>
      <c r="I71" s="3"/>
      <c r="J71" s="1" t="s">
        <v>1217</v>
      </c>
      <c r="K71" s="1" t="s">
        <v>1218</v>
      </c>
      <c r="L71" s="4" t="s">
        <v>1101</v>
      </c>
      <c r="M71" s="1"/>
      <c r="N71" s="1" t="s">
        <v>1202</v>
      </c>
      <c r="O71" s="1"/>
      <c r="P71" s="1"/>
      <c r="Q71" s="1"/>
      <c r="R71" s="1"/>
      <c r="S71" s="1"/>
      <c r="T71" s="4"/>
      <c r="U71" s="4"/>
      <c r="V71" s="1"/>
      <c r="W71" s="1"/>
      <c r="X71" s="1"/>
    </row>
    <row r="72" spans="1:24" x14ac:dyDescent="0.25">
      <c r="A72" s="3" t="s">
        <v>1106</v>
      </c>
      <c r="B72" s="3"/>
      <c r="C72" s="1"/>
      <c r="D72" s="3"/>
      <c r="E72" s="3"/>
      <c r="F72" s="3"/>
      <c r="G72" s="3" t="s">
        <v>91</v>
      </c>
      <c r="H72" s="3"/>
      <c r="I72" s="3"/>
      <c r="J72" s="1" t="s">
        <v>1219</v>
      </c>
      <c r="K72" s="1" t="s">
        <v>1204</v>
      </c>
      <c r="L72" s="326" t="s">
        <v>1113</v>
      </c>
      <c r="M72" s="1"/>
      <c r="N72" s="1"/>
      <c r="O72" s="1"/>
      <c r="P72" s="1"/>
      <c r="Q72" s="1"/>
      <c r="R72" s="1"/>
      <c r="S72" s="1"/>
      <c r="T72" s="4"/>
      <c r="U72" s="4"/>
      <c r="V72" s="1"/>
      <c r="W72" s="1"/>
      <c r="X72" s="1"/>
    </row>
    <row r="73" spans="1:24" x14ac:dyDescent="0.25">
      <c r="A73" s="3" t="s">
        <v>1106</v>
      </c>
      <c r="B73" s="3"/>
      <c r="C73" s="1"/>
      <c r="D73" s="3"/>
      <c r="E73" s="3"/>
      <c r="F73" s="3"/>
      <c r="G73" s="3" t="s">
        <v>91</v>
      </c>
      <c r="H73" s="3"/>
      <c r="I73" s="3"/>
      <c r="J73" s="1" t="s">
        <v>1220</v>
      </c>
      <c r="K73" s="1" t="s">
        <v>1206</v>
      </c>
      <c r="L73" s="326" t="s">
        <v>1101</v>
      </c>
      <c r="M73" s="1"/>
      <c r="N73" s="1" t="s">
        <v>1207</v>
      </c>
      <c r="O73" s="1"/>
      <c r="P73" s="1"/>
      <c r="Q73" s="1"/>
      <c r="R73" s="1"/>
      <c r="S73" s="1"/>
      <c r="T73" s="4"/>
      <c r="U73" s="4"/>
      <c r="V73" s="1"/>
      <c r="W73" s="1"/>
      <c r="X73" s="1"/>
    </row>
    <row r="74" spans="1:24" x14ac:dyDescent="0.25">
      <c r="A74" s="3" t="s">
        <v>1106</v>
      </c>
      <c r="B74" s="3"/>
      <c r="C74" s="1"/>
      <c r="D74" s="3"/>
      <c r="E74" s="3"/>
      <c r="F74" s="3"/>
      <c r="G74" s="3" t="s">
        <v>91</v>
      </c>
      <c r="H74" s="3"/>
      <c r="I74" s="3"/>
      <c r="J74" s="1" t="s">
        <v>1221</v>
      </c>
      <c r="K74" s="1" t="s">
        <v>1222</v>
      </c>
      <c r="L74" s="326" t="s">
        <v>1101</v>
      </c>
      <c r="M74" s="1"/>
      <c r="N74" s="1" t="s">
        <v>1223</v>
      </c>
      <c r="O74" s="1"/>
      <c r="P74" s="1"/>
      <c r="Q74" s="1"/>
      <c r="R74" s="1"/>
      <c r="S74" s="1"/>
      <c r="T74" s="4"/>
      <c r="U74" s="4"/>
      <c r="V74" s="1"/>
      <c r="W74" s="1"/>
      <c r="X74" s="1"/>
    </row>
    <row r="75" spans="1:24" x14ac:dyDescent="0.25">
      <c r="A75" s="3" t="s">
        <v>1106</v>
      </c>
      <c r="B75" s="3"/>
      <c r="C75" s="1"/>
      <c r="D75" s="3"/>
      <c r="E75" s="3"/>
      <c r="F75" s="3"/>
      <c r="G75" s="3"/>
      <c r="H75" s="3" t="s">
        <v>91</v>
      </c>
      <c r="I75" s="3"/>
      <c r="J75" s="1" t="s">
        <v>1224</v>
      </c>
      <c r="K75" s="1" t="s">
        <v>1225</v>
      </c>
      <c r="L75" s="326" t="s">
        <v>1101</v>
      </c>
      <c r="M75" s="1"/>
      <c r="N75" s="1" t="s">
        <v>1202</v>
      </c>
      <c r="O75" s="1"/>
      <c r="P75" s="1"/>
      <c r="Q75" s="1"/>
      <c r="R75" s="1"/>
      <c r="S75" s="1"/>
      <c r="T75" s="4"/>
      <c r="U75" s="4"/>
      <c r="V75" s="1"/>
      <c r="W75" s="1"/>
      <c r="X75" s="1"/>
    </row>
    <row r="76" spans="1:24" x14ac:dyDescent="0.25">
      <c r="A76" s="3" t="s">
        <v>1106</v>
      </c>
      <c r="B76" s="3"/>
      <c r="C76" s="1"/>
      <c r="D76" s="3"/>
      <c r="E76" s="3"/>
      <c r="F76" s="3"/>
      <c r="G76" s="3"/>
      <c r="H76" s="3"/>
      <c r="I76" s="3" t="s">
        <v>91</v>
      </c>
      <c r="J76" s="1" t="s">
        <v>1226</v>
      </c>
      <c r="K76" s="1" t="s">
        <v>1227</v>
      </c>
      <c r="L76" s="326" t="s">
        <v>1101</v>
      </c>
      <c r="M76" s="1"/>
      <c r="N76" s="1" t="s">
        <v>1202</v>
      </c>
      <c r="O76" s="1"/>
      <c r="P76" s="1"/>
      <c r="Q76" s="1"/>
      <c r="R76" s="1"/>
      <c r="S76" s="1"/>
      <c r="T76" s="4"/>
      <c r="U76" s="4"/>
      <c r="V76" s="1"/>
      <c r="W76" s="1"/>
      <c r="X76" s="1"/>
    </row>
    <row r="77" spans="1:24" ht="15.75" customHeight="1" x14ac:dyDescent="0.25">
      <c r="A77" s="3"/>
      <c r="B77" s="3"/>
      <c r="C77" s="1"/>
      <c r="D77" s="3"/>
      <c r="E77" s="3" t="s">
        <v>91</v>
      </c>
      <c r="F77" s="3"/>
      <c r="G77" s="3"/>
      <c r="H77" s="3"/>
      <c r="I77" s="3"/>
      <c r="J77" s="351" t="s">
        <v>1228</v>
      </c>
      <c r="K77" s="1"/>
      <c r="L77" s="326"/>
      <c r="M77" s="1"/>
      <c r="N77" s="1"/>
      <c r="O77" s="1"/>
      <c r="P77" s="1"/>
      <c r="Q77" s="1"/>
      <c r="R77" s="1"/>
      <c r="S77" s="1"/>
      <c r="T77" s="4"/>
      <c r="U77" s="4"/>
      <c r="V77" s="1"/>
      <c r="W77" s="1"/>
      <c r="X77" s="1"/>
    </row>
    <row r="78" spans="1:24" x14ac:dyDescent="0.25">
      <c r="A78" s="3" t="s">
        <v>1106</v>
      </c>
      <c r="B78" s="3"/>
      <c r="C78" s="1"/>
      <c r="D78" s="3"/>
      <c r="E78" s="3"/>
      <c r="F78" s="3" t="s">
        <v>91</v>
      </c>
      <c r="G78" s="3"/>
      <c r="H78" s="3"/>
      <c r="I78" s="3"/>
      <c r="J78" s="1" t="s">
        <v>1229</v>
      </c>
      <c r="K78" s="1" t="s">
        <v>1230</v>
      </c>
      <c r="L78" s="326" t="s">
        <v>1101</v>
      </c>
      <c r="M78" s="1"/>
      <c r="N78" s="1" t="s">
        <v>1202</v>
      </c>
      <c r="O78" s="1"/>
      <c r="P78" s="1"/>
      <c r="Q78" s="1"/>
      <c r="R78" s="1"/>
      <c r="S78" s="1"/>
      <c r="T78" s="4"/>
      <c r="U78" s="4"/>
      <c r="V78" s="1"/>
      <c r="W78" s="1"/>
      <c r="X78" s="1"/>
    </row>
    <row r="79" spans="1:24" x14ac:dyDescent="0.25">
      <c r="A79" s="3" t="s">
        <v>1106</v>
      </c>
      <c r="B79" s="3"/>
      <c r="C79" s="1"/>
      <c r="D79" s="3"/>
      <c r="E79" s="3"/>
      <c r="F79" s="3"/>
      <c r="G79" s="3" t="s">
        <v>91</v>
      </c>
      <c r="H79" s="3"/>
      <c r="I79" s="3"/>
      <c r="J79" s="842" t="s">
        <v>1231</v>
      </c>
      <c r="K79" s="842" t="s">
        <v>1212</v>
      </c>
      <c r="L79" s="4" t="s">
        <v>1101</v>
      </c>
      <c r="M79" s="1"/>
      <c r="N79" s="1"/>
      <c r="O79" s="1"/>
      <c r="P79" s="1"/>
      <c r="Q79" s="1"/>
      <c r="R79" s="1"/>
      <c r="S79" s="1"/>
      <c r="T79" s="4"/>
      <c r="U79" s="4"/>
      <c r="V79" s="1"/>
      <c r="W79" s="1"/>
      <c r="X79" s="1"/>
    </row>
    <row r="80" spans="1:24" x14ac:dyDescent="0.25">
      <c r="A80" s="3" t="s">
        <v>1106</v>
      </c>
      <c r="B80" s="3"/>
      <c r="C80" s="1"/>
      <c r="D80" s="3"/>
      <c r="E80" s="3"/>
      <c r="F80" s="3"/>
      <c r="G80" s="3" t="s">
        <v>91</v>
      </c>
      <c r="H80" s="3"/>
      <c r="I80" s="3"/>
      <c r="J80" s="1" t="s">
        <v>1232</v>
      </c>
      <c r="K80" s="1" t="s">
        <v>1204</v>
      </c>
      <c r="L80" s="326" t="s">
        <v>1113</v>
      </c>
      <c r="M80" s="1"/>
      <c r="N80" s="1"/>
      <c r="O80" s="1"/>
      <c r="P80" s="1"/>
      <c r="Q80" s="1"/>
      <c r="R80" s="1"/>
      <c r="S80" s="1"/>
      <c r="T80" s="4"/>
      <c r="U80" s="4"/>
      <c r="V80" s="1"/>
      <c r="W80" s="1"/>
      <c r="X80" s="1"/>
    </row>
    <row r="81" spans="1:24" x14ac:dyDescent="0.25">
      <c r="A81" s="3" t="s">
        <v>1106</v>
      </c>
      <c r="B81" s="3"/>
      <c r="C81" s="1"/>
      <c r="D81" s="3"/>
      <c r="E81" s="3"/>
      <c r="F81" s="3"/>
      <c r="G81" s="3" t="s">
        <v>91</v>
      </c>
      <c r="H81" s="3"/>
      <c r="I81" s="3"/>
      <c r="J81" s="1" t="s">
        <v>1233</v>
      </c>
      <c r="K81" s="1" t="s">
        <v>1215</v>
      </c>
      <c r="L81" s="326" t="s">
        <v>1101</v>
      </c>
      <c r="M81" s="1"/>
      <c r="N81" s="1" t="s">
        <v>1207</v>
      </c>
      <c r="O81" s="1"/>
      <c r="P81" s="1"/>
      <c r="Q81" s="1"/>
      <c r="R81" s="1"/>
      <c r="S81" s="1"/>
      <c r="T81" s="4"/>
      <c r="U81" s="4"/>
      <c r="V81" s="1"/>
      <c r="W81" s="1"/>
      <c r="X81" s="1"/>
    </row>
    <row r="82" spans="1:24" x14ac:dyDescent="0.25">
      <c r="A82" s="3" t="s">
        <v>1106</v>
      </c>
      <c r="B82" s="3"/>
      <c r="C82" s="1"/>
      <c r="D82" s="3"/>
      <c r="E82" s="3"/>
      <c r="F82" s="3"/>
      <c r="G82" s="3" t="s">
        <v>91</v>
      </c>
      <c r="H82" s="3"/>
      <c r="I82" s="3"/>
      <c r="J82" s="1" t="s">
        <v>1234</v>
      </c>
      <c r="K82" s="1" t="s">
        <v>1235</v>
      </c>
      <c r="L82" s="326" t="s">
        <v>1101</v>
      </c>
      <c r="M82" s="1"/>
      <c r="N82" s="1" t="s">
        <v>1207</v>
      </c>
      <c r="O82" s="1"/>
      <c r="P82" s="1"/>
      <c r="Q82" s="1"/>
      <c r="R82" s="1"/>
      <c r="S82" s="1"/>
      <c r="T82" s="4"/>
      <c r="U82" s="4"/>
      <c r="V82" s="1"/>
      <c r="W82" s="1"/>
      <c r="X82" s="1"/>
    </row>
    <row r="83" spans="1:24" x14ac:dyDescent="0.25">
      <c r="A83" s="3"/>
      <c r="B83" s="3"/>
      <c r="C83" s="1"/>
      <c r="D83" s="3"/>
      <c r="E83" s="3"/>
      <c r="F83" s="3"/>
      <c r="G83" s="3"/>
      <c r="H83" s="3" t="s">
        <v>91</v>
      </c>
      <c r="I83" s="3"/>
      <c r="J83" s="1" t="s">
        <v>1236</v>
      </c>
      <c r="K83" s="1" t="s">
        <v>1237</v>
      </c>
      <c r="L83" s="326" t="s">
        <v>1101</v>
      </c>
      <c r="M83" s="1"/>
      <c r="N83" s="1" t="s">
        <v>1202</v>
      </c>
      <c r="O83" s="1"/>
      <c r="P83" s="1"/>
      <c r="Q83" s="1"/>
      <c r="R83" s="1"/>
      <c r="S83" s="1"/>
      <c r="T83" s="4"/>
      <c r="U83" s="4"/>
      <c r="V83" s="1"/>
      <c r="W83" s="1"/>
      <c r="X83" s="1"/>
    </row>
    <row r="84" spans="1:24" x14ac:dyDescent="0.25">
      <c r="A84" s="3"/>
      <c r="B84" s="3"/>
      <c r="C84" s="1"/>
      <c r="D84" s="3"/>
      <c r="E84" s="3"/>
      <c r="F84" s="3"/>
      <c r="G84" s="3"/>
      <c r="H84" s="3"/>
      <c r="I84" s="3" t="s">
        <v>91</v>
      </c>
      <c r="J84" s="1" t="s">
        <v>1238</v>
      </c>
      <c r="K84" s="1" t="s">
        <v>1239</v>
      </c>
      <c r="L84" s="326" t="s">
        <v>1101</v>
      </c>
      <c r="M84" s="1"/>
      <c r="N84" s="1" t="s">
        <v>1202</v>
      </c>
      <c r="O84" s="1"/>
      <c r="P84" s="1"/>
      <c r="Q84" s="1"/>
      <c r="R84" s="1"/>
      <c r="S84" s="1"/>
      <c r="T84" s="4"/>
      <c r="U84" s="4"/>
      <c r="V84" s="1"/>
      <c r="W84" s="1"/>
      <c r="X84" s="1"/>
    </row>
    <row r="85" spans="1:24" ht="15.75" customHeight="1" x14ac:dyDescent="0.25">
      <c r="A85" s="3"/>
      <c r="B85" s="3"/>
      <c r="C85" s="1"/>
      <c r="D85" s="3"/>
      <c r="E85" s="3" t="s">
        <v>91</v>
      </c>
      <c r="F85" s="3"/>
      <c r="G85" s="3"/>
      <c r="H85" s="3"/>
      <c r="I85" s="3"/>
      <c r="J85" s="351" t="s">
        <v>1240</v>
      </c>
      <c r="K85" s="1"/>
      <c r="L85" s="326"/>
      <c r="M85" s="1"/>
      <c r="N85" s="1"/>
      <c r="O85" s="1"/>
      <c r="P85" s="1"/>
      <c r="Q85" s="1"/>
      <c r="R85" s="1"/>
      <c r="S85" s="1"/>
      <c r="T85" s="4"/>
      <c r="U85" s="4"/>
      <c r="V85" s="1"/>
      <c r="W85" s="1"/>
      <c r="X85" s="1"/>
    </row>
    <row r="86" spans="1:24" ht="15.75" customHeight="1" x14ac:dyDescent="0.25">
      <c r="A86" s="3"/>
      <c r="B86" s="3"/>
      <c r="C86" s="1"/>
      <c r="D86" s="3"/>
      <c r="E86" s="3"/>
      <c r="F86" s="3" t="s">
        <v>91</v>
      </c>
      <c r="G86" s="3"/>
      <c r="H86" s="3"/>
      <c r="I86" s="3"/>
      <c r="J86" s="351" t="s">
        <v>1241</v>
      </c>
      <c r="K86" s="1"/>
      <c r="L86" s="326"/>
      <c r="M86" s="1"/>
      <c r="N86" s="1"/>
      <c r="O86" s="1"/>
      <c r="P86" s="1"/>
      <c r="Q86" s="1"/>
      <c r="R86" s="1"/>
      <c r="S86" s="1"/>
      <c r="T86" s="4"/>
      <c r="U86" s="4"/>
      <c r="V86" s="1"/>
      <c r="W86" s="1"/>
      <c r="X86" s="1"/>
    </row>
    <row r="87" spans="1:24" ht="15.75" customHeight="1" x14ac:dyDescent="0.25">
      <c r="A87" s="3" t="s">
        <v>1106</v>
      </c>
      <c r="B87" s="3"/>
      <c r="C87" s="1"/>
      <c r="D87" s="3"/>
      <c r="E87" s="3"/>
      <c r="F87" s="3" t="s">
        <v>91</v>
      </c>
      <c r="G87" s="3"/>
      <c r="H87" s="3"/>
      <c r="I87" s="3"/>
      <c r="J87" s="1" t="s">
        <v>1242</v>
      </c>
      <c r="K87" s="1" t="s">
        <v>1243</v>
      </c>
      <c r="L87" s="326" t="s">
        <v>1101</v>
      </c>
      <c r="M87" s="1"/>
      <c r="N87" s="1"/>
      <c r="O87" s="1"/>
      <c r="P87" s="1"/>
      <c r="Q87" s="1"/>
      <c r="R87" s="1"/>
      <c r="S87" s="1"/>
      <c r="T87" s="4"/>
      <c r="U87" s="4"/>
      <c r="V87" s="1"/>
      <c r="W87" s="1"/>
      <c r="X87" s="1"/>
    </row>
    <row r="88" spans="1:24" ht="15.75" customHeight="1" x14ac:dyDescent="0.25">
      <c r="A88" s="3" t="s">
        <v>1244</v>
      </c>
      <c r="B88" s="3"/>
      <c r="C88" s="1"/>
      <c r="D88" s="3"/>
      <c r="E88" s="3"/>
      <c r="F88" s="3" t="s">
        <v>91</v>
      </c>
      <c r="G88" s="3"/>
      <c r="H88" s="3"/>
      <c r="I88" s="3"/>
      <c r="J88" s="842" t="s">
        <v>1245</v>
      </c>
      <c r="K88" s="842" t="s">
        <v>1246</v>
      </c>
      <c r="L88" s="326" t="s">
        <v>1113</v>
      </c>
      <c r="M88" s="1"/>
      <c r="N88" s="1"/>
      <c r="O88" s="1"/>
      <c r="P88" s="1"/>
      <c r="Q88" s="1"/>
      <c r="R88" s="1"/>
      <c r="S88" s="1"/>
      <c r="T88" s="4"/>
      <c r="U88" s="4"/>
      <c r="V88" s="1"/>
      <c r="W88" s="1"/>
      <c r="X88" s="1"/>
    </row>
    <row r="89" spans="1:24" x14ac:dyDescent="0.25">
      <c r="A89" s="3" t="s">
        <v>1244</v>
      </c>
      <c r="B89" s="3"/>
      <c r="C89" s="1"/>
      <c r="D89" s="3"/>
      <c r="E89" s="3"/>
      <c r="F89" s="3"/>
      <c r="G89" s="3" t="s">
        <v>91</v>
      </c>
      <c r="H89" s="3"/>
      <c r="I89" s="3"/>
      <c r="J89" s="1" t="s">
        <v>1247</v>
      </c>
      <c r="K89" s="1" t="s">
        <v>1248</v>
      </c>
      <c r="L89" s="326" t="s">
        <v>1101</v>
      </c>
      <c r="M89" s="1"/>
      <c r="N89" s="1" t="s">
        <v>1170</v>
      </c>
      <c r="O89" s="1"/>
      <c r="P89" s="1"/>
      <c r="Q89" s="1"/>
      <c r="R89" s="1"/>
      <c r="S89" s="1"/>
      <c r="T89" s="4"/>
      <c r="U89" s="4"/>
      <c r="V89" s="1"/>
      <c r="W89" s="1"/>
      <c r="X89" s="1"/>
    </row>
    <row r="90" spans="1:24" x14ac:dyDescent="0.25">
      <c r="A90" s="3" t="s">
        <v>1244</v>
      </c>
      <c r="B90" s="3"/>
      <c r="C90" s="1"/>
      <c r="D90" s="3"/>
      <c r="E90" s="3"/>
      <c r="F90" s="3"/>
      <c r="G90" s="3" t="s">
        <v>91</v>
      </c>
      <c r="H90" s="3"/>
      <c r="I90" s="3"/>
      <c r="J90" s="1" t="s">
        <v>1249</v>
      </c>
      <c r="K90" s="1" t="s">
        <v>1250</v>
      </c>
      <c r="L90" s="326" t="s">
        <v>1101</v>
      </c>
      <c r="M90" s="1"/>
      <c r="N90" s="1" t="s">
        <v>1170</v>
      </c>
      <c r="O90" s="1"/>
      <c r="P90" s="1"/>
      <c r="Q90" s="1"/>
      <c r="R90" s="1"/>
      <c r="S90" s="1"/>
      <c r="T90" s="4"/>
      <c r="U90" s="4"/>
      <c r="V90" s="1"/>
      <c r="W90" s="1"/>
      <c r="X90" s="1"/>
    </row>
    <row r="91" spans="1:24" x14ac:dyDescent="0.25">
      <c r="A91" s="3" t="s">
        <v>1244</v>
      </c>
      <c r="B91" s="3"/>
      <c r="C91" s="1"/>
      <c r="D91" s="3"/>
      <c r="E91" s="3"/>
      <c r="F91" s="3"/>
      <c r="G91" s="3" t="s">
        <v>91</v>
      </c>
      <c r="H91" s="3"/>
      <c r="I91" s="3"/>
      <c r="J91" s="842" t="s">
        <v>1251</v>
      </c>
      <c r="K91" s="842" t="s">
        <v>1252</v>
      </c>
      <c r="L91" s="326" t="s">
        <v>1113</v>
      </c>
      <c r="M91" s="1"/>
      <c r="N91" s="1"/>
      <c r="O91" s="1"/>
      <c r="P91" s="1"/>
      <c r="Q91" s="1"/>
      <c r="R91" s="1"/>
      <c r="S91" s="1"/>
      <c r="T91" s="4"/>
      <c r="U91" s="4"/>
      <c r="V91" s="1"/>
      <c r="W91" s="1"/>
      <c r="X91" s="1"/>
    </row>
    <row r="92" spans="1:24" x14ac:dyDescent="0.25">
      <c r="A92" s="3" t="s">
        <v>1244</v>
      </c>
      <c r="B92" s="3"/>
      <c r="C92" s="1"/>
      <c r="D92" s="3"/>
      <c r="E92" s="3"/>
      <c r="F92" s="3"/>
      <c r="G92" s="3" t="s">
        <v>91</v>
      </c>
      <c r="H92" s="3"/>
      <c r="I92" s="3"/>
      <c r="J92" s="1" t="s">
        <v>1253</v>
      </c>
      <c r="K92" s="1" t="s">
        <v>1254</v>
      </c>
      <c r="L92" s="326" t="s">
        <v>1101</v>
      </c>
      <c r="M92" s="1"/>
      <c r="N92" s="1" t="s">
        <v>1170</v>
      </c>
      <c r="O92" s="1"/>
      <c r="P92" s="1"/>
      <c r="Q92" s="1"/>
      <c r="R92" s="1"/>
      <c r="S92" s="1"/>
      <c r="T92" s="4"/>
      <c r="U92" s="4"/>
      <c r="V92" s="1"/>
      <c r="W92" s="1"/>
      <c r="X92" s="1"/>
    </row>
    <row r="93" spans="1:24" x14ac:dyDescent="0.25">
      <c r="A93" s="3" t="s">
        <v>1244</v>
      </c>
      <c r="B93" s="3"/>
      <c r="C93" s="1"/>
      <c r="D93" s="3"/>
      <c r="E93" s="3"/>
      <c r="F93" s="3"/>
      <c r="G93" s="3" t="s">
        <v>91</v>
      </c>
      <c r="H93" s="3"/>
      <c r="I93" s="3"/>
      <c r="J93" s="1" t="s">
        <v>1255</v>
      </c>
      <c r="K93" s="1" t="s">
        <v>1256</v>
      </c>
      <c r="L93" s="326" t="s">
        <v>1101</v>
      </c>
      <c r="M93" s="1"/>
      <c r="N93" s="1" t="s">
        <v>1170</v>
      </c>
      <c r="O93" s="1"/>
      <c r="P93" s="1"/>
      <c r="Q93" s="1"/>
      <c r="R93" s="1"/>
      <c r="S93" s="1"/>
      <c r="T93" s="4"/>
      <c r="U93" s="4"/>
      <c r="V93" s="1"/>
      <c r="W93" s="1"/>
      <c r="X93" s="1"/>
    </row>
    <row r="94" spans="1:24" x14ac:dyDescent="0.25">
      <c r="A94" s="3" t="s">
        <v>1244</v>
      </c>
      <c r="B94" s="3"/>
      <c r="C94" s="1"/>
      <c r="D94" s="3"/>
      <c r="E94" s="3"/>
      <c r="F94" s="3"/>
      <c r="G94" s="3" t="s">
        <v>91</v>
      </c>
      <c r="H94" s="3"/>
      <c r="I94" s="3"/>
      <c r="J94" s="842" t="s">
        <v>1257</v>
      </c>
      <c r="K94" s="842" t="s">
        <v>1258</v>
      </c>
      <c r="L94" s="326" t="s">
        <v>1113</v>
      </c>
      <c r="M94" s="1"/>
      <c r="N94" s="1"/>
      <c r="O94" s="1"/>
      <c r="P94" s="1"/>
      <c r="Q94" s="1"/>
      <c r="R94" s="1"/>
      <c r="S94" s="1"/>
      <c r="T94" s="4"/>
      <c r="U94" s="4"/>
      <c r="V94" s="1"/>
      <c r="W94" s="1"/>
      <c r="X94" s="1"/>
    </row>
    <row r="95" spans="1:24" x14ac:dyDescent="0.25">
      <c r="A95" s="3"/>
      <c r="B95" s="3"/>
      <c r="C95" s="1"/>
      <c r="D95" s="3"/>
      <c r="E95" s="3"/>
      <c r="F95" s="3" t="s">
        <v>91</v>
      </c>
      <c r="G95" s="3"/>
      <c r="H95" s="3"/>
      <c r="I95" s="3"/>
      <c r="J95" s="844" t="s">
        <v>1259</v>
      </c>
      <c r="K95" s="842"/>
      <c r="L95" s="326"/>
      <c r="M95" s="1"/>
      <c r="N95" s="1"/>
      <c r="O95" s="1"/>
      <c r="P95" s="1"/>
      <c r="Q95" s="1"/>
      <c r="R95" s="1"/>
      <c r="S95" s="1"/>
      <c r="T95" s="4"/>
      <c r="U95" s="4"/>
      <c r="V95" s="1"/>
      <c r="W95" s="1"/>
      <c r="X95" s="1"/>
    </row>
    <row r="96" spans="1:24" x14ac:dyDescent="0.25">
      <c r="A96" s="3" t="s">
        <v>1106</v>
      </c>
      <c r="B96" s="3"/>
      <c r="C96" s="1"/>
      <c r="D96" s="3"/>
      <c r="E96" s="3"/>
      <c r="F96" s="3"/>
      <c r="G96" s="3" t="s">
        <v>91</v>
      </c>
      <c r="H96" s="3"/>
      <c r="I96" s="3"/>
      <c r="J96" s="842" t="s">
        <v>1260</v>
      </c>
      <c r="K96" s="842" t="s">
        <v>1261</v>
      </c>
      <c r="L96" s="326" t="s">
        <v>1101</v>
      </c>
      <c r="M96" s="1"/>
      <c r="N96" s="1" t="s">
        <v>1262</v>
      </c>
      <c r="O96" s="1"/>
      <c r="P96" s="1"/>
      <c r="Q96" s="1"/>
      <c r="R96" s="1"/>
      <c r="S96" s="1"/>
      <c r="T96" s="4"/>
      <c r="U96" s="4"/>
      <c r="V96" s="1"/>
      <c r="W96" s="1"/>
      <c r="X96" s="1"/>
    </row>
    <row r="97" spans="1:24" x14ac:dyDescent="0.25">
      <c r="A97" s="3" t="s">
        <v>1106</v>
      </c>
      <c r="B97" s="3"/>
      <c r="C97" s="1"/>
      <c r="D97" s="3"/>
      <c r="E97" s="3"/>
      <c r="F97" s="3"/>
      <c r="G97" s="3"/>
      <c r="H97" s="3" t="s">
        <v>91</v>
      </c>
      <c r="I97" s="3"/>
      <c r="J97" s="842" t="s">
        <v>1263</v>
      </c>
      <c r="K97" s="842" t="s">
        <v>1264</v>
      </c>
      <c r="L97" s="4" t="s">
        <v>1101</v>
      </c>
      <c r="M97" s="1"/>
      <c r="N97" s="1" t="s">
        <v>1265</v>
      </c>
      <c r="O97" s="1"/>
      <c r="P97" s="1"/>
      <c r="Q97" s="1"/>
      <c r="R97" s="1"/>
      <c r="S97" s="1"/>
      <c r="T97" s="4"/>
      <c r="U97" s="4"/>
      <c r="V97" s="1"/>
      <c r="W97" s="1"/>
      <c r="X97" s="1"/>
    </row>
    <row r="98" spans="1:24" ht="25.5" customHeight="1" x14ac:dyDescent="0.25">
      <c r="A98" s="3"/>
      <c r="B98" s="3"/>
      <c r="C98" s="1"/>
      <c r="D98" s="3"/>
      <c r="E98" s="3"/>
      <c r="F98" s="3" t="s">
        <v>91</v>
      </c>
      <c r="G98" s="3"/>
      <c r="H98" s="3"/>
      <c r="I98" s="3"/>
      <c r="J98" s="351" t="s">
        <v>1266</v>
      </c>
      <c r="K98" s="1"/>
      <c r="L98" s="326"/>
      <c r="M98" s="1"/>
      <c r="N98" s="1"/>
      <c r="O98" s="1"/>
      <c r="P98" s="1"/>
      <c r="Q98" s="1"/>
      <c r="R98" s="1"/>
      <c r="S98" s="1"/>
      <c r="T98" s="4"/>
      <c r="U98" s="4"/>
      <c r="V98" s="1"/>
      <c r="W98" s="1"/>
      <c r="X98" s="1"/>
    </row>
    <row r="99" spans="1:24" ht="25.5" customHeight="1" x14ac:dyDescent="0.25">
      <c r="A99" s="3" t="s">
        <v>1106</v>
      </c>
      <c r="B99" s="3"/>
      <c r="C99" s="1"/>
      <c r="D99" s="3"/>
      <c r="E99" s="3"/>
      <c r="F99" s="3"/>
      <c r="G99" s="3" t="s">
        <v>91</v>
      </c>
      <c r="H99" s="3"/>
      <c r="I99" s="3"/>
      <c r="J99" s="1" t="s">
        <v>1267</v>
      </c>
      <c r="K99" s="1" t="s">
        <v>1268</v>
      </c>
      <c r="L99" s="326" t="s">
        <v>1101</v>
      </c>
      <c r="M99" s="1"/>
      <c r="N99" s="1" t="s">
        <v>1207</v>
      </c>
      <c r="O99" s="1"/>
      <c r="P99" s="1"/>
      <c r="Q99" s="1"/>
      <c r="R99" s="1"/>
      <c r="S99" s="1"/>
      <c r="T99" s="4"/>
      <c r="U99" s="4"/>
      <c r="V99" s="1"/>
      <c r="W99" s="1"/>
      <c r="X99" s="1"/>
    </row>
    <row r="100" spans="1:24" ht="25.5" customHeight="1" x14ac:dyDescent="0.25">
      <c r="A100" s="3" t="s">
        <v>1106</v>
      </c>
      <c r="B100" s="3"/>
      <c r="C100" s="1"/>
      <c r="D100" s="3"/>
      <c r="E100" s="3"/>
      <c r="F100" s="3"/>
      <c r="G100" s="3" t="s">
        <v>91</v>
      </c>
      <c r="H100" s="3"/>
      <c r="I100" s="3"/>
      <c r="J100" s="1" t="s">
        <v>1269</v>
      </c>
      <c r="K100" s="1" t="s">
        <v>1270</v>
      </c>
      <c r="L100" s="326" t="s">
        <v>1101</v>
      </c>
      <c r="M100" s="1"/>
      <c r="N100" s="1" t="s">
        <v>1223</v>
      </c>
      <c r="O100" s="1"/>
      <c r="P100" s="1"/>
      <c r="Q100" s="1"/>
      <c r="R100" s="1"/>
      <c r="S100" s="1"/>
      <c r="T100" s="4"/>
      <c r="U100" s="4"/>
      <c r="V100" s="1"/>
      <c r="W100" s="1"/>
      <c r="X100" s="1"/>
    </row>
    <row r="101" spans="1:24" x14ac:dyDescent="0.25">
      <c r="A101" s="3"/>
      <c r="B101" s="3"/>
      <c r="C101" s="1"/>
      <c r="D101" s="3"/>
      <c r="E101" s="3"/>
      <c r="F101" s="3" t="s">
        <v>91</v>
      </c>
      <c r="G101" s="3"/>
      <c r="H101" s="3"/>
      <c r="I101" s="3"/>
      <c r="J101" s="351" t="s">
        <v>1271</v>
      </c>
      <c r="K101" s="1"/>
      <c r="L101" s="4"/>
      <c r="M101" s="1"/>
      <c r="N101" s="1"/>
      <c r="O101" s="1"/>
      <c r="P101" s="1"/>
      <c r="Q101" s="1"/>
      <c r="R101" s="1"/>
      <c r="S101" s="1"/>
      <c r="T101" s="4"/>
      <c r="U101" s="4"/>
      <c r="V101" s="1"/>
      <c r="W101" s="1"/>
      <c r="X101" s="1"/>
    </row>
    <row r="102" spans="1:24" x14ac:dyDescent="0.25">
      <c r="A102" s="3" t="s">
        <v>1106</v>
      </c>
      <c r="B102" s="3"/>
      <c r="C102" s="1"/>
      <c r="D102" s="3"/>
      <c r="E102" s="3"/>
      <c r="F102" s="3"/>
      <c r="G102" s="3" t="s">
        <v>91</v>
      </c>
      <c r="H102" s="3"/>
      <c r="I102" s="3"/>
      <c r="J102" s="1" t="s">
        <v>1272</v>
      </c>
      <c r="K102" s="1" t="s">
        <v>1273</v>
      </c>
      <c r="L102" s="4" t="s">
        <v>1101</v>
      </c>
      <c r="M102" s="1"/>
      <c r="N102" s="1" t="s">
        <v>1274</v>
      </c>
      <c r="O102" s="1"/>
      <c r="P102" s="1"/>
      <c r="Q102" s="1"/>
      <c r="R102" s="1"/>
      <c r="S102" s="1"/>
      <c r="T102" s="4"/>
      <c r="U102" s="4"/>
      <c r="V102" s="1"/>
      <c r="W102" s="1"/>
      <c r="X102" s="1"/>
    </row>
    <row r="103" spans="1:24" x14ac:dyDescent="0.25">
      <c r="A103" s="3" t="s">
        <v>1106</v>
      </c>
      <c r="B103" s="3"/>
      <c r="C103" s="1"/>
      <c r="D103" s="3"/>
      <c r="E103" s="3"/>
      <c r="F103" s="3"/>
      <c r="G103" s="3" t="s">
        <v>91</v>
      </c>
      <c r="H103" s="3"/>
      <c r="I103" s="3"/>
      <c r="J103" s="1" t="s">
        <v>1275</v>
      </c>
      <c r="K103" s="1" t="s">
        <v>1276</v>
      </c>
      <c r="L103" s="326" t="s">
        <v>1101</v>
      </c>
      <c r="M103" s="1"/>
      <c r="N103" s="1" t="s">
        <v>1274</v>
      </c>
      <c r="O103" s="1"/>
      <c r="P103" s="1"/>
      <c r="Q103" s="1"/>
      <c r="R103" s="1"/>
      <c r="S103" s="1"/>
      <c r="T103" s="4"/>
      <c r="U103" s="4"/>
      <c r="V103" s="1"/>
      <c r="W103" s="1"/>
      <c r="X103" s="1"/>
    </row>
    <row r="104" spans="1:24" x14ac:dyDescent="0.25">
      <c r="A104" s="3"/>
      <c r="B104" s="3"/>
      <c r="C104" s="1"/>
      <c r="D104" s="3"/>
      <c r="E104" s="3"/>
      <c r="F104" s="3" t="s">
        <v>91</v>
      </c>
      <c r="G104" s="3"/>
      <c r="H104" s="3"/>
      <c r="I104" s="3"/>
      <c r="J104" s="351" t="s">
        <v>1277</v>
      </c>
      <c r="K104" s="1"/>
      <c r="L104" s="326"/>
      <c r="M104" s="1"/>
      <c r="N104" s="1"/>
      <c r="O104" s="1"/>
      <c r="P104" s="1"/>
      <c r="Q104" s="1"/>
      <c r="R104" s="1"/>
      <c r="S104" s="1"/>
      <c r="T104" s="4"/>
      <c r="U104" s="4"/>
      <c r="V104" s="1"/>
      <c r="W104" s="1"/>
      <c r="X104" s="1"/>
    </row>
    <row r="105" spans="1:24" x14ac:dyDescent="0.25">
      <c r="A105" s="3" t="s">
        <v>1244</v>
      </c>
      <c r="B105" s="3"/>
      <c r="C105" s="1"/>
      <c r="D105" s="3"/>
      <c r="E105" s="3"/>
      <c r="F105" s="3"/>
      <c r="G105" s="3" t="s">
        <v>91</v>
      </c>
      <c r="H105" s="3"/>
      <c r="I105" s="3"/>
      <c r="J105" s="1" t="s">
        <v>1278</v>
      </c>
      <c r="K105" s="1" t="s">
        <v>1279</v>
      </c>
      <c r="L105" s="326" t="s">
        <v>1113</v>
      </c>
      <c r="M105" s="1"/>
      <c r="N105" s="1" t="s">
        <v>1280</v>
      </c>
      <c r="O105" s="1"/>
      <c r="P105" s="1"/>
      <c r="Q105" s="1"/>
      <c r="R105" s="1" t="s">
        <v>1281</v>
      </c>
      <c r="S105" s="1"/>
      <c r="T105" s="4"/>
      <c r="U105" s="4"/>
      <c r="V105" s="1"/>
      <c r="W105" s="1"/>
      <c r="X105" s="1"/>
    </row>
    <row r="106" spans="1:24" x14ac:dyDescent="0.25">
      <c r="A106" s="3" t="s">
        <v>1244</v>
      </c>
      <c r="B106" s="3"/>
      <c r="C106" s="1"/>
      <c r="D106" s="3"/>
      <c r="E106" s="3"/>
      <c r="F106" s="3"/>
      <c r="G106" s="3" t="s">
        <v>91</v>
      </c>
      <c r="H106" s="3"/>
      <c r="I106" s="3"/>
      <c r="J106" s="1" t="s">
        <v>1282</v>
      </c>
      <c r="K106" s="1" t="s">
        <v>1283</v>
      </c>
      <c r="L106" s="326" t="s">
        <v>1113</v>
      </c>
      <c r="M106" s="1"/>
      <c r="N106" s="1"/>
      <c r="O106" s="1"/>
      <c r="P106" s="1"/>
      <c r="Q106" s="1"/>
      <c r="R106" s="1"/>
      <c r="S106" s="1"/>
      <c r="T106" s="4"/>
      <c r="U106" s="4"/>
      <c r="V106" s="1"/>
      <c r="W106" s="1"/>
      <c r="X106" s="1"/>
    </row>
    <row r="107" spans="1:24" x14ac:dyDescent="0.25">
      <c r="A107" s="3"/>
      <c r="B107" s="3"/>
      <c r="C107" s="1"/>
      <c r="D107" s="3"/>
      <c r="E107" s="3"/>
      <c r="F107" s="3" t="s">
        <v>91</v>
      </c>
      <c r="G107" s="3"/>
      <c r="H107" s="3"/>
      <c r="I107" s="3"/>
      <c r="J107" s="351" t="s">
        <v>1284</v>
      </c>
      <c r="K107" s="1"/>
      <c r="L107" s="326"/>
      <c r="M107" s="1"/>
      <c r="N107" s="1"/>
      <c r="O107" s="1"/>
      <c r="P107" s="1"/>
      <c r="Q107" s="1"/>
      <c r="R107" s="1"/>
      <c r="S107" s="1"/>
      <c r="T107" s="4"/>
      <c r="U107" s="4"/>
      <c r="V107" s="1"/>
      <c r="W107" s="1"/>
      <c r="X107" s="1"/>
    </row>
    <row r="108" spans="1:24" x14ac:dyDescent="0.25">
      <c r="A108" s="3" t="s">
        <v>1106</v>
      </c>
      <c r="B108" s="3"/>
      <c r="C108" s="1"/>
      <c r="D108" s="3"/>
      <c r="E108" s="3"/>
      <c r="F108" s="3"/>
      <c r="G108" s="3" t="s">
        <v>91</v>
      </c>
      <c r="H108" s="3"/>
      <c r="I108" s="3"/>
      <c r="J108" s="1" t="s">
        <v>1285</v>
      </c>
      <c r="K108" s="1" t="s">
        <v>1286</v>
      </c>
      <c r="L108" s="326" t="s">
        <v>1113</v>
      </c>
      <c r="M108" s="1"/>
      <c r="N108" s="1" t="s">
        <v>1287</v>
      </c>
      <c r="O108" s="1"/>
      <c r="P108" s="1"/>
      <c r="Q108" s="1"/>
      <c r="R108" s="1"/>
      <c r="S108" s="1"/>
      <c r="T108" s="4"/>
      <c r="U108" s="4"/>
      <c r="V108" s="1"/>
      <c r="W108" s="1"/>
      <c r="X108" s="1"/>
    </row>
    <row r="109" spans="1:24" x14ac:dyDescent="0.25">
      <c r="A109" s="3" t="s">
        <v>1106</v>
      </c>
      <c r="B109" s="3"/>
      <c r="C109" s="1"/>
      <c r="D109" s="3"/>
      <c r="E109" s="3"/>
      <c r="F109" s="3"/>
      <c r="G109" s="3" t="s">
        <v>91</v>
      </c>
      <c r="H109" s="3"/>
      <c r="I109" s="3"/>
      <c r="J109" s="1" t="s">
        <v>1288</v>
      </c>
      <c r="K109" s="1" t="s">
        <v>1289</v>
      </c>
      <c r="L109" s="326" t="s">
        <v>1101</v>
      </c>
      <c r="M109" s="1"/>
      <c r="N109" s="1"/>
      <c r="O109" s="1"/>
      <c r="P109" s="1"/>
      <c r="Q109" s="1"/>
      <c r="R109" s="1"/>
      <c r="S109" s="1"/>
      <c r="T109" s="4"/>
      <c r="U109" s="4"/>
      <c r="V109" s="1"/>
      <c r="W109" s="1"/>
      <c r="X109" s="1"/>
    </row>
    <row r="110" spans="1:24" ht="15.75" customHeight="1" x14ac:dyDescent="0.25">
      <c r="A110" s="3"/>
      <c r="B110" s="3"/>
      <c r="C110" s="1"/>
      <c r="D110" s="3"/>
      <c r="E110" s="3" t="s">
        <v>91</v>
      </c>
      <c r="F110" s="3"/>
      <c r="G110" s="3"/>
      <c r="H110" s="3"/>
      <c r="I110" s="3"/>
      <c r="J110" s="351" t="s">
        <v>1290</v>
      </c>
      <c r="K110" s="1"/>
      <c r="L110" s="326"/>
      <c r="M110" s="1"/>
      <c r="N110" s="1"/>
      <c r="O110" s="1"/>
      <c r="P110" s="1"/>
      <c r="Q110" s="1"/>
      <c r="R110" s="1"/>
      <c r="S110" s="1"/>
      <c r="T110" s="4"/>
      <c r="U110" s="4"/>
      <c r="V110" s="1"/>
      <c r="W110" s="1"/>
      <c r="X110" s="1"/>
    </row>
    <row r="111" spans="1:24" ht="15.75" customHeight="1" x14ac:dyDescent="0.25">
      <c r="A111" s="3" t="s">
        <v>1106</v>
      </c>
      <c r="B111" s="3"/>
      <c r="C111" s="1"/>
      <c r="D111" s="3"/>
      <c r="E111" s="3"/>
      <c r="F111" s="3" t="s">
        <v>91</v>
      </c>
      <c r="G111" s="3"/>
      <c r="H111" s="3"/>
      <c r="I111" s="3"/>
      <c r="J111" s="1" t="s">
        <v>1291</v>
      </c>
      <c r="K111" s="1" t="s">
        <v>1292</v>
      </c>
      <c r="L111" s="4" t="s">
        <v>1101</v>
      </c>
      <c r="M111" s="1"/>
      <c r="N111" s="1"/>
      <c r="O111" s="1"/>
      <c r="P111" s="1"/>
      <c r="Q111" s="1"/>
      <c r="R111" s="1"/>
      <c r="S111" s="1"/>
      <c r="T111" s="4"/>
      <c r="U111" s="4"/>
      <c r="V111" s="1"/>
      <c r="W111" s="1"/>
      <c r="X111" s="1"/>
    </row>
    <row r="112" spans="1:24" x14ac:dyDescent="0.25">
      <c r="A112" s="3" t="s">
        <v>1106</v>
      </c>
      <c r="B112" s="3"/>
      <c r="C112" s="1"/>
      <c r="D112" s="3"/>
      <c r="E112" s="3"/>
      <c r="F112" s="3"/>
      <c r="G112" s="3" t="s">
        <v>91</v>
      </c>
      <c r="H112" s="3"/>
      <c r="I112" s="3"/>
      <c r="J112" s="842" t="s">
        <v>1293</v>
      </c>
      <c r="K112" s="842" t="s">
        <v>1294</v>
      </c>
      <c r="L112" s="4" t="s">
        <v>1101</v>
      </c>
      <c r="M112" s="1"/>
      <c r="N112" s="1" t="s">
        <v>1170</v>
      </c>
      <c r="O112" s="1"/>
      <c r="P112" s="1"/>
      <c r="Q112" s="1"/>
      <c r="R112" s="1"/>
      <c r="S112" s="1"/>
      <c r="T112" s="4"/>
      <c r="U112" s="4"/>
      <c r="V112" s="1"/>
      <c r="W112" s="1"/>
      <c r="X112" s="1"/>
    </row>
    <row r="113" spans="1:40" x14ac:dyDescent="0.25">
      <c r="A113" s="3" t="s">
        <v>1106</v>
      </c>
      <c r="B113" s="3"/>
      <c r="C113" s="1"/>
      <c r="D113" s="3"/>
      <c r="E113" s="3"/>
      <c r="F113" s="3"/>
      <c r="G113" s="3" t="s">
        <v>91</v>
      </c>
      <c r="H113" s="3"/>
      <c r="I113" s="3"/>
      <c r="J113" s="842" t="s">
        <v>1295</v>
      </c>
      <c r="K113" s="842" t="s">
        <v>1296</v>
      </c>
      <c r="L113" s="4" t="s">
        <v>1101</v>
      </c>
      <c r="M113" s="1"/>
      <c r="N113" s="1"/>
      <c r="O113" s="1"/>
      <c r="P113" s="1"/>
      <c r="Q113" s="1"/>
      <c r="R113" s="1"/>
      <c r="S113" s="1"/>
      <c r="T113" s="4"/>
      <c r="U113" s="4"/>
      <c r="V113" s="1"/>
      <c r="W113" s="1"/>
      <c r="X113" s="1"/>
    </row>
    <row r="114" spans="1:40" x14ac:dyDescent="0.25">
      <c r="A114" s="3" t="s">
        <v>1106</v>
      </c>
      <c r="B114" s="3"/>
      <c r="C114" s="1"/>
      <c r="D114" s="3"/>
      <c r="E114" s="3"/>
      <c r="F114" s="3"/>
      <c r="G114" s="3" t="s">
        <v>91</v>
      </c>
      <c r="H114" s="3"/>
      <c r="I114" s="3"/>
      <c r="J114" s="1" t="s">
        <v>1297</v>
      </c>
      <c r="K114" s="1" t="s">
        <v>1298</v>
      </c>
      <c r="L114" s="326" t="s">
        <v>1113</v>
      </c>
      <c r="M114" s="1"/>
      <c r="N114" s="1"/>
      <c r="O114" s="1"/>
      <c r="P114" s="1"/>
      <c r="Q114" s="1"/>
      <c r="R114" s="1"/>
      <c r="S114" s="1"/>
      <c r="T114" s="4"/>
      <c r="U114" s="4"/>
      <c r="V114" s="1"/>
      <c r="W114" s="1"/>
      <c r="X114" s="1"/>
    </row>
    <row r="115" spans="1:40" x14ac:dyDescent="0.25">
      <c r="A115" s="3" t="s">
        <v>1106</v>
      </c>
      <c r="B115" s="3"/>
      <c r="C115" s="1"/>
      <c r="D115" s="3"/>
      <c r="E115" s="3"/>
      <c r="F115" s="3"/>
      <c r="G115" s="3" t="s">
        <v>91</v>
      </c>
      <c r="H115" s="3"/>
      <c r="I115" s="3"/>
      <c r="J115" s="842" t="s">
        <v>1299</v>
      </c>
      <c r="K115" s="842" t="s">
        <v>1300</v>
      </c>
      <c r="L115" s="4" t="s">
        <v>1101</v>
      </c>
      <c r="M115" s="1"/>
      <c r="N115" s="1" t="s">
        <v>1170</v>
      </c>
      <c r="O115" s="1"/>
      <c r="P115" s="1"/>
      <c r="Q115" s="1"/>
      <c r="R115" s="1"/>
      <c r="S115" s="1"/>
      <c r="T115" s="4"/>
      <c r="U115" s="4"/>
      <c r="V115" s="1"/>
      <c r="W115" s="1"/>
      <c r="X115" s="1"/>
    </row>
    <row r="116" spans="1:40" x14ac:dyDescent="0.25">
      <c r="A116" s="3" t="s">
        <v>1106</v>
      </c>
      <c r="B116" s="3"/>
      <c r="C116" s="1"/>
      <c r="D116" s="3"/>
      <c r="E116" s="3"/>
      <c r="F116" s="3"/>
      <c r="G116" s="3" t="s">
        <v>91</v>
      </c>
      <c r="H116" s="3"/>
      <c r="I116" s="3"/>
      <c r="J116" s="842" t="s">
        <v>1301</v>
      </c>
      <c r="K116" s="842" t="s">
        <v>1302</v>
      </c>
      <c r="L116" s="4" t="s">
        <v>1101</v>
      </c>
      <c r="M116" s="1"/>
      <c r="N116" s="1" t="s">
        <v>1170</v>
      </c>
      <c r="O116" s="1"/>
      <c r="P116" s="1"/>
      <c r="Q116" s="1"/>
      <c r="R116" s="1"/>
      <c r="S116" s="1"/>
      <c r="T116" s="4"/>
      <c r="U116" s="4"/>
      <c r="V116" s="1"/>
      <c r="W116" s="1"/>
      <c r="X116" s="1"/>
    </row>
    <row r="117" spans="1:40" x14ac:dyDescent="0.25">
      <c r="A117" s="3" t="s">
        <v>1106</v>
      </c>
      <c r="B117" s="3"/>
      <c r="C117" s="1"/>
      <c r="D117" s="3"/>
      <c r="E117" s="3"/>
      <c r="F117" s="3"/>
      <c r="G117" s="3" t="s">
        <v>91</v>
      </c>
      <c r="H117" s="3"/>
      <c r="I117" s="3"/>
      <c r="J117" s="1" t="s">
        <v>1303</v>
      </c>
      <c r="K117" s="1" t="s">
        <v>1304</v>
      </c>
      <c r="L117" s="326" t="s">
        <v>1113</v>
      </c>
      <c r="M117" s="1"/>
      <c r="N117" s="1"/>
      <c r="O117" s="1"/>
      <c r="P117" s="1"/>
      <c r="Q117" s="1"/>
      <c r="R117" s="1"/>
      <c r="S117" s="1"/>
      <c r="T117" s="4"/>
      <c r="U117" s="4"/>
      <c r="V117" s="1"/>
      <c r="W117" s="1"/>
      <c r="X117" s="1"/>
    </row>
    <row r="118" spans="1:40" x14ac:dyDescent="0.25">
      <c r="A118" s="3" t="s">
        <v>1106</v>
      </c>
      <c r="B118" s="3"/>
      <c r="C118" s="1"/>
      <c r="D118" s="3"/>
      <c r="E118" s="3"/>
      <c r="F118" s="3"/>
      <c r="G118" s="3"/>
      <c r="H118" s="3" t="s">
        <v>91</v>
      </c>
      <c r="I118" s="3"/>
      <c r="J118" s="1" t="s">
        <v>1305</v>
      </c>
      <c r="K118" s="1" t="s">
        <v>1306</v>
      </c>
      <c r="L118" s="326" t="s">
        <v>1101</v>
      </c>
      <c r="M118" s="1"/>
      <c r="N118" s="1" t="s">
        <v>1207</v>
      </c>
      <c r="O118" s="1"/>
      <c r="P118" s="1"/>
      <c r="Q118" s="1"/>
      <c r="R118" s="1"/>
      <c r="S118" s="1"/>
      <c r="T118" s="4"/>
      <c r="U118" s="4"/>
      <c r="V118" s="1"/>
      <c r="W118" s="1"/>
      <c r="X118" s="1"/>
    </row>
    <row r="119" spans="1:40" x14ac:dyDescent="0.25">
      <c r="A119" s="3" t="s">
        <v>1106</v>
      </c>
      <c r="B119" s="3"/>
      <c r="C119" s="1"/>
      <c r="D119" s="3"/>
      <c r="E119" s="3"/>
      <c r="F119" s="3"/>
      <c r="G119" s="3"/>
      <c r="H119" s="3"/>
      <c r="I119" s="3" t="s">
        <v>91</v>
      </c>
      <c r="J119" s="1" t="s">
        <v>1307</v>
      </c>
      <c r="K119" s="1" t="s">
        <v>1308</v>
      </c>
      <c r="L119" s="326" t="s">
        <v>1101</v>
      </c>
      <c r="M119" s="1"/>
      <c r="N119" s="1" t="s">
        <v>1309</v>
      </c>
      <c r="O119" s="1"/>
      <c r="P119" s="1"/>
      <c r="Q119" s="1"/>
      <c r="R119" s="1"/>
      <c r="S119" s="1"/>
      <c r="T119" s="4"/>
      <c r="U119" s="4"/>
      <c r="V119" s="1"/>
      <c r="W119" s="1"/>
      <c r="X119" s="1"/>
    </row>
    <row r="120" spans="1:40" x14ac:dyDescent="0.25">
      <c r="A120" s="3" t="s">
        <v>1106</v>
      </c>
      <c r="B120" s="3"/>
      <c r="C120" s="1"/>
      <c r="D120" s="3"/>
      <c r="E120" s="3"/>
      <c r="F120" s="3"/>
      <c r="G120" s="3"/>
      <c r="H120" s="3"/>
      <c r="I120" s="3" t="s">
        <v>91</v>
      </c>
      <c r="J120" s="1" t="s">
        <v>1310</v>
      </c>
      <c r="K120" s="1" t="s">
        <v>1311</v>
      </c>
      <c r="L120" s="326" t="s">
        <v>1101</v>
      </c>
      <c r="M120" s="1"/>
      <c r="N120" s="1" t="s">
        <v>1309</v>
      </c>
      <c r="O120" s="1"/>
      <c r="P120" s="1"/>
      <c r="Q120" s="1"/>
      <c r="R120" s="1"/>
      <c r="S120" s="1"/>
      <c r="T120" s="4"/>
      <c r="U120" s="4"/>
      <c r="V120" s="1"/>
      <c r="W120" s="1"/>
      <c r="X120" s="1"/>
    </row>
    <row r="121" spans="1:40" x14ac:dyDescent="0.25">
      <c r="A121" s="3"/>
      <c r="B121" s="3"/>
      <c r="C121" s="1"/>
      <c r="D121" s="3"/>
      <c r="E121" s="3"/>
      <c r="F121" s="3" t="s">
        <v>91</v>
      </c>
      <c r="G121" s="3"/>
      <c r="H121" s="3"/>
      <c r="I121" s="3"/>
      <c r="J121" s="351" t="s">
        <v>1312</v>
      </c>
      <c r="K121" s="842"/>
      <c r="L121" s="326"/>
      <c r="M121" s="1"/>
      <c r="N121" s="1"/>
      <c r="O121" s="1"/>
      <c r="P121" s="1"/>
      <c r="Q121" s="1"/>
      <c r="R121" s="1"/>
      <c r="S121" s="1"/>
      <c r="T121" s="4"/>
      <c r="U121" s="4"/>
      <c r="V121" s="1"/>
      <c r="W121" s="1"/>
      <c r="X121" s="1"/>
    </row>
    <row r="122" spans="1:40" x14ac:dyDescent="0.25">
      <c r="A122" s="3" t="s">
        <v>1106</v>
      </c>
      <c r="B122" s="3"/>
      <c r="C122" s="1"/>
      <c r="D122" s="3"/>
      <c r="E122" s="3"/>
      <c r="F122" s="3" t="s">
        <v>91</v>
      </c>
      <c r="G122" s="3"/>
      <c r="H122" s="3"/>
      <c r="I122" s="3"/>
      <c r="J122" s="334" t="s">
        <v>1313</v>
      </c>
      <c r="K122" s="334" t="s">
        <v>1314</v>
      </c>
      <c r="L122" s="326" t="s">
        <v>1101</v>
      </c>
      <c r="M122" s="1"/>
      <c r="N122" s="1" t="s">
        <v>1315</v>
      </c>
      <c r="O122" s="1"/>
      <c r="P122" s="1"/>
      <c r="Q122" s="1"/>
      <c r="R122" s="1"/>
      <c r="S122" s="1"/>
      <c r="T122" s="4"/>
      <c r="U122" s="4"/>
      <c r="V122" s="1"/>
      <c r="W122" s="1"/>
      <c r="X122" s="1"/>
    </row>
    <row r="123" spans="1:40" ht="20.25" customHeight="1" x14ac:dyDescent="0.25">
      <c r="A123" s="3"/>
      <c r="B123" s="3"/>
      <c r="C123" s="742"/>
      <c r="D123" s="742" t="s">
        <v>91</v>
      </c>
      <c r="E123" s="1072" t="s">
        <v>1316</v>
      </c>
      <c r="F123" s="1072"/>
      <c r="G123" s="1072"/>
      <c r="H123" s="1072"/>
      <c r="I123" s="1072"/>
      <c r="J123" s="1072"/>
      <c r="K123" s="1073"/>
      <c r="L123" s="1074"/>
      <c r="M123" s="1075"/>
      <c r="N123" s="1075"/>
      <c r="O123" s="1075"/>
      <c r="P123" s="1075"/>
      <c r="Q123" s="1075"/>
      <c r="R123" s="1075"/>
      <c r="S123" s="1075"/>
      <c r="T123" s="1075"/>
      <c r="U123" s="1075"/>
      <c r="V123" s="1075"/>
      <c r="W123" s="1075"/>
      <c r="X123" s="1076"/>
      <c r="Y123" s="2"/>
      <c r="Z123" s="2"/>
      <c r="AA123" s="2"/>
      <c r="AB123" s="2"/>
      <c r="AC123" s="2"/>
      <c r="AD123" s="2"/>
      <c r="AE123" s="2"/>
      <c r="AF123" s="2"/>
      <c r="AG123" s="2"/>
      <c r="AH123" s="2"/>
      <c r="AI123" s="2"/>
      <c r="AJ123" s="2"/>
      <c r="AK123" s="2"/>
      <c r="AL123" s="2"/>
      <c r="AM123" s="2"/>
      <c r="AN123" s="2"/>
    </row>
    <row r="124" spans="1:40" x14ac:dyDescent="0.25">
      <c r="A124" s="3"/>
      <c r="B124" s="3"/>
      <c r="C124" s="1"/>
      <c r="D124" s="3"/>
      <c r="E124" s="3" t="s">
        <v>91</v>
      </c>
      <c r="F124" s="3"/>
      <c r="G124" s="3"/>
      <c r="H124" s="3"/>
      <c r="I124" s="3"/>
      <c r="J124" s="351" t="s">
        <v>1317</v>
      </c>
      <c r="K124" s="1"/>
      <c r="L124" s="326"/>
      <c r="M124" s="1"/>
      <c r="N124" s="1"/>
      <c r="O124" s="1"/>
      <c r="P124" s="1"/>
      <c r="Q124" s="1"/>
      <c r="R124" s="1"/>
      <c r="S124" s="1"/>
      <c r="T124" s="4"/>
      <c r="U124" s="4"/>
      <c r="V124" s="1"/>
      <c r="W124" s="1"/>
      <c r="X124" s="1"/>
    </row>
    <row r="125" spans="1:40" x14ac:dyDescent="0.25">
      <c r="A125" s="3" t="s">
        <v>1106</v>
      </c>
      <c r="B125" s="3"/>
      <c r="C125" s="1"/>
      <c r="D125" s="3"/>
      <c r="E125" s="3"/>
      <c r="F125" s="3" t="s">
        <v>91</v>
      </c>
      <c r="G125" s="3"/>
      <c r="H125" s="3"/>
      <c r="I125" s="3"/>
      <c r="J125" s="1" t="s">
        <v>1318</v>
      </c>
      <c r="K125" s="1" t="s">
        <v>1319</v>
      </c>
      <c r="L125" s="326" t="s">
        <v>1113</v>
      </c>
      <c r="M125" s="1"/>
      <c r="N125" s="1"/>
      <c r="O125" s="1"/>
      <c r="P125" s="1"/>
      <c r="Q125" s="1"/>
      <c r="R125" s="1"/>
      <c r="S125" s="1"/>
      <c r="T125" s="4"/>
      <c r="U125" s="4"/>
      <c r="V125" s="1"/>
      <c r="W125" s="1"/>
      <c r="X125" s="1"/>
    </row>
    <row r="126" spans="1:40" x14ac:dyDescent="0.25">
      <c r="A126" s="3" t="s">
        <v>1106</v>
      </c>
      <c r="B126" s="3"/>
      <c r="C126" s="1"/>
      <c r="D126" s="3"/>
      <c r="E126" s="3"/>
      <c r="F126" s="3" t="s">
        <v>91</v>
      </c>
      <c r="G126" s="3"/>
      <c r="H126" s="3"/>
      <c r="I126" s="3"/>
      <c r="J126" s="1" t="s">
        <v>1320</v>
      </c>
      <c r="K126" s="1" t="s">
        <v>1321</v>
      </c>
      <c r="L126" s="326" t="s">
        <v>1113</v>
      </c>
      <c r="M126" s="1"/>
      <c r="N126" s="1"/>
      <c r="O126" s="1"/>
      <c r="P126" s="1"/>
      <c r="Q126" s="1"/>
      <c r="R126" s="1"/>
      <c r="S126" s="1"/>
      <c r="T126" s="4"/>
      <c r="U126" s="4"/>
      <c r="V126" s="1"/>
      <c r="W126" s="1"/>
      <c r="X126" s="1"/>
    </row>
    <row r="127" spans="1:40" x14ac:dyDescent="0.25">
      <c r="A127" s="3"/>
      <c r="B127" s="3"/>
      <c r="C127" s="1"/>
      <c r="D127" s="3"/>
      <c r="E127" s="3" t="s">
        <v>91</v>
      </c>
      <c r="F127" s="3"/>
      <c r="G127" s="3"/>
      <c r="H127" s="3"/>
      <c r="I127" s="3"/>
      <c r="J127" s="351" t="s">
        <v>1322</v>
      </c>
      <c r="K127" s="1"/>
      <c r="L127" s="326"/>
      <c r="M127" s="1"/>
      <c r="N127" s="1"/>
      <c r="O127" s="1"/>
      <c r="P127" s="1"/>
      <c r="Q127" s="1"/>
      <c r="R127" s="1"/>
      <c r="S127" s="1"/>
      <c r="T127" s="4"/>
      <c r="U127" s="4"/>
      <c r="V127" s="1"/>
      <c r="W127" s="1"/>
      <c r="X127" s="1"/>
    </row>
    <row r="128" spans="1:40" x14ac:dyDescent="0.25">
      <c r="A128" s="3" t="s">
        <v>1106</v>
      </c>
      <c r="B128" s="3"/>
      <c r="C128" s="1"/>
      <c r="D128" s="3"/>
      <c r="E128" s="3"/>
      <c r="F128" s="3" t="s">
        <v>91</v>
      </c>
      <c r="G128" s="3"/>
      <c r="H128" s="3"/>
      <c r="I128" s="3"/>
      <c r="J128" s="1" t="s">
        <v>1323</v>
      </c>
      <c r="K128" s="1" t="s">
        <v>1324</v>
      </c>
      <c r="L128" s="326" t="s">
        <v>1113</v>
      </c>
      <c r="M128" s="1"/>
      <c r="N128" s="1"/>
      <c r="O128" s="1"/>
      <c r="P128" s="1"/>
      <c r="Q128" s="1"/>
      <c r="R128" s="1"/>
      <c r="S128" s="1"/>
      <c r="T128" s="4"/>
      <c r="U128" s="4"/>
      <c r="V128" s="1"/>
      <c r="W128" s="1"/>
      <c r="X128" s="1"/>
    </row>
    <row r="129" spans="1:40" x14ac:dyDescent="0.25">
      <c r="A129" s="3"/>
      <c r="B129" s="3"/>
      <c r="C129" s="1"/>
      <c r="D129" s="3"/>
      <c r="E129" s="3" t="s">
        <v>91</v>
      </c>
      <c r="F129" s="3"/>
      <c r="G129" s="3"/>
      <c r="H129" s="3"/>
      <c r="I129" s="3"/>
      <c r="J129" s="351" t="s">
        <v>1325</v>
      </c>
      <c r="K129" s="1"/>
      <c r="L129" s="326"/>
      <c r="M129" s="1"/>
      <c r="N129" s="1"/>
      <c r="O129" s="1"/>
      <c r="P129" s="1"/>
      <c r="Q129" s="1"/>
      <c r="R129" s="1"/>
      <c r="S129" s="1"/>
      <c r="T129" s="4"/>
      <c r="U129" s="4"/>
      <c r="V129" s="1"/>
      <c r="W129" s="1"/>
      <c r="X129" s="1"/>
    </row>
    <row r="130" spans="1:40" x14ac:dyDescent="0.25">
      <c r="A130" s="3" t="s">
        <v>1106</v>
      </c>
      <c r="B130" s="3"/>
      <c r="C130" s="1"/>
      <c r="D130" s="3"/>
      <c r="E130" s="3"/>
      <c r="F130" s="3" t="s">
        <v>91</v>
      </c>
      <c r="G130" s="3"/>
      <c r="H130" s="3"/>
      <c r="I130" s="3"/>
      <c r="J130" s="1" t="s">
        <v>1326</v>
      </c>
      <c r="K130" s="1" t="s">
        <v>1327</v>
      </c>
      <c r="L130" s="326" t="s">
        <v>1113</v>
      </c>
      <c r="M130" s="1"/>
      <c r="N130" s="1"/>
      <c r="O130" s="1"/>
      <c r="P130" s="1"/>
      <c r="Q130" s="1"/>
      <c r="R130" s="1"/>
      <c r="S130" s="1"/>
      <c r="T130" s="4"/>
      <c r="U130" s="4"/>
      <c r="V130" s="1"/>
      <c r="W130" s="1"/>
      <c r="X130" s="1"/>
    </row>
    <row r="131" spans="1:40" ht="20.25" customHeight="1" x14ac:dyDescent="0.25">
      <c r="A131" s="3"/>
      <c r="B131" s="3"/>
      <c r="C131" s="742"/>
      <c r="D131" s="742" t="s">
        <v>91</v>
      </c>
      <c r="E131" s="1072" t="s">
        <v>1328</v>
      </c>
      <c r="F131" s="1072"/>
      <c r="G131" s="1072"/>
      <c r="H131" s="1072"/>
      <c r="I131" s="1072"/>
      <c r="J131" s="1072"/>
      <c r="K131" s="1073"/>
      <c r="L131" s="1074"/>
      <c r="M131" s="1075"/>
      <c r="N131" s="1075"/>
      <c r="O131" s="1075"/>
      <c r="P131" s="1075"/>
      <c r="Q131" s="1075"/>
      <c r="R131" s="1075"/>
      <c r="S131" s="1075"/>
      <c r="T131" s="1075"/>
      <c r="U131" s="1075"/>
      <c r="V131" s="1075"/>
      <c r="W131" s="1075"/>
      <c r="X131" s="1076"/>
      <c r="Y131" s="2"/>
      <c r="Z131" s="2"/>
      <c r="AA131" s="2"/>
      <c r="AB131" s="2"/>
      <c r="AC131" s="2"/>
      <c r="AD131" s="2"/>
      <c r="AE131" s="2"/>
      <c r="AF131" s="2"/>
      <c r="AG131" s="2"/>
      <c r="AH131" s="2"/>
      <c r="AI131" s="2"/>
      <c r="AJ131" s="2"/>
      <c r="AK131" s="2"/>
      <c r="AL131" s="2"/>
      <c r="AM131" s="2"/>
      <c r="AN131" s="2"/>
    </row>
    <row r="132" spans="1:40" x14ac:dyDescent="0.25">
      <c r="A132" s="3" t="s">
        <v>1098</v>
      </c>
      <c r="B132" s="3"/>
      <c r="C132" s="1"/>
      <c r="D132" s="3"/>
      <c r="E132" s="3" t="s">
        <v>91</v>
      </c>
      <c r="F132" s="3"/>
      <c r="G132" s="3"/>
      <c r="H132" s="3"/>
      <c r="I132" s="3"/>
      <c r="J132" s="1" t="s">
        <v>1329</v>
      </c>
      <c r="K132" s="1" t="s">
        <v>1330</v>
      </c>
      <c r="L132" s="326" t="s">
        <v>1113</v>
      </c>
      <c r="M132" s="1"/>
      <c r="N132" s="1"/>
      <c r="O132" s="1"/>
      <c r="P132" s="1"/>
      <c r="Q132" s="1"/>
      <c r="R132" s="1"/>
      <c r="S132" s="1"/>
      <c r="T132" s="4"/>
      <c r="U132" s="4"/>
      <c r="V132" s="1"/>
      <c r="W132" s="1"/>
      <c r="X132" s="1"/>
    </row>
    <row r="133" spans="1:40" ht="20.25" customHeight="1" x14ac:dyDescent="0.25">
      <c r="A133" s="3"/>
      <c r="B133" s="3"/>
      <c r="C133" s="742"/>
      <c r="D133" s="742" t="s">
        <v>91</v>
      </c>
      <c r="E133" s="1072" t="s">
        <v>1331</v>
      </c>
      <c r="F133" s="1072"/>
      <c r="G133" s="1072"/>
      <c r="H133" s="1072"/>
      <c r="I133" s="1072"/>
      <c r="J133" s="1072"/>
      <c r="K133" s="1073"/>
      <c r="L133" s="1074"/>
      <c r="M133" s="1075"/>
      <c r="N133" s="1075"/>
      <c r="O133" s="1075"/>
      <c r="P133" s="1075"/>
      <c r="Q133" s="1075"/>
      <c r="R133" s="1075"/>
      <c r="S133" s="1075"/>
      <c r="T133" s="1075"/>
      <c r="U133" s="1075"/>
      <c r="V133" s="1075"/>
      <c r="W133" s="1075"/>
      <c r="X133" s="1076"/>
      <c r="Y133" s="2"/>
      <c r="Z133" s="2"/>
      <c r="AA133" s="2"/>
      <c r="AB133" s="2"/>
      <c r="AC133" s="2"/>
      <c r="AD133" s="2"/>
      <c r="AE133" s="2"/>
      <c r="AF133" s="2"/>
      <c r="AG133" s="2"/>
      <c r="AH133" s="2"/>
      <c r="AI133" s="2"/>
      <c r="AJ133" s="2"/>
      <c r="AK133" s="2"/>
      <c r="AL133" s="2"/>
      <c r="AM133" s="2"/>
      <c r="AN133" s="2"/>
    </row>
    <row r="134" spans="1:40" x14ac:dyDescent="0.25">
      <c r="A134" s="3" t="s">
        <v>1106</v>
      </c>
      <c r="B134" s="3"/>
      <c r="C134" s="1"/>
      <c r="D134" s="3"/>
      <c r="E134" s="3" t="s">
        <v>91</v>
      </c>
      <c r="F134" s="3"/>
      <c r="G134" s="3"/>
      <c r="H134" s="3"/>
      <c r="I134" s="3"/>
      <c r="J134" s="1" t="s">
        <v>1332</v>
      </c>
      <c r="K134" s="1" t="s">
        <v>1333</v>
      </c>
      <c r="L134" s="326" t="s">
        <v>1113</v>
      </c>
      <c r="M134" s="1"/>
      <c r="N134" s="1"/>
      <c r="O134" s="1"/>
      <c r="P134" s="1"/>
      <c r="Q134" s="1"/>
      <c r="R134" s="1"/>
      <c r="S134" s="1"/>
      <c r="T134" s="4"/>
      <c r="U134" s="4"/>
      <c r="V134" s="1"/>
      <c r="W134" s="1"/>
      <c r="X134" s="1"/>
    </row>
    <row r="135" spans="1:40" ht="20.25" customHeight="1" x14ac:dyDescent="0.25">
      <c r="A135" s="3"/>
      <c r="B135" s="3"/>
      <c r="C135" s="742"/>
      <c r="D135" s="742" t="s">
        <v>91</v>
      </c>
      <c r="E135" s="743" t="s">
        <v>1334</v>
      </c>
      <c r="F135" s="743"/>
      <c r="G135" s="743"/>
      <c r="H135" s="743"/>
      <c r="I135" s="743"/>
      <c r="J135" s="743"/>
      <c r="K135" s="744"/>
      <c r="L135" s="839"/>
      <c r="M135" s="746"/>
      <c r="N135" s="746"/>
      <c r="O135" s="746"/>
      <c r="P135" s="746"/>
      <c r="Q135" s="746"/>
      <c r="R135" s="746"/>
      <c r="S135" s="746"/>
      <c r="T135" s="746"/>
      <c r="U135" s="746"/>
      <c r="V135" s="746"/>
      <c r="W135" s="746"/>
      <c r="X135" s="745"/>
      <c r="Y135" s="2"/>
      <c r="Z135" s="2"/>
      <c r="AA135" s="2"/>
      <c r="AB135" s="2"/>
      <c r="AC135" s="2"/>
      <c r="AD135" s="2"/>
      <c r="AE135" s="2"/>
      <c r="AF135" s="2"/>
      <c r="AG135" s="2"/>
      <c r="AH135" s="2"/>
      <c r="AI135" s="2"/>
      <c r="AJ135" s="2"/>
      <c r="AK135" s="2"/>
      <c r="AL135" s="2"/>
      <c r="AM135" s="2"/>
      <c r="AN135" s="2"/>
    </row>
    <row r="136" spans="1:40" x14ac:dyDescent="0.25">
      <c r="A136" s="3" t="s">
        <v>1106</v>
      </c>
      <c r="B136" s="3"/>
      <c r="C136" s="1"/>
      <c r="D136" s="3"/>
      <c r="E136" s="3" t="s">
        <v>91</v>
      </c>
      <c r="F136" s="3"/>
      <c r="G136" s="3"/>
      <c r="H136" s="3"/>
      <c r="I136" s="3"/>
      <c r="J136" s="1" t="s">
        <v>1335</v>
      </c>
      <c r="K136" s="1" t="s">
        <v>1336</v>
      </c>
      <c r="L136" s="326" t="s">
        <v>1113</v>
      </c>
      <c r="M136" s="1"/>
      <c r="N136" s="1"/>
      <c r="O136" s="1"/>
      <c r="P136" s="1"/>
      <c r="Q136" s="1"/>
      <c r="R136" s="1"/>
      <c r="S136" s="1"/>
      <c r="T136" s="4"/>
      <c r="U136" s="4"/>
      <c r="V136" s="1"/>
      <c r="W136" s="1"/>
      <c r="X136" s="1"/>
    </row>
    <row r="137" spans="1:40" ht="20.25" customHeight="1" x14ac:dyDescent="0.25">
      <c r="A137" s="3"/>
      <c r="B137" s="3"/>
      <c r="C137" s="742"/>
      <c r="D137" s="742" t="s">
        <v>91</v>
      </c>
      <c r="E137" s="1072" t="s">
        <v>1337</v>
      </c>
      <c r="F137" s="1072"/>
      <c r="G137" s="1072"/>
      <c r="H137" s="1072"/>
      <c r="I137" s="1072"/>
      <c r="J137" s="1072"/>
      <c r="K137" s="1073"/>
      <c r="L137" s="1074"/>
      <c r="M137" s="1075"/>
      <c r="N137" s="1075"/>
      <c r="O137" s="1075"/>
      <c r="P137" s="1075"/>
      <c r="Q137" s="1075"/>
      <c r="R137" s="1075"/>
      <c r="S137" s="1075"/>
      <c r="T137" s="1075"/>
      <c r="U137" s="1075"/>
      <c r="V137" s="1075"/>
      <c r="W137" s="1075"/>
      <c r="X137" s="1076"/>
      <c r="Y137" s="2"/>
      <c r="Z137" s="2"/>
      <c r="AA137" s="2"/>
      <c r="AB137" s="2"/>
      <c r="AC137" s="2"/>
      <c r="AD137" s="2"/>
      <c r="AE137" s="2"/>
      <c r="AF137" s="2"/>
      <c r="AG137" s="2"/>
      <c r="AH137" s="2"/>
      <c r="AI137" s="2"/>
      <c r="AJ137" s="2"/>
      <c r="AK137" s="2"/>
      <c r="AL137" s="2"/>
      <c r="AM137" s="2"/>
      <c r="AN137" s="2"/>
    </row>
    <row r="138" spans="1:40" x14ac:dyDescent="0.25">
      <c r="A138" s="3"/>
      <c r="B138" s="3"/>
      <c r="C138" s="1"/>
      <c r="D138" s="3"/>
      <c r="E138" s="3" t="s">
        <v>91</v>
      </c>
      <c r="F138" s="3"/>
      <c r="G138" s="3"/>
      <c r="H138" s="3"/>
      <c r="I138" s="3"/>
      <c r="J138" s="351" t="s">
        <v>1338</v>
      </c>
      <c r="K138" s="1"/>
      <c r="L138" s="5"/>
      <c r="M138" s="1"/>
      <c r="N138" s="1"/>
      <c r="O138" s="1"/>
      <c r="P138" s="1"/>
      <c r="Q138" s="1"/>
      <c r="R138" s="1"/>
      <c r="S138" s="1"/>
      <c r="T138" s="4"/>
      <c r="U138" s="4"/>
      <c r="V138" s="1"/>
      <c r="W138" s="1"/>
      <c r="X138" s="1"/>
    </row>
    <row r="139" spans="1:40" x14ac:dyDescent="0.25">
      <c r="A139" s="3" t="s">
        <v>1106</v>
      </c>
      <c r="B139" s="3"/>
      <c r="C139" s="1"/>
      <c r="D139" s="3"/>
      <c r="E139" s="3"/>
      <c r="F139" s="3" t="s">
        <v>91</v>
      </c>
      <c r="G139" s="3"/>
      <c r="H139" s="3"/>
      <c r="I139" s="3"/>
      <c r="J139" s="1" t="s">
        <v>1339</v>
      </c>
      <c r="K139" s="1" t="s">
        <v>1340</v>
      </c>
      <c r="L139" s="4" t="s">
        <v>1101</v>
      </c>
      <c r="M139" s="1"/>
      <c r="N139" s="1"/>
      <c r="O139" s="1"/>
      <c r="P139" s="1"/>
      <c r="Q139" s="1"/>
      <c r="R139" s="1"/>
      <c r="S139" s="1"/>
      <c r="T139" s="4"/>
      <c r="U139" s="4"/>
      <c r="V139" s="1"/>
      <c r="W139" s="1"/>
      <c r="X139" s="1"/>
    </row>
    <row r="140" spans="1:40" x14ac:dyDescent="0.25">
      <c r="A140" s="3" t="s">
        <v>1106</v>
      </c>
      <c r="B140" s="3"/>
      <c r="C140" s="1"/>
      <c r="D140" s="3"/>
      <c r="E140" s="3"/>
      <c r="F140" s="3" t="s">
        <v>91</v>
      </c>
      <c r="G140" s="3"/>
      <c r="H140" s="3"/>
      <c r="I140" s="3"/>
      <c r="J140" s="1" t="s">
        <v>1341</v>
      </c>
      <c r="K140" s="1" t="s">
        <v>1342</v>
      </c>
      <c r="L140" s="4" t="s">
        <v>1101</v>
      </c>
      <c r="M140" s="1"/>
      <c r="N140" s="1"/>
      <c r="O140" s="1"/>
      <c r="P140" s="1"/>
      <c r="Q140" s="1"/>
      <c r="R140" s="1"/>
      <c r="S140" s="1"/>
      <c r="T140" s="4"/>
      <c r="U140" s="4"/>
      <c r="V140" s="1"/>
      <c r="W140" s="1"/>
      <c r="X140" s="1"/>
    </row>
    <row r="141" spans="1:40" ht="15.75" customHeight="1" x14ac:dyDescent="0.25">
      <c r="A141" s="3"/>
      <c r="B141" s="3"/>
      <c r="C141" s="1"/>
      <c r="D141" s="3"/>
      <c r="E141" s="3" t="s">
        <v>91</v>
      </c>
      <c r="F141" s="3"/>
      <c r="G141" s="3"/>
      <c r="H141" s="3"/>
      <c r="I141" s="3"/>
      <c r="J141" s="351" t="s">
        <v>1343</v>
      </c>
      <c r="K141" s="1"/>
      <c r="L141" s="326"/>
      <c r="M141" s="1"/>
      <c r="N141" s="1"/>
      <c r="O141" s="1"/>
      <c r="P141" s="1"/>
      <c r="Q141" s="1"/>
      <c r="R141" s="1"/>
      <c r="S141" s="1"/>
      <c r="T141" s="4"/>
      <c r="U141" s="4"/>
      <c r="V141" s="1"/>
      <c r="W141" s="1"/>
      <c r="X141" s="1"/>
    </row>
    <row r="142" spans="1:40" ht="15.75" customHeight="1" x14ac:dyDescent="0.25">
      <c r="A142" s="3" t="s">
        <v>1106</v>
      </c>
      <c r="B142" s="3"/>
      <c r="C142" s="1"/>
      <c r="D142" s="3"/>
      <c r="E142" s="3"/>
      <c r="F142" s="3" t="s">
        <v>91</v>
      </c>
      <c r="G142" s="3"/>
      <c r="H142" s="3"/>
      <c r="I142" s="3"/>
      <c r="J142" s="1" t="s">
        <v>1344</v>
      </c>
      <c r="K142" s="1" t="s">
        <v>1345</v>
      </c>
      <c r="L142" s="4" t="s">
        <v>1101</v>
      </c>
      <c r="M142" s="1"/>
      <c r="N142" s="1"/>
      <c r="O142" s="1"/>
      <c r="P142" s="1"/>
      <c r="Q142" s="1"/>
      <c r="R142" s="1"/>
      <c r="S142" s="1"/>
      <c r="T142" s="4"/>
      <c r="U142" s="4"/>
      <c r="V142" s="1"/>
      <c r="W142" s="1"/>
      <c r="X142" s="1"/>
    </row>
    <row r="143" spans="1:40" ht="15.75" customHeight="1" x14ac:dyDescent="0.25">
      <c r="A143" s="3" t="s">
        <v>1106</v>
      </c>
      <c r="B143" s="3"/>
      <c r="C143" s="1"/>
      <c r="D143" s="3"/>
      <c r="E143" s="3"/>
      <c r="F143" s="3" t="s">
        <v>91</v>
      </c>
      <c r="G143" s="3"/>
      <c r="H143" s="3"/>
      <c r="I143" s="3"/>
      <c r="J143" s="842" t="s">
        <v>1346</v>
      </c>
      <c r="K143" s="842" t="s">
        <v>1347</v>
      </c>
      <c r="L143" s="4" t="s">
        <v>1101</v>
      </c>
      <c r="M143" s="1"/>
      <c r="N143" s="1"/>
      <c r="O143" s="1"/>
      <c r="P143" s="1"/>
      <c r="Q143" s="1"/>
      <c r="R143" s="1"/>
      <c r="S143" s="1"/>
      <c r="T143" s="4"/>
      <c r="U143" s="4"/>
      <c r="V143" s="1"/>
      <c r="W143" s="1"/>
      <c r="X143" s="1"/>
    </row>
    <row r="144" spans="1:40" ht="20.25" customHeight="1" x14ac:dyDescent="0.25">
      <c r="A144" s="3"/>
      <c r="B144" s="3"/>
      <c r="C144" s="742"/>
      <c r="D144" s="742" t="s">
        <v>91</v>
      </c>
      <c r="E144" s="1072" t="s">
        <v>1348</v>
      </c>
      <c r="F144" s="1072"/>
      <c r="G144" s="1072"/>
      <c r="H144" s="1072"/>
      <c r="I144" s="1072"/>
      <c r="J144" s="1072"/>
      <c r="K144" s="1073"/>
      <c r="L144" s="1074"/>
      <c r="M144" s="1075"/>
      <c r="N144" s="1075"/>
      <c r="O144" s="1075"/>
      <c r="P144" s="1075"/>
      <c r="Q144" s="1075"/>
      <c r="R144" s="1075"/>
      <c r="S144" s="1075"/>
      <c r="T144" s="1075"/>
      <c r="U144" s="1075"/>
      <c r="V144" s="1075"/>
      <c r="W144" s="1075"/>
      <c r="X144" s="1076"/>
      <c r="Y144" s="2"/>
      <c r="Z144" s="2"/>
      <c r="AA144" s="2"/>
      <c r="AB144" s="2"/>
      <c r="AC144" s="2"/>
      <c r="AD144" s="2"/>
      <c r="AE144" s="2"/>
      <c r="AF144" s="2"/>
      <c r="AG144" s="2"/>
      <c r="AH144" s="2"/>
      <c r="AI144" s="2"/>
      <c r="AJ144" s="2"/>
      <c r="AK144" s="2"/>
      <c r="AL144" s="2"/>
      <c r="AM144" s="2"/>
      <c r="AN144" s="2"/>
    </row>
    <row r="145" spans="1:40" x14ac:dyDescent="0.25">
      <c r="A145" s="3" t="s">
        <v>1106</v>
      </c>
      <c r="B145" s="3"/>
      <c r="C145" s="1"/>
      <c r="D145" s="3"/>
      <c r="E145" s="3" t="s">
        <v>91</v>
      </c>
      <c r="F145" s="3"/>
      <c r="G145" s="3"/>
      <c r="H145" s="3"/>
      <c r="I145" s="3"/>
      <c r="J145" s="1" t="s">
        <v>1349</v>
      </c>
      <c r="K145" s="1" t="s">
        <v>1350</v>
      </c>
      <c r="L145" s="4" t="s">
        <v>1101</v>
      </c>
      <c r="M145" s="1"/>
      <c r="N145" s="1"/>
      <c r="O145" s="1"/>
      <c r="P145" s="1"/>
      <c r="Q145" s="1"/>
      <c r="R145" s="1"/>
      <c r="S145" s="1"/>
      <c r="T145" s="4"/>
      <c r="U145" s="4"/>
      <c r="V145" s="1"/>
      <c r="W145" s="1"/>
      <c r="X145" s="1"/>
    </row>
    <row r="146" spans="1:40" x14ac:dyDescent="0.25">
      <c r="A146" s="3" t="s">
        <v>1106</v>
      </c>
      <c r="B146" s="3"/>
      <c r="C146" s="1"/>
      <c r="D146" s="3"/>
      <c r="E146" s="3"/>
      <c r="F146" s="3" t="s">
        <v>91</v>
      </c>
      <c r="G146" s="3"/>
      <c r="H146" s="3"/>
      <c r="I146" s="3"/>
      <c r="J146" s="1" t="s">
        <v>1351</v>
      </c>
      <c r="K146" s="1" t="s">
        <v>1352</v>
      </c>
      <c r="L146" s="4" t="s">
        <v>1101</v>
      </c>
      <c r="M146" s="1"/>
      <c r="N146" s="1"/>
      <c r="O146" s="1"/>
      <c r="P146" s="1"/>
      <c r="Q146" s="1"/>
      <c r="R146" s="1"/>
      <c r="S146" s="1"/>
      <c r="T146" s="4"/>
      <c r="U146" s="4"/>
      <c r="V146" s="1"/>
      <c r="W146" s="1"/>
      <c r="X146" s="1"/>
    </row>
    <row r="147" spans="1:40" ht="15.75" customHeight="1" x14ac:dyDescent="0.25">
      <c r="A147" s="3" t="s">
        <v>1106</v>
      </c>
      <c r="B147" s="3"/>
      <c r="C147" s="1"/>
      <c r="D147" s="3"/>
      <c r="E147" s="3"/>
      <c r="F147" s="3" t="s">
        <v>91</v>
      </c>
      <c r="G147" s="3"/>
      <c r="H147" s="3"/>
      <c r="I147" s="3"/>
      <c r="J147" s="1" t="s">
        <v>1353</v>
      </c>
      <c r="K147" s="1" t="s">
        <v>1354</v>
      </c>
      <c r="L147" s="4" t="s">
        <v>1101</v>
      </c>
      <c r="M147" s="1"/>
      <c r="N147" s="1"/>
      <c r="O147" s="1"/>
      <c r="P147" s="1"/>
      <c r="Q147" s="1"/>
      <c r="R147" s="1"/>
      <c r="S147" s="1"/>
      <c r="T147" s="4"/>
      <c r="U147" s="4"/>
      <c r="V147" s="1"/>
      <c r="W147" s="1"/>
      <c r="X147" s="1"/>
    </row>
    <row r="148" spans="1:40" ht="20.25" customHeight="1" x14ac:dyDescent="0.25">
      <c r="A148" s="3"/>
      <c r="B148" s="3"/>
      <c r="C148" s="742"/>
      <c r="D148" s="742" t="s">
        <v>91</v>
      </c>
      <c r="E148" s="1072" t="s">
        <v>1355</v>
      </c>
      <c r="F148" s="1072"/>
      <c r="G148" s="1072"/>
      <c r="H148" s="1072"/>
      <c r="I148" s="1072"/>
      <c r="J148" s="1072"/>
      <c r="K148" s="1073"/>
      <c r="L148" s="1074"/>
      <c r="M148" s="1075"/>
      <c r="N148" s="1075"/>
      <c r="O148" s="1075"/>
      <c r="P148" s="1075"/>
      <c r="Q148" s="1075"/>
      <c r="R148" s="1075"/>
      <c r="S148" s="1075"/>
      <c r="T148" s="1075"/>
      <c r="U148" s="1075"/>
      <c r="V148" s="1075"/>
      <c r="W148" s="1075"/>
      <c r="X148" s="1076"/>
      <c r="Y148" s="2"/>
      <c r="Z148" s="2"/>
      <c r="AA148" s="2"/>
      <c r="AB148" s="2"/>
      <c r="AC148" s="2"/>
      <c r="AD148" s="2"/>
      <c r="AE148" s="2"/>
      <c r="AF148" s="2"/>
      <c r="AG148" s="2"/>
      <c r="AH148" s="2"/>
      <c r="AI148" s="2"/>
      <c r="AJ148" s="2"/>
      <c r="AK148" s="2"/>
      <c r="AL148" s="2"/>
      <c r="AM148" s="2"/>
      <c r="AN148" s="2"/>
    </row>
    <row r="149" spans="1:40" x14ac:dyDescent="0.25">
      <c r="A149" s="3" t="s">
        <v>1106</v>
      </c>
      <c r="B149" s="3"/>
      <c r="C149" s="1"/>
      <c r="D149" s="3"/>
      <c r="E149" s="3" t="s">
        <v>91</v>
      </c>
      <c r="F149" s="3"/>
      <c r="G149" s="3"/>
      <c r="H149" s="3"/>
      <c r="I149" s="3"/>
      <c r="J149" s="1" t="s">
        <v>1356</v>
      </c>
      <c r="K149" s="1" t="s">
        <v>1357</v>
      </c>
      <c r="L149" s="4" t="s">
        <v>1101</v>
      </c>
      <c r="M149" s="1"/>
      <c r="N149" s="1"/>
      <c r="O149" s="1"/>
      <c r="P149" s="1"/>
      <c r="Q149" s="1"/>
      <c r="R149" s="1"/>
      <c r="S149" s="1"/>
      <c r="T149" s="4"/>
      <c r="U149" s="4"/>
      <c r="V149" s="1"/>
      <c r="W149" s="1"/>
      <c r="X149" s="1"/>
    </row>
    <row r="150" spans="1:40" ht="20.25" customHeight="1" x14ac:dyDescent="0.25">
      <c r="A150" s="3"/>
      <c r="B150" s="3"/>
      <c r="C150" s="742"/>
      <c r="D150" s="742" t="s">
        <v>91</v>
      </c>
      <c r="E150" s="1072" t="s">
        <v>1358</v>
      </c>
      <c r="F150" s="1072"/>
      <c r="G150" s="1072"/>
      <c r="H150" s="1072"/>
      <c r="I150" s="1072"/>
      <c r="J150" s="1072"/>
      <c r="K150" s="1073"/>
      <c r="L150" s="1074"/>
      <c r="M150" s="1075"/>
      <c r="N150" s="1075"/>
      <c r="O150" s="1075"/>
      <c r="P150" s="1075"/>
      <c r="Q150" s="1075"/>
      <c r="R150" s="1075"/>
      <c r="S150" s="1075"/>
      <c r="T150" s="1075"/>
      <c r="U150" s="1075"/>
      <c r="V150" s="1075"/>
      <c r="W150" s="1075"/>
      <c r="X150" s="1076"/>
      <c r="Y150" s="2"/>
      <c r="Z150" s="2"/>
      <c r="AA150" s="2"/>
      <c r="AB150" s="2"/>
      <c r="AC150" s="2"/>
      <c r="AD150" s="2"/>
      <c r="AE150" s="2"/>
      <c r="AF150" s="2"/>
      <c r="AG150" s="2"/>
      <c r="AH150" s="2"/>
      <c r="AI150" s="2"/>
      <c r="AJ150" s="2"/>
      <c r="AK150" s="2"/>
      <c r="AL150" s="2"/>
      <c r="AM150" s="2"/>
      <c r="AN150" s="2"/>
    </row>
    <row r="151" spans="1:40" ht="15.75" customHeight="1" x14ac:dyDescent="0.25">
      <c r="A151" s="3"/>
      <c r="B151" s="3"/>
      <c r="C151" s="1"/>
      <c r="D151" s="3"/>
      <c r="E151" s="3" t="s">
        <v>91</v>
      </c>
      <c r="F151" s="3"/>
      <c r="G151" s="3"/>
      <c r="H151" s="3"/>
      <c r="I151" s="3"/>
      <c r="J151" s="351" t="s">
        <v>1359</v>
      </c>
      <c r="K151" s="1"/>
      <c r="L151" s="326"/>
      <c r="M151" s="1"/>
      <c r="N151" s="1" t="s">
        <v>1360</v>
      </c>
      <c r="O151" s="1"/>
      <c r="P151" s="1"/>
      <c r="Q151" s="1"/>
      <c r="R151" s="1"/>
      <c r="S151" s="1"/>
      <c r="T151" s="4"/>
      <c r="U151" s="4"/>
      <c r="V151" s="1"/>
      <c r="W151" s="1"/>
      <c r="X151" s="1"/>
    </row>
    <row r="152" spans="1:40" x14ac:dyDescent="0.25">
      <c r="A152" s="3" t="s">
        <v>1106</v>
      </c>
      <c r="B152" s="3"/>
      <c r="C152" s="1"/>
      <c r="D152" s="3"/>
      <c r="E152" s="3" t="s">
        <v>91</v>
      </c>
      <c r="F152" s="3"/>
      <c r="G152" s="3"/>
      <c r="H152" s="3"/>
      <c r="I152" s="3"/>
      <c r="J152" s="1" t="s">
        <v>1361</v>
      </c>
      <c r="K152" s="1" t="s">
        <v>1362</v>
      </c>
      <c r="L152" s="326" t="s">
        <v>1101</v>
      </c>
      <c r="M152" s="1"/>
      <c r="N152" s="1"/>
      <c r="O152" s="1"/>
      <c r="P152" s="1"/>
      <c r="Q152" s="1"/>
      <c r="R152" s="1"/>
      <c r="S152" s="1"/>
      <c r="T152" s="4"/>
      <c r="U152" s="4"/>
      <c r="V152" s="1"/>
      <c r="W152" s="1"/>
      <c r="X152" s="1"/>
    </row>
    <row r="153" spans="1:40" x14ac:dyDescent="0.25">
      <c r="A153" s="3" t="s">
        <v>1106</v>
      </c>
      <c r="B153" s="3"/>
      <c r="C153" s="1"/>
      <c r="D153" s="3"/>
      <c r="E153" s="3" t="s">
        <v>91</v>
      </c>
      <c r="F153" s="3"/>
      <c r="G153" s="3"/>
      <c r="H153" s="3"/>
      <c r="I153" s="3"/>
      <c r="J153" s="1" t="s">
        <v>1363</v>
      </c>
      <c r="K153" s="1" t="s">
        <v>1364</v>
      </c>
      <c r="L153" s="326" t="s">
        <v>1101</v>
      </c>
      <c r="M153" s="1"/>
      <c r="N153" s="1" t="s">
        <v>1365</v>
      </c>
      <c r="O153" s="1"/>
      <c r="P153" s="1"/>
      <c r="Q153" s="1"/>
      <c r="R153" s="1"/>
      <c r="S153" s="1"/>
      <c r="T153" s="4"/>
      <c r="U153" s="4"/>
      <c r="V153" s="1"/>
      <c r="W153" s="1"/>
      <c r="X153" s="1"/>
    </row>
    <row r="154" spans="1:40" ht="15.75" customHeight="1" x14ac:dyDescent="0.25">
      <c r="A154" s="3"/>
      <c r="B154" s="3"/>
      <c r="C154" s="1"/>
      <c r="D154" s="3"/>
      <c r="E154" s="3" t="s">
        <v>91</v>
      </c>
      <c r="F154" s="3"/>
      <c r="G154" s="3"/>
      <c r="H154" s="3"/>
      <c r="I154" s="3"/>
      <c r="J154" s="845" t="s">
        <v>1366</v>
      </c>
      <c r="K154" s="337"/>
      <c r="L154" s="340"/>
      <c r="M154" s="1"/>
      <c r="N154" s="1" t="s">
        <v>1367</v>
      </c>
      <c r="O154" s="1"/>
      <c r="P154" s="1"/>
      <c r="Q154" s="1"/>
      <c r="R154" s="1"/>
      <c r="S154" s="1"/>
      <c r="T154" s="4"/>
      <c r="U154" s="4"/>
      <c r="V154" s="1"/>
      <c r="W154" s="1"/>
      <c r="X154" s="1"/>
    </row>
    <row r="155" spans="1:40" ht="15.75" customHeight="1" x14ac:dyDescent="0.25">
      <c r="A155" s="3" t="s">
        <v>1106</v>
      </c>
      <c r="B155" s="3"/>
      <c r="C155" s="1"/>
      <c r="D155" s="3"/>
      <c r="E155" s="3" t="s">
        <v>91</v>
      </c>
      <c r="F155" s="3"/>
      <c r="G155" s="3"/>
      <c r="H155" s="3"/>
      <c r="I155" s="3"/>
      <c r="J155" s="337" t="s">
        <v>1368</v>
      </c>
      <c r="K155" s="337" t="s">
        <v>1369</v>
      </c>
      <c r="L155" s="340" t="s">
        <v>1131</v>
      </c>
      <c r="M155" s="1"/>
      <c r="N155" s="1"/>
      <c r="O155" s="1"/>
      <c r="P155" s="1"/>
      <c r="Q155" s="1"/>
      <c r="R155" s="1"/>
      <c r="S155" s="1"/>
      <c r="T155" s="4"/>
      <c r="U155" s="4"/>
      <c r="V155" s="1"/>
      <c r="W155" s="1"/>
      <c r="X155" s="1"/>
    </row>
    <row r="156" spans="1:40" ht="20.25" customHeight="1" x14ac:dyDescent="0.25">
      <c r="A156" s="3"/>
      <c r="B156" s="3"/>
      <c r="C156" s="742"/>
      <c r="D156" s="742" t="s">
        <v>91</v>
      </c>
      <c r="E156" s="743" t="s">
        <v>1370</v>
      </c>
      <c r="F156" s="743"/>
      <c r="G156" s="743"/>
      <c r="H156" s="743"/>
      <c r="I156" s="743"/>
      <c r="J156" s="743"/>
      <c r="K156" s="744"/>
      <c r="L156" s="839"/>
      <c r="M156" s="746"/>
      <c r="N156" s="746"/>
      <c r="O156" s="746"/>
      <c r="P156" s="746"/>
      <c r="Q156" s="746"/>
      <c r="R156" s="746"/>
      <c r="S156" s="746"/>
      <c r="T156" s="746"/>
      <c r="U156" s="746"/>
      <c r="V156" s="746"/>
      <c r="W156" s="746"/>
      <c r="X156" s="745"/>
      <c r="Y156" s="2"/>
      <c r="Z156" s="2"/>
      <c r="AA156" s="2"/>
      <c r="AB156" s="2"/>
      <c r="AC156" s="2"/>
      <c r="AD156" s="2"/>
      <c r="AE156" s="2"/>
      <c r="AF156" s="2"/>
      <c r="AG156" s="2"/>
      <c r="AH156" s="2"/>
      <c r="AI156" s="2"/>
      <c r="AJ156" s="2"/>
      <c r="AK156" s="2"/>
      <c r="AL156" s="2"/>
      <c r="AM156" s="2"/>
      <c r="AN156" s="2"/>
    </row>
    <row r="157" spans="1:40" ht="15.75" customHeight="1" x14ac:dyDescent="0.25">
      <c r="A157" s="3" t="s">
        <v>1106</v>
      </c>
      <c r="B157" s="3"/>
      <c r="C157" s="1"/>
      <c r="D157" s="3"/>
      <c r="E157" s="3" t="s">
        <v>91</v>
      </c>
      <c r="F157" s="3"/>
      <c r="G157" s="3"/>
      <c r="H157" s="3"/>
      <c r="I157" s="3"/>
      <c r="J157" s="1" t="s">
        <v>1371</v>
      </c>
      <c r="K157" s="1" t="s">
        <v>1372</v>
      </c>
      <c r="L157" s="326" t="s">
        <v>1101</v>
      </c>
      <c r="M157" s="1"/>
      <c r="N157" s="714" t="str">
        <f>HYPERLINK("http://wbt.gdvz.de/delst/prufungsordnung/#/", "http://wbt.gdvz.de/delst/prufungsordnung/#/")</f>
        <v>http://wbt.gdvz.de/delst/prufungsordnung/#/</v>
      </c>
      <c r="O157" s="1"/>
      <c r="P157" s="1"/>
      <c r="Q157" s="1"/>
      <c r="R157" s="1"/>
      <c r="S157" s="1"/>
      <c r="T157" s="4"/>
      <c r="U157" s="4"/>
      <c r="V157" s="1"/>
      <c r="W157" s="1"/>
      <c r="X157" s="1"/>
    </row>
    <row r="158" spans="1:40" ht="15.75" customHeight="1" x14ac:dyDescent="0.25">
      <c r="A158" s="3" t="s">
        <v>1106</v>
      </c>
      <c r="B158" s="3"/>
      <c r="C158" s="1"/>
      <c r="D158" s="3"/>
      <c r="E158" s="3" t="s">
        <v>91</v>
      </c>
      <c r="F158" s="3"/>
      <c r="G158" s="3"/>
      <c r="H158" s="3"/>
      <c r="I158" s="3"/>
      <c r="J158" s="1" t="s">
        <v>1373</v>
      </c>
      <c r="K158" s="1" t="s">
        <v>1374</v>
      </c>
      <c r="L158" s="326" t="s">
        <v>1101</v>
      </c>
      <c r="M158" s="1"/>
      <c r="N158" s="714" t="str">
        <f>HYPERLINK("https://www.delst.de/de/gebuehrenordnung/", "https://www.delst.de/de/gebuehrenordnung/")</f>
        <v>https://www.delst.de/de/gebuehrenordnung/</v>
      </c>
      <c r="O158" s="1"/>
      <c r="P158" s="1"/>
      <c r="Q158" s="1"/>
      <c r="R158" s="1"/>
      <c r="S158" s="1"/>
      <c r="T158" s="4"/>
      <c r="U158" s="4"/>
      <c r="V158" s="1"/>
      <c r="W158" s="1"/>
      <c r="X158" s="1"/>
    </row>
    <row r="159" spans="1:40" ht="15.75" customHeight="1" x14ac:dyDescent="0.25">
      <c r="A159" s="3" t="s">
        <v>1106</v>
      </c>
      <c r="B159" s="3"/>
      <c r="C159" s="1"/>
      <c r="D159" s="3"/>
      <c r="E159" s="3" t="s">
        <v>91</v>
      </c>
      <c r="F159" s="3"/>
      <c r="G159" s="3"/>
      <c r="H159" s="3"/>
      <c r="I159" s="3"/>
      <c r="J159" s="1" t="s">
        <v>1375</v>
      </c>
      <c r="K159" s="1" t="s">
        <v>1376</v>
      </c>
      <c r="L159" s="326" t="s">
        <v>1101</v>
      </c>
      <c r="M159" s="1"/>
      <c r="N159" s="714" t="str">
        <f>HYPERLINK("http://wbt.gdvz.de/delst/aus-und-weiterbildungsanleitung/#/", "http://wbt.gdvz.de/delst/aus-und-weiterbildungsanleitung/#/")</f>
        <v>http://wbt.gdvz.de/delst/aus-und-weiterbildungsanleitung/#/</v>
      </c>
      <c r="O159" s="1"/>
      <c r="P159" s="1"/>
      <c r="Q159" s="1"/>
      <c r="R159" s="1"/>
      <c r="S159" s="1"/>
      <c r="T159" s="4"/>
      <c r="U159" s="4"/>
      <c r="V159" s="1"/>
      <c r="W159" s="1"/>
      <c r="X159" s="1"/>
    </row>
    <row r="160" spans="1:40" ht="20.25" customHeight="1" x14ac:dyDescent="0.25">
      <c r="A160" s="3"/>
      <c r="B160" s="3"/>
      <c r="C160" s="742"/>
      <c r="D160" s="742" t="s">
        <v>91</v>
      </c>
      <c r="E160" s="1072" t="s">
        <v>1377</v>
      </c>
      <c r="F160" s="1072"/>
      <c r="G160" s="1072"/>
      <c r="H160" s="1072"/>
      <c r="I160" s="1072"/>
      <c r="J160" s="1072"/>
      <c r="K160" s="1073"/>
      <c r="L160" s="1074"/>
      <c r="M160" s="1075"/>
      <c r="N160" s="1075"/>
      <c r="O160" s="1075"/>
      <c r="P160" s="1075"/>
      <c r="Q160" s="1075"/>
      <c r="R160" s="1075"/>
      <c r="S160" s="1075"/>
      <c r="T160" s="1075"/>
      <c r="U160" s="1075"/>
      <c r="V160" s="1075"/>
      <c r="W160" s="1075"/>
      <c r="X160" s="1076"/>
      <c r="Y160" s="2"/>
      <c r="Z160" s="2"/>
      <c r="AA160" s="2"/>
      <c r="AB160" s="2"/>
      <c r="AC160" s="2"/>
      <c r="AD160" s="2"/>
      <c r="AE160" s="2"/>
      <c r="AF160" s="2"/>
      <c r="AG160" s="2"/>
      <c r="AH160" s="2"/>
      <c r="AI160" s="2"/>
      <c r="AJ160" s="2"/>
      <c r="AK160" s="2"/>
      <c r="AL160" s="2"/>
      <c r="AM160" s="2"/>
      <c r="AN160" s="2"/>
    </row>
    <row r="161" spans="1:40" x14ac:dyDescent="0.25">
      <c r="A161" s="3" t="s">
        <v>1106</v>
      </c>
      <c r="B161" s="3"/>
      <c r="C161" s="1"/>
      <c r="D161" s="3"/>
      <c r="E161" s="3" t="s">
        <v>91</v>
      </c>
      <c r="F161" s="3"/>
      <c r="G161" s="3"/>
      <c r="H161" s="3"/>
      <c r="I161" s="3"/>
      <c r="J161" s="337" t="s">
        <v>1378</v>
      </c>
      <c r="K161" s="337" t="s">
        <v>1379</v>
      </c>
      <c r="L161" s="340" t="s">
        <v>1380</v>
      </c>
      <c r="M161" s="1"/>
      <c r="N161" s="1"/>
      <c r="O161" s="1"/>
      <c r="P161" s="1"/>
      <c r="Q161" s="1"/>
      <c r="R161" s="1"/>
      <c r="S161" s="1"/>
      <c r="T161" s="4"/>
      <c r="U161" s="4"/>
      <c r="V161" s="1"/>
      <c r="W161" s="1"/>
      <c r="X161" s="1"/>
    </row>
    <row r="162" spans="1:40" ht="20.25" customHeight="1" x14ac:dyDescent="0.25">
      <c r="A162" s="3"/>
      <c r="B162" s="3"/>
      <c r="C162" s="742"/>
      <c r="D162" s="742" t="s">
        <v>91</v>
      </c>
      <c r="E162" s="1072" t="s">
        <v>1381</v>
      </c>
      <c r="F162" s="1072"/>
      <c r="G162" s="1072"/>
      <c r="H162" s="1072"/>
      <c r="I162" s="1072"/>
      <c r="J162" s="1072"/>
      <c r="K162" s="1073"/>
      <c r="L162" s="1074"/>
      <c r="M162" s="1075"/>
      <c r="N162" s="1075"/>
      <c r="O162" s="1075"/>
      <c r="P162" s="1075"/>
      <c r="Q162" s="1075"/>
      <c r="R162" s="1075"/>
      <c r="S162" s="1075"/>
      <c r="T162" s="1075"/>
      <c r="U162" s="1075"/>
      <c r="V162" s="1075"/>
      <c r="W162" s="1075"/>
      <c r="X162" s="1076"/>
      <c r="Y162" s="2"/>
      <c r="Z162" s="2"/>
      <c r="AA162" s="2"/>
      <c r="AB162" s="2"/>
      <c r="AC162" s="2"/>
      <c r="AD162" s="2"/>
      <c r="AE162" s="2"/>
      <c r="AF162" s="2"/>
      <c r="AG162" s="2"/>
      <c r="AH162" s="2"/>
      <c r="AI162" s="2"/>
      <c r="AJ162" s="2"/>
      <c r="AK162" s="2"/>
      <c r="AL162" s="2"/>
      <c r="AM162" s="2"/>
      <c r="AN162" s="2"/>
    </row>
    <row r="163" spans="1:40" x14ac:dyDescent="0.25">
      <c r="A163" s="3"/>
      <c r="B163" s="3"/>
      <c r="C163" s="1"/>
      <c r="D163" s="3"/>
      <c r="E163" s="3" t="s">
        <v>91</v>
      </c>
      <c r="F163" s="3"/>
      <c r="G163" s="3"/>
      <c r="H163" s="3"/>
      <c r="I163" s="3"/>
      <c r="J163" s="845" t="s">
        <v>1382</v>
      </c>
      <c r="K163" s="337"/>
      <c r="L163" s="340"/>
      <c r="M163" s="1"/>
      <c r="N163" s="1"/>
      <c r="O163" s="1"/>
      <c r="P163" s="1"/>
      <c r="Q163" s="1"/>
      <c r="R163" s="1"/>
      <c r="S163" s="1"/>
      <c r="T163" s="4"/>
      <c r="U163" s="4"/>
      <c r="V163" s="1"/>
      <c r="W163" s="1"/>
      <c r="X163" s="1"/>
    </row>
    <row r="164" spans="1:40" x14ac:dyDescent="0.25">
      <c r="A164" s="3" t="s">
        <v>1106</v>
      </c>
      <c r="B164" s="3"/>
      <c r="C164" s="1"/>
      <c r="D164" s="3"/>
      <c r="E164" s="3"/>
      <c r="F164" s="3" t="s">
        <v>91</v>
      </c>
      <c r="G164" s="3"/>
      <c r="H164" s="3"/>
      <c r="I164" s="3"/>
      <c r="J164" s="337" t="s">
        <v>1383</v>
      </c>
      <c r="K164" s="337" t="s">
        <v>1384</v>
      </c>
      <c r="L164" s="340" t="s">
        <v>1385</v>
      </c>
      <c r="M164" s="1"/>
      <c r="N164" s="1" t="s">
        <v>1386</v>
      </c>
      <c r="O164" s="1"/>
      <c r="P164" s="1"/>
      <c r="Q164" s="1"/>
      <c r="R164" s="1"/>
      <c r="S164" s="1"/>
      <c r="T164" s="4"/>
      <c r="U164" s="4"/>
      <c r="V164" s="1"/>
      <c r="W164" s="1"/>
      <c r="X164" s="1"/>
    </row>
    <row r="165" spans="1:40" x14ac:dyDescent="0.25">
      <c r="A165" s="3" t="s">
        <v>1106</v>
      </c>
      <c r="B165" s="3"/>
      <c r="C165" s="1"/>
      <c r="D165" s="3"/>
      <c r="E165" s="3"/>
      <c r="F165" s="3" t="s">
        <v>91</v>
      </c>
      <c r="G165" s="3"/>
      <c r="H165" s="3"/>
      <c r="I165" s="3"/>
      <c r="J165" s="337" t="s">
        <v>1387</v>
      </c>
      <c r="K165" s="337" t="s">
        <v>1388</v>
      </c>
      <c r="L165" s="340" t="s">
        <v>1385</v>
      </c>
      <c r="M165" s="1"/>
      <c r="N165" s="1" t="s">
        <v>1389</v>
      </c>
      <c r="O165" s="1"/>
      <c r="P165" s="1"/>
      <c r="Q165" s="1"/>
      <c r="R165" s="1"/>
      <c r="S165" s="1"/>
      <c r="T165" s="4"/>
      <c r="U165" s="4"/>
      <c r="V165" s="1"/>
      <c r="W165" s="1"/>
      <c r="X165" s="1"/>
    </row>
    <row r="166" spans="1:40" ht="15.75" customHeight="1" x14ac:dyDescent="0.25">
      <c r="A166" s="3"/>
      <c r="B166" s="3"/>
      <c r="C166" s="1"/>
      <c r="D166" s="3"/>
      <c r="E166" s="3" t="s">
        <v>91</v>
      </c>
      <c r="F166" s="3"/>
      <c r="G166" s="3"/>
      <c r="H166" s="3"/>
      <c r="I166" s="3"/>
      <c r="J166" s="351" t="s">
        <v>1390</v>
      </c>
      <c r="K166" s="1"/>
      <c r="L166" s="4"/>
      <c r="M166" s="1"/>
      <c r="N166" s="1"/>
      <c r="O166" s="1"/>
      <c r="P166" s="1"/>
      <c r="Q166" s="1"/>
      <c r="R166" s="1"/>
      <c r="S166" s="1"/>
      <c r="T166" s="4"/>
      <c r="U166" s="4"/>
      <c r="V166" s="1"/>
      <c r="W166" s="1"/>
      <c r="X166" s="1"/>
    </row>
    <row r="167" spans="1:40" ht="15.75" customHeight="1" x14ac:dyDescent="0.25">
      <c r="A167" s="3" t="s">
        <v>1106</v>
      </c>
      <c r="B167" s="3"/>
      <c r="C167" s="1"/>
      <c r="D167" s="3"/>
      <c r="E167" s="3"/>
      <c r="F167" s="3" t="s">
        <v>91</v>
      </c>
      <c r="G167" s="3"/>
      <c r="H167" s="3"/>
      <c r="I167" s="3"/>
      <c r="J167" s="1" t="s">
        <v>1391</v>
      </c>
      <c r="K167" s="1" t="s">
        <v>1392</v>
      </c>
      <c r="L167" s="4" t="s">
        <v>1101</v>
      </c>
      <c r="M167" s="1"/>
      <c r="N167" s="1"/>
      <c r="O167" s="1"/>
      <c r="P167" s="1"/>
      <c r="Q167" s="1"/>
      <c r="R167" s="1"/>
      <c r="S167" s="1"/>
      <c r="T167" s="4"/>
      <c r="U167" s="4"/>
      <c r="V167" s="1"/>
      <c r="W167" s="1"/>
      <c r="X167" s="1"/>
    </row>
    <row r="168" spans="1:40" ht="15.75" customHeight="1" x14ac:dyDescent="0.25">
      <c r="A168" s="3" t="s">
        <v>1106</v>
      </c>
      <c r="B168" s="3"/>
      <c r="C168" s="1"/>
      <c r="D168" s="3"/>
      <c r="E168" s="3"/>
      <c r="F168" s="3" t="s">
        <v>91</v>
      </c>
      <c r="G168" s="3"/>
      <c r="H168" s="3"/>
      <c r="I168" s="3"/>
      <c r="J168" s="1" t="s">
        <v>1393</v>
      </c>
      <c r="K168" s="1" t="s">
        <v>1394</v>
      </c>
      <c r="L168" s="4" t="s">
        <v>1101</v>
      </c>
      <c r="M168" s="1"/>
      <c r="N168" s="1"/>
      <c r="O168" s="1"/>
      <c r="P168" s="1"/>
      <c r="Q168" s="1"/>
      <c r="R168" s="1"/>
      <c r="S168" s="1"/>
      <c r="T168" s="4"/>
      <c r="U168" s="4"/>
      <c r="V168" s="1"/>
      <c r="W168" s="1"/>
      <c r="X168" s="1"/>
    </row>
    <row r="169" spans="1:40" ht="20.25" customHeight="1" x14ac:dyDescent="0.25">
      <c r="A169" s="3"/>
      <c r="B169" s="3"/>
      <c r="C169" s="742"/>
      <c r="D169" s="742"/>
      <c r="E169" s="1072"/>
      <c r="F169" s="1072"/>
      <c r="G169" s="1072"/>
      <c r="H169" s="1072"/>
      <c r="I169" s="1072"/>
      <c r="J169" s="1072"/>
      <c r="K169" s="1073"/>
      <c r="L169" s="1074"/>
      <c r="M169" s="1075"/>
      <c r="N169" s="1075"/>
      <c r="O169" s="1075"/>
      <c r="P169" s="1075"/>
      <c r="Q169" s="1075"/>
      <c r="R169" s="1075"/>
      <c r="S169" s="1075"/>
      <c r="T169" s="1075"/>
      <c r="U169" s="1075"/>
      <c r="V169" s="1075"/>
      <c r="W169" s="1075"/>
      <c r="X169" s="1076"/>
      <c r="Y169" s="2"/>
      <c r="Z169" s="2"/>
      <c r="AA169" s="2"/>
      <c r="AB169" s="2"/>
      <c r="AC169" s="2"/>
      <c r="AD169" s="2"/>
      <c r="AE169" s="2"/>
      <c r="AF169" s="2"/>
      <c r="AG169" s="2"/>
      <c r="AH169" s="2"/>
      <c r="AI169" s="2"/>
      <c r="AJ169" s="2"/>
      <c r="AK169" s="2"/>
      <c r="AL169" s="2"/>
      <c r="AM169" s="2"/>
      <c r="AN169" s="2"/>
    </row>
    <row r="170" spans="1:40" ht="15.75" customHeight="1" x14ac:dyDescent="0.25">
      <c r="A170" s="3"/>
      <c r="B170" s="3"/>
      <c r="C170" s="1"/>
      <c r="D170" s="3"/>
      <c r="E170" s="3"/>
      <c r="F170" s="3"/>
      <c r="G170" s="3"/>
      <c r="H170" s="3"/>
      <c r="I170" s="3"/>
      <c r="J170" s="1"/>
      <c r="K170" s="1"/>
      <c r="L170" s="326"/>
      <c r="M170" s="1"/>
      <c r="N170" s="1"/>
      <c r="O170" s="1"/>
      <c r="P170" s="1"/>
      <c r="Q170" s="1"/>
      <c r="R170" s="1"/>
      <c r="S170" s="1"/>
      <c r="T170" s="4"/>
      <c r="U170" s="4"/>
      <c r="V170" s="1"/>
      <c r="W170" s="1"/>
      <c r="X170" s="1"/>
    </row>
    <row r="171" spans="1:40" ht="15.75" customHeight="1" x14ac:dyDescent="0.25">
      <c r="A171" s="3"/>
      <c r="B171" s="3"/>
      <c r="C171" s="1"/>
      <c r="D171" s="3"/>
      <c r="E171" s="3"/>
      <c r="F171" s="3"/>
      <c r="G171" s="3"/>
      <c r="H171" s="3"/>
      <c r="I171" s="3"/>
      <c r="J171" s="1"/>
      <c r="K171" s="1"/>
      <c r="L171" s="326"/>
      <c r="M171" s="1"/>
      <c r="N171" s="1"/>
      <c r="O171" s="1"/>
      <c r="P171" s="1"/>
      <c r="Q171" s="1"/>
      <c r="R171" s="1"/>
      <c r="S171" s="1"/>
      <c r="T171" s="4"/>
      <c r="U171" s="4"/>
      <c r="V171" s="1"/>
      <c r="W171" s="1"/>
      <c r="X171" s="1"/>
    </row>
    <row r="172" spans="1:40" ht="15.75" customHeight="1" x14ac:dyDescent="0.25">
      <c r="A172" s="3"/>
      <c r="B172" s="3"/>
      <c r="C172" s="1"/>
      <c r="D172" s="3"/>
      <c r="E172" s="3"/>
      <c r="F172" s="3"/>
      <c r="G172" s="3"/>
      <c r="H172" s="3"/>
      <c r="I172" s="3"/>
      <c r="J172" s="1"/>
      <c r="K172" s="1"/>
      <c r="L172" s="326"/>
      <c r="M172" s="1"/>
      <c r="N172" s="1"/>
      <c r="O172" s="1"/>
      <c r="P172" s="1"/>
      <c r="Q172" s="1"/>
      <c r="R172" s="1"/>
      <c r="S172" s="1"/>
      <c r="T172" s="4"/>
      <c r="U172" s="4"/>
      <c r="V172" s="1"/>
      <c r="W172" s="1"/>
      <c r="X172" s="1"/>
    </row>
    <row r="173" spans="1:40" ht="15.75" customHeight="1" x14ac:dyDescent="0.25">
      <c r="A173" s="3"/>
      <c r="B173" s="3"/>
      <c r="C173" s="1"/>
      <c r="D173" s="3"/>
      <c r="E173" s="3"/>
      <c r="F173" s="3"/>
      <c r="G173" s="3"/>
      <c r="H173" s="3"/>
      <c r="I173" s="3"/>
      <c r="J173" s="1"/>
      <c r="K173" s="1"/>
      <c r="L173" s="326"/>
      <c r="M173" s="1"/>
      <c r="N173" s="1"/>
      <c r="O173" s="1"/>
      <c r="P173" s="1"/>
      <c r="Q173" s="1"/>
      <c r="R173" s="1"/>
      <c r="S173" s="1"/>
      <c r="T173" s="4"/>
      <c r="U173" s="4"/>
      <c r="V173" s="1"/>
      <c r="W173" s="1"/>
      <c r="X173" s="1"/>
    </row>
    <row r="174" spans="1:40" ht="15.75" customHeight="1" x14ac:dyDescent="0.25">
      <c r="A174" s="3"/>
      <c r="B174" s="3"/>
      <c r="C174" s="1"/>
      <c r="D174" s="3"/>
      <c r="E174" s="3"/>
      <c r="F174" s="3"/>
      <c r="G174" s="3"/>
      <c r="H174" s="3"/>
      <c r="I174" s="3"/>
      <c r="J174" s="1"/>
      <c r="K174" s="1"/>
      <c r="L174" s="326"/>
      <c r="M174" s="1"/>
      <c r="N174" s="1"/>
      <c r="O174" s="1"/>
      <c r="P174" s="1"/>
      <c r="Q174" s="1"/>
      <c r="R174" s="1"/>
      <c r="S174" s="1"/>
      <c r="T174" s="4"/>
      <c r="U174" s="4"/>
      <c r="V174" s="1"/>
      <c r="W174" s="1"/>
      <c r="X174" s="1"/>
    </row>
    <row r="175" spans="1:40" ht="15.75" customHeight="1" x14ac:dyDescent="0.25">
      <c r="A175" s="3"/>
      <c r="B175" s="3"/>
      <c r="C175" s="1"/>
      <c r="D175" s="3"/>
      <c r="E175" s="3"/>
      <c r="F175" s="3"/>
      <c r="G175" s="3"/>
      <c r="H175" s="3"/>
      <c r="I175" s="3"/>
      <c r="J175" s="1"/>
      <c r="K175" s="1"/>
      <c r="L175" s="326"/>
      <c r="M175" s="1"/>
      <c r="N175" s="1"/>
      <c r="O175" s="1"/>
      <c r="P175" s="1"/>
      <c r="Q175" s="1"/>
      <c r="R175" s="1"/>
      <c r="S175" s="1"/>
      <c r="T175" s="4"/>
      <c r="U175" s="4"/>
      <c r="V175" s="1"/>
      <c r="W175" s="1"/>
      <c r="X175" s="1"/>
    </row>
    <row r="176" spans="1:40" ht="15.75" customHeight="1" x14ac:dyDescent="0.25">
      <c r="A176" s="3"/>
      <c r="B176" s="3"/>
      <c r="C176" s="1"/>
      <c r="D176" s="3"/>
      <c r="E176" s="3"/>
      <c r="F176" s="3"/>
      <c r="G176" s="3"/>
      <c r="H176" s="3"/>
      <c r="I176" s="3"/>
      <c r="J176" s="1"/>
      <c r="K176" s="1"/>
      <c r="L176" s="5"/>
      <c r="M176" s="1"/>
      <c r="N176" s="1"/>
      <c r="O176" s="1"/>
      <c r="P176" s="1"/>
      <c r="Q176" s="1"/>
      <c r="R176" s="1"/>
      <c r="S176" s="1"/>
      <c r="T176" s="4"/>
      <c r="U176" s="4"/>
      <c r="V176" s="1"/>
      <c r="W176" s="1"/>
      <c r="X176" s="1"/>
    </row>
    <row r="177" spans="1:24" ht="15.75" customHeight="1" x14ac:dyDescent="0.25">
      <c r="A177" s="3"/>
      <c r="B177" s="3"/>
      <c r="C177" s="1"/>
      <c r="D177" s="3"/>
      <c r="E177" s="3"/>
      <c r="F177" s="3"/>
      <c r="G177" s="3"/>
      <c r="H177" s="3"/>
      <c r="I177" s="3"/>
      <c r="J177" s="1"/>
      <c r="K177" s="1"/>
      <c r="L177" s="5"/>
      <c r="M177" s="1"/>
      <c r="N177" s="1"/>
      <c r="O177" s="1"/>
      <c r="P177" s="1"/>
      <c r="Q177" s="1"/>
      <c r="R177" s="1"/>
      <c r="S177" s="1"/>
      <c r="T177" s="4"/>
      <c r="U177" s="4"/>
      <c r="V177" s="1"/>
      <c r="W177" s="1"/>
      <c r="X177" s="1"/>
    </row>
    <row r="178" spans="1:24" ht="15.75" customHeight="1" x14ac:dyDescent="0.25">
      <c r="A178" s="3"/>
      <c r="B178" s="3"/>
      <c r="C178" s="1"/>
      <c r="D178" s="3"/>
      <c r="E178" s="3"/>
      <c r="F178" s="3"/>
      <c r="G178" s="3"/>
      <c r="H178" s="3"/>
      <c r="I178" s="3"/>
      <c r="J178" s="1"/>
      <c r="K178" s="1"/>
      <c r="L178" s="5"/>
      <c r="M178" s="1"/>
      <c r="N178" s="1"/>
      <c r="O178" s="1"/>
      <c r="P178" s="1"/>
      <c r="Q178" s="1"/>
      <c r="R178" s="1"/>
      <c r="S178" s="1"/>
      <c r="T178" s="4"/>
      <c r="U178" s="4"/>
      <c r="V178" s="1"/>
      <c r="W178" s="1"/>
      <c r="X178" s="1"/>
    </row>
    <row r="179" spans="1:24" ht="15.75" customHeight="1" x14ac:dyDescent="0.25">
      <c r="A179" s="3"/>
      <c r="B179" s="3"/>
      <c r="C179" s="1"/>
      <c r="D179" s="3"/>
      <c r="E179" s="3"/>
      <c r="F179" s="3"/>
      <c r="G179" s="3"/>
      <c r="H179" s="3"/>
      <c r="I179" s="3"/>
      <c r="J179" s="1"/>
      <c r="K179" s="1"/>
      <c r="L179" s="5"/>
      <c r="M179" s="1"/>
      <c r="N179" s="1"/>
      <c r="O179" s="1"/>
      <c r="P179" s="1"/>
      <c r="Q179" s="1"/>
      <c r="R179" s="1"/>
      <c r="S179" s="1"/>
      <c r="T179" s="4"/>
      <c r="U179" s="4"/>
      <c r="V179" s="1"/>
      <c r="W179" s="1"/>
      <c r="X179" s="1"/>
    </row>
    <row r="180" spans="1:24" ht="15.75" customHeight="1" x14ac:dyDescent="0.25">
      <c r="A180" s="3"/>
      <c r="B180" s="3"/>
      <c r="C180" s="1"/>
      <c r="D180" s="3"/>
      <c r="E180" s="3"/>
      <c r="F180" s="3"/>
      <c r="G180" s="3"/>
      <c r="H180" s="3"/>
      <c r="I180" s="3"/>
      <c r="J180" s="1"/>
      <c r="K180" s="1"/>
      <c r="L180" s="5"/>
      <c r="M180" s="1"/>
      <c r="N180" s="1"/>
      <c r="O180" s="1"/>
      <c r="P180" s="1"/>
      <c r="Q180" s="1"/>
      <c r="R180" s="1"/>
      <c r="S180" s="1"/>
      <c r="T180" s="4"/>
      <c r="U180" s="4"/>
      <c r="V180" s="1"/>
      <c r="W180" s="1"/>
      <c r="X180" s="1"/>
    </row>
    <row r="181" spans="1:24" ht="15.75" customHeight="1" x14ac:dyDescent="0.25">
      <c r="A181" s="3"/>
      <c r="B181" s="3"/>
      <c r="C181" s="1"/>
      <c r="D181" s="3"/>
      <c r="E181" s="3"/>
      <c r="F181" s="3"/>
      <c r="G181" s="3"/>
      <c r="H181" s="3"/>
      <c r="I181" s="3"/>
      <c r="J181" s="1"/>
      <c r="K181" s="1"/>
      <c r="L181" s="5"/>
      <c r="M181" s="1"/>
      <c r="N181" s="1"/>
      <c r="O181" s="1"/>
      <c r="P181" s="1"/>
      <c r="Q181" s="1"/>
      <c r="R181" s="1"/>
      <c r="S181" s="1"/>
      <c r="T181" s="4"/>
      <c r="U181" s="4"/>
      <c r="V181" s="1"/>
      <c r="W181" s="1"/>
      <c r="X181" s="1"/>
    </row>
    <row r="182" spans="1:24" ht="15.75" customHeight="1" x14ac:dyDescent="0.25">
      <c r="A182" s="3"/>
      <c r="B182" s="3"/>
      <c r="C182" s="1"/>
      <c r="D182" s="3"/>
      <c r="E182" s="3"/>
      <c r="F182" s="3"/>
      <c r="G182" s="3"/>
      <c r="H182" s="3"/>
      <c r="I182" s="3"/>
      <c r="J182" s="1"/>
      <c r="K182" s="1"/>
      <c r="L182" s="5"/>
      <c r="M182" s="1"/>
      <c r="N182" s="1"/>
      <c r="O182" s="1"/>
      <c r="P182" s="1"/>
      <c r="Q182" s="1"/>
      <c r="R182" s="1"/>
      <c r="S182" s="1"/>
      <c r="T182" s="4"/>
      <c r="U182" s="4"/>
      <c r="V182" s="1"/>
      <c r="W182" s="1"/>
      <c r="X182" s="1"/>
    </row>
    <row r="183" spans="1:24" ht="15.75" customHeight="1" x14ac:dyDescent="0.25">
      <c r="A183" s="3"/>
      <c r="B183" s="3"/>
      <c r="C183" s="1"/>
      <c r="D183" s="3"/>
      <c r="E183" s="3"/>
      <c r="F183" s="3"/>
      <c r="G183" s="3"/>
      <c r="H183" s="3"/>
      <c r="I183" s="3"/>
      <c r="J183" s="1"/>
      <c r="K183" s="1"/>
      <c r="L183" s="5"/>
      <c r="M183" s="1"/>
      <c r="N183" s="1"/>
      <c r="O183" s="1"/>
      <c r="P183" s="1"/>
      <c r="Q183" s="1"/>
      <c r="R183" s="1"/>
      <c r="S183" s="1"/>
      <c r="T183" s="4"/>
      <c r="U183" s="4"/>
      <c r="V183" s="1"/>
      <c r="W183" s="1"/>
      <c r="X183" s="1"/>
    </row>
    <row r="184" spans="1:24" ht="15.75" customHeight="1" x14ac:dyDescent="0.25">
      <c r="A184" s="3"/>
      <c r="B184" s="3"/>
      <c r="C184" s="1"/>
      <c r="D184" s="3"/>
      <c r="E184" s="3"/>
      <c r="F184" s="3"/>
      <c r="G184" s="3"/>
      <c r="H184" s="3"/>
      <c r="I184" s="3"/>
      <c r="J184" s="1"/>
      <c r="K184" s="1"/>
      <c r="L184" s="5"/>
      <c r="M184" s="1"/>
      <c r="N184" s="1"/>
      <c r="O184" s="1"/>
      <c r="P184" s="1"/>
      <c r="Q184" s="1"/>
      <c r="R184" s="1"/>
      <c r="S184" s="1"/>
      <c r="T184" s="4"/>
      <c r="U184" s="4"/>
      <c r="V184" s="1"/>
      <c r="W184" s="1"/>
      <c r="X184" s="1"/>
    </row>
    <row r="185" spans="1:24" ht="15.75" customHeight="1" x14ac:dyDescent="0.25">
      <c r="A185" s="3"/>
      <c r="B185" s="3"/>
      <c r="C185" s="1"/>
      <c r="D185" s="3"/>
      <c r="E185" s="3"/>
      <c r="F185" s="3"/>
      <c r="G185" s="3"/>
      <c r="H185" s="3"/>
      <c r="I185" s="3"/>
      <c r="J185" s="1"/>
      <c r="K185" s="1"/>
      <c r="L185" s="5"/>
      <c r="M185" s="1"/>
      <c r="N185" s="1"/>
      <c r="O185" s="1"/>
      <c r="P185" s="1"/>
      <c r="Q185" s="1"/>
      <c r="R185" s="1"/>
      <c r="S185" s="1"/>
      <c r="T185" s="4"/>
      <c r="U185" s="4"/>
      <c r="V185" s="1"/>
      <c r="W185" s="1"/>
      <c r="X185" s="1"/>
    </row>
    <row r="186" spans="1:24" x14ac:dyDescent="0.25">
      <c r="J186" s="2"/>
    </row>
    <row r="188" spans="1:24" x14ac:dyDescent="0.25">
      <c r="J188" s="2"/>
    </row>
    <row r="190" spans="1:24" x14ac:dyDescent="0.25">
      <c r="J190" s="2"/>
    </row>
    <row r="192" spans="1:24" x14ac:dyDescent="0.25">
      <c r="J192" s="2"/>
    </row>
    <row r="194" spans="10:10" x14ac:dyDescent="0.25">
      <c r="J194" s="2"/>
    </row>
    <row r="196" spans="10:10" x14ac:dyDescent="0.25">
      <c r="J196" s="2"/>
    </row>
    <row r="198" spans="10:10" x14ac:dyDescent="0.25">
      <c r="J198" s="2"/>
    </row>
    <row r="200" spans="10:10" x14ac:dyDescent="0.25">
      <c r="J200" s="2"/>
    </row>
    <row r="202" spans="10:10" x14ac:dyDescent="0.25">
      <c r="J202" s="2"/>
    </row>
    <row r="204" spans="10:10" x14ac:dyDescent="0.25">
      <c r="J204" s="2"/>
    </row>
    <row r="257" spans="1:25" s="2" customFormat="1" x14ac:dyDescent="0.25">
      <c r="A257"/>
      <c r="B257"/>
      <c r="C257"/>
      <c r="J257"/>
      <c r="K257"/>
      <c r="L257" s="323"/>
      <c r="M257"/>
      <c r="N257"/>
      <c r="O257"/>
      <c r="P257"/>
      <c r="Q257"/>
      <c r="R257"/>
      <c r="S257"/>
      <c r="T257"/>
      <c r="U257"/>
      <c r="V257"/>
      <c r="W257"/>
      <c r="X257"/>
      <c r="Y257"/>
    </row>
    <row r="265" spans="1:25" s="2" customFormat="1" x14ac:dyDescent="0.25">
      <c r="A265"/>
      <c r="B265"/>
      <c r="C265"/>
      <c r="J265"/>
      <c r="K265"/>
      <c r="L265" s="323"/>
      <c r="M265"/>
      <c r="N265"/>
      <c r="O265"/>
      <c r="P265"/>
      <c r="Q265"/>
      <c r="R265"/>
      <c r="S265"/>
      <c r="T265"/>
      <c r="U265"/>
      <c r="V265"/>
      <c r="W265"/>
      <c r="X265"/>
      <c r="Y265"/>
    </row>
    <row r="312" spans="1:25" s="2" customFormat="1" x14ac:dyDescent="0.25">
      <c r="A312"/>
      <c r="B312"/>
      <c r="C312"/>
      <c r="J312"/>
      <c r="K312"/>
      <c r="L312" s="323"/>
      <c r="M312"/>
      <c r="N312"/>
      <c r="O312"/>
      <c r="P312"/>
      <c r="Q312"/>
      <c r="R312"/>
      <c r="S312"/>
      <c r="T312"/>
      <c r="U312"/>
      <c r="V312"/>
      <c r="W312"/>
      <c r="X312"/>
      <c r="Y312"/>
    </row>
  </sheetData>
  <mergeCells count="17">
    <mergeCell ref="E162:X162"/>
    <mergeCell ref="E169:X169"/>
    <mergeCell ref="E137:X137"/>
    <mergeCell ref="E144:X144"/>
    <mergeCell ref="E148:X148"/>
    <mergeCell ref="E150:X150"/>
    <mergeCell ref="E160:X160"/>
    <mergeCell ref="E40:X40"/>
    <mergeCell ref="E57:X57"/>
    <mergeCell ref="E123:X123"/>
    <mergeCell ref="E131:X131"/>
    <mergeCell ref="E133:X133"/>
    <mergeCell ref="D8:I8"/>
    <mergeCell ref="E10:X10"/>
    <mergeCell ref="E23:X23"/>
    <mergeCell ref="E36:X36"/>
    <mergeCell ref="E38:X38"/>
  </mergeCells>
  <conditionalFormatting sqref="U1:X8 S9:X185 T186:X433">
    <cfRule type="containsText" dxfId="35" priority="1" operator="containsText" text="ja">
      <formula>NOT(ISERROR(SEARCH(("ja"),(U1))))</formula>
    </cfRule>
    <cfRule type="containsText" dxfId="34" priority="2" operator="containsText" text="nein">
      <formula>NOT(ISERROR(SEARCH(("nein"),(U1))))</formula>
    </cfRule>
  </conditionalFormatting>
  <dataValidations count="4">
    <dataValidation type="list" errorStyle="warning" showErrorMessage="1" sqref="A11:A13 A15:A22 A23:A89 A90:A94 A95:A106 A107:A185" xr:uid="{00000000-0002-0000-0400-000000000000}">
      <formula1>"ja,nein"</formula1>
    </dataValidation>
    <dataValidation type="list" errorStyle="warning" showErrorMessage="1" sqref="X11:X22" xr:uid="{00000000-0002-0000-0400-000001000000}">
      <formula1>",Ready, CICD"</formula1>
    </dataValidation>
    <dataValidation type="list" errorStyle="warning" showErrorMessage="1" sqref="U24:U35 U37 U39 U41:U52 U58:U67 U69:U122 U124:U130 U132 U134 U136 U138:U143 U145:U147 U149 U151:U155 U157:U159 U163:U164 U165:U168 U170:U185 T24:T35 T37 T39 T41:T52 T58:T67 T69:T122 T124:T130 T132 T134 T136 T138:T143 T145:T147 T149 T151:T155 T157:T159 T163:T164 T165:T168 T170:T185 T11:U22 T53:U56 T161:U161 T68:U68" xr:uid="{00000000-0002-0000-0400-000002000000}">
      <formula1>"unbestimmt, ja, nein"</formula1>
    </dataValidation>
    <dataValidation type="list" errorStyle="warning" showErrorMessage="1" sqref="B11:B22 B23:B185" xr:uid="{00000000-0002-0000-0400-000003000000}">
      <formula1>"ELA,Meistertask,Cleverreach,Synology,Miro,Google,WhatsApp,Canva,Adobe,Contao,Wiki,ecoDMS,Wiki,Facebook,Instagram,TikTok,LinkedIn,Youtube,Xing,X,SalesForce,Lexware,Volksbank,Articulate,Outlook,easy2book,Domainfactory,1&amp;1"</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N506"/>
  <sheetViews>
    <sheetView topLeftCell="C1" workbookViewId="0">
      <pane ySplit="9" topLeftCell="A345" activePane="bottomLeft" state="frozen"/>
      <selection pane="bottomLeft" activeCell="E365" sqref="E365"/>
    </sheetView>
  </sheetViews>
  <sheetFormatPr baseColWidth="10" defaultColWidth="14.5703125" defaultRowHeight="15" x14ac:dyDescent="0.25"/>
  <cols>
    <col min="1" max="1" width="11.7109375" customWidth="1"/>
    <col min="2" max="2" width="11.42578125" customWidth="1"/>
    <col min="3" max="3" width="6.140625" customWidth="1"/>
    <col min="4" max="6" width="3.42578125" style="2" customWidth="1"/>
    <col min="7" max="7" width="3.42578125" style="346" customWidth="1"/>
    <col min="8" max="9" width="3.42578125" style="2" customWidth="1"/>
    <col min="10" max="10" width="53.7109375" customWidth="1"/>
    <col min="11" max="11" width="85.28515625" customWidth="1"/>
    <col min="12" max="12" width="23.140625" style="323" customWidth="1"/>
    <col min="13" max="17" width="17" customWidth="1"/>
    <col min="18" max="18" width="52" customWidth="1"/>
    <col min="20" max="20" width="14.42578125" customWidth="1"/>
    <col min="21" max="21" width="13.85546875" customWidth="1"/>
    <col min="22" max="23" width="31.85546875" customWidth="1"/>
    <col min="24" max="24" width="14.42578125" customWidth="1"/>
  </cols>
  <sheetData>
    <row r="2" spans="1:24" x14ac:dyDescent="0.25">
      <c r="G2" s="2"/>
      <c r="I2" s="837"/>
      <c r="J2" t="s">
        <v>0</v>
      </c>
    </row>
    <row r="3" spans="1:24" x14ac:dyDescent="0.25">
      <c r="G3" s="2"/>
      <c r="I3" s="67"/>
      <c r="J3" t="s">
        <v>1</v>
      </c>
    </row>
    <row r="4" spans="1:24" x14ac:dyDescent="0.25">
      <c r="G4" s="2"/>
      <c r="I4" s="347"/>
      <c r="J4" t="s">
        <v>2</v>
      </c>
    </row>
    <row r="5" spans="1:24" x14ac:dyDescent="0.25">
      <c r="G5" s="2"/>
      <c r="I5" s="348"/>
      <c r="J5" t="s">
        <v>3</v>
      </c>
    </row>
    <row r="6" spans="1:24" x14ac:dyDescent="0.25">
      <c r="G6" s="2"/>
      <c r="I6" s="349"/>
      <c r="J6" t="s">
        <v>4</v>
      </c>
    </row>
    <row r="8" spans="1:24" x14ac:dyDescent="0.25">
      <c r="A8" s="122" t="s">
        <v>5</v>
      </c>
      <c r="B8" s="122" t="s">
        <v>6</v>
      </c>
      <c r="C8" s="838" t="s">
        <v>7</v>
      </c>
      <c r="D8" s="1151" t="s">
        <v>8</v>
      </c>
      <c r="E8" s="1152"/>
      <c r="F8" s="1152"/>
      <c r="G8" s="1152"/>
      <c r="H8" s="1152"/>
      <c r="I8" s="1153"/>
    </row>
    <row r="9" spans="1:24" s="2" customFormat="1" ht="36.75" customHeight="1" x14ac:dyDescent="0.2">
      <c r="A9" s="7"/>
      <c r="B9" s="7"/>
      <c r="C9" s="7"/>
      <c r="D9" s="7" t="s">
        <v>9</v>
      </c>
      <c r="E9" s="32" t="s">
        <v>10</v>
      </c>
      <c r="F9" s="32" t="s">
        <v>11</v>
      </c>
      <c r="G9" s="32" t="s">
        <v>12</v>
      </c>
      <c r="H9" s="32" t="s">
        <v>13</v>
      </c>
      <c r="I9" s="32" t="s">
        <v>14</v>
      </c>
      <c r="J9" s="737" t="s">
        <v>15</v>
      </c>
      <c r="K9" s="738" t="s">
        <v>16</v>
      </c>
      <c r="L9" s="739" t="s">
        <v>17</v>
      </c>
      <c r="M9" s="740" t="s">
        <v>18</v>
      </c>
      <c r="N9" s="740" t="s">
        <v>19</v>
      </c>
      <c r="O9" s="33" t="s">
        <v>20</v>
      </c>
      <c r="P9" s="740" t="s">
        <v>21</v>
      </c>
      <c r="Q9" s="740" t="s">
        <v>22</v>
      </c>
      <c r="R9" s="740" t="s">
        <v>23</v>
      </c>
      <c r="S9" s="741" t="s">
        <v>24</v>
      </c>
      <c r="T9" s="34" t="s">
        <v>25</v>
      </c>
      <c r="U9" s="34" t="s">
        <v>26</v>
      </c>
      <c r="V9" s="35" t="s">
        <v>27</v>
      </c>
      <c r="W9" s="34" t="s">
        <v>28</v>
      </c>
      <c r="X9" s="34" t="s">
        <v>29</v>
      </c>
    </row>
    <row r="10" spans="1:24" s="2" customFormat="1" ht="20.25" customHeight="1" x14ac:dyDescent="0.2">
      <c r="A10" s="742"/>
      <c r="B10" s="742"/>
      <c r="C10" s="742"/>
      <c r="D10" s="742">
        <v>1</v>
      </c>
      <c r="E10" s="1072" t="s">
        <v>1097</v>
      </c>
      <c r="F10" s="1072"/>
      <c r="G10" s="1072"/>
      <c r="H10" s="1072"/>
      <c r="I10" s="1072"/>
      <c r="J10" s="1072"/>
      <c r="K10" s="1073"/>
      <c r="L10" s="1074"/>
      <c r="M10" s="1075"/>
      <c r="N10" s="1075"/>
      <c r="O10" s="1075"/>
      <c r="P10" s="1075"/>
      <c r="Q10" s="1075"/>
      <c r="R10" s="1075"/>
      <c r="S10" s="1075"/>
      <c r="T10" s="1075"/>
      <c r="U10" s="1075"/>
      <c r="V10" s="1075"/>
      <c r="W10" s="1075"/>
      <c r="X10" s="1076"/>
    </row>
    <row r="11" spans="1:24" s="2" customFormat="1" ht="105" x14ac:dyDescent="0.25">
      <c r="A11" s="3"/>
      <c r="B11" s="3"/>
      <c r="C11" s="3"/>
      <c r="D11" s="3"/>
      <c r="E11" s="3" t="s">
        <v>91</v>
      </c>
      <c r="F11" s="3"/>
      <c r="G11" s="3"/>
      <c r="H11" s="3"/>
      <c r="I11" s="3"/>
      <c r="J11" s="841" t="s">
        <v>1395</v>
      </c>
      <c r="K11" s="6"/>
      <c r="L11" s="327"/>
      <c r="M11" s="6"/>
      <c r="N11" s="6" t="s">
        <v>1396</v>
      </c>
      <c r="O11" s="10"/>
      <c r="P11" s="6"/>
      <c r="Q11" s="6"/>
      <c r="R11" s="10"/>
      <c r="S11" s="3"/>
      <c r="T11" s="4"/>
      <c r="U11" s="4"/>
      <c r="V11" s="3"/>
      <c r="W11" s="3"/>
      <c r="X11" s="3"/>
    </row>
    <row r="12" spans="1:24" s="2" customFormat="1" ht="30" x14ac:dyDescent="0.25">
      <c r="A12" s="3" t="s">
        <v>1106</v>
      </c>
      <c r="B12" s="3"/>
      <c r="C12" s="3"/>
      <c r="D12" s="3"/>
      <c r="E12" s="3"/>
      <c r="F12" s="3" t="s">
        <v>91</v>
      </c>
      <c r="G12" s="3"/>
      <c r="H12" s="3"/>
      <c r="I12" s="3"/>
      <c r="J12" s="6" t="s">
        <v>1397</v>
      </c>
      <c r="K12" s="6" t="s">
        <v>1398</v>
      </c>
      <c r="L12" s="327" t="s">
        <v>1399</v>
      </c>
      <c r="M12" s="6"/>
      <c r="N12" s="6" t="s">
        <v>1400</v>
      </c>
      <c r="O12" s="10"/>
      <c r="P12" s="6"/>
      <c r="Q12" s="6"/>
      <c r="R12" s="10"/>
      <c r="S12" s="3"/>
      <c r="T12" s="4"/>
      <c r="U12" s="4"/>
      <c r="V12" s="3"/>
      <c r="W12" s="3"/>
      <c r="X12" s="3"/>
    </row>
    <row r="13" spans="1:24" s="2" customFormat="1" x14ac:dyDescent="0.25">
      <c r="A13" s="3" t="s">
        <v>1098</v>
      </c>
      <c r="B13" s="3"/>
      <c r="C13" s="3"/>
      <c r="D13" s="3"/>
      <c r="E13" s="3"/>
      <c r="F13" s="3" t="s">
        <v>91</v>
      </c>
      <c r="G13" s="3"/>
      <c r="H13" s="3"/>
      <c r="I13" s="3"/>
      <c r="J13" s="290" t="s">
        <v>1401</v>
      </c>
      <c r="K13" s="290" t="s">
        <v>1402</v>
      </c>
      <c r="L13" s="327" t="s">
        <v>212</v>
      </c>
      <c r="M13" s="6"/>
      <c r="N13" s="6" t="s">
        <v>212</v>
      </c>
      <c r="O13" s="10"/>
      <c r="P13" s="6"/>
      <c r="Q13" s="6"/>
      <c r="R13" s="10"/>
      <c r="S13" s="3"/>
      <c r="T13" s="4"/>
      <c r="U13" s="4"/>
      <c r="V13" s="3"/>
      <c r="W13" s="3"/>
      <c r="X13" s="3"/>
    </row>
    <row r="14" spans="1:24" s="2" customFormat="1" ht="120" x14ac:dyDescent="0.25">
      <c r="A14" s="3" t="s">
        <v>1106</v>
      </c>
      <c r="B14" s="3"/>
      <c r="C14" s="3"/>
      <c r="D14" s="3"/>
      <c r="E14" s="3"/>
      <c r="F14" s="3" t="s">
        <v>91</v>
      </c>
      <c r="G14" s="3"/>
      <c r="H14" s="3"/>
      <c r="I14" s="3"/>
      <c r="J14" s="290" t="s">
        <v>1403</v>
      </c>
      <c r="K14" s="290" t="s">
        <v>1404</v>
      </c>
      <c r="L14" s="327" t="s">
        <v>1399</v>
      </c>
      <c r="M14" s="6"/>
      <c r="N14" s="6" t="s">
        <v>1405</v>
      </c>
      <c r="O14" s="10"/>
      <c r="P14" s="6"/>
      <c r="Q14" s="6"/>
      <c r="R14" s="10"/>
      <c r="S14" s="3"/>
      <c r="T14" s="4"/>
      <c r="U14" s="4"/>
      <c r="V14" s="3"/>
      <c r="W14" s="3"/>
      <c r="X14" s="3"/>
    </row>
    <row r="15" spans="1:24" s="2" customFormat="1" ht="77.25" x14ac:dyDescent="0.25">
      <c r="A15" s="3" t="s">
        <v>1098</v>
      </c>
      <c r="B15" s="3" t="s">
        <v>35</v>
      </c>
      <c r="C15" s="3"/>
      <c r="D15" s="3"/>
      <c r="E15" s="3"/>
      <c r="F15" s="3" t="s">
        <v>91</v>
      </c>
      <c r="G15" s="3"/>
      <c r="H15" s="3"/>
      <c r="I15" s="3"/>
      <c r="J15" s="24" t="s">
        <v>1406</v>
      </c>
      <c r="K15" s="6" t="s">
        <v>1407</v>
      </c>
      <c r="L15" s="327" t="s">
        <v>1399</v>
      </c>
      <c r="M15" s="6"/>
      <c r="N15" s="10" t="s">
        <v>1408</v>
      </c>
      <c r="O15" s="10"/>
      <c r="P15" s="6"/>
      <c r="Q15" s="6"/>
      <c r="R15" s="10"/>
      <c r="S15" s="3"/>
      <c r="T15" s="4"/>
      <c r="U15" s="4"/>
      <c r="V15" s="3"/>
      <c r="W15" s="3"/>
      <c r="X15" s="3"/>
    </row>
    <row r="16" spans="1:24" s="2" customFormat="1" ht="135" x14ac:dyDescent="0.25">
      <c r="A16" s="3"/>
      <c r="B16" s="3"/>
      <c r="C16" s="3"/>
      <c r="D16" s="3"/>
      <c r="E16" s="3" t="s">
        <v>91</v>
      </c>
      <c r="F16" s="3"/>
      <c r="G16" s="3"/>
      <c r="H16" s="3"/>
      <c r="I16" s="3"/>
      <c r="J16" s="841" t="s">
        <v>1409</v>
      </c>
      <c r="K16" s="290"/>
      <c r="L16" s="332"/>
      <c r="M16" s="6"/>
      <c r="N16" s="6" t="s">
        <v>1410</v>
      </c>
      <c r="O16" s="10"/>
      <c r="P16" s="6"/>
      <c r="Q16" s="6"/>
      <c r="R16" s="10"/>
      <c r="S16" s="3"/>
      <c r="T16" s="4"/>
      <c r="U16" s="4"/>
      <c r="V16" s="3"/>
      <c r="W16" s="3"/>
      <c r="X16" s="3"/>
    </row>
    <row r="17" spans="1:40" s="2" customFormat="1" x14ac:dyDescent="0.25">
      <c r="A17" s="3" t="s">
        <v>1244</v>
      </c>
      <c r="B17" s="3"/>
      <c r="C17" s="3"/>
      <c r="D17" s="3"/>
      <c r="E17" s="3"/>
      <c r="F17" s="3" t="s">
        <v>91</v>
      </c>
      <c r="G17" s="3"/>
      <c r="H17" s="3"/>
      <c r="I17" s="3"/>
      <c r="J17" s="290" t="s">
        <v>1411</v>
      </c>
      <c r="K17" s="290" t="s">
        <v>1412</v>
      </c>
      <c r="L17" s="332" t="s">
        <v>1399</v>
      </c>
      <c r="M17" s="6"/>
      <c r="N17" s="6" t="s">
        <v>1413</v>
      </c>
      <c r="O17" s="10"/>
      <c r="P17" s="6"/>
      <c r="Q17" s="6"/>
      <c r="R17" s="10"/>
      <c r="S17" s="3"/>
      <c r="T17" s="4"/>
      <c r="U17" s="4"/>
      <c r="V17" s="3"/>
      <c r="W17" s="3"/>
      <c r="X17" s="3"/>
    </row>
    <row r="18" spans="1:40" s="2" customFormat="1" x14ac:dyDescent="0.25">
      <c r="A18" s="3" t="s">
        <v>1106</v>
      </c>
      <c r="B18" s="3"/>
      <c r="C18" s="3"/>
      <c r="D18" s="3"/>
      <c r="E18" s="3"/>
      <c r="F18" s="3" t="s">
        <v>91</v>
      </c>
      <c r="G18" s="3"/>
      <c r="H18" s="3"/>
      <c r="I18" s="3"/>
      <c r="J18" s="290" t="s">
        <v>1414</v>
      </c>
      <c r="K18" s="290" t="s">
        <v>1415</v>
      </c>
      <c r="L18" s="332" t="s">
        <v>1416</v>
      </c>
      <c r="M18" s="6"/>
      <c r="N18" s="6" t="s">
        <v>1413</v>
      </c>
      <c r="O18" s="10"/>
      <c r="P18" s="6"/>
      <c r="Q18" s="6"/>
      <c r="R18" s="10"/>
      <c r="S18" s="3"/>
      <c r="T18" s="4"/>
      <c r="U18" s="4"/>
      <c r="V18" s="3"/>
      <c r="W18" s="3"/>
      <c r="X18" s="3"/>
    </row>
    <row r="19" spans="1:40" s="2" customFormat="1" ht="150" x14ac:dyDescent="0.25">
      <c r="A19" s="3" t="s">
        <v>1106</v>
      </c>
      <c r="B19" s="3"/>
      <c r="C19" s="3"/>
      <c r="D19" s="3"/>
      <c r="E19" s="3"/>
      <c r="F19" s="3" t="s">
        <v>91</v>
      </c>
      <c r="G19" s="3"/>
      <c r="H19" s="3"/>
      <c r="I19" s="3"/>
      <c r="J19" s="290" t="s">
        <v>1417</v>
      </c>
      <c r="K19" s="290" t="s">
        <v>1418</v>
      </c>
      <c r="L19" s="332" t="s">
        <v>1416</v>
      </c>
      <c r="M19" s="6"/>
      <c r="N19" s="6" t="s">
        <v>1419</v>
      </c>
      <c r="O19" s="10"/>
      <c r="P19" s="6"/>
      <c r="Q19" s="6"/>
      <c r="R19" s="10"/>
      <c r="S19" s="3"/>
      <c r="T19" s="4"/>
      <c r="U19" s="4"/>
      <c r="V19" s="3"/>
      <c r="W19" s="3"/>
      <c r="X19" s="3"/>
    </row>
    <row r="20" spans="1:40" s="2" customFormat="1" ht="90" x14ac:dyDescent="0.25">
      <c r="A20" s="3"/>
      <c r="B20" s="3"/>
      <c r="C20" s="3"/>
      <c r="D20" s="3"/>
      <c r="E20" s="3" t="s">
        <v>91</v>
      </c>
      <c r="F20" s="3"/>
      <c r="G20" s="3"/>
      <c r="H20" s="3"/>
      <c r="I20" s="3"/>
      <c r="J20" s="841" t="s">
        <v>1420</v>
      </c>
      <c r="K20" s="6"/>
      <c r="L20" s="327"/>
      <c r="M20" s="6"/>
      <c r="N20" s="10" t="s">
        <v>1421</v>
      </c>
      <c r="O20" s="10"/>
      <c r="P20" s="6"/>
      <c r="Q20" s="6"/>
      <c r="R20" s="10"/>
      <c r="S20" s="3"/>
      <c r="T20" s="4"/>
      <c r="U20" s="4"/>
      <c r="V20" s="3"/>
      <c r="W20" s="3"/>
      <c r="X20" s="3"/>
    </row>
    <row r="21" spans="1:40" s="2" customFormat="1" ht="75" x14ac:dyDescent="0.25">
      <c r="A21" s="3" t="s">
        <v>1106</v>
      </c>
      <c r="B21" s="3"/>
      <c r="C21" s="3"/>
      <c r="D21" s="3"/>
      <c r="E21" s="3"/>
      <c r="F21" s="3" t="s">
        <v>91</v>
      </c>
      <c r="G21" s="3"/>
      <c r="H21" s="3"/>
      <c r="I21" s="3"/>
      <c r="J21" s="6" t="s">
        <v>1115</v>
      </c>
      <c r="K21" s="6" t="s">
        <v>1422</v>
      </c>
      <c r="L21" s="327" t="s">
        <v>1399</v>
      </c>
      <c r="M21" s="6"/>
      <c r="N21" s="6" t="s">
        <v>1423</v>
      </c>
      <c r="O21" s="10"/>
      <c r="P21" s="6"/>
      <c r="Q21" s="6"/>
      <c r="R21" s="10"/>
      <c r="S21" s="3"/>
      <c r="T21" s="4"/>
      <c r="U21" s="4"/>
      <c r="V21" s="3"/>
      <c r="W21" s="3"/>
      <c r="X21" s="3"/>
    </row>
    <row r="22" spans="1:40" s="2" customFormat="1" x14ac:dyDescent="0.25">
      <c r="A22" s="3"/>
      <c r="B22" s="3"/>
      <c r="C22" s="3"/>
      <c r="D22" s="3"/>
      <c r="E22" s="3" t="s">
        <v>91</v>
      </c>
      <c r="F22" s="3"/>
      <c r="G22" s="3"/>
      <c r="H22" s="3"/>
      <c r="I22" s="3"/>
      <c r="J22" s="841" t="s">
        <v>1424</v>
      </c>
      <c r="K22" s="6"/>
      <c r="L22" s="327"/>
      <c r="M22" s="6"/>
      <c r="N22" s="10"/>
      <c r="O22" s="10"/>
      <c r="P22" s="6"/>
      <c r="Q22" s="6"/>
      <c r="R22" s="10"/>
      <c r="S22" s="3"/>
      <c r="T22" s="4"/>
      <c r="U22" s="4"/>
      <c r="V22" s="3"/>
      <c r="W22" s="3"/>
      <c r="X22" s="3"/>
    </row>
    <row r="23" spans="1:40" s="2" customFormat="1" x14ac:dyDescent="0.25">
      <c r="A23" s="3" t="s">
        <v>1106</v>
      </c>
      <c r="B23" s="3"/>
      <c r="C23" s="3"/>
      <c r="D23" s="3"/>
      <c r="E23" s="3"/>
      <c r="F23" s="3" t="s">
        <v>91</v>
      </c>
      <c r="G23" s="3"/>
      <c r="H23" s="3"/>
      <c r="I23" s="3"/>
      <c r="J23" s="6" t="s">
        <v>1425</v>
      </c>
      <c r="K23" s="6" t="s">
        <v>1426</v>
      </c>
      <c r="L23" s="327" t="s">
        <v>1399</v>
      </c>
      <c r="M23" s="6"/>
      <c r="N23" s="10"/>
      <c r="O23" s="10"/>
      <c r="P23" s="6"/>
      <c r="Q23" s="6"/>
      <c r="R23" s="10"/>
      <c r="S23" s="3"/>
      <c r="T23" s="4"/>
      <c r="U23" s="4"/>
      <c r="V23" s="3"/>
      <c r="W23" s="3"/>
      <c r="X23" s="3"/>
    </row>
    <row r="24" spans="1:40" s="2" customFormat="1" ht="30" x14ac:dyDescent="0.25">
      <c r="A24" s="3" t="s">
        <v>1106</v>
      </c>
      <c r="B24" s="3"/>
      <c r="C24" s="3"/>
      <c r="D24" s="3"/>
      <c r="E24" s="3"/>
      <c r="F24" s="3" t="s">
        <v>91</v>
      </c>
      <c r="G24" s="3"/>
      <c r="H24" s="3"/>
      <c r="I24" s="3"/>
      <c r="J24" s="6" t="s">
        <v>1427</v>
      </c>
      <c r="K24" s="6" t="s">
        <v>1428</v>
      </c>
      <c r="L24" s="327" t="s">
        <v>1399</v>
      </c>
      <c r="M24" s="6"/>
      <c r="N24" s="10"/>
      <c r="O24" s="10"/>
      <c r="P24" s="6"/>
      <c r="Q24" s="6"/>
      <c r="R24" s="10"/>
      <c r="S24" s="3"/>
      <c r="T24" s="4"/>
      <c r="U24" s="4"/>
      <c r="V24" s="3"/>
      <c r="W24" s="3"/>
      <c r="X24" s="3"/>
    </row>
    <row r="25" spans="1:40" s="2" customFormat="1" ht="30" x14ac:dyDescent="0.25">
      <c r="A25" s="3" t="s">
        <v>1106</v>
      </c>
      <c r="B25" s="3"/>
      <c r="C25" s="3"/>
      <c r="D25" s="3"/>
      <c r="E25" s="3"/>
      <c r="F25" s="3" t="s">
        <v>91</v>
      </c>
      <c r="G25" s="3"/>
      <c r="H25" s="3"/>
      <c r="I25" s="3"/>
      <c r="J25" s="6" t="s">
        <v>1429</v>
      </c>
      <c r="K25" s="6" t="s">
        <v>1430</v>
      </c>
      <c r="L25" s="327" t="s">
        <v>1399</v>
      </c>
      <c r="M25" s="6"/>
      <c r="N25" s="10"/>
      <c r="O25" s="10"/>
      <c r="P25" s="6"/>
      <c r="Q25" s="6"/>
      <c r="R25" s="10"/>
      <c r="S25" s="3"/>
      <c r="T25" s="4"/>
      <c r="U25" s="4"/>
      <c r="V25" s="3"/>
      <c r="W25" s="3"/>
      <c r="X25" s="3"/>
    </row>
    <row r="26" spans="1:40" s="2" customFormat="1" x14ac:dyDescent="0.25">
      <c r="A26" s="3"/>
      <c r="B26" s="3"/>
      <c r="C26" s="3"/>
      <c r="D26" s="3"/>
      <c r="E26" s="3"/>
      <c r="F26" s="3" t="s">
        <v>91</v>
      </c>
      <c r="G26" s="3"/>
      <c r="H26" s="3"/>
      <c r="I26" s="3"/>
      <c r="J26" s="341" t="s">
        <v>1431</v>
      </c>
      <c r="K26" s="341" t="s">
        <v>1432</v>
      </c>
      <c r="L26" s="340" t="s">
        <v>1433</v>
      </c>
      <c r="M26" s="6"/>
      <c r="N26" s="10"/>
      <c r="O26" s="10"/>
      <c r="P26" s="6"/>
      <c r="Q26" s="6"/>
      <c r="R26" s="10"/>
      <c r="S26" s="3"/>
      <c r="T26" s="4"/>
      <c r="U26" s="4"/>
      <c r="V26" s="3"/>
      <c r="W26" s="3"/>
      <c r="X26" s="3"/>
    </row>
    <row r="27" spans="1:40" x14ac:dyDescent="0.25">
      <c r="A27" s="3"/>
      <c r="B27" s="3"/>
      <c r="C27" s="3"/>
      <c r="D27" s="3"/>
      <c r="E27" s="3" t="s">
        <v>91</v>
      </c>
      <c r="F27" s="3"/>
      <c r="G27" s="3"/>
      <c r="H27" s="3"/>
      <c r="I27" s="3"/>
      <c r="J27" s="841" t="s">
        <v>1434</v>
      </c>
      <c r="K27" s="6"/>
      <c r="L27" s="326"/>
      <c r="M27" s="6"/>
      <c r="N27" s="10" t="s">
        <v>1400</v>
      </c>
      <c r="O27" s="10"/>
      <c r="P27" s="6"/>
      <c r="Q27" s="6"/>
      <c r="R27" s="10"/>
      <c r="S27" s="3"/>
      <c r="T27" s="4"/>
      <c r="U27" s="4"/>
      <c r="V27" s="3"/>
      <c r="W27" s="3"/>
      <c r="X27" s="3"/>
      <c r="Y27" s="2"/>
      <c r="Z27" s="2"/>
      <c r="AA27" s="2"/>
      <c r="AB27" s="2"/>
      <c r="AC27" s="2"/>
      <c r="AD27" s="2"/>
      <c r="AE27" s="2"/>
      <c r="AF27" s="2"/>
      <c r="AG27" s="2"/>
      <c r="AH27" s="2"/>
      <c r="AI27" s="2"/>
      <c r="AJ27" s="2"/>
      <c r="AK27" s="2"/>
      <c r="AL27" s="2"/>
      <c r="AM27" s="2"/>
      <c r="AN27" s="2"/>
    </row>
    <row r="28" spans="1:40" ht="120" x14ac:dyDescent="0.25">
      <c r="A28" s="3" t="s">
        <v>1106</v>
      </c>
      <c r="B28" s="3"/>
      <c r="C28" s="3"/>
      <c r="D28" s="3"/>
      <c r="E28" s="3"/>
      <c r="F28" s="3" t="s">
        <v>91</v>
      </c>
      <c r="G28" s="3"/>
      <c r="H28" s="3"/>
      <c r="I28" s="3"/>
      <c r="J28" s="6" t="s">
        <v>1435</v>
      </c>
      <c r="K28" s="6" t="s">
        <v>1436</v>
      </c>
      <c r="L28" s="326" t="s">
        <v>1416</v>
      </c>
      <c r="M28" s="6"/>
      <c r="N28" s="6" t="s">
        <v>1421</v>
      </c>
      <c r="O28" s="10"/>
      <c r="P28" s="6"/>
      <c r="Q28" s="6"/>
      <c r="R28" s="10"/>
      <c r="S28" s="3"/>
      <c r="T28" s="4"/>
      <c r="U28" s="4"/>
      <c r="V28" s="3"/>
      <c r="W28" s="3"/>
      <c r="X28" s="3"/>
      <c r="Y28" s="2"/>
      <c r="Z28" s="2"/>
      <c r="AA28" s="2"/>
      <c r="AB28" s="2"/>
      <c r="AC28" s="2"/>
      <c r="AD28" s="2"/>
      <c r="AE28" s="2"/>
      <c r="AF28" s="2"/>
      <c r="AG28" s="2"/>
      <c r="AH28" s="2"/>
      <c r="AI28" s="2"/>
      <c r="AJ28" s="2"/>
      <c r="AK28" s="2"/>
      <c r="AL28" s="2"/>
      <c r="AM28" s="2"/>
      <c r="AN28" s="2"/>
    </row>
    <row r="29" spans="1:40" x14ac:dyDescent="0.25">
      <c r="A29" s="3" t="s">
        <v>1106</v>
      </c>
      <c r="B29" s="3"/>
      <c r="C29" s="3"/>
      <c r="D29" s="3"/>
      <c r="E29" s="3"/>
      <c r="F29" s="3" t="s">
        <v>91</v>
      </c>
      <c r="G29" s="3"/>
      <c r="H29" s="3"/>
      <c r="I29" s="3"/>
      <c r="J29" s="6" t="s">
        <v>1437</v>
      </c>
      <c r="K29" s="6" t="s">
        <v>1436</v>
      </c>
      <c r="L29" s="326" t="s">
        <v>1416</v>
      </c>
      <c r="M29" s="6"/>
      <c r="N29" s="6" t="s">
        <v>1438</v>
      </c>
      <c r="O29" s="10"/>
      <c r="P29" s="6"/>
      <c r="Q29" s="6"/>
      <c r="R29" s="10"/>
      <c r="S29" s="3"/>
      <c r="T29" s="4"/>
      <c r="U29" s="4"/>
      <c r="V29" s="3"/>
      <c r="W29" s="3"/>
      <c r="X29" s="3"/>
      <c r="Y29" s="2"/>
      <c r="Z29" s="2"/>
      <c r="AA29" s="2"/>
      <c r="AB29" s="2"/>
      <c r="AC29" s="2"/>
      <c r="AD29" s="2"/>
      <c r="AE29" s="2"/>
      <c r="AF29" s="2"/>
      <c r="AG29" s="2"/>
      <c r="AH29" s="2"/>
      <c r="AI29" s="2"/>
      <c r="AJ29" s="2"/>
      <c r="AK29" s="2"/>
      <c r="AL29" s="2"/>
      <c r="AM29" s="2"/>
      <c r="AN29" s="2"/>
    </row>
    <row r="30" spans="1:40" x14ac:dyDescent="0.25">
      <c r="A30" s="3" t="s">
        <v>1106</v>
      </c>
      <c r="B30" s="3"/>
      <c r="C30" s="3"/>
      <c r="D30" s="3"/>
      <c r="E30" s="3"/>
      <c r="F30" s="3" t="s">
        <v>91</v>
      </c>
      <c r="G30" s="3"/>
      <c r="H30" s="3"/>
      <c r="I30" s="3"/>
      <c r="J30" s="6" t="s">
        <v>1439</v>
      </c>
      <c r="K30" s="6" t="s">
        <v>1436</v>
      </c>
      <c r="L30" s="326" t="s">
        <v>1416</v>
      </c>
      <c r="M30" s="6"/>
      <c r="N30" s="6" t="s">
        <v>1438</v>
      </c>
      <c r="O30" s="10"/>
      <c r="P30" s="6"/>
      <c r="Q30" s="6"/>
      <c r="R30" s="10"/>
      <c r="S30" s="3"/>
      <c r="T30" s="4"/>
      <c r="U30" s="4"/>
      <c r="V30" s="3"/>
      <c r="W30" s="3"/>
      <c r="X30" s="3"/>
      <c r="Y30" s="2"/>
      <c r="Z30" s="2"/>
      <c r="AA30" s="2"/>
      <c r="AB30" s="2"/>
      <c r="AC30" s="2"/>
      <c r="AD30" s="2"/>
      <c r="AE30" s="2"/>
      <c r="AF30" s="2"/>
      <c r="AG30" s="2"/>
      <c r="AH30" s="2"/>
      <c r="AI30" s="2"/>
      <c r="AJ30" s="2"/>
      <c r="AK30" s="2"/>
      <c r="AL30" s="2"/>
      <c r="AM30" s="2"/>
      <c r="AN30" s="2"/>
    </row>
    <row r="31" spans="1:40" ht="120" x14ac:dyDescent="0.25">
      <c r="A31" s="3"/>
      <c r="B31" s="3"/>
      <c r="C31" s="1"/>
      <c r="D31" s="3"/>
      <c r="E31" s="3" t="s">
        <v>91</v>
      </c>
      <c r="F31" s="3"/>
      <c r="G31" s="3"/>
      <c r="H31" s="3"/>
      <c r="I31" s="3"/>
      <c r="J31" s="846" t="s">
        <v>1440</v>
      </c>
      <c r="K31" s="341"/>
      <c r="L31" s="340"/>
      <c r="M31" s="6"/>
      <c r="N31" s="6" t="s">
        <v>1441</v>
      </c>
      <c r="O31" s="6"/>
      <c r="P31" s="6"/>
      <c r="Q31" s="6"/>
      <c r="R31" s="6"/>
      <c r="S31" s="1"/>
      <c r="T31" s="4"/>
      <c r="U31" s="4"/>
      <c r="V31" s="1"/>
      <c r="W31" s="1"/>
      <c r="X31" s="1"/>
    </row>
    <row r="32" spans="1:40" ht="26.25" x14ac:dyDescent="0.25">
      <c r="A32" s="3" t="s">
        <v>1106</v>
      </c>
      <c r="B32" s="3"/>
      <c r="C32" s="1"/>
      <c r="D32" s="3"/>
      <c r="E32" s="3"/>
      <c r="F32" s="3" t="s">
        <v>91</v>
      </c>
      <c r="G32" s="3"/>
      <c r="H32" s="3"/>
      <c r="I32" s="3"/>
      <c r="J32" s="341" t="s">
        <v>1442</v>
      </c>
      <c r="K32" s="341" t="s">
        <v>1443</v>
      </c>
      <c r="L32" s="340" t="s">
        <v>1444</v>
      </c>
      <c r="M32" s="6"/>
      <c r="N32" s="6"/>
      <c r="O32" s="6"/>
      <c r="P32" s="6"/>
      <c r="Q32" s="6"/>
      <c r="R32" s="6"/>
      <c r="S32" s="1"/>
      <c r="T32" s="4"/>
      <c r="U32" s="4"/>
      <c r="V32" s="1"/>
      <c r="W32" s="1"/>
      <c r="X32" s="1"/>
    </row>
    <row r="33" spans="1:24" ht="26.25" x14ac:dyDescent="0.25">
      <c r="A33" s="3" t="s">
        <v>1106</v>
      </c>
      <c r="B33" s="3"/>
      <c r="C33" s="1"/>
      <c r="D33" s="3"/>
      <c r="E33" s="3"/>
      <c r="F33" s="3" t="s">
        <v>91</v>
      </c>
      <c r="G33" s="3"/>
      <c r="H33" s="3"/>
      <c r="I33" s="3"/>
      <c r="J33" s="341" t="s">
        <v>1445</v>
      </c>
      <c r="K33" s="341" t="s">
        <v>1446</v>
      </c>
      <c r="L33" s="340" t="s">
        <v>1447</v>
      </c>
      <c r="M33" s="6"/>
      <c r="N33" s="6"/>
      <c r="O33" s="6"/>
      <c r="P33" s="6"/>
      <c r="Q33" s="6"/>
      <c r="R33" s="6"/>
      <c r="S33" s="1"/>
      <c r="T33" s="4"/>
      <c r="U33" s="4"/>
      <c r="V33" s="1"/>
      <c r="W33" s="1"/>
      <c r="X33" s="1"/>
    </row>
    <row r="34" spans="1:24" x14ac:dyDescent="0.25">
      <c r="A34" s="3" t="s">
        <v>1106</v>
      </c>
      <c r="B34" s="3"/>
      <c r="C34" s="1"/>
      <c r="D34" s="3"/>
      <c r="E34" s="3"/>
      <c r="F34" s="3" t="s">
        <v>91</v>
      </c>
      <c r="G34" s="3"/>
      <c r="H34" s="3"/>
      <c r="I34" s="3"/>
      <c r="J34" s="341" t="s">
        <v>1448</v>
      </c>
      <c r="K34" s="341" t="s">
        <v>1449</v>
      </c>
      <c r="L34" s="340" t="s">
        <v>1444</v>
      </c>
      <c r="M34" s="6"/>
      <c r="N34" s="6"/>
      <c r="O34" s="6"/>
      <c r="P34" s="6"/>
      <c r="Q34" s="6"/>
      <c r="R34" s="6"/>
      <c r="S34" s="1"/>
      <c r="T34" s="4"/>
      <c r="U34" s="4"/>
      <c r="V34" s="1"/>
      <c r="W34" s="1"/>
      <c r="X34" s="1"/>
    </row>
    <row r="35" spans="1:24" ht="26.25" x14ac:dyDescent="0.25">
      <c r="A35" s="3" t="s">
        <v>1106</v>
      </c>
      <c r="B35" s="3"/>
      <c r="C35" s="1"/>
      <c r="D35" s="3"/>
      <c r="E35" s="3"/>
      <c r="F35" s="3" t="s">
        <v>91</v>
      </c>
      <c r="G35" s="3"/>
      <c r="H35" s="3"/>
      <c r="I35" s="3"/>
      <c r="J35" s="341" t="s">
        <v>1450</v>
      </c>
      <c r="K35" s="341" t="s">
        <v>1451</v>
      </c>
      <c r="L35" s="340" t="s">
        <v>1447</v>
      </c>
      <c r="M35" s="6"/>
      <c r="N35" s="6"/>
      <c r="O35" s="6"/>
      <c r="P35" s="6"/>
      <c r="Q35" s="6"/>
      <c r="R35" s="6"/>
      <c r="S35" s="1"/>
      <c r="T35" s="4"/>
      <c r="U35" s="4"/>
      <c r="V35" s="1"/>
      <c r="W35" s="1"/>
      <c r="X35" s="1"/>
    </row>
    <row r="36" spans="1:24" ht="195" x14ac:dyDescent="0.25">
      <c r="A36" s="3"/>
      <c r="B36" s="3"/>
      <c r="C36" s="1"/>
      <c r="D36" s="3" t="s">
        <v>91</v>
      </c>
      <c r="E36" s="3"/>
      <c r="F36" s="3"/>
      <c r="G36" s="3"/>
      <c r="H36" s="3"/>
      <c r="I36" s="3"/>
      <c r="J36" s="841" t="s">
        <v>1452</v>
      </c>
      <c r="K36" s="6"/>
      <c r="L36" s="4"/>
      <c r="M36" s="6"/>
      <c r="N36" s="6" t="s">
        <v>1453</v>
      </c>
      <c r="O36" s="6"/>
      <c r="P36" s="6"/>
      <c r="Q36" s="6"/>
      <c r="R36" s="6"/>
      <c r="S36" s="1"/>
      <c r="T36" s="4"/>
      <c r="U36" s="4"/>
      <c r="V36" s="1"/>
      <c r="W36" s="1"/>
      <c r="X36" s="1"/>
    </row>
    <row r="37" spans="1:24" ht="105" x14ac:dyDescent="0.25">
      <c r="A37" s="3" t="s">
        <v>1106</v>
      </c>
      <c r="B37" s="3"/>
      <c r="C37" s="1"/>
      <c r="D37" s="3"/>
      <c r="E37" s="3"/>
      <c r="F37" s="3" t="s">
        <v>91</v>
      </c>
      <c r="G37" s="3"/>
      <c r="H37" s="3"/>
      <c r="I37" s="3"/>
      <c r="J37" s="6" t="s">
        <v>1454</v>
      </c>
      <c r="K37" s="6" t="s">
        <v>1455</v>
      </c>
      <c r="L37" s="4" t="s">
        <v>1399</v>
      </c>
      <c r="M37" s="6"/>
      <c r="N37" s="6" t="s">
        <v>1456</v>
      </c>
      <c r="O37" s="6"/>
      <c r="P37" s="6"/>
      <c r="Q37" s="6"/>
      <c r="R37" s="6"/>
      <c r="S37" s="1"/>
      <c r="T37" s="4"/>
      <c r="U37" s="4"/>
      <c r="V37" s="1"/>
      <c r="W37" s="1"/>
      <c r="X37" s="1"/>
    </row>
    <row r="38" spans="1:24" ht="30" x14ac:dyDescent="0.25">
      <c r="A38" s="3" t="s">
        <v>1106</v>
      </c>
      <c r="B38" s="3"/>
      <c r="C38" s="1"/>
      <c r="D38" s="3"/>
      <c r="E38" s="3"/>
      <c r="F38" s="3" t="s">
        <v>91</v>
      </c>
      <c r="G38" s="3"/>
      <c r="H38" s="3"/>
      <c r="I38" s="3"/>
      <c r="J38" s="6" t="s">
        <v>1457</v>
      </c>
      <c r="K38" s="6" t="s">
        <v>1458</v>
      </c>
      <c r="L38" s="4" t="s">
        <v>1399</v>
      </c>
      <c r="M38" s="6"/>
      <c r="N38" s="6" t="s">
        <v>1438</v>
      </c>
      <c r="O38" s="6"/>
      <c r="P38" s="6"/>
      <c r="Q38" s="6"/>
      <c r="R38" s="6"/>
      <c r="S38" s="1"/>
      <c r="T38" s="4"/>
      <c r="U38" s="4"/>
      <c r="V38" s="1"/>
      <c r="W38" s="1"/>
      <c r="X38" s="1"/>
    </row>
    <row r="39" spans="1:24" x14ac:dyDescent="0.25">
      <c r="A39" s="3" t="s">
        <v>1106</v>
      </c>
      <c r="B39" s="3"/>
      <c r="C39" s="1"/>
      <c r="D39" s="3"/>
      <c r="E39" s="3"/>
      <c r="F39" s="3" t="s">
        <v>91</v>
      </c>
      <c r="G39" s="3"/>
      <c r="H39" s="3"/>
      <c r="I39" s="3"/>
      <c r="J39" s="6" t="s">
        <v>1459</v>
      </c>
      <c r="K39" s="6" t="s">
        <v>1455</v>
      </c>
      <c r="L39" s="4" t="s">
        <v>1399</v>
      </c>
      <c r="M39" s="6"/>
      <c r="N39" s="6" t="s">
        <v>1438</v>
      </c>
      <c r="O39" s="6"/>
      <c r="P39" s="6"/>
      <c r="Q39" s="6"/>
      <c r="R39" s="6"/>
      <c r="S39" s="1"/>
      <c r="T39" s="4"/>
      <c r="U39" s="4"/>
      <c r="V39" s="1"/>
      <c r="W39" s="1"/>
      <c r="X39" s="1"/>
    </row>
    <row r="40" spans="1:24" ht="195" x14ac:dyDescent="0.25">
      <c r="A40" s="3"/>
      <c r="B40" s="3"/>
      <c r="C40" s="1"/>
      <c r="D40" s="3"/>
      <c r="E40" s="3" t="s">
        <v>91</v>
      </c>
      <c r="F40" s="3"/>
      <c r="G40" s="3"/>
      <c r="H40" s="3"/>
      <c r="I40" s="3"/>
      <c r="J40" s="846" t="s">
        <v>1460</v>
      </c>
      <c r="K40" s="341"/>
      <c r="L40" s="340"/>
      <c r="M40" s="6"/>
      <c r="N40" s="6" t="s">
        <v>1461</v>
      </c>
      <c r="O40" s="6"/>
      <c r="P40" s="6"/>
      <c r="Q40" s="6"/>
      <c r="R40" s="6"/>
      <c r="S40" s="1"/>
      <c r="T40" s="4"/>
      <c r="U40" s="4"/>
      <c r="V40" s="1"/>
      <c r="W40" s="1"/>
      <c r="X40" s="1"/>
    </row>
    <row r="41" spans="1:24" ht="105" x14ac:dyDescent="0.25">
      <c r="A41" s="3" t="s">
        <v>1106</v>
      </c>
      <c r="B41" s="3"/>
      <c r="C41" s="1"/>
      <c r="D41" s="3"/>
      <c r="E41" s="3"/>
      <c r="F41" s="3" t="s">
        <v>91</v>
      </c>
      <c r="G41" s="3"/>
      <c r="H41" s="3"/>
      <c r="I41" s="3"/>
      <c r="J41" s="341" t="s">
        <v>1462</v>
      </c>
      <c r="K41" s="341" t="s">
        <v>1463</v>
      </c>
      <c r="L41" s="340" t="s">
        <v>1444</v>
      </c>
      <c r="M41" s="6"/>
      <c r="N41" s="6" t="s">
        <v>1464</v>
      </c>
      <c r="O41" s="6"/>
      <c r="P41" s="6"/>
      <c r="Q41" s="6"/>
      <c r="R41" s="6"/>
      <c r="S41" s="1"/>
      <c r="T41" s="4"/>
      <c r="U41" s="4"/>
      <c r="V41" s="1"/>
      <c r="W41" s="1"/>
      <c r="X41" s="1"/>
    </row>
    <row r="42" spans="1:24" ht="26.25" x14ac:dyDescent="0.25">
      <c r="A42" s="3" t="s">
        <v>1106</v>
      </c>
      <c r="B42" s="3"/>
      <c r="C42" s="1"/>
      <c r="D42" s="3"/>
      <c r="E42" s="3"/>
      <c r="F42" s="3" t="s">
        <v>91</v>
      </c>
      <c r="G42" s="3"/>
      <c r="H42" s="3"/>
      <c r="I42" s="3"/>
      <c r="J42" s="341" t="s">
        <v>1465</v>
      </c>
      <c r="K42" s="341" t="s">
        <v>1466</v>
      </c>
      <c r="L42" s="340" t="s">
        <v>1467</v>
      </c>
      <c r="M42" s="6"/>
      <c r="N42" s="6" t="s">
        <v>1438</v>
      </c>
      <c r="O42" s="6"/>
      <c r="P42" s="6"/>
      <c r="Q42" s="6"/>
      <c r="R42" s="6"/>
      <c r="S42" s="1"/>
      <c r="T42" s="4"/>
      <c r="U42" s="4"/>
      <c r="V42" s="1"/>
      <c r="W42" s="1"/>
      <c r="X42" s="1"/>
    </row>
    <row r="43" spans="1:24" ht="26.25" x14ac:dyDescent="0.25">
      <c r="A43" s="3" t="s">
        <v>1106</v>
      </c>
      <c r="B43" s="3"/>
      <c r="C43" s="1"/>
      <c r="D43" s="3"/>
      <c r="E43" s="3"/>
      <c r="F43" s="3" t="s">
        <v>91</v>
      </c>
      <c r="G43" s="3"/>
      <c r="H43" s="3"/>
      <c r="I43" s="3"/>
      <c r="J43" s="341" t="s">
        <v>1468</v>
      </c>
      <c r="K43" s="341" t="s">
        <v>1469</v>
      </c>
      <c r="L43" s="340" t="s">
        <v>1444</v>
      </c>
      <c r="M43" s="6"/>
      <c r="N43" s="6" t="s">
        <v>1438</v>
      </c>
      <c r="O43" s="6"/>
      <c r="P43" s="6"/>
      <c r="Q43" s="6"/>
      <c r="R43" s="6"/>
      <c r="S43" s="1"/>
      <c r="T43" s="4"/>
      <c r="U43" s="4"/>
      <c r="V43" s="1"/>
      <c r="W43" s="1"/>
      <c r="X43" s="1"/>
    </row>
    <row r="44" spans="1:24" ht="26.25" x14ac:dyDescent="0.25">
      <c r="A44" s="3" t="s">
        <v>1106</v>
      </c>
      <c r="B44" s="3"/>
      <c r="C44" s="1"/>
      <c r="D44" s="3"/>
      <c r="E44" s="3"/>
      <c r="F44" s="3" t="s">
        <v>91</v>
      </c>
      <c r="G44" s="3"/>
      <c r="H44" s="3"/>
      <c r="I44" s="3"/>
      <c r="J44" s="341" t="s">
        <v>1470</v>
      </c>
      <c r="K44" s="341" t="s">
        <v>1471</v>
      </c>
      <c r="L44" s="340" t="s">
        <v>1467</v>
      </c>
      <c r="M44" s="6"/>
      <c r="N44" s="6" t="s">
        <v>1438</v>
      </c>
      <c r="O44" s="6"/>
      <c r="P44" s="6"/>
      <c r="Q44" s="6"/>
      <c r="R44" s="6"/>
      <c r="S44" s="1"/>
      <c r="T44" s="4"/>
      <c r="U44" s="4"/>
      <c r="V44" s="1"/>
      <c r="W44" s="1"/>
      <c r="X44" s="1"/>
    </row>
    <row r="45" spans="1:24" ht="30" x14ac:dyDescent="0.25">
      <c r="A45" s="3" t="s">
        <v>1106</v>
      </c>
      <c r="B45" s="3"/>
      <c r="C45" s="1"/>
      <c r="D45" s="3"/>
      <c r="E45" s="3"/>
      <c r="F45" s="3" t="s">
        <v>91</v>
      </c>
      <c r="G45" s="3"/>
      <c r="H45" s="3"/>
      <c r="I45" s="3"/>
      <c r="J45" s="341" t="s">
        <v>1472</v>
      </c>
      <c r="K45" s="341" t="s">
        <v>1473</v>
      </c>
      <c r="L45" s="340" t="s">
        <v>1444</v>
      </c>
      <c r="M45" s="6"/>
      <c r="N45" s="6" t="s">
        <v>1438</v>
      </c>
      <c r="O45" s="6"/>
      <c r="P45" s="6" t="s">
        <v>1474</v>
      </c>
      <c r="Q45" s="6"/>
      <c r="R45" s="6"/>
      <c r="S45" s="1"/>
      <c r="T45" s="4"/>
      <c r="U45" s="4"/>
      <c r="V45" s="1"/>
      <c r="W45" s="1"/>
      <c r="X45" s="1"/>
    </row>
    <row r="46" spans="1:24" ht="26.25" x14ac:dyDescent="0.25">
      <c r="A46" s="3" t="s">
        <v>1106</v>
      </c>
      <c r="B46" s="3"/>
      <c r="C46" s="1"/>
      <c r="D46" s="3"/>
      <c r="E46" s="3"/>
      <c r="F46" s="3" t="s">
        <v>91</v>
      </c>
      <c r="G46" s="3"/>
      <c r="H46" s="3"/>
      <c r="I46" s="3"/>
      <c r="J46" s="341" t="s">
        <v>1475</v>
      </c>
      <c r="K46" s="341" t="s">
        <v>1476</v>
      </c>
      <c r="L46" s="340" t="s">
        <v>1467</v>
      </c>
      <c r="M46" s="6"/>
      <c r="N46" s="6" t="s">
        <v>1438</v>
      </c>
      <c r="O46" s="6"/>
      <c r="P46" s="6"/>
      <c r="Q46" s="6"/>
      <c r="R46" s="6"/>
      <c r="S46" s="1"/>
      <c r="T46" s="4"/>
      <c r="U46" s="4"/>
      <c r="V46" s="1"/>
      <c r="W46" s="1"/>
      <c r="X46" s="1"/>
    </row>
    <row r="47" spans="1:24" ht="26.25" x14ac:dyDescent="0.25">
      <c r="A47" s="3" t="s">
        <v>1106</v>
      </c>
      <c r="B47" s="3"/>
      <c r="C47" s="1"/>
      <c r="D47" s="3"/>
      <c r="E47" s="3"/>
      <c r="F47" s="3" t="s">
        <v>91</v>
      </c>
      <c r="G47" s="3"/>
      <c r="H47" s="3"/>
      <c r="I47" s="3"/>
      <c r="J47" s="341" t="s">
        <v>1477</v>
      </c>
      <c r="K47" s="341" t="s">
        <v>1478</v>
      </c>
      <c r="L47" s="340" t="s">
        <v>1444</v>
      </c>
      <c r="M47" s="6"/>
      <c r="N47" s="6" t="s">
        <v>1438</v>
      </c>
      <c r="O47" s="6"/>
      <c r="P47" s="6"/>
      <c r="Q47" s="6"/>
      <c r="R47" s="6"/>
      <c r="S47" s="1"/>
      <c r="T47" s="4"/>
      <c r="U47" s="4"/>
      <c r="V47" s="1"/>
      <c r="W47" s="1"/>
      <c r="X47" s="1"/>
    </row>
    <row r="48" spans="1:24" ht="26.25" x14ac:dyDescent="0.25">
      <c r="A48" s="3" t="s">
        <v>1106</v>
      </c>
      <c r="B48" s="3"/>
      <c r="C48" s="1"/>
      <c r="D48" s="3"/>
      <c r="E48" s="3"/>
      <c r="F48" s="3" t="s">
        <v>91</v>
      </c>
      <c r="G48" s="3"/>
      <c r="H48" s="3"/>
      <c r="I48" s="3"/>
      <c r="J48" s="341" t="s">
        <v>1479</v>
      </c>
      <c r="K48" s="341" t="s">
        <v>1480</v>
      </c>
      <c r="L48" s="340" t="s">
        <v>1467</v>
      </c>
      <c r="M48" s="6"/>
      <c r="N48" s="6" t="s">
        <v>1438</v>
      </c>
      <c r="O48" s="6"/>
      <c r="P48" s="6"/>
      <c r="Q48" s="6"/>
      <c r="R48" s="6"/>
      <c r="S48" s="1"/>
      <c r="T48" s="4"/>
      <c r="U48" s="4"/>
      <c r="V48" s="1"/>
      <c r="W48" s="1"/>
      <c r="X48" s="1"/>
    </row>
    <row r="49" spans="1:40" x14ac:dyDescent="0.25">
      <c r="A49" s="3"/>
      <c r="B49" s="3"/>
      <c r="C49" s="1"/>
      <c r="D49" s="3"/>
      <c r="E49" s="3" t="s">
        <v>91</v>
      </c>
      <c r="F49" s="3"/>
      <c r="G49" s="3"/>
      <c r="H49" s="3"/>
      <c r="I49" s="3"/>
      <c r="J49" s="351" t="s">
        <v>1481</v>
      </c>
      <c r="K49" s="1"/>
      <c r="L49" s="4"/>
      <c r="M49" s="1"/>
      <c r="N49" s="1" t="s">
        <v>1482</v>
      </c>
      <c r="O49" s="1"/>
      <c r="P49" s="1"/>
      <c r="Q49" s="1"/>
      <c r="R49" s="1"/>
      <c r="S49" s="1"/>
      <c r="T49" s="4"/>
      <c r="U49" s="4"/>
      <c r="V49" s="1"/>
      <c r="W49" s="1"/>
      <c r="X49" s="1"/>
    </row>
    <row r="50" spans="1:40" x14ac:dyDescent="0.25">
      <c r="A50" s="3" t="s">
        <v>1098</v>
      </c>
      <c r="B50" s="3" t="s">
        <v>41</v>
      </c>
      <c r="C50" s="1"/>
      <c r="D50" s="3"/>
      <c r="E50" s="3"/>
      <c r="F50" s="3" t="s">
        <v>91</v>
      </c>
      <c r="G50" s="3"/>
      <c r="H50" s="3"/>
      <c r="I50" s="3"/>
      <c r="J50" s="1" t="s">
        <v>1483</v>
      </c>
      <c r="K50" s="1" t="s">
        <v>1484</v>
      </c>
      <c r="L50" s="4" t="s">
        <v>1399</v>
      </c>
      <c r="M50" s="1"/>
      <c r="N50" s="1" t="s">
        <v>1485</v>
      </c>
      <c r="O50" s="1"/>
      <c r="P50" s="1"/>
      <c r="Q50" s="1"/>
      <c r="R50" s="1"/>
      <c r="S50" s="1"/>
      <c r="T50" s="4"/>
      <c r="U50" s="4"/>
      <c r="V50" s="1"/>
      <c r="W50" s="1"/>
      <c r="X50" s="1"/>
    </row>
    <row r="51" spans="1:40" x14ac:dyDescent="0.25">
      <c r="A51" s="3"/>
      <c r="B51" s="3"/>
      <c r="C51" s="1"/>
      <c r="D51" s="3"/>
      <c r="E51" s="3"/>
      <c r="F51" s="3" t="s">
        <v>91</v>
      </c>
      <c r="G51" s="3"/>
      <c r="H51" s="3"/>
      <c r="I51" s="3"/>
      <c r="J51" s="1" t="s">
        <v>1486</v>
      </c>
      <c r="K51" s="333" t="s">
        <v>1487</v>
      </c>
      <c r="L51" s="4" t="s">
        <v>1399</v>
      </c>
      <c r="M51" s="1"/>
      <c r="N51" s="1" t="s">
        <v>1485</v>
      </c>
      <c r="O51" s="1"/>
      <c r="P51" s="1"/>
      <c r="Q51" s="1"/>
      <c r="R51" s="1"/>
      <c r="S51" s="1"/>
      <c r="T51" s="4"/>
      <c r="U51" s="4"/>
      <c r="V51" s="1"/>
      <c r="W51" s="1"/>
      <c r="X51" s="1"/>
    </row>
    <row r="52" spans="1:40" x14ac:dyDescent="0.25">
      <c r="A52" s="3"/>
      <c r="B52" s="3"/>
      <c r="C52" s="1"/>
      <c r="D52" s="3"/>
      <c r="E52" s="3" t="s">
        <v>91</v>
      </c>
      <c r="F52" s="3"/>
      <c r="G52" s="3"/>
      <c r="H52" s="3"/>
      <c r="I52" s="3"/>
      <c r="J52" s="351" t="s">
        <v>1488</v>
      </c>
      <c r="K52" s="1"/>
      <c r="L52" s="327"/>
      <c r="M52" s="1"/>
      <c r="N52" s="1"/>
      <c r="O52" s="1"/>
      <c r="P52" s="1"/>
      <c r="Q52" s="1"/>
      <c r="R52" s="1"/>
      <c r="S52" s="1"/>
      <c r="T52" s="4"/>
      <c r="U52" s="4"/>
      <c r="V52" s="1"/>
      <c r="W52" s="1"/>
      <c r="X52" s="1"/>
    </row>
    <row r="53" spans="1:40" x14ac:dyDescent="0.25">
      <c r="A53" s="3" t="s">
        <v>1106</v>
      </c>
      <c r="B53" s="3"/>
      <c r="C53" s="1"/>
      <c r="D53" s="3"/>
      <c r="E53" s="3"/>
      <c r="F53" s="3" t="s">
        <v>91</v>
      </c>
      <c r="G53" s="3"/>
      <c r="H53" s="3"/>
      <c r="I53" s="3"/>
      <c r="J53" s="1" t="s">
        <v>1489</v>
      </c>
      <c r="K53" s="1" t="s">
        <v>1490</v>
      </c>
      <c r="L53" s="327" t="s">
        <v>1399</v>
      </c>
      <c r="M53" s="1"/>
      <c r="N53" s="1" t="s">
        <v>1491</v>
      </c>
      <c r="O53" s="1"/>
      <c r="P53" s="1"/>
      <c r="Q53" s="1"/>
      <c r="R53" s="1"/>
      <c r="S53" s="1"/>
      <c r="T53" s="4"/>
      <c r="U53" s="4"/>
      <c r="V53" s="1"/>
      <c r="W53" s="1"/>
      <c r="X53" s="1"/>
    </row>
    <row r="54" spans="1:40" x14ac:dyDescent="0.25">
      <c r="A54" s="3" t="s">
        <v>1106</v>
      </c>
      <c r="B54" s="3"/>
      <c r="C54" s="1"/>
      <c r="D54" s="3"/>
      <c r="E54" s="3"/>
      <c r="F54" s="3" t="s">
        <v>91</v>
      </c>
      <c r="G54" s="3"/>
      <c r="H54" s="3"/>
      <c r="I54" s="3"/>
      <c r="J54" s="842" t="s">
        <v>1492</v>
      </c>
      <c r="K54" s="842" t="s">
        <v>1493</v>
      </c>
      <c r="L54" s="327" t="s">
        <v>1399</v>
      </c>
      <c r="M54" s="1"/>
      <c r="N54" s="1"/>
      <c r="O54" s="1"/>
      <c r="P54" s="1"/>
      <c r="Q54" s="1"/>
      <c r="R54" s="1"/>
      <c r="S54" s="1"/>
      <c r="T54" s="4"/>
      <c r="U54" s="4"/>
      <c r="V54" s="1"/>
      <c r="W54" s="1"/>
      <c r="X54" s="1"/>
    </row>
    <row r="55" spans="1:40" x14ac:dyDescent="0.25">
      <c r="A55" s="3" t="s">
        <v>1106</v>
      </c>
      <c r="B55" s="3"/>
      <c r="C55" s="1"/>
      <c r="D55" s="3"/>
      <c r="E55" s="3"/>
      <c r="F55" s="3" t="s">
        <v>91</v>
      </c>
      <c r="G55" s="3"/>
      <c r="H55" s="3"/>
      <c r="I55" s="3"/>
      <c r="J55" s="1" t="s">
        <v>1494</v>
      </c>
      <c r="K55" s="1" t="s">
        <v>1495</v>
      </c>
      <c r="L55" s="16" t="s">
        <v>1416</v>
      </c>
      <c r="M55" s="1"/>
      <c r="N55" s="1" t="s">
        <v>1496</v>
      </c>
      <c r="O55" s="1"/>
      <c r="P55" s="1"/>
      <c r="Q55" s="1"/>
      <c r="R55" s="1"/>
      <c r="S55" s="1"/>
      <c r="T55" s="4"/>
      <c r="U55" s="4"/>
      <c r="V55" s="1"/>
      <c r="W55" s="1"/>
      <c r="X55" s="1"/>
    </row>
    <row r="56" spans="1:40" x14ac:dyDescent="0.25">
      <c r="A56" s="3"/>
      <c r="B56" s="3"/>
      <c r="C56" s="1"/>
      <c r="D56" s="3"/>
      <c r="E56" s="3"/>
      <c r="F56" s="3" t="s">
        <v>91</v>
      </c>
      <c r="G56" s="3"/>
      <c r="H56" s="3"/>
      <c r="I56" s="3"/>
      <c r="J56" s="337" t="s">
        <v>1497</v>
      </c>
      <c r="K56" s="337" t="s">
        <v>1498</v>
      </c>
      <c r="L56" s="343" t="s">
        <v>1467</v>
      </c>
      <c r="M56" s="1"/>
      <c r="N56" s="1"/>
      <c r="O56" s="1"/>
      <c r="P56" s="1"/>
      <c r="Q56" s="1"/>
      <c r="R56" s="1"/>
      <c r="S56" s="1"/>
      <c r="T56" s="4"/>
      <c r="U56" s="4"/>
      <c r="V56" s="1"/>
      <c r="W56" s="1"/>
      <c r="X56" s="1"/>
    </row>
    <row r="57" spans="1:40" x14ac:dyDescent="0.25">
      <c r="A57" s="3"/>
      <c r="B57" s="3"/>
      <c r="C57" s="1"/>
      <c r="D57" s="3"/>
      <c r="E57" s="3" t="s">
        <v>91</v>
      </c>
      <c r="F57" s="3"/>
      <c r="G57" s="3"/>
      <c r="H57" s="3"/>
      <c r="I57" s="3"/>
      <c r="J57" s="351" t="s">
        <v>1499</v>
      </c>
      <c r="K57" s="1"/>
      <c r="L57" s="4"/>
      <c r="M57" s="1"/>
      <c r="N57" s="1"/>
      <c r="O57" s="1"/>
      <c r="P57" s="1"/>
      <c r="Q57" s="1"/>
      <c r="R57" s="1"/>
      <c r="S57" s="1"/>
      <c r="T57" s="4"/>
      <c r="U57" s="4"/>
      <c r="V57" s="1"/>
      <c r="W57" s="1"/>
      <c r="X57" s="1"/>
    </row>
    <row r="58" spans="1:40" x14ac:dyDescent="0.25">
      <c r="A58" s="3" t="s">
        <v>1098</v>
      </c>
      <c r="B58" s="3" t="s">
        <v>40</v>
      </c>
      <c r="C58" s="1"/>
      <c r="D58" s="3"/>
      <c r="E58" s="3"/>
      <c r="F58" s="3" t="s">
        <v>91</v>
      </c>
      <c r="G58" s="3"/>
      <c r="H58" s="3"/>
      <c r="I58" s="3"/>
      <c r="J58" s="1" t="s">
        <v>1500</v>
      </c>
      <c r="K58" s="1" t="s">
        <v>1501</v>
      </c>
      <c r="L58" s="4" t="s">
        <v>1399</v>
      </c>
      <c r="M58" s="1"/>
      <c r="N58" s="1"/>
      <c r="O58" s="1"/>
      <c r="P58" s="1"/>
      <c r="Q58" s="1"/>
      <c r="R58" s="1"/>
      <c r="S58" s="1"/>
      <c r="T58" s="4"/>
      <c r="U58" s="4"/>
      <c r="V58" s="1"/>
      <c r="W58" s="1"/>
      <c r="X58" s="1"/>
    </row>
    <row r="59" spans="1:40" x14ac:dyDescent="0.25">
      <c r="A59" s="3"/>
      <c r="B59" s="3"/>
      <c r="C59" s="1"/>
      <c r="D59" s="3"/>
      <c r="E59" s="3" t="s">
        <v>91</v>
      </c>
      <c r="F59" s="3"/>
      <c r="G59" s="3"/>
      <c r="H59" s="3"/>
      <c r="I59" s="3"/>
      <c r="J59" s="351" t="s">
        <v>1502</v>
      </c>
      <c r="K59" s="1"/>
      <c r="L59" s="4"/>
      <c r="M59" s="1"/>
      <c r="N59" s="1" t="s">
        <v>1503</v>
      </c>
      <c r="O59" s="1"/>
      <c r="P59" s="1"/>
      <c r="Q59" s="1"/>
      <c r="R59" s="1"/>
      <c r="S59" s="1"/>
      <c r="T59" s="4"/>
      <c r="U59" s="4"/>
      <c r="V59" s="1"/>
      <c r="W59" s="1"/>
      <c r="X59" s="1"/>
    </row>
    <row r="60" spans="1:40" x14ac:dyDescent="0.25">
      <c r="A60" s="3" t="s">
        <v>1106</v>
      </c>
      <c r="B60" s="3"/>
      <c r="C60" s="1"/>
      <c r="D60" s="3"/>
      <c r="E60" s="3"/>
      <c r="F60" s="3" t="s">
        <v>91</v>
      </c>
      <c r="G60" s="3"/>
      <c r="H60" s="3"/>
      <c r="I60" s="3"/>
      <c r="J60" s="1" t="s">
        <v>1504</v>
      </c>
      <c r="K60" s="1" t="s">
        <v>1505</v>
      </c>
      <c r="L60" s="4" t="s">
        <v>1399</v>
      </c>
      <c r="M60" s="1"/>
      <c r="N60" s="1"/>
      <c r="O60" s="1"/>
      <c r="P60" s="1"/>
      <c r="Q60" s="1"/>
      <c r="R60" s="1"/>
      <c r="S60" s="1"/>
      <c r="T60" s="4"/>
      <c r="U60" s="4"/>
      <c r="V60" s="1"/>
      <c r="W60" s="1"/>
      <c r="X60" s="1"/>
    </row>
    <row r="61" spans="1:40" x14ac:dyDescent="0.25">
      <c r="A61" s="3" t="s">
        <v>1106</v>
      </c>
      <c r="B61" s="3"/>
      <c r="C61" s="1"/>
      <c r="D61" s="3"/>
      <c r="E61" s="3"/>
      <c r="F61" s="3" t="s">
        <v>91</v>
      </c>
      <c r="G61" s="3"/>
      <c r="H61" s="3"/>
      <c r="I61" s="3"/>
      <c r="J61" s="1" t="s">
        <v>1506</v>
      </c>
      <c r="K61" s="1" t="s">
        <v>1507</v>
      </c>
      <c r="L61" s="4" t="s">
        <v>1399</v>
      </c>
      <c r="M61" s="1"/>
      <c r="N61" s="1"/>
      <c r="O61" s="1"/>
      <c r="P61" s="1"/>
      <c r="Q61" s="1"/>
      <c r="R61" s="1"/>
      <c r="S61" s="1"/>
      <c r="T61" s="4"/>
      <c r="U61" s="4"/>
      <c r="V61" s="1"/>
      <c r="W61" s="1"/>
      <c r="X61" s="1"/>
    </row>
    <row r="62" spans="1:40" ht="20.25" customHeight="1" x14ac:dyDescent="0.25">
      <c r="A62" s="3"/>
      <c r="B62" s="3"/>
      <c r="C62" s="742"/>
      <c r="D62" s="742" t="s">
        <v>91</v>
      </c>
      <c r="E62" s="1072" t="s">
        <v>1124</v>
      </c>
      <c r="F62" s="1072"/>
      <c r="G62" s="1072"/>
      <c r="H62" s="1072"/>
      <c r="I62" s="1072"/>
      <c r="J62" s="1072"/>
      <c r="K62" s="1073"/>
      <c r="L62" s="1074"/>
      <c r="M62" s="1075"/>
      <c r="N62" s="1075"/>
      <c r="O62" s="1075"/>
      <c r="P62" s="1075"/>
      <c r="Q62" s="1075"/>
      <c r="R62" s="1075"/>
      <c r="S62" s="1075"/>
      <c r="T62" s="1075"/>
      <c r="U62" s="1075"/>
      <c r="V62" s="1075"/>
      <c r="W62" s="1075"/>
      <c r="X62" s="1076"/>
      <c r="Y62" s="2"/>
      <c r="Z62" s="2"/>
      <c r="AA62" s="2"/>
      <c r="AB62" s="2"/>
      <c r="AC62" s="2"/>
      <c r="AD62" s="2"/>
      <c r="AE62" s="2"/>
      <c r="AF62" s="2"/>
      <c r="AG62" s="2"/>
      <c r="AH62" s="2"/>
      <c r="AI62" s="2"/>
      <c r="AJ62" s="2"/>
      <c r="AK62" s="2"/>
      <c r="AL62" s="2"/>
      <c r="AM62" s="2"/>
      <c r="AN62" s="2"/>
    </row>
    <row r="63" spans="1:40" x14ac:dyDescent="0.25">
      <c r="A63" s="3"/>
      <c r="B63" s="3"/>
      <c r="C63" s="1"/>
      <c r="D63" s="3"/>
      <c r="E63" s="3" t="s">
        <v>91</v>
      </c>
      <c r="F63" s="3"/>
      <c r="G63" s="3"/>
      <c r="H63" s="3"/>
      <c r="I63" s="3"/>
      <c r="J63" s="351" t="s">
        <v>1125</v>
      </c>
      <c r="K63" s="1"/>
      <c r="L63" s="326"/>
      <c r="M63" s="1"/>
      <c r="N63" s="1"/>
      <c r="O63" s="1"/>
      <c r="P63" s="1"/>
      <c r="Q63" s="1"/>
      <c r="R63" s="1"/>
      <c r="S63" s="1"/>
      <c r="T63" s="4"/>
      <c r="U63" s="4"/>
      <c r="V63" s="1"/>
      <c r="W63" s="1"/>
      <c r="X63" s="1"/>
    </row>
    <row r="64" spans="1:40" x14ac:dyDescent="0.25">
      <c r="A64" s="3" t="s">
        <v>1106</v>
      </c>
      <c r="B64" s="3"/>
      <c r="C64" s="1"/>
      <c r="D64" s="3"/>
      <c r="E64" s="3"/>
      <c r="F64" s="3" t="s">
        <v>91</v>
      </c>
      <c r="G64" s="3"/>
      <c r="H64" s="3"/>
      <c r="I64" s="3"/>
      <c r="J64" s="1" t="s">
        <v>1508</v>
      </c>
      <c r="K64" s="1" t="s">
        <v>1509</v>
      </c>
      <c r="L64" s="326" t="s">
        <v>1416</v>
      </c>
      <c r="M64" s="1"/>
      <c r="N64" s="1"/>
      <c r="O64" s="1"/>
      <c r="P64" s="1"/>
      <c r="Q64" s="1"/>
      <c r="R64" s="1"/>
      <c r="S64" s="1"/>
      <c r="T64" s="4"/>
      <c r="U64" s="4"/>
      <c r="V64" s="1"/>
      <c r="W64" s="1"/>
      <c r="X64" s="1"/>
    </row>
    <row r="65" spans="1:40" x14ac:dyDescent="0.25">
      <c r="A65" s="3"/>
      <c r="B65" s="3"/>
      <c r="C65" s="1"/>
      <c r="D65" s="3"/>
      <c r="E65" s="3" t="s">
        <v>91</v>
      </c>
      <c r="F65" s="3"/>
      <c r="G65" s="3"/>
      <c r="H65" s="3"/>
      <c r="I65" s="3"/>
      <c r="J65" s="351" t="s">
        <v>1510</v>
      </c>
      <c r="K65" s="1"/>
      <c r="L65" s="326"/>
      <c r="M65" s="1"/>
      <c r="N65" s="1"/>
      <c r="O65" s="1"/>
      <c r="P65" s="1"/>
      <c r="Q65" s="1"/>
      <c r="R65" s="1"/>
      <c r="S65" s="1"/>
      <c r="T65" s="4"/>
      <c r="U65" s="4"/>
      <c r="V65" s="1"/>
      <c r="W65" s="1"/>
      <c r="X65" s="1"/>
    </row>
    <row r="66" spans="1:40" x14ac:dyDescent="0.25">
      <c r="A66" s="3" t="s">
        <v>1106</v>
      </c>
      <c r="B66" s="3"/>
      <c r="C66" s="1"/>
      <c r="D66" s="3"/>
      <c r="E66" s="3"/>
      <c r="F66" s="3" t="s">
        <v>91</v>
      </c>
      <c r="G66" s="3"/>
      <c r="H66" s="3"/>
      <c r="I66" s="3"/>
      <c r="J66" s="1" t="s">
        <v>1511</v>
      </c>
      <c r="K66" s="1" t="s">
        <v>1512</v>
      </c>
      <c r="L66" s="326" t="s">
        <v>1416</v>
      </c>
      <c r="M66" s="1"/>
      <c r="N66" s="1"/>
      <c r="O66" s="1"/>
      <c r="P66" s="1"/>
      <c r="Q66" s="1"/>
      <c r="R66" s="1"/>
      <c r="S66" s="1"/>
      <c r="T66" s="4"/>
      <c r="U66" s="4"/>
      <c r="V66" s="1"/>
      <c r="W66" s="1"/>
      <c r="X66" s="1"/>
    </row>
    <row r="67" spans="1:40" x14ac:dyDescent="0.25">
      <c r="A67" s="3"/>
      <c r="B67" s="3"/>
      <c r="C67" s="1"/>
      <c r="D67" s="3"/>
      <c r="E67" s="3" t="s">
        <v>91</v>
      </c>
      <c r="F67" s="3"/>
      <c r="G67" s="3"/>
      <c r="H67" s="3"/>
      <c r="I67" s="3"/>
      <c r="J67" s="351" t="s">
        <v>1513</v>
      </c>
      <c r="K67" s="1"/>
      <c r="L67" s="326"/>
      <c r="M67" s="1"/>
      <c r="N67" s="1"/>
      <c r="O67" s="1"/>
      <c r="P67" s="1"/>
      <c r="Q67" s="1"/>
      <c r="R67" s="1"/>
      <c r="S67" s="1"/>
      <c r="T67" s="4"/>
      <c r="U67" s="4"/>
      <c r="V67" s="1"/>
      <c r="W67" s="1"/>
      <c r="X67" s="1"/>
    </row>
    <row r="68" spans="1:40" x14ac:dyDescent="0.25">
      <c r="A68" s="3" t="s">
        <v>1106</v>
      </c>
      <c r="B68" s="3"/>
      <c r="C68" s="1"/>
      <c r="D68" s="3"/>
      <c r="E68" s="3"/>
      <c r="F68" s="3" t="s">
        <v>91</v>
      </c>
      <c r="G68" s="3"/>
      <c r="H68" s="3"/>
      <c r="I68" s="3"/>
      <c r="J68" s="1" t="s">
        <v>1514</v>
      </c>
      <c r="K68" s="1" t="s">
        <v>1515</v>
      </c>
      <c r="L68" s="326" t="s">
        <v>1416</v>
      </c>
      <c r="M68" s="1"/>
      <c r="N68" s="1"/>
      <c r="O68" s="1"/>
      <c r="P68" s="1"/>
      <c r="Q68" s="1"/>
      <c r="R68" s="1"/>
      <c r="S68" s="1"/>
      <c r="T68" s="4"/>
      <c r="U68" s="4"/>
      <c r="V68" s="1"/>
      <c r="W68" s="1"/>
      <c r="X68" s="1"/>
    </row>
    <row r="69" spans="1:40" x14ac:dyDescent="0.25">
      <c r="A69" s="3"/>
      <c r="B69" s="3"/>
      <c r="C69" s="1"/>
      <c r="D69" s="3"/>
      <c r="E69" s="3" t="s">
        <v>91</v>
      </c>
      <c r="F69" s="3"/>
      <c r="G69" s="3"/>
      <c r="H69" s="3"/>
      <c r="I69" s="3"/>
      <c r="J69" s="351" t="s">
        <v>1516</v>
      </c>
      <c r="K69" s="1"/>
      <c r="L69" s="326"/>
      <c r="M69" s="1"/>
      <c r="N69" s="1"/>
      <c r="O69" s="1"/>
      <c r="P69" s="1"/>
      <c r="Q69" s="1"/>
      <c r="R69" s="1"/>
      <c r="S69" s="1"/>
      <c r="T69" s="4"/>
      <c r="U69" s="4"/>
      <c r="V69" s="1"/>
      <c r="W69" s="1"/>
      <c r="X69" s="1"/>
    </row>
    <row r="70" spans="1:40" x14ac:dyDescent="0.25">
      <c r="A70" s="3" t="s">
        <v>1098</v>
      </c>
      <c r="B70" s="3" t="s">
        <v>56</v>
      </c>
      <c r="C70" s="1"/>
      <c r="D70" s="3"/>
      <c r="E70" s="3"/>
      <c r="F70" s="3" t="s">
        <v>91</v>
      </c>
      <c r="G70" s="3"/>
      <c r="H70" s="3"/>
      <c r="I70" s="3"/>
      <c r="J70" s="1" t="s">
        <v>1517</v>
      </c>
      <c r="K70" s="1" t="s">
        <v>1518</v>
      </c>
      <c r="L70" s="16" t="s">
        <v>1519</v>
      </c>
      <c r="M70" s="1"/>
      <c r="N70" s="1"/>
      <c r="O70" s="1"/>
      <c r="P70" s="1"/>
      <c r="Q70" s="1"/>
      <c r="R70" s="1"/>
      <c r="S70" s="1"/>
      <c r="T70" s="4"/>
      <c r="U70" s="4"/>
      <c r="V70" s="1"/>
      <c r="W70" s="1"/>
      <c r="X70" s="1"/>
    </row>
    <row r="71" spans="1:40" x14ac:dyDescent="0.25">
      <c r="A71" s="3" t="s">
        <v>1098</v>
      </c>
      <c r="B71" s="3" t="s">
        <v>56</v>
      </c>
      <c r="C71" s="1"/>
      <c r="D71" s="3"/>
      <c r="E71" s="3"/>
      <c r="F71" s="3" t="s">
        <v>91</v>
      </c>
      <c r="G71" s="3"/>
      <c r="H71" s="3"/>
      <c r="I71" s="3"/>
      <c r="J71" s="1" t="s">
        <v>1145</v>
      </c>
      <c r="K71" s="1" t="s">
        <v>1520</v>
      </c>
      <c r="L71" s="16" t="s">
        <v>1519</v>
      </c>
      <c r="M71" s="1"/>
      <c r="N71" s="1"/>
      <c r="O71" s="1"/>
      <c r="P71" s="1"/>
      <c r="Q71" s="1"/>
      <c r="R71" s="1"/>
      <c r="S71" s="1"/>
      <c r="T71" s="4"/>
      <c r="U71" s="4"/>
      <c r="V71" s="1"/>
      <c r="W71" s="1"/>
      <c r="X71" s="1"/>
    </row>
    <row r="72" spans="1:40" x14ac:dyDescent="0.25">
      <c r="A72" s="3" t="s">
        <v>1098</v>
      </c>
      <c r="B72" s="3" t="s">
        <v>56</v>
      </c>
      <c r="C72" s="1"/>
      <c r="D72" s="3"/>
      <c r="E72" s="3"/>
      <c r="F72" s="3" t="s">
        <v>91</v>
      </c>
      <c r="G72" s="3"/>
      <c r="H72" s="3"/>
      <c r="I72" s="3"/>
      <c r="J72" s="1" t="s">
        <v>1147</v>
      </c>
      <c r="K72" s="1" t="s">
        <v>1521</v>
      </c>
      <c r="L72" s="16" t="s">
        <v>1519</v>
      </c>
      <c r="M72" s="1"/>
      <c r="N72" s="1"/>
      <c r="O72" s="1"/>
      <c r="P72" s="1"/>
      <c r="Q72" s="1"/>
      <c r="R72" s="1"/>
      <c r="S72" s="1"/>
      <c r="T72" s="4"/>
      <c r="U72" s="4"/>
      <c r="V72" s="1"/>
      <c r="W72" s="1"/>
      <c r="X72" s="1"/>
    </row>
    <row r="73" spans="1:40" x14ac:dyDescent="0.25">
      <c r="A73" s="3" t="s">
        <v>1106</v>
      </c>
      <c r="B73" s="3"/>
      <c r="C73" s="1"/>
      <c r="D73" s="3"/>
      <c r="E73" s="3"/>
      <c r="F73" s="3" t="s">
        <v>91</v>
      </c>
      <c r="G73" s="3"/>
      <c r="H73" s="3"/>
      <c r="I73" s="3"/>
      <c r="J73" s="1" t="s">
        <v>1522</v>
      </c>
      <c r="K73" s="1" t="s">
        <v>1523</v>
      </c>
      <c r="L73" s="326" t="s">
        <v>1416</v>
      </c>
      <c r="M73" s="1"/>
      <c r="N73" s="1" t="s">
        <v>1524</v>
      </c>
      <c r="O73" s="1"/>
      <c r="P73" s="1"/>
      <c r="Q73" s="1"/>
      <c r="R73" s="1"/>
      <c r="S73" s="1"/>
      <c r="T73" s="4"/>
      <c r="U73" s="4"/>
      <c r="V73" s="1"/>
      <c r="W73" s="1"/>
      <c r="X73" s="1"/>
    </row>
    <row r="74" spans="1:40" x14ac:dyDescent="0.25">
      <c r="A74" s="3"/>
      <c r="B74" s="3"/>
      <c r="C74" s="1"/>
      <c r="D74" s="3"/>
      <c r="E74" s="3" t="s">
        <v>91</v>
      </c>
      <c r="F74" s="3"/>
      <c r="G74" s="3"/>
      <c r="H74" s="3"/>
      <c r="I74" s="3"/>
      <c r="J74" s="351" t="s">
        <v>1149</v>
      </c>
      <c r="K74" s="1"/>
      <c r="L74" s="326"/>
      <c r="M74" s="1"/>
      <c r="N74" s="1"/>
      <c r="O74" s="1"/>
      <c r="P74" s="1"/>
      <c r="Q74" s="1"/>
      <c r="R74" s="1"/>
      <c r="S74" s="1"/>
      <c r="T74" s="4"/>
      <c r="U74" s="4"/>
      <c r="V74" s="1"/>
      <c r="W74" s="1"/>
      <c r="X74" s="1"/>
    </row>
    <row r="75" spans="1:40" x14ac:dyDescent="0.25">
      <c r="A75" s="3" t="s">
        <v>1098</v>
      </c>
      <c r="B75" s="3" t="s">
        <v>38</v>
      </c>
      <c r="C75" s="1"/>
      <c r="D75" s="3"/>
      <c r="E75" s="3" t="s">
        <v>91</v>
      </c>
      <c r="F75" s="3"/>
      <c r="G75" s="3"/>
      <c r="H75" s="3"/>
      <c r="I75" s="3"/>
      <c r="J75" s="1" t="s">
        <v>1525</v>
      </c>
      <c r="K75" s="1" t="s">
        <v>1526</v>
      </c>
      <c r="L75" s="326" t="s">
        <v>1416</v>
      </c>
      <c r="M75" s="1"/>
      <c r="N75" s="1"/>
      <c r="O75" s="1"/>
      <c r="P75" s="1"/>
      <c r="Q75" s="1"/>
      <c r="R75" s="1"/>
      <c r="S75" s="1"/>
      <c r="T75" s="4"/>
      <c r="U75" s="4"/>
      <c r="V75" s="1"/>
      <c r="W75" s="1"/>
      <c r="X75" s="1"/>
    </row>
    <row r="76" spans="1:40" ht="20.25" customHeight="1" x14ac:dyDescent="0.25">
      <c r="A76" s="3"/>
      <c r="B76" s="3"/>
      <c r="C76" s="742"/>
      <c r="D76" s="742">
        <v>3</v>
      </c>
      <c r="E76" s="1072" t="s">
        <v>1527</v>
      </c>
      <c r="F76" s="1072"/>
      <c r="G76" s="1072"/>
      <c r="H76" s="1072"/>
      <c r="I76" s="1072"/>
      <c r="J76" s="1072"/>
      <c r="K76" s="1073"/>
      <c r="L76" s="1074"/>
      <c r="M76" s="1075"/>
      <c r="N76" s="1075"/>
      <c r="O76" s="1075"/>
      <c r="P76" s="1075"/>
      <c r="Q76" s="1075"/>
      <c r="R76" s="1075"/>
      <c r="S76" s="1075"/>
      <c r="T76" s="1075"/>
      <c r="U76" s="1075"/>
      <c r="V76" s="1075"/>
      <c r="W76" s="1075"/>
      <c r="X76" s="1076"/>
      <c r="Y76" s="2"/>
      <c r="Z76" s="2"/>
      <c r="AA76" s="2"/>
      <c r="AB76" s="2"/>
      <c r="AC76" s="2"/>
      <c r="AD76" s="2"/>
      <c r="AE76" s="2"/>
      <c r="AF76" s="2"/>
      <c r="AG76" s="2"/>
      <c r="AH76" s="2"/>
      <c r="AI76" s="2"/>
      <c r="AJ76" s="2"/>
      <c r="AK76" s="2"/>
      <c r="AL76" s="2"/>
      <c r="AM76" s="2"/>
      <c r="AN76" s="2"/>
    </row>
    <row r="77" spans="1:40" x14ac:dyDescent="0.25">
      <c r="A77" s="3"/>
      <c r="B77" s="3"/>
      <c r="C77" s="1"/>
      <c r="D77" s="3"/>
      <c r="E77" s="3" t="s">
        <v>91</v>
      </c>
      <c r="F77" s="3"/>
      <c r="G77" s="3"/>
      <c r="H77" s="3"/>
      <c r="I77" s="3"/>
      <c r="J77" s="351" t="s">
        <v>1528</v>
      </c>
      <c r="K77" s="1"/>
      <c r="L77" s="326"/>
      <c r="M77" s="1"/>
      <c r="N77" s="1"/>
      <c r="O77" s="1"/>
      <c r="P77" s="1"/>
      <c r="Q77" s="1"/>
      <c r="R77" s="1"/>
      <c r="S77" s="1"/>
      <c r="T77" s="4"/>
      <c r="U77" s="4"/>
      <c r="V77" s="1"/>
      <c r="W77" s="1"/>
      <c r="X77" s="1"/>
    </row>
    <row r="78" spans="1:40" x14ac:dyDescent="0.25">
      <c r="A78" s="3" t="s">
        <v>1106</v>
      </c>
      <c r="B78" s="3"/>
      <c r="C78" s="1"/>
      <c r="D78" s="3"/>
      <c r="F78" s="3" t="s">
        <v>91</v>
      </c>
      <c r="G78" s="3"/>
      <c r="H78" s="3"/>
      <c r="I78" s="3"/>
      <c r="J78" s="1" t="s">
        <v>1529</v>
      </c>
      <c r="K78" s="1" t="s">
        <v>1530</v>
      </c>
      <c r="L78" s="326" t="s">
        <v>1416</v>
      </c>
      <c r="M78" s="1"/>
      <c r="N78" s="1"/>
      <c r="O78" s="1"/>
      <c r="P78" s="1"/>
      <c r="Q78" s="1"/>
      <c r="R78" s="1"/>
      <c r="S78" s="1"/>
      <c r="T78" s="4"/>
      <c r="U78" s="4"/>
      <c r="V78" s="1"/>
      <c r="W78" s="1"/>
      <c r="X78" s="1"/>
    </row>
    <row r="79" spans="1:40" x14ac:dyDescent="0.25">
      <c r="A79" s="3" t="s">
        <v>1106</v>
      </c>
      <c r="B79" s="3"/>
      <c r="C79" s="1"/>
      <c r="D79" s="3"/>
      <c r="E79" s="3"/>
      <c r="F79" s="3" t="s">
        <v>91</v>
      </c>
      <c r="G79" s="3"/>
      <c r="H79" s="3"/>
      <c r="I79" s="3"/>
      <c r="J79" s="1" t="s">
        <v>1531</v>
      </c>
      <c r="K79" s="1" t="s">
        <v>1532</v>
      </c>
      <c r="L79" s="326" t="s">
        <v>1416</v>
      </c>
      <c r="M79" s="1"/>
      <c r="N79" s="1" t="s">
        <v>1533</v>
      </c>
      <c r="O79" s="1"/>
      <c r="P79" s="1"/>
      <c r="Q79" s="1"/>
      <c r="R79" s="1"/>
      <c r="S79" s="1"/>
      <c r="T79" s="4"/>
      <c r="U79" s="4"/>
      <c r="V79" s="1"/>
      <c r="W79" s="1"/>
      <c r="X79" s="1"/>
    </row>
    <row r="80" spans="1:40" x14ac:dyDescent="0.25">
      <c r="A80" s="3" t="s">
        <v>1106</v>
      </c>
      <c r="B80" s="3"/>
      <c r="C80" s="1"/>
      <c r="D80" s="3"/>
      <c r="E80" s="3"/>
      <c r="F80" s="3" t="s">
        <v>91</v>
      </c>
      <c r="G80" s="3"/>
      <c r="H80" s="3"/>
      <c r="I80" s="3"/>
      <c r="J80" s="1" t="s">
        <v>1534</v>
      </c>
      <c r="K80" s="1" t="s">
        <v>1535</v>
      </c>
      <c r="L80" s="326" t="s">
        <v>1416</v>
      </c>
      <c r="M80" s="1"/>
      <c r="N80" s="1" t="s">
        <v>1536</v>
      </c>
      <c r="O80" s="1"/>
      <c r="P80" s="1"/>
      <c r="Q80" s="1"/>
      <c r="R80" s="1"/>
      <c r="S80" s="1"/>
      <c r="T80" s="4"/>
      <c r="U80" s="4"/>
      <c r="V80" s="1"/>
      <c r="W80" s="1"/>
      <c r="X80" s="1"/>
    </row>
    <row r="81" spans="1:40" x14ac:dyDescent="0.25">
      <c r="A81" s="3" t="s">
        <v>1106</v>
      </c>
      <c r="B81" s="3"/>
      <c r="C81" s="1"/>
      <c r="D81" s="3"/>
      <c r="E81" s="3"/>
      <c r="F81" s="3" t="s">
        <v>91</v>
      </c>
      <c r="G81" s="3"/>
      <c r="H81" s="3"/>
      <c r="I81" s="3"/>
      <c r="J81" s="1" t="s">
        <v>1537</v>
      </c>
      <c r="K81" s="1" t="s">
        <v>1538</v>
      </c>
      <c r="L81" s="326" t="s">
        <v>1416</v>
      </c>
      <c r="M81" s="1"/>
      <c r="N81" s="1" t="s">
        <v>1539</v>
      </c>
      <c r="O81" s="1"/>
      <c r="P81" s="1"/>
      <c r="Q81" s="1"/>
      <c r="R81" s="1"/>
      <c r="S81" s="1"/>
      <c r="T81" s="4"/>
      <c r="U81" s="4"/>
      <c r="V81" s="1"/>
      <c r="W81" s="1"/>
      <c r="X81" s="1"/>
    </row>
    <row r="82" spans="1:40" x14ac:dyDescent="0.25">
      <c r="A82" s="3" t="s">
        <v>1106</v>
      </c>
      <c r="B82" s="3"/>
      <c r="C82" s="1"/>
      <c r="D82" s="3"/>
      <c r="E82" s="3"/>
      <c r="F82" s="3" t="s">
        <v>91</v>
      </c>
      <c r="G82" s="3"/>
      <c r="H82" s="3"/>
      <c r="I82" s="3"/>
      <c r="J82" s="1" t="s">
        <v>1540</v>
      </c>
      <c r="K82" s="1" t="s">
        <v>1541</v>
      </c>
      <c r="L82" s="326" t="s">
        <v>1416</v>
      </c>
      <c r="M82" s="1"/>
      <c r="N82" s="1" t="s">
        <v>1542</v>
      </c>
      <c r="O82" s="1"/>
      <c r="P82" s="1"/>
      <c r="Q82" s="1"/>
      <c r="R82" s="1"/>
      <c r="S82" s="1"/>
      <c r="T82" s="4"/>
      <c r="U82" s="4"/>
      <c r="V82" s="1"/>
      <c r="W82" s="1"/>
      <c r="X82" s="1"/>
    </row>
    <row r="83" spans="1:40" x14ac:dyDescent="0.25">
      <c r="A83" s="3" t="s">
        <v>1106</v>
      </c>
      <c r="B83" s="3"/>
      <c r="C83" s="1"/>
      <c r="D83" s="3"/>
      <c r="E83" s="3"/>
      <c r="F83" s="3" t="s">
        <v>91</v>
      </c>
      <c r="G83" s="3"/>
      <c r="H83" s="3"/>
      <c r="I83" s="3"/>
      <c r="J83" s="1" t="s">
        <v>1543</v>
      </c>
      <c r="K83" s="1" t="s">
        <v>1544</v>
      </c>
      <c r="L83" s="326" t="s">
        <v>1416</v>
      </c>
      <c r="M83" s="1"/>
      <c r="N83" s="1" t="s">
        <v>1545</v>
      </c>
      <c r="O83" s="1"/>
      <c r="P83" s="1"/>
      <c r="Q83" s="1"/>
      <c r="R83" s="1"/>
      <c r="S83" s="1"/>
      <c r="T83" s="4"/>
      <c r="U83" s="4"/>
      <c r="V83" s="1"/>
      <c r="W83" s="1"/>
      <c r="X83" s="1"/>
    </row>
    <row r="84" spans="1:40" x14ac:dyDescent="0.25">
      <c r="A84" s="3"/>
      <c r="B84" s="3"/>
      <c r="C84" s="1"/>
      <c r="D84" s="3"/>
      <c r="E84" s="3" t="s">
        <v>91</v>
      </c>
      <c r="F84" s="3"/>
      <c r="G84" s="3"/>
      <c r="H84" s="3"/>
      <c r="I84" s="3"/>
      <c r="J84" s="351" t="s">
        <v>1546</v>
      </c>
      <c r="K84" s="1"/>
      <c r="L84" s="326"/>
      <c r="M84" s="1"/>
      <c r="N84" s="1"/>
      <c r="O84" s="1"/>
      <c r="P84" s="1"/>
      <c r="Q84" s="1"/>
      <c r="R84" s="1"/>
      <c r="S84" s="1"/>
      <c r="T84" s="4"/>
      <c r="U84" s="4"/>
      <c r="V84" s="1"/>
      <c r="W84" s="1"/>
      <c r="X84" s="1"/>
    </row>
    <row r="85" spans="1:40" x14ac:dyDescent="0.25">
      <c r="A85" s="3" t="s">
        <v>1106</v>
      </c>
      <c r="B85" s="3"/>
      <c r="C85" s="1"/>
      <c r="D85" s="3"/>
      <c r="E85" s="3"/>
      <c r="F85" s="3" t="s">
        <v>91</v>
      </c>
      <c r="G85" s="3"/>
      <c r="H85" s="3"/>
      <c r="I85" s="3"/>
      <c r="J85" s="1" t="s">
        <v>1547</v>
      </c>
      <c r="K85" s="1" t="s">
        <v>1548</v>
      </c>
      <c r="L85" s="326" t="s">
        <v>1416</v>
      </c>
      <c r="M85" s="1"/>
      <c r="N85" s="1" t="s">
        <v>1549</v>
      </c>
      <c r="O85" s="1"/>
      <c r="P85" s="1"/>
      <c r="Q85" s="1"/>
      <c r="R85" s="1"/>
      <c r="S85" s="1"/>
      <c r="T85" s="4"/>
      <c r="U85" s="4"/>
      <c r="V85" s="1"/>
      <c r="W85" s="1"/>
      <c r="X85" s="1"/>
    </row>
    <row r="86" spans="1:40" x14ac:dyDescent="0.25">
      <c r="A86" s="3" t="s">
        <v>1106</v>
      </c>
      <c r="B86" s="3"/>
      <c r="C86" s="1"/>
      <c r="D86" s="3"/>
      <c r="E86" s="3"/>
      <c r="F86" s="3" t="s">
        <v>91</v>
      </c>
      <c r="G86" s="3"/>
      <c r="H86" s="3"/>
      <c r="I86" s="3"/>
      <c r="J86" s="842" t="s">
        <v>1550</v>
      </c>
      <c r="K86" s="842" t="s">
        <v>1551</v>
      </c>
      <c r="L86" s="332" t="s">
        <v>1416</v>
      </c>
      <c r="M86" s="1"/>
      <c r="N86" s="1"/>
      <c r="O86" s="1"/>
      <c r="P86" s="1"/>
      <c r="Q86" s="1"/>
      <c r="R86" s="1"/>
      <c r="S86" s="1"/>
      <c r="T86" s="4"/>
      <c r="U86" s="4"/>
      <c r="V86" s="1"/>
      <c r="W86" s="1"/>
      <c r="X86" s="1"/>
    </row>
    <row r="87" spans="1:40" x14ac:dyDescent="0.25">
      <c r="A87" s="3" t="s">
        <v>1106</v>
      </c>
      <c r="B87" s="3"/>
      <c r="C87" s="1"/>
      <c r="D87" s="3"/>
      <c r="E87" s="3"/>
      <c r="F87" s="3" t="s">
        <v>91</v>
      </c>
      <c r="G87" s="3"/>
      <c r="H87" s="3"/>
      <c r="I87" s="3"/>
      <c r="J87" s="1" t="s">
        <v>1552</v>
      </c>
      <c r="K87" s="1" t="s">
        <v>1548</v>
      </c>
      <c r="L87" s="326" t="s">
        <v>1416</v>
      </c>
      <c r="M87" s="1"/>
      <c r="N87" s="1" t="s">
        <v>1553</v>
      </c>
      <c r="O87" s="1"/>
      <c r="P87" s="1"/>
      <c r="Q87" s="1"/>
      <c r="R87" s="1"/>
      <c r="S87" s="1"/>
      <c r="T87" s="4"/>
      <c r="U87" s="4"/>
      <c r="V87" s="1"/>
      <c r="W87" s="1"/>
      <c r="X87" s="1"/>
    </row>
    <row r="88" spans="1:40" x14ac:dyDescent="0.25">
      <c r="A88" s="3" t="s">
        <v>1106</v>
      </c>
      <c r="B88" s="3"/>
      <c r="C88" s="1"/>
      <c r="D88" s="3"/>
      <c r="E88" s="3"/>
      <c r="F88" s="3" t="s">
        <v>91</v>
      </c>
      <c r="G88" s="3"/>
      <c r="H88" s="3"/>
      <c r="I88" s="3"/>
      <c r="J88" s="842" t="s">
        <v>1554</v>
      </c>
      <c r="K88" s="842" t="s">
        <v>1555</v>
      </c>
      <c r="L88" s="332" t="s">
        <v>1416</v>
      </c>
      <c r="M88" s="1"/>
      <c r="N88" s="1"/>
      <c r="O88" s="1"/>
      <c r="P88" s="1"/>
      <c r="Q88" s="1"/>
      <c r="R88" s="1"/>
      <c r="S88" s="1"/>
      <c r="T88" s="4"/>
      <c r="U88" s="4"/>
      <c r="V88" s="1"/>
      <c r="W88" s="1"/>
      <c r="X88" s="1"/>
    </row>
    <row r="89" spans="1:40" x14ac:dyDescent="0.25">
      <c r="A89" s="3"/>
      <c r="B89" s="3"/>
      <c r="C89" s="1"/>
      <c r="D89" s="3"/>
      <c r="E89" s="3" t="s">
        <v>91</v>
      </c>
      <c r="F89" s="3"/>
      <c r="G89" s="3"/>
      <c r="H89" s="3"/>
      <c r="I89" s="3"/>
      <c r="J89" s="351" t="s">
        <v>1556</v>
      </c>
      <c r="K89" s="1"/>
      <c r="L89" s="326"/>
      <c r="M89" s="1"/>
      <c r="N89" s="1"/>
      <c r="O89" s="1"/>
      <c r="P89" s="1"/>
      <c r="Q89" s="1"/>
      <c r="R89" s="1"/>
      <c r="S89" s="1"/>
      <c r="T89" s="4"/>
      <c r="U89" s="4"/>
      <c r="V89" s="1"/>
      <c r="W89" s="1"/>
      <c r="X89" s="1"/>
    </row>
    <row r="90" spans="1:40" x14ac:dyDescent="0.25">
      <c r="A90" s="3" t="s">
        <v>1106</v>
      </c>
      <c r="B90" s="3"/>
      <c r="C90" s="1"/>
      <c r="D90" s="3"/>
      <c r="E90" s="3"/>
      <c r="F90" s="3" t="s">
        <v>91</v>
      </c>
      <c r="G90" s="3"/>
      <c r="H90" s="3"/>
      <c r="I90" s="3"/>
      <c r="J90" s="1" t="s">
        <v>1557</v>
      </c>
      <c r="K90" s="1" t="s">
        <v>1558</v>
      </c>
      <c r="L90" s="326" t="s">
        <v>1416</v>
      </c>
      <c r="M90" s="1"/>
      <c r="N90" s="1" t="s">
        <v>1559</v>
      </c>
      <c r="O90" s="1"/>
      <c r="P90" s="1"/>
      <c r="Q90" s="1"/>
      <c r="R90" s="1"/>
      <c r="S90" s="1"/>
      <c r="T90" s="4"/>
      <c r="U90" s="4"/>
      <c r="V90" s="1"/>
      <c r="W90" s="1"/>
      <c r="X90" s="1"/>
    </row>
    <row r="91" spans="1:40" x14ac:dyDescent="0.25">
      <c r="A91" s="3" t="s">
        <v>1106</v>
      </c>
      <c r="B91" s="3"/>
      <c r="C91" s="1"/>
      <c r="D91" s="3"/>
      <c r="E91" s="3"/>
      <c r="F91" s="3" t="s">
        <v>91</v>
      </c>
      <c r="G91" s="3"/>
      <c r="H91" s="3"/>
      <c r="I91" s="3"/>
      <c r="J91" s="1" t="s">
        <v>1560</v>
      </c>
      <c r="K91" s="1" t="s">
        <v>1561</v>
      </c>
      <c r="L91" s="326" t="s">
        <v>1416</v>
      </c>
      <c r="M91" s="1"/>
      <c r="N91" s="1" t="s">
        <v>1562</v>
      </c>
      <c r="O91" s="1"/>
      <c r="P91" s="1"/>
      <c r="Q91" s="1"/>
      <c r="R91" s="1"/>
      <c r="S91" s="1"/>
      <c r="T91" s="4"/>
      <c r="U91" s="4"/>
      <c r="V91" s="1"/>
      <c r="W91" s="1"/>
      <c r="X91" s="1"/>
    </row>
    <row r="92" spans="1:40" x14ac:dyDescent="0.25">
      <c r="A92" s="3" t="s">
        <v>1106</v>
      </c>
      <c r="B92" s="3"/>
      <c r="C92" s="1"/>
      <c r="D92" s="3"/>
      <c r="E92" s="3"/>
      <c r="F92" s="3" t="s">
        <v>91</v>
      </c>
      <c r="G92" s="3"/>
      <c r="H92" s="3"/>
      <c r="I92" s="3"/>
      <c r="J92" s="1" t="s">
        <v>1563</v>
      </c>
      <c r="K92" s="1" t="s">
        <v>1564</v>
      </c>
      <c r="L92" s="326" t="s">
        <v>1416</v>
      </c>
      <c r="M92" s="1"/>
      <c r="N92" s="1"/>
      <c r="O92" s="1"/>
      <c r="P92" s="1"/>
      <c r="Q92" s="1"/>
      <c r="R92" s="1"/>
      <c r="S92" s="1"/>
      <c r="T92" s="4"/>
      <c r="U92" s="4"/>
      <c r="V92" s="1"/>
      <c r="W92" s="1"/>
      <c r="X92" s="1"/>
    </row>
    <row r="93" spans="1:40" x14ac:dyDescent="0.25">
      <c r="A93" s="3" t="s">
        <v>1106</v>
      </c>
      <c r="B93" s="3"/>
      <c r="C93" s="1"/>
      <c r="D93" s="3"/>
      <c r="E93" s="3"/>
      <c r="F93" s="3" t="s">
        <v>91</v>
      </c>
      <c r="G93" s="3"/>
      <c r="H93" s="3"/>
      <c r="I93" s="3"/>
      <c r="J93" s="1" t="s">
        <v>1565</v>
      </c>
      <c r="K93" s="1" t="s">
        <v>1566</v>
      </c>
      <c r="L93" s="326" t="s">
        <v>1416</v>
      </c>
      <c r="M93" s="1"/>
      <c r="N93" s="1" t="s">
        <v>1567</v>
      </c>
      <c r="O93" s="1"/>
      <c r="P93" s="1"/>
      <c r="Q93" s="1"/>
      <c r="R93" s="1"/>
      <c r="S93" s="1"/>
      <c r="T93" s="4"/>
      <c r="U93" s="4"/>
      <c r="V93" s="1"/>
      <c r="W93" s="1"/>
      <c r="X93" s="1"/>
    </row>
    <row r="94" spans="1:40" ht="20.25" customHeight="1" x14ac:dyDescent="0.25">
      <c r="A94" s="3"/>
      <c r="B94" s="3"/>
      <c r="C94" s="742"/>
      <c r="D94" s="742">
        <v>4</v>
      </c>
      <c r="E94" s="1072" t="s">
        <v>1152</v>
      </c>
      <c r="F94" s="1072"/>
      <c r="G94" s="1072"/>
      <c r="H94" s="1072"/>
      <c r="I94" s="1072"/>
      <c r="J94" s="1072"/>
      <c r="K94" s="1073"/>
      <c r="L94" s="1074"/>
      <c r="M94" s="1075"/>
      <c r="N94" s="1075"/>
      <c r="O94" s="1075"/>
      <c r="P94" s="1075"/>
      <c r="Q94" s="1075"/>
      <c r="R94" s="1075"/>
      <c r="S94" s="1075"/>
      <c r="T94" s="1075"/>
      <c r="U94" s="1075"/>
      <c r="V94" s="1075"/>
      <c r="W94" s="1075"/>
      <c r="X94" s="1076"/>
      <c r="Y94" s="2"/>
      <c r="Z94" s="2"/>
      <c r="AA94" s="2"/>
      <c r="AB94" s="2"/>
      <c r="AC94" s="2"/>
      <c r="AD94" s="2"/>
      <c r="AE94" s="2"/>
      <c r="AF94" s="2"/>
      <c r="AG94" s="2"/>
      <c r="AH94" s="2"/>
      <c r="AI94" s="2"/>
      <c r="AJ94" s="2"/>
      <c r="AK94" s="2"/>
      <c r="AL94" s="2"/>
      <c r="AM94" s="2"/>
      <c r="AN94" s="2"/>
    </row>
    <row r="95" spans="1:40" x14ac:dyDescent="0.25">
      <c r="A95" s="3"/>
      <c r="B95" s="3"/>
      <c r="C95" s="1"/>
      <c r="D95" s="3"/>
      <c r="E95" s="3" t="s">
        <v>91</v>
      </c>
      <c r="F95" s="3"/>
      <c r="G95" s="3"/>
      <c r="H95" s="3"/>
      <c r="I95" s="3"/>
      <c r="J95" s="351" t="s">
        <v>1568</v>
      </c>
      <c r="K95" s="842"/>
      <c r="L95" s="327"/>
      <c r="M95" s="1"/>
      <c r="N95" s="1"/>
      <c r="O95" s="1"/>
      <c r="P95" s="1"/>
      <c r="Q95" s="1"/>
      <c r="R95" s="1"/>
      <c r="S95" s="1"/>
      <c r="T95" s="4"/>
      <c r="U95" s="4"/>
      <c r="V95" s="1"/>
      <c r="W95" s="1"/>
      <c r="X95" s="1"/>
    </row>
    <row r="96" spans="1:40" x14ac:dyDescent="0.25">
      <c r="A96" s="3" t="s">
        <v>1106</v>
      </c>
      <c r="B96" s="3"/>
      <c r="C96" s="1"/>
      <c r="D96" s="3"/>
      <c r="E96" s="3"/>
      <c r="F96" s="3" t="s">
        <v>91</v>
      </c>
      <c r="G96" s="3"/>
      <c r="H96" s="3"/>
      <c r="I96" s="3"/>
      <c r="J96" s="842" t="s">
        <v>1569</v>
      </c>
      <c r="K96" s="842" t="s">
        <v>1570</v>
      </c>
      <c r="L96" s="327" t="s">
        <v>1399</v>
      </c>
      <c r="M96" s="1"/>
      <c r="N96" s="1"/>
      <c r="O96" s="1"/>
      <c r="P96" s="1"/>
      <c r="Q96" s="1"/>
      <c r="R96" s="1"/>
      <c r="S96" s="1"/>
      <c r="T96" s="4"/>
      <c r="U96" s="4"/>
      <c r="V96" s="1"/>
      <c r="W96" s="1"/>
      <c r="X96" s="1"/>
    </row>
    <row r="97" spans="1:40" x14ac:dyDescent="0.25">
      <c r="A97" s="3" t="s">
        <v>1106</v>
      </c>
      <c r="B97" s="3"/>
      <c r="C97" s="1"/>
      <c r="D97" s="3"/>
      <c r="E97" s="3"/>
      <c r="F97" s="3" t="s">
        <v>91</v>
      </c>
      <c r="G97" s="3"/>
      <c r="H97" s="3"/>
      <c r="I97" s="3"/>
      <c r="J97" s="337" t="s">
        <v>1571</v>
      </c>
      <c r="K97" s="337" t="s">
        <v>1572</v>
      </c>
      <c r="L97" s="340" t="s">
        <v>1573</v>
      </c>
      <c r="M97" s="1"/>
      <c r="N97" s="1" t="s">
        <v>1574</v>
      </c>
      <c r="O97" s="1"/>
      <c r="P97" s="1"/>
      <c r="Q97" s="1"/>
      <c r="R97" s="1"/>
      <c r="S97" s="1"/>
      <c r="T97" s="4"/>
      <c r="U97" s="4"/>
      <c r="V97" s="1"/>
      <c r="W97" s="1"/>
      <c r="X97" s="1"/>
    </row>
    <row r="98" spans="1:40" x14ac:dyDescent="0.25">
      <c r="A98" s="3" t="s">
        <v>1106</v>
      </c>
      <c r="B98" s="3"/>
      <c r="C98" s="1"/>
      <c r="D98" s="3"/>
      <c r="E98" s="3"/>
      <c r="F98" s="3" t="s">
        <v>91</v>
      </c>
      <c r="G98" s="3"/>
      <c r="H98" s="3"/>
      <c r="I98" s="3"/>
      <c r="J98" s="337" t="s">
        <v>1575</v>
      </c>
      <c r="K98" s="337" t="s">
        <v>1576</v>
      </c>
      <c r="L98" s="340" t="s">
        <v>1433</v>
      </c>
      <c r="M98" s="1"/>
      <c r="N98" s="1"/>
      <c r="O98" s="1"/>
      <c r="P98" s="1"/>
      <c r="Q98" s="1"/>
      <c r="R98" s="1"/>
      <c r="S98" s="1"/>
      <c r="T98" s="4"/>
      <c r="U98" s="4"/>
      <c r="V98" s="1"/>
      <c r="W98" s="1"/>
      <c r="X98" s="1"/>
    </row>
    <row r="99" spans="1:40" x14ac:dyDescent="0.25">
      <c r="A99" s="3"/>
      <c r="B99" s="3"/>
      <c r="C99" s="1"/>
      <c r="D99" s="3"/>
      <c r="E99" s="3" t="s">
        <v>91</v>
      </c>
      <c r="F99" s="3"/>
      <c r="G99" s="3"/>
      <c r="H99" s="3"/>
      <c r="I99" s="3"/>
      <c r="J99" s="351" t="s">
        <v>1577</v>
      </c>
      <c r="K99" s="1"/>
      <c r="L99" s="326"/>
      <c r="M99" s="1"/>
      <c r="N99" s="1"/>
      <c r="O99" s="1"/>
      <c r="P99" s="1"/>
      <c r="Q99" s="1"/>
      <c r="R99" s="1"/>
      <c r="S99" s="1"/>
      <c r="T99" s="4"/>
      <c r="U99" s="4"/>
      <c r="V99" s="1"/>
      <c r="W99" s="1"/>
      <c r="X99" s="1"/>
    </row>
    <row r="100" spans="1:40" x14ac:dyDescent="0.25">
      <c r="A100" s="3" t="s">
        <v>1106</v>
      </c>
      <c r="B100" s="3"/>
      <c r="C100" s="1"/>
      <c r="D100" s="3"/>
      <c r="E100" s="3"/>
      <c r="F100" s="3" t="s">
        <v>91</v>
      </c>
      <c r="G100" s="3"/>
      <c r="H100" s="3"/>
      <c r="I100" s="3"/>
      <c r="J100" s="1" t="s">
        <v>1578</v>
      </c>
      <c r="K100" s="1" t="s">
        <v>1579</v>
      </c>
      <c r="L100" s="326" t="s">
        <v>1416</v>
      </c>
      <c r="M100" s="1"/>
      <c r="N100" s="1" t="s">
        <v>1580</v>
      </c>
      <c r="O100" s="1"/>
      <c r="P100" s="1"/>
      <c r="Q100" s="1"/>
      <c r="R100" s="1"/>
      <c r="S100" s="1"/>
      <c r="T100" s="4"/>
      <c r="U100" s="4"/>
      <c r="V100" s="1"/>
      <c r="W100" s="1"/>
      <c r="X100" s="1"/>
    </row>
    <row r="101" spans="1:40" x14ac:dyDescent="0.25">
      <c r="A101" s="3" t="s">
        <v>1106</v>
      </c>
      <c r="B101" s="3"/>
      <c r="C101" s="1"/>
      <c r="D101" s="3"/>
      <c r="E101" s="3"/>
      <c r="F101" s="3" t="s">
        <v>91</v>
      </c>
      <c r="G101" s="3"/>
      <c r="H101" s="3"/>
      <c r="I101" s="3"/>
      <c r="J101" s="337" t="s">
        <v>1581</v>
      </c>
      <c r="K101" s="337" t="s">
        <v>1582</v>
      </c>
      <c r="L101" s="340" t="s">
        <v>1573</v>
      </c>
      <c r="M101" s="1"/>
      <c r="N101" s="1"/>
      <c r="O101" s="1"/>
      <c r="P101" s="1"/>
      <c r="Q101" s="1"/>
      <c r="R101" s="1"/>
      <c r="S101" s="1"/>
      <c r="T101" s="4"/>
      <c r="U101" s="4"/>
      <c r="V101" s="1"/>
      <c r="W101" s="1"/>
      <c r="X101" s="1"/>
    </row>
    <row r="102" spans="1:40" ht="20.25" customHeight="1" x14ac:dyDescent="0.25">
      <c r="A102" s="3"/>
      <c r="B102" s="3"/>
      <c r="C102" s="742"/>
      <c r="D102" s="742">
        <v>6</v>
      </c>
      <c r="E102" s="1072" t="s">
        <v>1155</v>
      </c>
      <c r="F102" s="1072"/>
      <c r="G102" s="1072"/>
      <c r="H102" s="1072"/>
      <c r="I102" s="1072"/>
      <c r="J102" s="1072"/>
      <c r="K102" s="1073"/>
      <c r="L102" s="1074"/>
      <c r="M102" s="1075"/>
      <c r="N102" s="1075"/>
      <c r="O102" s="1075"/>
      <c r="P102" s="1075"/>
      <c r="Q102" s="1075"/>
      <c r="R102" s="1075"/>
      <c r="S102" s="1075"/>
      <c r="T102" s="1075"/>
      <c r="U102" s="1075"/>
      <c r="V102" s="1075"/>
      <c r="W102" s="1075"/>
      <c r="X102" s="1076"/>
      <c r="Y102" s="2"/>
      <c r="Z102" s="2"/>
      <c r="AA102" s="2"/>
      <c r="AB102" s="2"/>
      <c r="AC102" s="2"/>
      <c r="AD102" s="2"/>
      <c r="AE102" s="2"/>
      <c r="AF102" s="2"/>
      <c r="AG102" s="2"/>
      <c r="AH102" s="2"/>
      <c r="AI102" s="2"/>
      <c r="AJ102" s="2"/>
      <c r="AK102" s="2"/>
      <c r="AL102" s="2"/>
      <c r="AM102" s="2"/>
      <c r="AN102" s="2"/>
    </row>
    <row r="103" spans="1:40" x14ac:dyDescent="0.25">
      <c r="A103" s="3" t="s">
        <v>1106</v>
      </c>
      <c r="B103" s="3"/>
      <c r="C103" s="1"/>
      <c r="D103" s="3"/>
      <c r="E103" s="3" t="s">
        <v>91</v>
      </c>
      <c r="F103" s="3"/>
      <c r="G103" s="3"/>
      <c r="H103" s="3"/>
      <c r="I103" s="3"/>
      <c r="J103" s="1" t="s">
        <v>1583</v>
      </c>
      <c r="K103" s="1" t="s">
        <v>1584</v>
      </c>
      <c r="L103" s="326" t="s">
        <v>1416</v>
      </c>
      <c r="M103" s="1"/>
      <c r="N103" s="1" t="s">
        <v>1585</v>
      </c>
      <c r="O103" s="1"/>
      <c r="P103" s="1"/>
      <c r="Q103" s="1"/>
      <c r="R103" s="1"/>
      <c r="S103" s="1"/>
      <c r="T103" s="4"/>
      <c r="U103" s="4"/>
      <c r="V103" s="1"/>
      <c r="W103" s="1"/>
      <c r="X103" s="1"/>
    </row>
    <row r="104" spans="1:40" x14ac:dyDescent="0.25">
      <c r="A104" s="3" t="s">
        <v>1106</v>
      </c>
      <c r="B104" s="3"/>
      <c r="C104" s="1"/>
      <c r="D104" s="3"/>
      <c r="E104" s="3" t="s">
        <v>91</v>
      </c>
      <c r="F104" s="3"/>
      <c r="G104" s="3"/>
      <c r="H104" s="3"/>
      <c r="I104" s="3"/>
      <c r="J104" s="1" t="s">
        <v>1586</v>
      </c>
      <c r="K104" s="1" t="s">
        <v>1587</v>
      </c>
      <c r="L104" s="326" t="s">
        <v>1416</v>
      </c>
      <c r="M104" s="1"/>
      <c r="N104" s="1" t="s">
        <v>1588</v>
      </c>
      <c r="O104" s="1"/>
      <c r="P104" s="1"/>
      <c r="Q104" s="1"/>
      <c r="R104" s="1"/>
      <c r="S104" s="1"/>
      <c r="T104" s="4"/>
      <c r="U104" s="4"/>
      <c r="V104" s="1"/>
      <c r="W104" s="1"/>
      <c r="X104" s="1"/>
    </row>
    <row r="105" spans="1:40" x14ac:dyDescent="0.25">
      <c r="A105" s="3" t="s">
        <v>1106</v>
      </c>
      <c r="B105" s="3"/>
      <c r="C105" s="1"/>
      <c r="D105" s="3"/>
      <c r="E105" s="3" t="s">
        <v>91</v>
      </c>
      <c r="F105" s="3"/>
      <c r="G105" s="3"/>
      <c r="H105" s="3"/>
      <c r="I105" s="3"/>
      <c r="J105" s="1" t="s">
        <v>1589</v>
      </c>
      <c r="K105" s="1" t="s">
        <v>1590</v>
      </c>
      <c r="L105" s="340" t="s">
        <v>1433</v>
      </c>
      <c r="M105" s="1"/>
      <c r="N105" s="1"/>
      <c r="O105" s="1"/>
      <c r="P105" s="1"/>
      <c r="Q105" s="1"/>
      <c r="R105" s="1"/>
      <c r="S105" s="1"/>
      <c r="T105" s="4"/>
      <c r="U105" s="4"/>
      <c r="V105" s="1"/>
      <c r="W105" s="1"/>
      <c r="X105" s="1"/>
    </row>
    <row r="106" spans="1:40" x14ac:dyDescent="0.25">
      <c r="A106" s="3" t="s">
        <v>1106</v>
      </c>
      <c r="B106" s="3"/>
      <c r="C106" s="1"/>
      <c r="D106" s="3"/>
      <c r="E106" s="3"/>
      <c r="F106" s="3" t="s">
        <v>91</v>
      </c>
      <c r="G106" s="3"/>
      <c r="H106" s="3"/>
      <c r="I106" s="3"/>
      <c r="J106" s="1" t="s">
        <v>1591</v>
      </c>
      <c r="K106" s="1" t="s">
        <v>1592</v>
      </c>
      <c r="L106" s="326" t="s">
        <v>1416</v>
      </c>
      <c r="M106" s="1"/>
      <c r="N106" s="1" t="s">
        <v>1593</v>
      </c>
      <c r="O106" s="1"/>
      <c r="P106" s="1"/>
      <c r="Q106" s="1"/>
      <c r="R106" s="1"/>
      <c r="S106" s="1"/>
      <c r="T106" s="4"/>
      <c r="U106" s="4"/>
      <c r="V106" s="1"/>
      <c r="W106" s="1"/>
      <c r="X106" s="1"/>
    </row>
    <row r="107" spans="1:40" ht="20.25" customHeight="1" x14ac:dyDescent="0.25">
      <c r="A107" s="3"/>
      <c r="B107" s="3"/>
      <c r="C107" s="742"/>
      <c r="D107" s="847">
        <v>7</v>
      </c>
      <c r="E107" s="1154" t="s">
        <v>1158</v>
      </c>
      <c r="F107" s="1154"/>
      <c r="G107" s="1154"/>
      <c r="H107" s="1154"/>
      <c r="I107" s="1154"/>
      <c r="J107" s="1154"/>
      <c r="K107" s="1155"/>
      <c r="L107" s="1156"/>
      <c r="M107" s="1157"/>
      <c r="N107" s="1157"/>
      <c r="O107" s="1157"/>
      <c r="P107" s="1157"/>
      <c r="Q107" s="1157"/>
      <c r="R107" s="1157"/>
      <c r="S107" s="1157"/>
      <c r="T107" s="1157"/>
      <c r="U107" s="1157"/>
      <c r="V107" s="1157"/>
      <c r="W107" s="1157"/>
      <c r="X107" s="1158"/>
      <c r="Y107" s="2"/>
      <c r="Z107" s="2"/>
      <c r="AA107" s="2"/>
      <c r="AB107" s="2"/>
      <c r="AC107" s="2"/>
      <c r="AD107" s="2"/>
      <c r="AE107" s="2"/>
      <c r="AF107" s="2"/>
      <c r="AG107" s="2"/>
      <c r="AH107" s="2"/>
      <c r="AI107" s="2"/>
      <c r="AJ107" s="2"/>
      <c r="AK107" s="2"/>
      <c r="AL107" s="2"/>
      <c r="AM107" s="2"/>
      <c r="AN107" s="2"/>
    </row>
    <row r="108" spans="1:40" x14ac:dyDescent="0.25">
      <c r="A108" s="3"/>
      <c r="B108" s="3"/>
      <c r="C108" s="1"/>
      <c r="D108" s="3"/>
      <c r="E108" s="3" t="s">
        <v>91</v>
      </c>
      <c r="F108" s="3"/>
      <c r="G108" s="3"/>
      <c r="H108" s="3"/>
      <c r="I108" s="3"/>
      <c r="J108" s="351" t="s">
        <v>1594</v>
      </c>
      <c r="K108" s="1"/>
      <c r="L108" s="326"/>
      <c r="M108" s="1"/>
      <c r="N108" s="1" t="s">
        <v>1595</v>
      </c>
      <c r="O108" s="1"/>
      <c r="P108" s="1"/>
      <c r="Q108" s="1"/>
      <c r="R108" s="1"/>
      <c r="S108" s="1"/>
      <c r="T108" s="4"/>
      <c r="U108" s="4"/>
      <c r="V108" s="1"/>
      <c r="W108" s="1"/>
      <c r="X108" s="1"/>
    </row>
    <row r="109" spans="1:40" x14ac:dyDescent="0.25">
      <c r="A109" s="3" t="s">
        <v>1106</v>
      </c>
      <c r="B109" s="3"/>
      <c r="C109" s="1"/>
      <c r="D109" s="3"/>
      <c r="E109" s="3"/>
      <c r="F109" s="3" t="s">
        <v>91</v>
      </c>
      <c r="G109" s="3"/>
      <c r="H109" s="3"/>
      <c r="I109" s="3"/>
      <c r="J109" s="1" t="s">
        <v>1596</v>
      </c>
      <c r="K109" s="1" t="s">
        <v>1597</v>
      </c>
      <c r="L109" s="326" t="s">
        <v>1416</v>
      </c>
      <c r="M109" s="1"/>
      <c r="N109" s="1" t="s">
        <v>1598</v>
      </c>
      <c r="O109" s="1"/>
      <c r="P109" s="1"/>
      <c r="Q109" s="1"/>
      <c r="R109" s="1"/>
      <c r="S109" s="1"/>
      <c r="T109" s="4"/>
      <c r="U109" s="4"/>
      <c r="V109" s="1"/>
      <c r="W109" s="1"/>
      <c r="X109" s="1"/>
    </row>
    <row r="110" spans="1:40" x14ac:dyDescent="0.25">
      <c r="A110" s="3" t="s">
        <v>1106</v>
      </c>
      <c r="B110" s="3"/>
      <c r="C110" s="1"/>
      <c r="D110" s="3"/>
      <c r="E110" s="3"/>
      <c r="F110" s="3" t="s">
        <v>91</v>
      </c>
      <c r="G110" s="3"/>
      <c r="H110" s="3"/>
      <c r="I110" s="3"/>
      <c r="J110" s="1" t="s">
        <v>1599</v>
      </c>
      <c r="K110" s="1" t="s">
        <v>1600</v>
      </c>
      <c r="L110" s="326" t="s">
        <v>1416</v>
      </c>
      <c r="M110" s="1"/>
      <c r="N110" s="1"/>
      <c r="O110" s="1"/>
      <c r="P110" s="1"/>
      <c r="Q110" s="1"/>
      <c r="R110" s="1"/>
      <c r="S110" s="1"/>
      <c r="T110" s="4"/>
      <c r="U110" s="4"/>
      <c r="V110" s="1"/>
      <c r="W110" s="1"/>
      <c r="X110" s="1"/>
    </row>
    <row r="111" spans="1:40" x14ac:dyDescent="0.25">
      <c r="A111" s="3" t="s">
        <v>1244</v>
      </c>
      <c r="B111" s="3"/>
      <c r="C111" s="1"/>
      <c r="D111" s="3"/>
      <c r="E111" s="3"/>
      <c r="F111" s="3" t="s">
        <v>91</v>
      </c>
      <c r="G111" s="3"/>
      <c r="H111" s="3"/>
      <c r="I111" s="3"/>
      <c r="J111" s="842" t="s">
        <v>1601</v>
      </c>
      <c r="K111" s="842" t="s">
        <v>1602</v>
      </c>
      <c r="L111" s="336" t="s">
        <v>1399</v>
      </c>
      <c r="M111" s="1"/>
      <c r="N111" s="1" t="s">
        <v>1603</v>
      </c>
      <c r="O111" s="1"/>
      <c r="P111" s="1"/>
      <c r="Q111" s="1"/>
      <c r="R111" s="1"/>
      <c r="S111" s="1"/>
      <c r="T111" s="4"/>
      <c r="U111" s="4"/>
      <c r="V111" s="1"/>
      <c r="W111" s="1"/>
      <c r="X111" s="1"/>
    </row>
    <row r="112" spans="1:40" x14ac:dyDescent="0.25">
      <c r="A112" s="3"/>
      <c r="B112" s="3"/>
      <c r="C112" s="1"/>
      <c r="D112" s="3"/>
      <c r="E112" s="3" t="s">
        <v>91</v>
      </c>
      <c r="F112" s="3"/>
      <c r="G112" s="3"/>
      <c r="H112" s="3"/>
      <c r="I112" s="3"/>
      <c r="J112" s="351" t="s">
        <v>1604</v>
      </c>
      <c r="K112" s="1"/>
      <c r="L112" s="326"/>
      <c r="M112" s="1"/>
      <c r="N112" s="1"/>
      <c r="O112" s="1"/>
      <c r="P112" s="1"/>
      <c r="Q112" s="1"/>
      <c r="R112" s="1"/>
      <c r="S112" s="1"/>
      <c r="T112" s="4"/>
      <c r="U112" s="4"/>
      <c r="V112" s="1"/>
      <c r="W112" s="1"/>
      <c r="X112" s="1"/>
    </row>
    <row r="113" spans="1:24" x14ac:dyDescent="0.25">
      <c r="A113" s="3" t="s">
        <v>1106</v>
      </c>
      <c r="B113" s="3"/>
      <c r="C113" s="1"/>
      <c r="D113" s="3"/>
      <c r="E113" s="3"/>
      <c r="F113" s="3" t="s">
        <v>91</v>
      </c>
      <c r="G113" s="3"/>
      <c r="H113" s="3"/>
      <c r="I113" s="3"/>
      <c r="J113" s="1" t="s">
        <v>1605</v>
      </c>
      <c r="K113" s="1" t="s">
        <v>1606</v>
      </c>
      <c r="L113" s="326" t="s">
        <v>1416</v>
      </c>
      <c r="M113" s="1"/>
      <c r="N113" s="1" t="s">
        <v>1607</v>
      </c>
      <c r="O113" s="1"/>
      <c r="P113" s="1"/>
      <c r="Q113" s="1"/>
      <c r="R113" s="1" t="s">
        <v>1608</v>
      </c>
      <c r="S113" s="1"/>
      <c r="T113" s="4"/>
      <c r="U113" s="4"/>
      <c r="V113" s="1"/>
      <c r="W113" s="1"/>
      <c r="X113" s="1"/>
    </row>
    <row r="114" spans="1:24" x14ac:dyDescent="0.25">
      <c r="A114" s="3" t="s">
        <v>1106</v>
      </c>
      <c r="B114" s="3"/>
      <c r="C114" s="1"/>
      <c r="D114" s="3"/>
      <c r="E114" s="3"/>
      <c r="F114" s="3" t="s">
        <v>91</v>
      </c>
      <c r="G114" s="3"/>
      <c r="H114" s="3"/>
      <c r="I114" s="3"/>
      <c r="J114" s="1" t="s">
        <v>1609</v>
      </c>
      <c r="K114" s="1" t="s">
        <v>1610</v>
      </c>
      <c r="L114" s="326" t="s">
        <v>1416</v>
      </c>
      <c r="M114" s="1"/>
      <c r="N114" s="1" t="s">
        <v>1611</v>
      </c>
      <c r="O114" s="1"/>
      <c r="P114" s="1"/>
      <c r="Q114" s="1"/>
      <c r="R114" s="1"/>
      <c r="S114" s="1"/>
      <c r="T114" s="4"/>
      <c r="U114" s="4"/>
      <c r="V114" s="1"/>
      <c r="W114" s="1"/>
      <c r="X114" s="1"/>
    </row>
    <row r="115" spans="1:24" x14ac:dyDescent="0.25">
      <c r="A115" s="3"/>
      <c r="B115" s="3"/>
      <c r="C115" s="1"/>
      <c r="D115" s="3"/>
      <c r="E115" s="3" t="s">
        <v>91</v>
      </c>
      <c r="F115" s="3"/>
      <c r="G115" s="3"/>
      <c r="H115" s="3"/>
      <c r="I115" s="3"/>
      <c r="J115" s="351" t="s">
        <v>1612</v>
      </c>
      <c r="K115" s="1"/>
      <c r="L115" s="326"/>
      <c r="M115" s="1"/>
      <c r="N115" s="1"/>
      <c r="O115" s="1"/>
      <c r="P115" s="1"/>
      <c r="Q115" s="1"/>
      <c r="R115" s="1"/>
      <c r="S115" s="1"/>
      <c r="T115" s="4"/>
      <c r="U115" s="4"/>
      <c r="V115" s="1"/>
      <c r="W115" s="1"/>
      <c r="X115" s="1"/>
    </row>
    <row r="116" spans="1:24" x14ac:dyDescent="0.25">
      <c r="A116" s="3" t="s">
        <v>1106</v>
      </c>
      <c r="B116" s="3"/>
      <c r="C116" s="1"/>
      <c r="D116" s="3"/>
      <c r="E116" s="3"/>
      <c r="F116" s="3" t="s">
        <v>91</v>
      </c>
      <c r="G116" s="3"/>
      <c r="H116" s="3"/>
      <c r="I116" s="3"/>
      <c r="J116" s="1" t="s">
        <v>1613</v>
      </c>
      <c r="K116" s="1" t="s">
        <v>1614</v>
      </c>
      <c r="L116" s="326" t="s">
        <v>1416</v>
      </c>
      <c r="M116" s="1"/>
      <c r="N116" s="1" t="s">
        <v>1615</v>
      </c>
      <c r="O116" s="1"/>
      <c r="P116" s="1" t="s">
        <v>1616</v>
      </c>
      <c r="Q116" s="1"/>
      <c r="R116" s="1" t="s">
        <v>1617</v>
      </c>
      <c r="S116" s="1"/>
      <c r="T116" s="4"/>
      <c r="U116" s="4"/>
      <c r="V116" s="1"/>
      <c r="W116" s="1"/>
      <c r="X116" s="1"/>
    </row>
    <row r="117" spans="1:24" x14ac:dyDescent="0.25">
      <c r="A117" s="3" t="s">
        <v>1106</v>
      </c>
      <c r="B117" s="3"/>
      <c r="C117" s="1"/>
      <c r="D117" s="3"/>
      <c r="E117" s="3"/>
      <c r="F117" s="3" t="s">
        <v>91</v>
      </c>
      <c r="G117" s="3"/>
      <c r="H117" s="3"/>
      <c r="I117" s="3"/>
      <c r="J117" s="1" t="s">
        <v>1618</v>
      </c>
      <c r="K117" s="1" t="s">
        <v>1619</v>
      </c>
      <c r="L117" s="326" t="s">
        <v>1416</v>
      </c>
      <c r="M117" s="1"/>
      <c r="N117" s="1" t="s">
        <v>1620</v>
      </c>
      <c r="O117" s="1"/>
      <c r="P117" s="1"/>
      <c r="Q117" s="1"/>
      <c r="R117" s="1"/>
      <c r="S117" s="1"/>
      <c r="T117" s="4"/>
      <c r="U117" s="4"/>
      <c r="V117" s="1"/>
      <c r="W117" s="1"/>
      <c r="X117" s="1"/>
    </row>
    <row r="118" spans="1:24" x14ac:dyDescent="0.25">
      <c r="A118" s="3" t="s">
        <v>1106</v>
      </c>
      <c r="B118" s="3"/>
      <c r="C118" s="1"/>
      <c r="D118" s="3"/>
      <c r="E118" s="3"/>
      <c r="F118" s="3" t="s">
        <v>91</v>
      </c>
      <c r="G118" s="3"/>
      <c r="H118" s="3"/>
      <c r="I118" s="3"/>
      <c r="J118" s="1" t="s">
        <v>1621</v>
      </c>
      <c r="K118" s="1" t="s">
        <v>1622</v>
      </c>
      <c r="L118" s="326" t="s">
        <v>1416</v>
      </c>
      <c r="M118" s="1"/>
      <c r="N118" s="1"/>
      <c r="O118" s="1"/>
      <c r="P118" s="1"/>
      <c r="Q118" s="1"/>
      <c r="R118" s="1"/>
      <c r="S118" s="1"/>
      <c r="T118" s="4"/>
      <c r="U118" s="4"/>
      <c r="V118" s="1"/>
      <c r="W118" s="1"/>
      <c r="X118" s="1"/>
    </row>
    <row r="119" spans="1:24" x14ac:dyDescent="0.25">
      <c r="A119" s="3"/>
      <c r="B119" s="3"/>
      <c r="C119" s="1"/>
      <c r="D119" s="3"/>
      <c r="E119" s="3" t="s">
        <v>91</v>
      </c>
      <c r="F119" s="3"/>
      <c r="G119" s="3"/>
      <c r="H119" s="3"/>
      <c r="I119" s="3"/>
      <c r="J119" s="351" t="s">
        <v>1623</v>
      </c>
      <c r="K119" s="1"/>
      <c r="L119" s="326"/>
      <c r="M119" s="1"/>
      <c r="N119" s="1"/>
      <c r="O119" s="1"/>
      <c r="P119" s="1"/>
      <c r="Q119" s="1"/>
      <c r="R119" s="1"/>
      <c r="S119" s="1"/>
      <c r="T119" s="4"/>
      <c r="U119" s="4"/>
      <c r="V119" s="1"/>
      <c r="W119" s="1"/>
      <c r="X119" s="1"/>
    </row>
    <row r="120" spans="1:24" x14ac:dyDescent="0.25">
      <c r="A120" s="3" t="s">
        <v>1106</v>
      </c>
      <c r="B120" s="3"/>
      <c r="C120" s="1"/>
      <c r="D120" s="3"/>
      <c r="E120" s="3"/>
      <c r="F120" s="3" t="s">
        <v>91</v>
      </c>
      <c r="G120" s="3"/>
      <c r="H120" s="3"/>
      <c r="I120" s="3"/>
      <c r="J120" s="1" t="s">
        <v>1624</v>
      </c>
      <c r="K120" s="1" t="s">
        <v>1625</v>
      </c>
      <c r="L120" s="326" t="s">
        <v>1416</v>
      </c>
      <c r="M120" s="1"/>
      <c r="N120" s="1" t="s">
        <v>1626</v>
      </c>
      <c r="O120" s="1"/>
      <c r="P120" s="1"/>
      <c r="Q120" s="1"/>
      <c r="R120" s="1" t="s">
        <v>1627</v>
      </c>
      <c r="S120" s="1"/>
      <c r="T120" s="4"/>
      <c r="U120" s="4"/>
      <c r="V120" s="1"/>
      <c r="W120" s="1"/>
      <c r="X120" s="1"/>
    </row>
    <row r="121" spans="1:24" x14ac:dyDescent="0.25">
      <c r="A121" s="3" t="s">
        <v>1106</v>
      </c>
      <c r="B121" s="3"/>
      <c r="C121" s="1"/>
      <c r="D121" s="3"/>
      <c r="E121" s="3"/>
      <c r="F121" s="3" t="s">
        <v>91</v>
      </c>
      <c r="G121" s="3"/>
      <c r="H121" s="3"/>
      <c r="I121" s="3"/>
      <c r="J121" s="1" t="s">
        <v>1628</v>
      </c>
      <c r="K121" s="1" t="s">
        <v>1629</v>
      </c>
      <c r="L121" s="326" t="s">
        <v>1416</v>
      </c>
      <c r="M121" s="1"/>
      <c r="N121" s="1" t="s">
        <v>1630</v>
      </c>
      <c r="O121" s="1"/>
      <c r="P121" s="1"/>
      <c r="Q121" s="1"/>
      <c r="R121" s="1"/>
      <c r="S121" s="1"/>
      <c r="T121" s="4"/>
      <c r="U121" s="4"/>
      <c r="V121" s="1"/>
      <c r="W121" s="1"/>
      <c r="X121" s="1"/>
    </row>
    <row r="122" spans="1:24" x14ac:dyDescent="0.25">
      <c r="A122" s="3" t="s">
        <v>1106</v>
      </c>
      <c r="B122" s="3"/>
      <c r="C122" s="1"/>
      <c r="D122" s="3"/>
      <c r="E122" s="3"/>
      <c r="F122" s="3" t="s">
        <v>91</v>
      </c>
      <c r="G122" s="3"/>
      <c r="H122" s="3"/>
      <c r="I122" s="3"/>
      <c r="J122" s="1" t="s">
        <v>1631</v>
      </c>
      <c r="K122" s="1" t="s">
        <v>1632</v>
      </c>
      <c r="L122" s="326" t="s">
        <v>1416</v>
      </c>
      <c r="M122" s="1"/>
      <c r="N122" s="1"/>
      <c r="O122" s="1"/>
      <c r="P122" s="1"/>
      <c r="Q122" s="1"/>
      <c r="R122" s="1"/>
      <c r="S122" s="1"/>
      <c r="T122" s="4"/>
      <c r="U122" s="4"/>
      <c r="V122" s="1"/>
      <c r="W122" s="1"/>
      <c r="X122" s="1"/>
    </row>
    <row r="123" spans="1:24" x14ac:dyDescent="0.25">
      <c r="A123" s="3"/>
      <c r="B123" s="3"/>
      <c r="C123" s="1"/>
      <c r="D123" s="3"/>
      <c r="E123" s="3" t="s">
        <v>91</v>
      </c>
      <c r="F123" s="3"/>
      <c r="G123" s="3"/>
      <c r="H123" s="3"/>
      <c r="I123" s="3"/>
      <c r="J123" s="845" t="s">
        <v>1633</v>
      </c>
      <c r="K123" s="337"/>
      <c r="L123" s="340"/>
      <c r="M123" s="1"/>
      <c r="N123" s="1"/>
      <c r="O123" s="1"/>
      <c r="P123" s="1"/>
      <c r="Q123" s="1"/>
      <c r="R123" s="1"/>
      <c r="S123" s="1"/>
      <c r="T123" s="4"/>
      <c r="U123" s="4"/>
      <c r="V123" s="1"/>
      <c r="W123" s="1"/>
      <c r="X123" s="1"/>
    </row>
    <row r="124" spans="1:24" x14ac:dyDescent="0.25">
      <c r="A124" s="3" t="s">
        <v>1106</v>
      </c>
      <c r="B124" s="3"/>
      <c r="C124" s="1"/>
      <c r="D124" s="3"/>
      <c r="E124" s="3"/>
      <c r="F124" s="3" t="s">
        <v>91</v>
      </c>
      <c r="G124" s="3"/>
      <c r="H124" s="3"/>
      <c r="I124" s="3"/>
      <c r="J124" s="337" t="s">
        <v>1634</v>
      </c>
      <c r="K124" s="337" t="s">
        <v>1635</v>
      </c>
      <c r="L124" s="340" t="s">
        <v>1636</v>
      </c>
      <c r="M124" s="1"/>
      <c r="N124" s="1"/>
      <c r="O124" s="1"/>
      <c r="P124" s="1"/>
      <c r="Q124" s="1"/>
      <c r="R124" s="1" t="s">
        <v>1637</v>
      </c>
      <c r="S124" s="1"/>
      <c r="T124" s="4"/>
      <c r="U124" s="4"/>
      <c r="V124" s="1"/>
      <c r="W124" s="1"/>
      <c r="X124" s="1"/>
    </row>
    <row r="125" spans="1:24" x14ac:dyDescent="0.25">
      <c r="A125" s="3" t="s">
        <v>1106</v>
      </c>
      <c r="B125" s="3"/>
      <c r="C125" s="1"/>
      <c r="D125" s="3"/>
      <c r="E125" s="3"/>
      <c r="F125" s="3" t="s">
        <v>91</v>
      </c>
      <c r="G125" s="3"/>
      <c r="H125" s="3"/>
      <c r="I125" s="3"/>
      <c r="J125" s="1" t="s">
        <v>1638</v>
      </c>
      <c r="K125" s="848" t="s">
        <v>1639</v>
      </c>
      <c r="L125" s="326" t="s">
        <v>1416</v>
      </c>
      <c r="M125" s="1"/>
      <c r="N125" s="1"/>
      <c r="O125" s="1"/>
      <c r="P125" s="1"/>
      <c r="Q125" s="1"/>
      <c r="R125" s="1"/>
      <c r="S125" s="1"/>
      <c r="T125" s="4"/>
      <c r="U125" s="4"/>
      <c r="V125" s="1"/>
      <c r="W125" s="1"/>
      <c r="X125" s="1"/>
    </row>
    <row r="126" spans="1:24" x14ac:dyDescent="0.25">
      <c r="A126" s="3" t="s">
        <v>1106</v>
      </c>
      <c r="B126" s="3"/>
      <c r="C126" s="1"/>
      <c r="D126" s="3"/>
      <c r="E126" s="3"/>
      <c r="F126" s="3" t="s">
        <v>91</v>
      </c>
      <c r="G126" s="3"/>
      <c r="H126" s="3"/>
      <c r="I126" s="3"/>
      <c r="J126" s="1" t="s">
        <v>1640</v>
      </c>
      <c r="K126" s="1" t="s">
        <v>1641</v>
      </c>
      <c r="L126" s="326" t="s">
        <v>1416</v>
      </c>
      <c r="M126" s="1"/>
      <c r="N126" s="1"/>
      <c r="O126" s="1"/>
      <c r="P126" s="1"/>
      <c r="Q126" s="1"/>
      <c r="R126" s="1"/>
      <c r="S126" s="1"/>
      <c r="T126" s="4"/>
      <c r="U126" s="4"/>
      <c r="V126" s="1"/>
      <c r="W126" s="1"/>
      <c r="X126" s="1"/>
    </row>
    <row r="127" spans="1:24" x14ac:dyDescent="0.25">
      <c r="A127" s="3" t="s">
        <v>1106</v>
      </c>
      <c r="B127" s="3"/>
      <c r="C127" s="1"/>
      <c r="D127" s="3"/>
      <c r="E127" s="3"/>
      <c r="F127" s="3" t="s">
        <v>91</v>
      </c>
      <c r="G127" s="3"/>
      <c r="H127" s="3"/>
      <c r="I127" s="3"/>
      <c r="J127" s="1" t="s">
        <v>1642</v>
      </c>
      <c r="K127" s="1" t="s">
        <v>1643</v>
      </c>
      <c r="L127" s="326" t="s">
        <v>1416</v>
      </c>
      <c r="M127" s="1"/>
      <c r="N127" s="1" t="s">
        <v>1644</v>
      </c>
      <c r="O127" s="1"/>
      <c r="P127" s="1"/>
      <c r="Q127" s="1"/>
      <c r="R127" s="1"/>
      <c r="S127" s="1"/>
      <c r="T127" s="4"/>
      <c r="U127" s="4"/>
      <c r="V127" s="1"/>
      <c r="W127" s="1"/>
      <c r="X127" s="1"/>
    </row>
    <row r="128" spans="1:24" x14ac:dyDescent="0.25">
      <c r="A128" s="3" t="s">
        <v>1106</v>
      </c>
      <c r="B128" s="3"/>
      <c r="C128" s="1"/>
      <c r="D128" s="3"/>
      <c r="E128" s="3"/>
      <c r="F128" s="3" t="s">
        <v>91</v>
      </c>
      <c r="G128" s="3"/>
      <c r="H128" s="3"/>
      <c r="I128" s="3"/>
      <c r="J128" s="1" t="s">
        <v>1645</v>
      </c>
      <c r="K128" s="1" t="s">
        <v>1646</v>
      </c>
      <c r="L128" s="326" t="s">
        <v>1416</v>
      </c>
      <c r="M128" s="1"/>
      <c r="N128" s="1"/>
      <c r="O128" s="1"/>
      <c r="P128" s="1"/>
      <c r="Q128" s="1"/>
      <c r="R128" s="1"/>
      <c r="S128" s="1"/>
      <c r="T128" s="4"/>
      <c r="U128" s="4"/>
      <c r="V128" s="1"/>
      <c r="W128" s="1"/>
      <c r="X128" s="1"/>
    </row>
    <row r="129" spans="1:40" x14ac:dyDescent="0.25">
      <c r="A129" s="3" t="s">
        <v>1106</v>
      </c>
      <c r="B129" s="3"/>
      <c r="C129" s="1"/>
      <c r="D129" s="3"/>
      <c r="E129" s="3"/>
      <c r="F129" s="3" t="s">
        <v>91</v>
      </c>
      <c r="G129" s="3"/>
      <c r="H129" s="3"/>
      <c r="I129" s="3"/>
      <c r="J129" s="1" t="s">
        <v>1647</v>
      </c>
      <c r="K129" s="1" t="s">
        <v>1648</v>
      </c>
      <c r="L129" s="326" t="s">
        <v>1416</v>
      </c>
      <c r="M129" s="1"/>
      <c r="N129" s="1" t="s">
        <v>1649</v>
      </c>
      <c r="O129" s="1"/>
      <c r="P129" s="1"/>
      <c r="Q129" s="1"/>
      <c r="R129" s="1" t="s">
        <v>1650</v>
      </c>
      <c r="S129" s="1"/>
      <c r="T129" s="4"/>
      <c r="U129" s="4"/>
      <c r="V129" s="1"/>
      <c r="W129" s="1"/>
      <c r="X129" s="1"/>
    </row>
    <row r="130" spans="1:40" x14ac:dyDescent="0.25">
      <c r="A130" s="3"/>
      <c r="B130" s="3"/>
      <c r="C130" s="1"/>
      <c r="D130" s="3"/>
      <c r="E130" s="3" t="s">
        <v>91</v>
      </c>
      <c r="F130" s="3"/>
      <c r="G130" s="3"/>
      <c r="H130" s="3"/>
      <c r="I130" s="3"/>
      <c r="J130" s="351" t="s">
        <v>1651</v>
      </c>
      <c r="K130" s="1"/>
      <c r="L130" s="326"/>
      <c r="M130" s="1"/>
      <c r="N130" s="1"/>
      <c r="O130" s="1"/>
      <c r="P130" s="1"/>
      <c r="Q130" s="1"/>
      <c r="R130" s="1"/>
      <c r="S130" s="1"/>
      <c r="T130" s="4"/>
      <c r="U130" s="4"/>
      <c r="V130" s="1"/>
      <c r="W130" s="1"/>
      <c r="X130" s="1"/>
    </row>
    <row r="131" spans="1:40" x14ac:dyDescent="0.25">
      <c r="A131" s="3" t="s">
        <v>1106</v>
      </c>
      <c r="B131" s="3"/>
      <c r="C131" s="1"/>
      <c r="D131" s="3"/>
      <c r="E131" s="3"/>
      <c r="F131" s="3" t="s">
        <v>91</v>
      </c>
      <c r="G131" s="3"/>
      <c r="H131" s="3"/>
      <c r="I131" s="3"/>
      <c r="J131" s="1" t="s">
        <v>1188</v>
      </c>
      <c r="K131" s="1" t="s">
        <v>1652</v>
      </c>
      <c r="L131" s="326" t="s">
        <v>1416</v>
      </c>
      <c r="M131" s="1"/>
      <c r="N131" s="1" t="s">
        <v>1653</v>
      </c>
      <c r="O131" s="1"/>
      <c r="P131" s="1"/>
      <c r="Q131" s="1"/>
      <c r="R131" s="1" t="s">
        <v>1191</v>
      </c>
      <c r="S131" s="1"/>
      <c r="T131" s="4"/>
      <c r="U131" s="4"/>
      <c r="V131" s="1"/>
      <c r="W131" s="1"/>
      <c r="X131" s="1"/>
    </row>
    <row r="132" spans="1:40" x14ac:dyDescent="0.25">
      <c r="A132" s="3"/>
      <c r="B132" s="3"/>
      <c r="C132" s="1"/>
      <c r="D132" s="3"/>
      <c r="E132" s="3" t="s">
        <v>91</v>
      </c>
      <c r="F132" s="3"/>
      <c r="G132" s="3"/>
      <c r="H132" s="3"/>
      <c r="I132" s="3"/>
      <c r="J132" s="845" t="s">
        <v>1654</v>
      </c>
      <c r="K132" s="337"/>
      <c r="L132" s="340"/>
      <c r="M132" s="1"/>
      <c r="N132" s="1"/>
      <c r="O132" s="1"/>
      <c r="P132" s="1"/>
      <c r="Q132" s="1"/>
      <c r="R132" s="1"/>
      <c r="S132" s="1"/>
      <c r="T132" s="4"/>
      <c r="U132" s="4"/>
      <c r="V132" s="1"/>
      <c r="W132" s="1"/>
      <c r="X132" s="1"/>
    </row>
    <row r="133" spans="1:40" x14ac:dyDescent="0.25">
      <c r="A133" s="3" t="s">
        <v>1106</v>
      </c>
      <c r="B133" s="3"/>
      <c r="C133" s="1"/>
      <c r="D133" s="3"/>
      <c r="E133" s="3"/>
      <c r="F133" s="3" t="s">
        <v>91</v>
      </c>
      <c r="G133" s="3"/>
      <c r="H133" s="3"/>
      <c r="I133" s="3"/>
      <c r="J133" s="337" t="s">
        <v>1655</v>
      </c>
      <c r="K133" s="337" t="s">
        <v>1656</v>
      </c>
      <c r="L133" s="340" t="s">
        <v>1636</v>
      </c>
      <c r="M133" s="1"/>
      <c r="N133" s="1"/>
      <c r="O133" s="1"/>
      <c r="P133" s="1"/>
      <c r="Q133" s="1"/>
      <c r="R133" s="1"/>
      <c r="S133" s="1"/>
      <c r="T133" s="4"/>
      <c r="U133" s="4"/>
      <c r="V133" s="1"/>
      <c r="W133" s="1"/>
      <c r="X133" s="1"/>
    </row>
    <row r="134" spans="1:40" x14ac:dyDescent="0.25">
      <c r="A134" s="3"/>
      <c r="B134" s="3"/>
      <c r="C134" s="1"/>
      <c r="D134" s="3"/>
      <c r="E134" s="3"/>
      <c r="F134" s="3" t="s">
        <v>91</v>
      </c>
      <c r="G134" s="3"/>
      <c r="H134" s="3"/>
      <c r="I134" s="3"/>
      <c r="J134" s="1" t="s">
        <v>1657</v>
      </c>
      <c r="K134" s="1" t="s">
        <v>1658</v>
      </c>
      <c r="L134" s="326" t="s">
        <v>1416</v>
      </c>
      <c r="M134" s="1"/>
      <c r="N134" s="1" t="s">
        <v>1659</v>
      </c>
      <c r="O134" s="1"/>
      <c r="P134" s="1"/>
      <c r="Q134" s="1"/>
      <c r="R134" s="1" t="s">
        <v>1660</v>
      </c>
      <c r="S134" s="1"/>
      <c r="T134" s="4"/>
      <c r="U134" s="4"/>
      <c r="V134" s="1"/>
      <c r="W134" s="1"/>
      <c r="X134" s="1"/>
    </row>
    <row r="135" spans="1:40" ht="20.25" customHeight="1" x14ac:dyDescent="0.25">
      <c r="A135" s="3"/>
      <c r="B135" s="3"/>
      <c r="C135" s="742"/>
      <c r="D135" s="847">
        <v>8</v>
      </c>
      <c r="E135" s="1154" t="s">
        <v>1192</v>
      </c>
      <c r="F135" s="1154"/>
      <c r="G135" s="1154"/>
      <c r="H135" s="1154"/>
      <c r="I135" s="1154"/>
      <c r="J135" s="1154"/>
      <c r="K135" s="1155"/>
      <c r="L135" s="1156"/>
      <c r="M135" s="1157"/>
      <c r="N135" s="1157"/>
      <c r="O135" s="1157"/>
      <c r="P135" s="1157"/>
      <c r="Q135" s="1157"/>
      <c r="R135" s="1157"/>
      <c r="S135" s="1157"/>
      <c r="T135" s="1157"/>
      <c r="U135" s="1157"/>
      <c r="V135" s="1157"/>
      <c r="W135" s="1157"/>
      <c r="X135" s="1158"/>
      <c r="Y135" s="2"/>
      <c r="Z135" s="2"/>
      <c r="AA135" s="2"/>
      <c r="AB135" s="2"/>
      <c r="AC135" s="2"/>
      <c r="AD135" s="2"/>
      <c r="AE135" s="2"/>
      <c r="AF135" s="2"/>
      <c r="AG135" s="2"/>
      <c r="AH135" s="2"/>
      <c r="AI135" s="2"/>
      <c r="AJ135" s="2"/>
      <c r="AK135" s="2"/>
      <c r="AL135" s="2"/>
      <c r="AM135" s="2"/>
      <c r="AN135" s="2"/>
    </row>
    <row r="136" spans="1:40" x14ac:dyDescent="0.25">
      <c r="A136" s="3"/>
      <c r="B136" s="3"/>
      <c r="C136" s="1"/>
      <c r="D136" s="3"/>
      <c r="E136" s="3" t="s">
        <v>91</v>
      </c>
      <c r="F136" s="3"/>
      <c r="G136" s="3"/>
      <c r="H136" s="3"/>
      <c r="I136" s="3"/>
      <c r="J136" s="351" t="s">
        <v>1193</v>
      </c>
      <c r="K136" s="1"/>
      <c r="L136" s="5"/>
      <c r="M136" s="1"/>
      <c r="N136" s="1"/>
      <c r="O136" s="1"/>
      <c r="P136" s="1"/>
      <c r="Q136" s="1"/>
      <c r="R136" s="1"/>
      <c r="S136" s="1"/>
      <c r="T136" s="4"/>
      <c r="U136" s="4"/>
      <c r="V136" s="1"/>
      <c r="W136" s="1"/>
      <c r="X136" s="1"/>
    </row>
    <row r="137" spans="1:40" x14ac:dyDescent="0.25">
      <c r="A137" s="3" t="s">
        <v>1106</v>
      </c>
      <c r="B137" s="3"/>
      <c r="C137" s="1"/>
      <c r="D137" s="3"/>
      <c r="E137" s="3"/>
      <c r="F137" s="3" t="s">
        <v>91</v>
      </c>
      <c r="G137" s="3"/>
      <c r="H137" s="3"/>
      <c r="I137" s="3"/>
      <c r="J137" s="1" t="s">
        <v>1196</v>
      </c>
      <c r="K137" s="1" t="s">
        <v>1661</v>
      </c>
      <c r="L137" s="326" t="s">
        <v>1416</v>
      </c>
      <c r="M137" s="1"/>
      <c r="N137" s="1" t="s">
        <v>1662</v>
      </c>
      <c r="O137" s="1"/>
      <c r="P137" s="1"/>
      <c r="Q137" s="1"/>
      <c r="R137" s="1" t="s">
        <v>1198</v>
      </c>
      <c r="S137" s="1"/>
      <c r="T137" s="4"/>
      <c r="U137" s="4"/>
      <c r="V137" s="1"/>
      <c r="W137" s="1"/>
      <c r="X137" s="1"/>
    </row>
    <row r="138" spans="1:40" ht="15.75" customHeight="1" x14ac:dyDescent="0.25">
      <c r="A138" s="3"/>
      <c r="B138" s="3"/>
      <c r="C138" s="1"/>
      <c r="D138" s="3"/>
      <c r="E138" s="3" t="s">
        <v>91</v>
      </c>
      <c r="F138" s="3"/>
      <c r="G138" s="3"/>
      <c r="H138" s="3"/>
      <c r="I138" s="3"/>
      <c r="J138" s="351" t="s">
        <v>1199</v>
      </c>
      <c r="K138" s="1"/>
      <c r="L138" s="326"/>
      <c r="M138" s="1"/>
      <c r="N138" s="1"/>
      <c r="O138" s="1"/>
      <c r="P138" s="1"/>
      <c r="Q138" s="1"/>
      <c r="R138" s="1"/>
      <c r="S138" s="1"/>
      <c r="T138" s="4"/>
      <c r="U138" s="4"/>
      <c r="V138" s="1"/>
      <c r="W138" s="1"/>
      <c r="X138" s="1"/>
    </row>
    <row r="139" spans="1:40" x14ac:dyDescent="0.25">
      <c r="A139" s="3" t="s">
        <v>1106</v>
      </c>
      <c r="B139" s="3"/>
      <c r="C139" s="1"/>
      <c r="D139" s="3"/>
      <c r="E139" s="3"/>
      <c r="F139" s="3" t="s">
        <v>91</v>
      </c>
      <c r="G139" s="3"/>
      <c r="H139" s="3"/>
      <c r="I139" s="3"/>
      <c r="J139" s="1" t="s">
        <v>1663</v>
      </c>
      <c r="K139" s="1" t="s">
        <v>1664</v>
      </c>
      <c r="L139" s="326" t="s">
        <v>1416</v>
      </c>
      <c r="M139" s="1"/>
      <c r="N139" s="1" t="s">
        <v>1665</v>
      </c>
      <c r="O139" s="1"/>
      <c r="P139" s="1"/>
      <c r="Q139" s="1"/>
      <c r="R139" s="1"/>
      <c r="S139" s="1"/>
      <c r="T139" s="4"/>
      <c r="U139" s="4"/>
      <c r="V139" s="1"/>
      <c r="W139" s="1"/>
      <c r="X139" s="1"/>
    </row>
    <row r="140" spans="1:40" x14ac:dyDescent="0.25">
      <c r="A140" s="3" t="s">
        <v>1106</v>
      </c>
      <c r="B140" s="3"/>
      <c r="C140" s="1"/>
      <c r="D140" s="3"/>
      <c r="E140" s="3"/>
      <c r="F140" s="3"/>
      <c r="G140" s="3" t="s">
        <v>91</v>
      </c>
      <c r="H140" s="3"/>
      <c r="I140" s="3"/>
      <c r="J140" s="337" t="s">
        <v>1666</v>
      </c>
      <c r="K140" s="337" t="s">
        <v>1667</v>
      </c>
      <c r="L140" s="340" t="s">
        <v>1668</v>
      </c>
      <c r="M140" s="1"/>
      <c r="N140" s="1"/>
      <c r="O140" s="1"/>
      <c r="P140" s="1"/>
      <c r="Q140" s="1"/>
      <c r="R140" s="1"/>
      <c r="S140" s="1"/>
      <c r="T140" s="4"/>
      <c r="U140" s="4"/>
      <c r="V140" s="1"/>
      <c r="W140" s="1"/>
      <c r="X140" s="1"/>
    </row>
    <row r="141" spans="1:40" x14ac:dyDescent="0.25">
      <c r="A141" s="3" t="s">
        <v>1106</v>
      </c>
      <c r="B141" s="3"/>
      <c r="C141" s="1"/>
      <c r="D141" s="3"/>
      <c r="E141" s="3"/>
      <c r="F141" s="3"/>
      <c r="G141" s="3" t="s">
        <v>91</v>
      </c>
      <c r="H141" s="3"/>
      <c r="I141" s="3"/>
      <c r="J141" s="1" t="s">
        <v>1669</v>
      </c>
      <c r="K141" s="1" t="s">
        <v>1670</v>
      </c>
      <c r="L141" s="326" t="s">
        <v>1416</v>
      </c>
      <c r="M141" s="1"/>
      <c r="N141" s="1" t="s">
        <v>1671</v>
      </c>
      <c r="O141" s="1"/>
      <c r="P141" s="1"/>
      <c r="Q141" s="1"/>
      <c r="R141" s="1"/>
      <c r="S141" s="1"/>
      <c r="T141" s="4"/>
      <c r="U141" s="4"/>
      <c r="V141" s="1"/>
      <c r="W141" s="1"/>
      <c r="X141" s="1"/>
    </row>
    <row r="142" spans="1:40" x14ac:dyDescent="0.25">
      <c r="A142" s="3" t="s">
        <v>1106</v>
      </c>
      <c r="B142" s="3"/>
      <c r="C142" s="1"/>
      <c r="D142" s="3"/>
      <c r="E142" s="3"/>
      <c r="F142" s="3"/>
      <c r="G142" s="3" t="s">
        <v>91</v>
      </c>
      <c r="H142" s="3"/>
      <c r="I142" s="3"/>
      <c r="J142" s="337" t="s">
        <v>1672</v>
      </c>
      <c r="K142" s="337" t="s">
        <v>1673</v>
      </c>
      <c r="L142" s="340" t="s">
        <v>1668</v>
      </c>
      <c r="M142" s="1"/>
      <c r="N142" s="1"/>
      <c r="O142" s="1"/>
      <c r="P142" s="1"/>
      <c r="Q142" s="1"/>
      <c r="R142" s="1"/>
      <c r="S142" s="1"/>
      <c r="T142" s="4"/>
      <c r="U142" s="4"/>
      <c r="V142" s="1"/>
      <c r="W142" s="1"/>
      <c r="X142" s="1"/>
    </row>
    <row r="143" spans="1:40" ht="15.75" customHeight="1" x14ac:dyDescent="0.25">
      <c r="A143" s="3"/>
      <c r="B143" s="3"/>
      <c r="C143" s="1"/>
      <c r="D143" s="3"/>
      <c r="E143" s="3" t="s">
        <v>91</v>
      </c>
      <c r="F143" s="3"/>
      <c r="G143" s="3"/>
      <c r="H143" s="3"/>
      <c r="I143" s="3"/>
      <c r="J143" s="351" t="s">
        <v>1208</v>
      </c>
      <c r="K143" s="1"/>
      <c r="L143" s="326"/>
      <c r="M143" s="1"/>
      <c r="N143" s="1"/>
      <c r="O143" s="1"/>
      <c r="P143" s="1"/>
      <c r="Q143" s="1"/>
      <c r="R143" s="1"/>
      <c r="S143" s="1"/>
      <c r="T143" s="4"/>
      <c r="U143" s="4"/>
      <c r="V143" s="1"/>
      <c r="W143" s="1"/>
      <c r="X143" s="1"/>
    </row>
    <row r="144" spans="1:40" x14ac:dyDescent="0.25">
      <c r="A144" s="3" t="s">
        <v>1106</v>
      </c>
      <c r="B144" s="3"/>
      <c r="C144" s="1"/>
      <c r="D144" s="3"/>
      <c r="E144" s="3" t="s">
        <v>91</v>
      </c>
      <c r="F144" s="3" t="s">
        <v>91</v>
      </c>
      <c r="G144" s="3"/>
      <c r="H144" s="3"/>
      <c r="I144" s="3"/>
      <c r="J144" s="1" t="s">
        <v>1674</v>
      </c>
      <c r="K144" s="1" t="s">
        <v>1675</v>
      </c>
      <c r="L144" s="326" t="s">
        <v>1416</v>
      </c>
      <c r="M144" s="1"/>
      <c r="N144" s="1" t="s">
        <v>1665</v>
      </c>
      <c r="O144" s="1"/>
      <c r="P144" s="1"/>
      <c r="Q144" s="1"/>
      <c r="R144" s="1"/>
      <c r="S144" s="1"/>
      <c r="T144" s="4"/>
      <c r="U144" s="4"/>
      <c r="V144" s="1"/>
      <c r="W144" s="1"/>
      <c r="X144" s="1"/>
    </row>
    <row r="145" spans="1:24" x14ac:dyDescent="0.25">
      <c r="A145" s="3" t="s">
        <v>1106</v>
      </c>
      <c r="B145" s="3"/>
      <c r="C145" s="1"/>
      <c r="D145" s="3"/>
      <c r="E145" s="3"/>
      <c r="F145" s="3" t="s">
        <v>91</v>
      </c>
      <c r="G145" s="3"/>
      <c r="H145" s="3"/>
      <c r="I145" s="3"/>
      <c r="J145" s="842" t="s">
        <v>1676</v>
      </c>
      <c r="K145" s="842" t="s">
        <v>1677</v>
      </c>
      <c r="L145" s="326" t="s">
        <v>1416</v>
      </c>
      <c r="M145" s="1"/>
      <c r="N145" s="1"/>
      <c r="O145" s="1"/>
      <c r="P145" s="1"/>
      <c r="Q145" s="1"/>
      <c r="R145" s="1"/>
      <c r="S145" s="1"/>
      <c r="T145" s="4"/>
      <c r="U145" s="4"/>
      <c r="V145" s="1"/>
      <c r="W145" s="1"/>
      <c r="X145" s="1"/>
    </row>
    <row r="146" spans="1:24" x14ac:dyDescent="0.25">
      <c r="A146" s="3" t="s">
        <v>1106</v>
      </c>
      <c r="B146" s="3"/>
      <c r="C146" s="1"/>
      <c r="D146" s="3"/>
      <c r="E146" s="3"/>
      <c r="F146" s="3" t="s">
        <v>91</v>
      </c>
      <c r="G146" s="3"/>
      <c r="H146" s="3"/>
      <c r="I146" s="3"/>
      <c r="J146" s="337" t="s">
        <v>1678</v>
      </c>
      <c r="K146" s="337" t="s">
        <v>1667</v>
      </c>
      <c r="L146" s="340" t="s">
        <v>1668</v>
      </c>
      <c r="M146" s="1"/>
      <c r="N146" s="1"/>
      <c r="O146" s="1"/>
      <c r="P146" s="1"/>
      <c r="Q146" s="1"/>
      <c r="R146" s="1"/>
      <c r="S146" s="1"/>
      <c r="T146" s="4"/>
      <c r="U146" s="4"/>
      <c r="V146" s="1"/>
      <c r="W146" s="1"/>
      <c r="X146" s="1"/>
    </row>
    <row r="147" spans="1:24" x14ac:dyDescent="0.25">
      <c r="A147" s="3" t="s">
        <v>1106</v>
      </c>
      <c r="B147" s="3"/>
      <c r="C147" s="1"/>
      <c r="D147" s="3"/>
      <c r="E147" s="3"/>
      <c r="F147" s="3" t="s">
        <v>91</v>
      </c>
      <c r="G147" s="3"/>
      <c r="H147" s="3"/>
      <c r="I147" s="3"/>
      <c r="J147" s="1" t="s">
        <v>1679</v>
      </c>
      <c r="K147" s="1" t="s">
        <v>1680</v>
      </c>
      <c r="L147" s="326" t="s">
        <v>1416</v>
      </c>
      <c r="M147" s="1"/>
      <c r="N147" s="1" t="s">
        <v>1671</v>
      </c>
      <c r="O147" s="1"/>
      <c r="P147" s="1"/>
      <c r="Q147" s="1"/>
      <c r="R147" s="1"/>
      <c r="S147" s="1"/>
      <c r="T147" s="4"/>
      <c r="U147" s="4"/>
      <c r="V147" s="1"/>
      <c r="W147" s="1"/>
      <c r="X147" s="1"/>
    </row>
    <row r="148" spans="1:24" x14ac:dyDescent="0.25">
      <c r="A148" s="3" t="s">
        <v>1106</v>
      </c>
      <c r="B148" s="3"/>
      <c r="C148" s="1"/>
      <c r="D148" s="3"/>
      <c r="E148" s="3"/>
      <c r="F148" s="3" t="s">
        <v>91</v>
      </c>
      <c r="G148" s="3"/>
      <c r="H148" s="3"/>
      <c r="I148" s="3"/>
      <c r="J148" s="337" t="s">
        <v>1681</v>
      </c>
      <c r="K148" s="337" t="s">
        <v>1673</v>
      </c>
      <c r="L148" s="340" t="s">
        <v>1668</v>
      </c>
      <c r="M148" s="1"/>
      <c r="N148" s="1"/>
      <c r="O148" s="1"/>
      <c r="P148" s="1"/>
      <c r="Q148" s="1"/>
      <c r="R148" s="1"/>
      <c r="S148" s="1"/>
      <c r="T148" s="4"/>
      <c r="U148" s="4"/>
      <c r="V148" s="1"/>
      <c r="W148" s="1"/>
      <c r="X148" s="1"/>
    </row>
    <row r="149" spans="1:24" ht="15.75" customHeight="1" x14ac:dyDescent="0.25">
      <c r="A149" s="3"/>
      <c r="B149" s="3"/>
      <c r="C149" s="1"/>
      <c r="D149" s="3"/>
      <c r="E149" s="3" t="s">
        <v>91</v>
      </c>
      <c r="F149" s="3"/>
      <c r="G149" s="3"/>
      <c r="H149" s="3"/>
      <c r="I149" s="3"/>
      <c r="J149" s="351" t="s">
        <v>1216</v>
      </c>
      <c r="K149" s="1"/>
      <c r="L149" s="326"/>
      <c r="M149" s="1"/>
      <c r="N149" s="1"/>
      <c r="O149" s="1"/>
      <c r="P149" s="1"/>
      <c r="Q149" s="1"/>
      <c r="R149" s="1"/>
      <c r="S149" s="1"/>
      <c r="T149" s="4"/>
      <c r="U149" s="4"/>
      <c r="V149" s="1"/>
      <c r="W149" s="1"/>
      <c r="X149" s="1"/>
    </row>
    <row r="150" spans="1:24" x14ac:dyDescent="0.25">
      <c r="A150" s="3" t="s">
        <v>1106</v>
      </c>
      <c r="B150" s="3"/>
      <c r="C150" s="1"/>
      <c r="D150" s="3"/>
      <c r="E150" s="3"/>
      <c r="F150" s="3" t="s">
        <v>91</v>
      </c>
      <c r="G150" s="3"/>
      <c r="H150" s="3"/>
      <c r="I150" s="3"/>
      <c r="J150" s="1" t="s">
        <v>1682</v>
      </c>
      <c r="K150" s="1" t="s">
        <v>1683</v>
      </c>
      <c r="L150" s="326" t="s">
        <v>1416</v>
      </c>
      <c r="M150" s="1"/>
      <c r="N150" s="1" t="s">
        <v>1665</v>
      </c>
      <c r="O150" s="1"/>
      <c r="P150" s="1"/>
      <c r="Q150" s="1"/>
      <c r="R150" s="1"/>
      <c r="S150" s="1"/>
      <c r="T150" s="4"/>
      <c r="U150" s="4"/>
      <c r="V150" s="1"/>
      <c r="W150" s="1"/>
      <c r="X150" s="1"/>
    </row>
    <row r="151" spans="1:24" x14ac:dyDescent="0.25">
      <c r="A151" s="3"/>
      <c r="B151" s="3"/>
      <c r="C151" s="1"/>
      <c r="D151" s="3"/>
      <c r="E151" s="3"/>
      <c r="F151" s="3" t="s">
        <v>91</v>
      </c>
      <c r="G151" s="3"/>
      <c r="H151" s="3"/>
      <c r="I151" s="3"/>
      <c r="J151" s="337" t="s">
        <v>1684</v>
      </c>
      <c r="K151" s="337" t="s">
        <v>1685</v>
      </c>
      <c r="L151" s="340" t="s">
        <v>1686</v>
      </c>
      <c r="M151" s="1"/>
      <c r="N151" s="1"/>
      <c r="O151" s="1"/>
      <c r="P151" s="1"/>
      <c r="Q151" s="1"/>
      <c r="R151" s="1"/>
      <c r="S151" s="1"/>
      <c r="T151" s="4"/>
      <c r="U151" s="4"/>
      <c r="V151" s="1"/>
      <c r="W151" s="1"/>
      <c r="X151" s="1"/>
    </row>
    <row r="152" spans="1:24" x14ac:dyDescent="0.25">
      <c r="A152" s="3" t="s">
        <v>1106</v>
      </c>
      <c r="B152" s="3"/>
      <c r="C152" s="1"/>
      <c r="D152" s="3"/>
      <c r="E152" s="3"/>
      <c r="F152" s="3"/>
      <c r="G152" s="3" t="s">
        <v>91</v>
      </c>
      <c r="H152" s="3"/>
      <c r="I152" s="3"/>
      <c r="J152" s="337" t="s">
        <v>1687</v>
      </c>
      <c r="K152" s="337" t="s">
        <v>1667</v>
      </c>
      <c r="L152" s="340" t="s">
        <v>1668</v>
      </c>
      <c r="M152" s="1"/>
      <c r="N152" s="1"/>
      <c r="O152" s="1"/>
      <c r="P152" s="1"/>
      <c r="Q152" s="1"/>
      <c r="R152" s="1"/>
      <c r="S152" s="1"/>
      <c r="T152" s="4"/>
      <c r="U152" s="4"/>
      <c r="V152" s="1"/>
      <c r="W152" s="1"/>
      <c r="X152" s="1"/>
    </row>
    <row r="153" spans="1:24" x14ac:dyDescent="0.25">
      <c r="A153" s="3" t="s">
        <v>1106</v>
      </c>
      <c r="B153" s="3"/>
      <c r="C153" s="1"/>
      <c r="D153" s="3"/>
      <c r="E153" s="3"/>
      <c r="F153" s="3"/>
      <c r="G153" s="3" t="s">
        <v>91</v>
      </c>
      <c r="H153" s="3"/>
      <c r="I153" s="3"/>
      <c r="J153" s="1" t="s">
        <v>1688</v>
      </c>
      <c r="K153" s="1" t="s">
        <v>1689</v>
      </c>
      <c r="L153" s="326" t="s">
        <v>1416</v>
      </c>
      <c r="M153" s="1"/>
      <c r="N153" s="1" t="s">
        <v>1671</v>
      </c>
      <c r="O153" s="1"/>
      <c r="P153" s="1"/>
      <c r="Q153" s="1"/>
      <c r="R153" s="1"/>
      <c r="S153" s="1"/>
      <c r="T153" s="4"/>
      <c r="U153" s="4"/>
      <c r="V153" s="1"/>
      <c r="W153" s="1"/>
      <c r="X153" s="1"/>
    </row>
    <row r="154" spans="1:24" x14ac:dyDescent="0.25">
      <c r="A154" s="3" t="s">
        <v>1106</v>
      </c>
      <c r="B154" s="3"/>
      <c r="C154" s="1"/>
      <c r="D154" s="3"/>
      <c r="E154" s="3"/>
      <c r="F154" s="3" t="s">
        <v>91</v>
      </c>
      <c r="G154" s="3"/>
      <c r="H154" s="3"/>
      <c r="I154" s="3"/>
      <c r="J154" s="337" t="s">
        <v>1690</v>
      </c>
      <c r="K154" s="337" t="s">
        <v>1673</v>
      </c>
      <c r="L154" s="340" t="s">
        <v>1668</v>
      </c>
      <c r="M154" s="1"/>
      <c r="N154" s="1"/>
      <c r="O154" s="1"/>
      <c r="P154" s="1"/>
      <c r="Q154" s="1"/>
      <c r="R154" s="1"/>
      <c r="S154" s="1"/>
      <c r="T154" s="4"/>
      <c r="U154" s="4"/>
      <c r="V154" s="1"/>
      <c r="W154" s="1"/>
      <c r="X154" s="1"/>
    </row>
    <row r="155" spans="1:24" x14ac:dyDescent="0.25">
      <c r="A155" s="3" t="s">
        <v>1106</v>
      </c>
      <c r="B155" s="3"/>
      <c r="C155" s="1"/>
      <c r="D155" s="3"/>
      <c r="E155" s="3"/>
      <c r="F155" s="3"/>
      <c r="G155" s="3" t="s">
        <v>91</v>
      </c>
      <c r="H155" s="3"/>
      <c r="I155" s="3"/>
      <c r="J155" s="1" t="s">
        <v>1691</v>
      </c>
      <c r="K155" s="1" t="s">
        <v>1692</v>
      </c>
      <c r="L155" s="327" t="s">
        <v>1399</v>
      </c>
      <c r="M155" s="1"/>
      <c r="N155" s="1"/>
      <c r="O155" s="1"/>
      <c r="P155" s="1"/>
      <c r="Q155" s="1"/>
      <c r="R155" s="1"/>
      <c r="S155" s="1"/>
      <c r="T155" s="4"/>
      <c r="U155" s="4"/>
      <c r="V155" s="1"/>
      <c r="W155" s="1"/>
      <c r="X155" s="1"/>
    </row>
    <row r="156" spans="1:24" x14ac:dyDescent="0.25">
      <c r="A156" s="3" t="s">
        <v>1106</v>
      </c>
      <c r="B156" s="3"/>
      <c r="C156" s="1"/>
      <c r="D156" s="3"/>
      <c r="E156" s="3"/>
      <c r="F156" s="3"/>
      <c r="G156" s="3" t="s">
        <v>91</v>
      </c>
      <c r="H156" s="3"/>
      <c r="I156" s="3"/>
      <c r="J156" s="1" t="s">
        <v>1693</v>
      </c>
      <c r="K156" s="1" t="s">
        <v>1694</v>
      </c>
      <c r="L156" s="326" t="s">
        <v>1416</v>
      </c>
      <c r="M156" s="1"/>
      <c r="N156" s="1" t="s">
        <v>1695</v>
      </c>
      <c r="O156" s="1"/>
      <c r="P156" s="1"/>
      <c r="Q156" s="1"/>
      <c r="R156" s="1" t="s">
        <v>1696</v>
      </c>
      <c r="S156" s="1"/>
      <c r="T156" s="4"/>
      <c r="U156" s="4"/>
      <c r="V156" s="1"/>
      <c r="W156" s="1"/>
      <c r="X156" s="1"/>
    </row>
    <row r="157" spans="1:24" x14ac:dyDescent="0.25">
      <c r="A157" s="3" t="s">
        <v>1106</v>
      </c>
      <c r="B157" s="3"/>
      <c r="C157" s="1"/>
      <c r="D157" s="3"/>
      <c r="E157" s="3"/>
      <c r="F157" s="3"/>
      <c r="G157" s="3"/>
      <c r="H157" s="3" t="s">
        <v>91</v>
      </c>
      <c r="I157" s="3"/>
      <c r="J157" s="1" t="s">
        <v>1697</v>
      </c>
      <c r="K157" s="1" t="s">
        <v>1698</v>
      </c>
      <c r="L157" s="326" t="s">
        <v>1416</v>
      </c>
      <c r="M157" s="1"/>
      <c r="N157" s="1" t="s">
        <v>1699</v>
      </c>
      <c r="O157" s="1"/>
      <c r="P157" s="1"/>
      <c r="Q157" s="1"/>
      <c r="R157" s="1"/>
      <c r="S157" s="1"/>
      <c r="T157" s="4"/>
      <c r="U157" s="4"/>
      <c r="V157" s="1"/>
      <c r="W157" s="1"/>
      <c r="X157" s="1"/>
    </row>
    <row r="158" spans="1:24" x14ac:dyDescent="0.25">
      <c r="A158" s="3" t="s">
        <v>1106</v>
      </c>
      <c r="B158" s="3"/>
      <c r="C158" s="1"/>
      <c r="D158" s="3"/>
      <c r="E158" s="3"/>
      <c r="F158" s="3"/>
      <c r="G158" s="3"/>
      <c r="H158" s="3" t="s">
        <v>91</v>
      </c>
      <c r="I158" s="3"/>
      <c r="J158" s="334" t="s">
        <v>1700</v>
      </c>
      <c r="K158" s="334" t="s">
        <v>1701</v>
      </c>
      <c r="L158" s="326" t="s">
        <v>1416</v>
      </c>
      <c r="M158" s="1"/>
      <c r="N158" s="1"/>
      <c r="O158" s="1"/>
      <c r="P158" s="1"/>
      <c r="Q158" s="1"/>
      <c r="R158" s="1"/>
      <c r="S158" s="1"/>
      <c r="T158" s="4"/>
      <c r="U158" s="4"/>
      <c r="V158" s="1"/>
      <c r="W158" s="1"/>
      <c r="X158" s="1"/>
    </row>
    <row r="159" spans="1:24" x14ac:dyDescent="0.25">
      <c r="A159" s="3" t="s">
        <v>1106</v>
      </c>
      <c r="B159" s="3"/>
      <c r="C159" s="1"/>
      <c r="D159" s="3"/>
      <c r="E159" s="3"/>
      <c r="F159" s="3"/>
      <c r="G159" s="3"/>
      <c r="H159" s="3" t="s">
        <v>91</v>
      </c>
      <c r="I159" s="3"/>
      <c r="J159" s="334" t="s">
        <v>1702</v>
      </c>
      <c r="K159" s="334" t="s">
        <v>1703</v>
      </c>
      <c r="L159" s="326" t="s">
        <v>1416</v>
      </c>
      <c r="M159" s="1"/>
      <c r="N159" s="1"/>
      <c r="O159" s="1"/>
      <c r="P159" s="1"/>
      <c r="Q159" s="1"/>
      <c r="R159" s="1"/>
      <c r="S159" s="1"/>
      <c r="T159" s="4"/>
      <c r="U159" s="4"/>
      <c r="V159" s="1"/>
      <c r="W159" s="1"/>
      <c r="X159" s="1"/>
    </row>
    <row r="160" spans="1:24" x14ac:dyDescent="0.25">
      <c r="A160" s="3" t="s">
        <v>1106</v>
      </c>
      <c r="B160" s="3"/>
      <c r="C160" s="1"/>
      <c r="D160" s="3"/>
      <c r="E160" s="3"/>
      <c r="F160" s="3"/>
      <c r="G160" s="3"/>
      <c r="H160" s="3" t="s">
        <v>91</v>
      </c>
      <c r="I160" s="3"/>
      <c r="J160" s="334" t="s">
        <v>1704</v>
      </c>
      <c r="K160" s="334" t="s">
        <v>1705</v>
      </c>
      <c r="L160" s="326" t="s">
        <v>1416</v>
      </c>
      <c r="M160" s="1"/>
      <c r="N160" s="1"/>
      <c r="O160" s="1"/>
      <c r="P160" s="1"/>
      <c r="Q160" s="1"/>
      <c r="R160" s="1"/>
      <c r="S160" s="1"/>
      <c r="T160" s="4"/>
      <c r="U160" s="4"/>
      <c r="V160" s="1"/>
      <c r="W160" s="1"/>
      <c r="X160" s="1"/>
    </row>
    <row r="161" spans="1:24" ht="15.75" customHeight="1" x14ac:dyDescent="0.25">
      <c r="A161" s="3"/>
      <c r="B161" s="3"/>
      <c r="C161" s="1"/>
      <c r="D161" s="3"/>
      <c r="E161" s="3" t="s">
        <v>91</v>
      </c>
      <c r="F161" s="3"/>
      <c r="G161" s="3"/>
      <c r="H161" s="3"/>
      <c r="I161" s="3"/>
      <c r="J161" s="351" t="s">
        <v>1228</v>
      </c>
      <c r="K161" s="1"/>
      <c r="L161" s="326"/>
      <c r="M161" s="1"/>
      <c r="N161" s="1"/>
      <c r="O161" s="1"/>
      <c r="P161" s="1"/>
      <c r="Q161" s="1"/>
      <c r="R161" s="1"/>
      <c r="S161" s="1"/>
      <c r="T161" s="4"/>
      <c r="U161" s="4"/>
      <c r="V161" s="1"/>
      <c r="W161" s="1"/>
      <c r="X161" s="1"/>
    </row>
    <row r="162" spans="1:24" x14ac:dyDescent="0.25">
      <c r="A162" s="3" t="s">
        <v>1106</v>
      </c>
      <c r="B162" s="3"/>
      <c r="C162" s="1"/>
      <c r="D162" s="3"/>
      <c r="E162" s="3"/>
      <c r="F162" s="3" t="s">
        <v>91</v>
      </c>
      <c r="G162" s="3"/>
      <c r="H162" s="3"/>
      <c r="I162" s="3"/>
      <c r="J162" s="1" t="s">
        <v>1706</v>
      </c>
      <c r="K162" s="1" t="s">
        <v>1707</v>
      </c>
      <c r="L162" s="326" t="s">
        <v>1416</v>
      </c>
      <c r="M162" s="1"/>
      <c r="N162" s="1" t="s">
        <v>1665</v>
      </c>
      <c r="O162" s="1"/>
      <c r="P162" s="1"/>
      <c r="Q162" s="1"/>
      <c r="R162" s="1"/>
      <c r="S162" s="1"/>
      <c r="T162" s="4"/>
      <c r="U162" s="4"/>
      <c r="V162" s="1"/>
      <c r="W162" s="1"/>
      <c r="X162" s="1"/>
    </row>
    <row r="163" spans="1:24" x14ac:dyDescent="0.25">
      <c r="A163" s="3" t="s">
        <v>1106</v>
      </c>
      <c r="B163" s="3"/>
      <c r="C163" s="1"/>
      <c r="D163" s="3"/>
      <c r="E163" s="3"/>
      <c r="F163" s="3" t="s">
        <v>91</v>
      </c>
      <c r="G163" s="3"/>
      <c r="H163" s="3"/>
      <c r="I163" s="3"/>
      <c r="J163" s="842" t="s">
        <v>1708</v>
      </c>
      <c r="K163" s="842" t="s">
        <v>1709</v>
      </c>
      <c r="L163" s="326" t="s">
        <v>1416</v>
      </c>
      <c r="M163" s="1"/>
      <c r="N163" s="1"/>
      <c r="O163" s="1"/>
      <c r="P163" s="1"/>
      <c r="Q163" s="1"/>
      <c r="R163" s="1"/>
      <c r="S163" s="1"/>
      <c r="T163" s="4"/>
      <c r="U163" s="4"/>
      <c r="V163" s="1"/>
      <c r="W163" s="1"/>
      <c r="X163" s="1"/>
    </row>
    <row r="164" spans="1:24" x14ac:dyDescent="0.25">
      <c r="A164" s="3" t="s">
        <v>1106</v>
      </c>
      <c r="B164" s="3"/>
      <c r="C164" s="1"/>
      <c r="D164" s="3"/>
      <c r="E164" s="3"/>
      <c r="F164" s="3" t="s">
        <v>91</v>
      </c>
      <c r="G164" s="3"/>
      <c r="H164" s="3"/>
      <c r="I164" s="3"/>
      <c r="J164" s="337" t="s">
        <v>1684</v>
      </c>
      <c r="K164" s="337" t="s">
        <v>1685</v>
      </c>
      <c r="L164" s="340" t="s">
        <v>1686</v>
      </c>
      <c r="M164" s="1"/>
      <c r="N164" s="1"/>
      <c r="O164" s="1"/>
      <c r="P164" s="1"/>
      <c r="Q164" s="1"/>
      <c r="R164" s="1"/>
      <c r="S164" s="1"/>
      <c r="T164" s="4"/>
      <c r="U164" s="4"/>
      <c r="V164" s="1"/>
      <c r="W164" s="1"/>
      <c r="X164" s="1"/>
    </row>
    <row r="165" spans="1:24" x14ac:dyDescent="0.25">
      <c r="A165" s="3" t="s">
        <v>1106</v>
      </c>
      <c r="B165" s="3"/>
      <c r="C165" s="1"/>
      <c r="D165" s="3"/>
      <c r="E165" s="3"/>
      <c r="F165" s="3"/>
      <c r="G165" s="3" t="s">
        <v>91</v>
      </c>
      <c r="H165" s="3"/>
      <c r="I165" s="3"/>
      <c r="J165" s="337" t="s">
        <v>1710</v>
      </c>
      <c r="K165" s="337" t="s">
        <v>1667</v>
      </c>
      <c r="L165" s="340" t="s">
        <v>1668</v>
      </c>
      <c r="M165" s="1"/>
      <c r="N165" s="1"/>
      <c r="O165" s="1"/>
      <c r="P165" s="1"/>
      <c r="Q165" s="1"/>
      <c r="R165" s="1"/>
      <c r="S165" s="1"/>
      <c r="T165" s="4"/>
      <c r="U165" s="4"/>
      <c r="V165" s="1"/>
      <c r="W165" s="1"/>
      <c r="X165" s="1"/>
    </row>
    <row r="166" spans="1:24" x14ac:dyDescent="0.25">
      <c r="A166" s="3" t="s">
        <v>1106</v>
      </c>
      <c r="B166" s="3"/>
      <c r="C166" s="1"/>
      <c r="D166" s="3"/>
      <c r="E166" s="3"/>
      <c r="F166" s="3"/>
      <c r="G166" s="3" t="s">
        <v>91</v>
      </c>
      <c r="H166" s="3"/>
      <c r="I166" s="3"/>
      <c r="J166" s="1" t="s">
        <v>1711</v>
      </c>
      <c r="K166" s="1" t="s">
        <v>1712</v>
      </c>
      <c r="L166" s="326" t="s">
        <v>1416</v>
      </c>
      <c r="M166" s="1"/>
      <c r="N166" s="1" t="s">
        <v>1671</v>
      </c>
      <c r="O166" s="1"/>
      <c r="P166" s="1"/>
      <c r="Q166" s="1"/>
      <c r="R166" s="1"/>
      <c r="S166" s="1"/>
      <c r="T166" s="4"/>
      <c r="U166" s="4"/>
      <c r="V166" s="1"/>
      <c r="W166" s="1"/>
      <c r="X166" s="1"/>
    </row>
    <row r="167" spans="1:24" x14ac:dyDescent="0.25">
      <c r="A167" s="3" t="s">
        <v>1106</v>
      </c>
      <c r="B167" s="3"/>
      <c r="C167" s="1"/>
      <c r="D167" s="3"/>
      <c r="E167" s="3"/>
      <c r="F167" s="3" t="s">
        <v>91</v>
      </c>
      <c r="G167" s="3"/>
      <c r="H167" s="3"/>
      <c r="I167" s="3"/>
      <c r="J167" s="337" t="s">
        <v>1713</v>
      </c>
      <c r="K167" s="337" t="s">
        <v>1673</v>
      </c>
      <c r="L167" s="340" t="s">
        <v>1668</v>
      </c>
      <c r="M167" s="1"/>
      <c r="N167" s="1"/>
      <c r="O167" s="1"/>
      <c r="P167" s="1"/>
      <c r="Q167" s="1"/>
      <c r="R167" s="1"/>
      <c r="S167" s="1"/>
      <c r="T167" s="4"/>
      <c r="U167" s="4"/>
      <c r="V167" s="1"/>
      <c r="W167" s="1"/>
      <c r="X167" s="1"/>
    </row>
    <row r="168" spans="1:24" x14ac:dyDescent="0.25">
      <c r="A168" s="3" t="s">
        <v>1106</v>
      </c>
      <c r="B168" s="3"/>
      <c r="C168" s="1"/>
      <c r="D168" s="3"/>
      <c r="E168" s="3"/>
      <c r="F168" s="3"/>
      <c r="G168" s="3" t="s">
        <v>91</v>
      </c>
      <c r="H168" s="3"/>
      <c r="I168" s="3"/>
      <c r="J168" s="1" t="s">
        <v>1714</v>
      </c>
      <c r="K168" s="1" t="s">
        <v>1692</v>
      </c>
      <c r="L168" s="327" t="s">
        <v>1399</v>
      </c>
      <c r="M168" s="1"/>
      <c r="N168" s="1"/>
      <c r="O168" s="1"/>
      <c r="P168" s="1"/>
      <c r="Q168" s="1"/>
      <c r="R168" s="1"/>
      <c r="S168" s="1"/>
      <c r="T168" s="4"/>
      <c r="U168" s="4"/>
      <c r="V168" s="1"/>
      <c r="W168" s="1"/>
      <c r="X168" s="1"/>
    </row>
    <row r="169" spans="1:24" x14ac:dyDescent="0.25">
      <c r="A169" s="3" t="s">
        <v>1106</v>
      </c>
      <c r="B169" s="3"/>
      <c r="C169" s="1"/>
      <c r="D169" s="3"/>
      <c r="E169" s="3"/>
      <c r="F169" s="3"/>
      <c r="G169" s="3" t="s">
        <v>91</v>
      </c>
      <c r="H169" s="3"/>
      <c r="I169" s="3"/>
      <c r="J169" s="1" t="s">
        <v>1715</v>
      </c>
      <c r="K169" s="1" t="s">
        <v>1716</v>
      </c>
      <c r="L169" s="326" t="s">
        <v>1416</v>
      </c>
      <c r="M169" s="1"/>
      <c r="N169" s="1" t="s">
        <v>1695</v>
      </c>
      <c r="O169" s="1"/>
      <c r="P169" s="1"/>
      <c r="Q169" s="1"/>
      <c r="R169" s="1"/>
      <c r="S169" s="1"/>
      <c r="T169" s="4"/>
      <c r="U169" s="4"/>
      <c r="V169" s="1"/>
      <c r="W169" s="1"/>
      <c r="X169" s="1"/>
    </row>
    <row r="170" spans="1:24" x14ac:dyDescent="0.25">
      <c r="A170" s="3" t="s">
        <v>1106</v>
      </c>
      <c r="B170" s="3"/>
      <c r="C170" s="1"/>
      <c r="D170" s="3"/>
      <c r="E170" s="3"/>
      <c r="F170" s="3"/>
      <c r="G170" s="3"/>
      <c r="H170" s="3" t="s">
        <v>91</v>
      </c>
      <c r="I170" s="3"/>
      <c r="J170" s="1" t="s">
        <v>1717</v>
      </c>
      <c r="K170" s="1" t="s">
        <v>1718</v>
      </c>
      <c r="L170" s="326" t="s">
        <v>1416</v>
      </c>
      <c r="M170" s="1"/>
      <c r="N170" s="1" t="s">
        <v>1699</v>
      </c>
      <c r="O170" s="1"/>
      <c r="P170" s="1"/>
      <c r="Q170" s="1"/>
      <c r="R170" s="1"/>
      <c r="S170" s="1"/>
      <c r="T170" s="4"/>
      <c r="U170" s="4"/>
      <c r="V170" s="1"/>
      <c r="W170" s="1"/>
      <c r="X170" s="1"/>
    </row>
    <row r="171" spans="1:24" x14ac:dyDescent="0.25">
      <c r="A171" s="3" t="s">
        <v>1106</v>
      </c>
      <c r="B171" s="3"/>
      <c r="C171" s="1"/>
      <c r="D171" s="3"/>
      <c r="E171" s="3"/>
      <c r="F171" s="3"/>
      <c r="G171" s="3"/>
      <c r="H171" s="3" t="s">
        <v>91</v>
      </c>
      <c r="I171" s="3"/>
      <c r="J171" s="1" t="s">
        <v>1719</v>
      </c>
      <c r="K171" s="334" t="s">
        <v>1701</v>
      </c>
      <c r="L171" s="326" t="s">
        <v>1416</v>
      </c>
      <c r="M171" s="1"/>
      <c r="N171" s="1"/>
      <c r="O171" s="1"/>
      <c r="P171" s="1"/>
      <c r="Q171" s="1"/>
      <c r="R171" s="1"/>
      <c r="S171" s="1"/>
      <c r="T171" s="4"/>
      <c r="U171" s="4"/>
      <c r="V171" s="1"/>
      <c r="W171" s="1"/>
      <c r="X171" s="1"/>
    </row>
    <row r="172" spans="1:24" x14ac:dyDescent="0.25">
      <c r="A172" s="3" t="s">
        <v>1106</v>
      </c>
      <c r="B172" s="3"/>
      <c r="C172" s="1"/>
      <c r="D172" s="3"/>
      <c r="E172" s="3"/>
      <c r="F172" s="3"/>
      <c r="G172" s="3"/>
      <c r="H172" s="3" t="s">
        <v>91</v>
      </c>
      <c r="I172" s="3"/>
      <c r="J172" s="1" t="s">
        <v>1720</v>
      </c>
      <c r="K172" s="1" t="s">
        <v>1721</v>
      </c>
      <c r="L172" s="326" t="s">
        <v>1416</v>
      </c>
      <c r="M172" s="1"/>
      <c r="N172" s="1"/>
      <c r="O172" s="1"/>
      <c r="P172" s="1"/>
      <c r="Q172" s="1"/>
      <c r="R172" s="1"/>
      <c r="S172" s="1"/>
      <c r="T172" s="4"/>
      <c r="U172" s="4"/>
      <c r="V172" s="1"/>
      <c r="W172" s="1"/>
      <c r="X172" s="1"/>
    </row>
    <row r="173" spans="1:24" x14ac:dyDescent="0.25">
      <c r="A173" s="3" t="s">
        <v>1106</v>
      </c>
      <c r="B173" s="3"/>
      <c r="C173" s="1"/>
      <c r="D173" s="3"/>
      <c r="E173" s="3"/>
      <c r="F173" s="3"/>
      <c r="G173" s="3"/>
      <c r="H173" s="3" t="s">
        <v>91</v>
      </c>
      <c r="I173" s="3"/>
      <c r="J173" s="1" t="s">
        <v>1722</v>
      </c>
      <c r="K173" s="1" t="s">
        <v>1705</v>
      </c>
      <c r="L173" s="326" t="s">
        <v>1416</v>
      </c>
      <c r="M173" s="1"/>
      <c r="N173" s="1"/>
      <c r="O173" s="1"/>
      <c r="P173" s="1"/>
      <c r="Q173" s="1"/>
      <c r="R173" s="1"/>
      <c r="S173" s="1"/>
      <c r="T173" s="4"/>
      <c r="U173" s="4"/>
      <c r="V173" s="1"/>
      <c r="W173" s="1"/>
      <c r="X173" s="1"/>
    </row>
    <row r="174" spans="1:24" ht="15.75" customHeight="1" x14ac:dyDescent="0.25">
      <c r="A174" s="3"/>
      <c r="B174" s="3"/>
      <c r="C174" s="1"/>
      <c r="D174" s="3"/>
      <c r="E174" s="3" t="s">
        <v>91</v>
      </c>
      <c r="F174" s="3"/>
      <c r="G174" s="3"/>
      <c r="H174" s="3"/>
      <c r="I174" s="3"/>
      <c r="J174" s="351" t="s">
        <v>1240</v>
      </c>
      <c r="K174" s="1"/>
      <c r="L174" s="326"/>
      <c r="M174" s="1"/>
      <c r="N174" s="1"/>
      <c r="O174" s="1"/>
      <c r="P174" s="1"/>
      <c r="Q174" s="1"/>
      <c r="R174" s="1"/>
      <c r="S174" s="1"/>
      <c r="T174" s="4"/>
      <c r="U174" s="4"/>
      <c r="V174" s="1"/>
      <c r="W174" s="1"/>
      <c r="X174" s="1"/>
    </row>
    <row r="175" spans="1:24" ht="15.75" customHeight="1" x14ac:dyDescent="0.25">
      <c r="A175" s="3"/>
      <c r="B175" s="3"/>
      <c r="C175" s="1"/>
      <c r="D175" s="3"/>
      <c r="E175" s="3"/>
      <c r="F175" s="3" t="s">
        <v>91</v>
      </c>
      <c r="G175" s="3"/>
      <c r="H175" s="3"/>
      <c r="I175" s="3"/>
      <c r="J175" s="351" t="s">
        <v>1723</v>
      </c>
      <c r="K175" s="1"/>
      <c r="L175" s="326"/>
      <c r="M175" s="1"/>
      <c r="N175" s="1"/>
      <c r="O175" s="1"/>
      <c r="P175" s="1"/>
      <c r="Q175" s="1"/>
      <c r="R175" s="1"/>
      <c r="S175" s="1"/>
      <c r="T175" s="4"/>
      <c r="U175" s="4"/>
      <c r="V175" s="1"/>
      <c r="W175" s="1"/>
      <c r="X175" s="1"/>
    </row>
    <row r="176" spans="1:24" ht="15.75" customHeight="1" x14ac:dyDescent="0.25">
      <c r="A176" s="3" t="s">
        <v>1244</v>
      </c>
      <c r="B176" s="3"/>
      <c r="C176" s="1"/>
      <c r="D176" s="3"/>
      <c r="E176" s="3"/>
      <c r="F176" s="3" t="s">
        <v>91</v>
      </c>
      <c r="G176" s="3"/>
      <c r="H176" s="3"/>
      <c r="I176" s="3"/>
      <c r="J176" s="1" t="s">
        <v>1724</v>
      </c>
      <c r="K176" s="1" t="s">
        <v>1725</v>
      </c>
      <c r="L176" s="326" t="s">
        <v>1416</v>
      </c>
      <c r="M176" s="1"/>
      <c r="N176" s="1"/>
      <c r="O176" s="1"/>
      <c r="P176" s="1"/>
      <c r="Q176" s="1"/>
      <c r="R176" s="1"/>
      <c r="S176" s="1"/>
      <c r="T176" s="4"/>
      <c r="U176" s="4"/>
      <c r="V176" s="1"/>
      <c r="W176" s="1"/>
      <c r="X176" s="1"/>
    </row>
    <row r="177" spans="1:24" x14ac:dyDescent="0.25">
      <c r="A177" s="3" t="s">
        <v>1244</v>
      </c>
      <c r="B177" s="3"/>
      <c r="C177" s="1"/>
      <c r="D177" s="3"/>
      <c r="E177" s="3"/>
      <c r="F177" s="3"/>
      <c r="G177" s="3" t="s">
        <v>91</v>
      </c>
      <c r="H177" s="3"/>
      <c r="I177" s="3"/>
      <c r="J177" s="1" t="s">
        <v>1726</v>
      </c>
      <c r="K177" s="1" t="s">
        <v>1727</v>
      </c>
      <c r="L177" s="326" t="s">
        <v>1416</v>
      </c>
      <c r="M177" s="1"/>
      <c r="N177" s="1"/>
      <c r="O177" s="1"/>
      <c r="P177" s="1"/>
      <c r="Q177" s="1"/>
      <c r="R177" s="1"/>
      <c r="S177" s="1"/>
      <c r="T177" s="4"/>
      <c r="U177" s="4"/>
      <c r="V177" s="1"/>
      <c r="W177" s="1"/>
      <c r="X177" s="1"/>
    </row>
    <row r="178" spans="1:24" ht="15.75" customHeight="1" x14ac:dyDescent="0.25">
      <c r="A178" s="3" t="s">
        <v>1244</v>
      </c>
      <c r="B178" s="3"/>
      <c r="C178" s="1"/>
      <c r="D178" s="3"/>
      <c r="E178" s="3"/>
      <c r="F178" s="3"/>
      <c r="G178" s="3" t="s">
        <v>91</v>
      </c>
      <c r="H178" s="3"/>
      <c r="I178" s="3"/>
      <c r="J178" s="1" t="s">
        <v>1728</v>
      </c>
      <c r="K178" s="1" t="s">
        <v>1729</v>
      </c>
      <c r="L178" s="326" t="s">
        <v>1416</v>
      </c>
      <c r="M178" s="1"/>
      <c r="N178" s="1"/>
      <c r="O178" s="1"/>
      <c r="P178" s="1"/>
      <c r="Q178" s="1"/>
      <c r="R178" s="1"/>
      <c r="S178" s="1"/>
      <c r="T178" s="4"/>
      <c r="U178" s="4"/>
      <c r="V178" s="1"/>
      <c r="W178" s="1"/>
      <c r="X178" s="1"/>
    </row>
    <row r="179" spans="1:24" x14ac:dyDescent="0.25">
      <c r="A179" s="3" t="s">
        <v>1244</v>
      </c>
      <c r="B179" s="3"/>
      <c r="C179" s="1"/>
      <c r="D179" s="3"/>
      <c r="E179" s="3"/>
      <c r="F179" s="3"/>
      <c r="G179" s="3" t="s">
        <v>91</v>
      </c>
      <c r="H179" s="3"/>
      <c r="I179" s="3"/>
      <c r="J179" s="1" t="s">
        <v>1730</v>
      </c>
      <c r="K179" s="1" t="s">
        <v>1731</v>
      </c>
      <c r="L179" s="326" t="s">
        <v>1416</v>
      </c>
      <c r="M179" s="1"/>
      <c r="N179" s="1"/>
      <c r="O179" s="1"/>
      <c r="P179" s="1"/>
      <c r="Q179" s="1"/>
      <c r="R179" s="1"/>
      <c r="S179" s="1"/>
      <c r="T179" s="4"/>
      <c r="U179" s="4"/>
      <c r="V179" s="1"/>
      <c r="W179" s="1"/>
      <c r="X179" s="1"/>
    </row>
    <row r="180" spans="1:24" ht="15.75" customHeight="1" x14ac:dyDescent="0.25">
      <c r="A180" s="3" t="s">
        <v>1244</v>
      </c>
      <c r="B180" s="3"/>
      <c r="C180" s="1"/>
      <c r="D180" s="3"/>
      <c r="E180" s="3"/>
      <c r="F180" s="3"/>
      <c r="G180" s="3" t="s">
        <v>91</v>
      </c>
      <c r="H180" s="3"/>
      <c r="I180" s="3"/>
      <c r="J180" s="1" t="s">
        <v>1257</v>
      </c>
      <c r="K180" s="1" t="s">
        <v>1732</v>
      </c>
      <c r="L180" s="326" t="s">
        <v>1416</v>
      </c>
      <c r="M180" s="1"/>
      <c r="N180" s="1"/>
      <c r="O180" s="1"/>
      <c r="P180" s="1"/>
      <c r="Q180" s="1"/>
      <c r="R180" s="1"/>
      <c r="S180" s="1"/>
      <c r="T180" s="4"/>
      <c r="U180" s="4"/>
      <c r="V180" s="1"/>
      <c r="W180" s="1"/>
      <c r="X180" s="1"/>
    </row>
    <row r="181" spans="1:24" x14ac:dyDescent="0.25">
      <c r="A181" s="3"/>
      <c r="B181" s="3"/>
      <c r="C181" s="1"/>
      <c r="D181" s="3"/>
      <c r="E181" s="3"/>
      <c r="F181" s="3" t="s">
        <v>91</v>
      </c>
      <c r="G181" s="3"/>
      <c r="H181" s="3"/>
      <c r="I181" s="3"/>
      <c r="J181" s="351" t="s">
        <v>1733</v>
      </c>
      <c r="K181" s="1"/>
      <c r="L181" s="326"/>
      <c r="M181" s="1"/>
      <c r="N181" s="1"/>
      <c r="O181" s="1"/>
      <c r="P181" s="1"/>
      <c r="Q181" s="1"/>
      <c r="R181" s="1"/>
      <c r="S181" s="1"/>
      <c r="T181" s="4"/>
      <c r="U181" s="4"/>
      <c r="V181" s="1"/>
      <c r="W181" s="1"/>
      <c r="X181" s="1"/>
    </row>
    <row r="182" spans="1:24" x14ac:dyDescent="0.25">
      <c r="A182" s="3" t="s">
        <v>1244</v>
      </c>
      <c r="B182" s="3"/>
      <c r="C182" s="1"/>
      <c r="D182" s="3"/>
      <c r="E182" s="3"/>
      <c r="F182" s="3"/>
      <c r="G182" s="3" t="s">
        <v>91</v>
      </c>
      <c r="H182" s="3"/>
      <c r="I182" s="3"/>
      <c r="J182" s="1" t="s">
        <v>1734</v>
      </c>
      <c r="K182" s="1" t="s">
        <v>1735</v>
      </c>
      <c r="L182" s="326" t="s">
        <v>1416</v>
      </c>
      <c r="M182" s="1"/>
      <c r="N182" s="1" t="s">
        <v>1736</v>
      </c>
      <c r="O182" s="1"/>
      <c r="P182" s="1"/>
      <c r="Q182" s="1"/>
      <c r="R182" s="1"/>
      <c r="S182" s="1"/>
      <c r="T182" s="4"/>
      <c r="U182" s="4"/>
      <c r="V182" s="1"/>
      <c r="W182" s="1"/>
      <c r="X182" s="1"/>
    </row>
    <row r="183" spans="1:24" x14ac:dyDescent="0.25">
      <c r="A183" s="3" t="s">
        <v>1244</v>
      </c>
      <c r="B183" s="3"/>
      <c r="C183" s="1"/>
      <c r="D183" s="3"/>
      <c r="E183" s="3"/>
      <c r="F183" s="3"/>
      <c r="G183" s="3" t="s">
        <v>91</v>
      </c>
      <c r="H183" s="3"/>
      <c r="I183" s="3"/>
      <c r="J183" s="1" t="s">
        <v>1737</v>
      </c>
      <c r="K183" s="1" t="s">
        <v>1738</v>
      </c>
      <c r="L183" s="326" t="s">
        <v>1416</v>
      </c>
      <c r="M183" s="1"/>
      <c r="N183" s="1" t="s">
        <v>1739</v>
      </c>
      <c r="O183" s="1"/>
      <c r="P183" s="1"/>
      <c r="Q183" s="1"/>
      <c r="R183" s="1"/>
      <c r="S183" s="1"/>
      <c r="T183" s="4"/>
      <c r="U183" s="4"/>
      <c r="V183" s="1"/>
      <c r="W183" s="1"/>
      <c r="X183" s="1"/>
    </row>
    <row r="184" spans="1:24" x14ac:dyDescent="0.25">
      <c r="A184" s="3"/>
      <c r="B184" s="3"/>
      <c r="C184" s="1"/>
      <c r="D184" s="3"/>
      <c r="E184" s="3"/>
      <c r="F184" s="3" t="s">
        <v>91</v>
      </c>
      <c r="G184" s="3"/>
      <c r="H184" s="3"/>
      <c r="I184" s="3"/>
      <c r="J184" s="351" t="s">
        <v>1740</v>
      </c>
      <c r="K184" s="1"/>
      <c r="L184" s="4"/>
      <c r="M184" s="1"/>
      <c r="N184" s="1"/>
      <c r="O184" s="1"/>
      <c r="P184" s="1"/>
      <c r="Q184" s="1"/>
      <c r="R184" s="1"/>
      <c r="S184" s="1"/>
      <c r="T184" s="4"/>
      <c r="U184" s="4"/>
      <c r="V184" s="1"/>
      <c r="W184" s="1"/>
      <c r="X184" s="1"/>
    </row>
    <row r="185" spans="1:24" x14ac:dyDescent="0.25">
      <c r="A185" s="3" t="s">
        <v>1244</v>
      </c>
      <c r="B185" s="3"/>
      <c r="C185" s="1"/>
      <c r="D185" s="3"/>
      <c r="E185" s="3"/>
      <c r="F185" s="3"/>
      <c r="G185" s="3" t="s">
        <v>91</v>
      </c>
      <c r="H185" s="3"/>
      <c r="I185" s="3"/>
      <c r="J185" s="1" t="s">
        <v>1741</v>
      </c>
      <c r="K185" s="1" t="s">
        <v>1742</v>
      </c>
      <c r="L185" s="4" t="s">
        <v>1399</v>
      </c>
      <c r="M185" s="1"/>
      <c r="N185" s="1" t="s">
        <v>1743</v>
      </c>
      <c r="O185" s="1"/>
      <c r="P185" s="1"/>
      <c r="Q185" s="1"/>
      <c r="R185" s="1"/>
      <c r="S185" s="1"/>
      <c r="T185" s="4"/>
      <c r="U185" s="4"/>
      <c r="V185" s="1"/>
      <c r="W185" s="1"/>
      <c r="X185" s="1"/>
    </row>
    <row r="186" spans="1:24" x14ac:dyDescent="0.25">
      <c r="A186" s="3" t="s">
        <v>1098</v>
      </c>
      <c r="B186" s="3" t="s">
        <v>1744</v>
      </c>
      <c r="C186" s="1"/>
      <c r="D186" s="3"/>
      <c r="E186" s="3"/>
      <c r="F186" s="3"/>
      <c r="G186" s="3" t="s">
        <v>91</v>
      </c>
      <c r="H186" s="3"/>
      <c r="I186" s="3"/>
      <c r="J186" s="842" t="s">
        <v>1745</v>
      </c>
      <c r="K186" s="842" t="s">
        <v>1746</v>
      </c>
      <c r="L186" s="332" t="s">
        <v>1416</v>
      </c>
      <c r="M186" s="1"/>
      <c r="N186" s="1" t="s">
        <v>1747</v>
      </c>
      <c r="O186" s="1"/>
      <c r="P186" s="1"/>
      <c r="Q186" s="1"/>
      <c r="R186" s="1"/>
      <c r="S186" s="1"/>
      <c r="T186" s="4"/>
      <c r="U186" s="4"/>
      <c r="V186" s="1"/>
      <c r="W186" s="1"/>
      <c r="X186" s="1"/>
    </row>
    <row r="187" spans="1:24" x14ac:dyDescent="0.25">
      <c r="A187" s="3" t="s">
        <v>1106</v>
      </c>
      <c r="B187" s="3"/>
      <c r="C187" s="1"/>
      <c r="D187" s="3"/>
      <c r="E187" s="3"/>
      <c r="F187" s="3"/>
      <c r="G187" s="3" t="s">
        <v>91</v>
      </c>
      <c r="H187" s="3"/>
      <c r="I187" s="3"/>
      <c r="J187" s="337" t="s">
        <v>1684</v>
      </c>
      <c r="K187" s="337" t="s">
        <v>1748</v>
      </c>
      <c r="L187" s="340" t="s">
        <v>1686</v>
      </c>
      <c r="M187" s="1"/>
      <c r="N187" s="1"/>
      <c r="O187" s="1"/>
      <c r="P187" s="1"/>
      <c r="Q187" s="1"/>
      <c r="R187" s="1"/>
      <c r="S187" s="1"/>
      <c r="T187" s="4"/>
      <c r="U187" s="4"/>
      <c r="V187" s="1"/>
      <c r="W187" s="1"/>
      <c r="X187" s="1"/>
    </row>
    <row r="188" spans="1:24" x14ac:dyDescent="0.25">
      <c r="A188" s="3"/>
      <c r="B188" s="3"/>
      <c r="C188" s="1"/>
      <c r="D188" s="3"/>
      <c r="E188" s="3"/>
      <c r="F188" s="3" t="s">
        <v>91</v>
      </c>
      <c r="G188" s="3"/>
      <c r="H188" s="3"/>
      <c r="I188" s="3"/>
      <c r="J188" s="351" t="s">
        <v>1749</v>
      </c>
      <c r="K188" s="1"/>
      <c r="L188" s="326"/>
      <c r="M188" s="1"/>
      <c r="N188" s="1"/>
      <c r="O188" s="1"/>
      <c r="P188" s="1"/>
      <c r="Q188" s="1"/>
      <c r="R188" s="1"/>
      <c r="S188" s="1"/>
      <c r="T188" s="4"/>
      <c r="U188" s="4"/>
      <c r="V188" s="1"/>
      <c r="W188" s="1"/>
      <c r="X188" s="1"/>
    </row>
    <row r="189" spans="1:24" x14ac:dyDescent="0.25">
      <c r="A189" s="3" t="s">
        <v>1106</v>
      </c>
      <c r="B189" s="3"/>
      <c r="C189" s="1"/>
      <c r="D189" s="3"/>
      <c r="E189" s="3"/>
      <c r="F189" s="3"/>
      <c r="G189" s="3" t="s">
        <v>91</v>
      </c>
      <c r="H189" s="3"/>
      <c r="I189" s="3"/>
      <c r="J189" s="1" t="s">
        <v>1750</v>
      </c>
      <c r="K189" s="1" t="s">
        <v>1751</v>
      </c>
      <c r="L189" s="326" t="s">
        <v>1416</v>
      </c>
      <c r="M189" s="1"/>
      <c r="N189" s="1" t="s">
        <v>1752</v>
      </c>
      <c r="O189" s="1"/>
      <c r="P189" s="1"/>
      <c r="Q189" s="1"/>
      <c r="R189" s="1"/>
      <c r="S189" s="1"/>
      <c r="T189" s="4"/>
      <c r="U189" s="4"/>
      <c r="V189" s="1"/>
      <c r="W189" s="1"/>
      <c r="X189" s="1"/>
    </row>
    <row r="190" spans="1:24" x14ac:dyDescent="0.25">
      <c r="A190" s="3" t="s">
        <v>1106</v>
      </c>
      <c r="B190" s="3"/>
      <c r="C190" s="1"/>
      <c r="D190" s="3"/>
      <c r="E190" s="3"/>
      <c r="F190" s="3"/>
      <c r="G190" s="3" t="s">
        <v>91</v>
      </c>
      <c r="H190" s="3"/>
      <c r="I190" s="3"/>
      <c r="J190" s="337" t="s">
        <v>1753</v>
      </c>
      <c r="K190" s="337" t="s">
        <v>1667</v>
      </c>
      <c r="L190" s="340" t="s">
        <v>1668</v>
      </c>
      <c r="M190" s="1"/>
      <c r="N190" s="1"/>
      <c r="O190" s="1"/>
      <c r="P190" s="1"/>
      <c r="Q190" s="1"/>
      <c r="R190" s="1"/>
      <c r="S190" s="1"/>
      <c r="T190" s="4"/>
      <c r="U190" s="4"/>
      <c r="V190" s="1"/>
      <c r="W190" s="1"/>
      <c r="X190" s="1"/>
    </row>
    <row r="191" spans="1:24" x14ac:dyDescent="0.25">
      <c r="A191" s="3" t="s">
        <v>1106</v>
      </c>
      <c r="B191" s="3"/>
      <c r="C191" s="1"/>
      <c r="D191" s="3"/>
      <c r="E191" s="3"/>
      <c r="F191" s="3"/>
      <c r="G191" s="3" t="s">
        <v>91</v>
      </c>
      <c r="H191" s="3"/>
      <c r="I191" s="3"/>
      <c r="J191" s="1" t="s">
        <v>1754</v>
      </c>
      <c r="K191" s="1" t="s">
        <v>1755</v>
      </c>
      <c r="L191" s="326" t="s">
        <v>1416</v>
      </c>
      <c r="M191" s="1"/>
      <c r="N191" s="1" t="s">
        <v>1752</v>
      </c>
      <c r="O191" s="1"/>
      <c r="P191" s="1"/>
      <c r="Q191" s="1"/>
      <c r="R191" s="1"/>
      <c r="S191" s="1"/>
      <c r="T191" s="4"/>
      <c r="U191" s="4"/>
      <c r="V191" s="1"/>
      <c r="W191" s="1"/>
      <c r="X191" s="1"/>
    </row>
    <row r="192" spans="1:24" x14ac:dyDescent="0.25">
      <c r="A192" s="3"/>
      <c r="B192" s="3"/>
      <c r="C192" s="1"/>
      <c r="D192" s="3"/>
      <c r="E192" s="3"/>
      <c r="F192" s="3" t="s">
        <v>91</v>
      </c>
      <c r="G192" s="3"/>
      <c r="H192" s="3"/>
      <c r="I192" s="3"/>
      <c r="J192" s="351" t="s">
        <v>1756</v>
      </c>
      <c r="K192" s="1"/>
      <c r="L192" s="326"/>
      <c r="M192" s="1"/>
      <c r="N192" s="1" t="s">
        <v>1699</v>
      </c>
      <c r="O192" s="1"/>
      <c r="P192" s="1"/>
      <c r="Q192" s="1"/>
      <c r="R192" s="1"/>
      <c r="S192" s="1"/>
      <c r="T192" s="4"/>
      <c r="U192" s="4"/>
      <c r="V192" s="1"/>
      <c r="W192" s="1"/>
      <c r="X192" s="1"/>
    </row>
    <row r="193" spans="1:24" x14ac:dyDescent="0.25">
      <c r="A193" s="3" t="s">
        <v>1106</v>
      </c>
      <c r="B193" s="3"/>
      <c r="C193" s="1"/>
      <c r="D193" s="3"/>
      <c r="E193" s="3"/>
      <c r="F193" s="3"/>
      <c r="G193" s="3" t="s">
        <v>91</v>
      </c>
      <c r="H193" s="3"/>
      <c r="I193" s="3"/>
      <c r="J193" s="1" t="s">
        <v>1757</v>
      </c>
      <c r="K193" s="1" t="s">
        <v>1758</v>
      </c>
      <c r="L193" s="326" t="s">
        <v>1416</v>
      </c>
      <c r="M193" s="1"/>
      <c r="N193" s="1"/>
      <c r="O193" s="1"/>
      <c r="P193" s="1"/>
      <c r="Q193" s="1"/>
      <c r="R193" s="1"/>
      <c r="S193" s="1"/>
      <c r="T193" s="4"/>
      <c r="U193" s="4"/>
      <c r="V193" s="1"/>
      <c r="W193" s="1"/>
      <c r="X193" s="1"/>
    </row>
    <row r="194" spans="1:24" x14ac:dyDescent="0.25">
      <c r="A194" s="3" t="s">
        <v>1106</v>
      </c>
      <c r="B194" s="3"/>
      <c r="C194" s="1"/>
      <c r="D194" s="3"/>
      <c r="E194" s="3"/>
      <c r="F194" s="3"/>
      <c r="G194" s="3" t="s">
        <v>91</v>
      </c>
      <c r="H194" s="3"/>
      <c r="I194" s="3"/>
      <c r="J194" s="1" t="s">
        <v>1759</v>
      </c>
      <c r="K194" s="1" t="s">
        <v>1760</v>
      </c>
      <c r="L194" s="326" t="s">
        <v>1416</v>
      </c>
      <c r="M194" s="1"/>
      <c r="N194" s="1"/>
      <c r="O194" s="1"/>
      <c r="P194" s="1"/>
      <c r="Q194" s="1"/>
      <c r="R194" s="1"/>
      <c r="S194" s="1"/>
      <c r="T194" s="4"/>
      <c r="U194" s="4"/>
      <c r="V194" s="1"/>
      <c r="W194" s="1"/>
      <c r="X194" s="1"/>
    </row>
    <row r="195" spans="1:24" x14ac:dyDescent="0.25">
      <c r="A195" s="3" t="s">
        <v>1106</v>
      </c>
      <c r="B195" s="3"/>
      <c r="C195" s="1"/>
      <c r="D195" s="3"/>
      <c r="E195" s="3"/>
      <c r="F195" s="3"/>
      <c r="G195" s="3" t="s">
        <v>91</v>
      </c>
      <c r="H195" s="3"/>
      <c r="I195" s="3"/>
      <c r="J195" s="1" t="s">
        <v>1761</v>
      </c>
      <c r="K195" s="1" t="s">
        <v>1762</v>
      </c>
      <c r="L195" s="326" t="s">
        <v>1416</v>
      </c>
      <c r="M195" s="1"/>
      <c r="N195" s="1"/>
      <c r="O195" s="1"/>
      <c r="P195" s="1"/>
      <c r="Q195" s="1"/>
      <c r="R195" s="1"/>
      <c r="S195" s="1"/>
      <c r="T195" s="4"/>
      <c r="U195" s="4"/>
      <c r="V195" s="1"/>
      <c r="W195" s="1"/>
      <c r="X195" s="1"/>
    </row>
    <row r="196" spans="1:24" x14ac:dyDescent="0.25">
      <c r="A196" s="3" t="s">
        <v>1106</v>
      </c>
      <c r="B196" s="3"/>
      <c r="C196" s="1"/>
      <c r="D196" s="3"/>
      <c r="E196" s="3"/>
      <c r="F196" s="3"/>
      <c r="G196" s="3" t="s">
        <v>91</v>
      </c>
      <c r="H196" s="3"/>
      <c r="I196" s="3"/>
      <c r="J196" s="1" t="s">
        <v>1763</v>
      </c>
      <c r="K196" s="1" t="s">
        <v>1764</v>
      </c>
      <c r="L196" s="326" t="s">
        <v>1416</v>
      </c>
      <c r="M196" s="1"/>
      <c r="N196" s="1"/>
      <c r="O196" s="1"/>
      <c r="P196" s="1"/>
      <c r="Q196" s="1"/>
      <c r="R196" s="1"/>
      <c r="S196" s="1"/>
      <c r="T196" s="4"/>
      <c r="U196" s="4"/>
      <c r="V196" s="1"/>
      <c r="W196" s="1"/>
      <c r="X196" s="1"/>
    </row>
    <row r="197" spans="1:24" x14ac:dyDescent="0.25">
      <c r="A197" s="3"/>
      <c r="B197" s="3"/>
      <c r="C197" s="1"/>
      <c r="D197" s="3"/>
      <c r="E197" s="3"/>
      <c r="F197" s="3" t="s">
        <v>91</v>
      </c>
      <c r="G197" s="3"/>
      <c r="H197" s="3"/>
      <c r="I197" s="3"/>
      <c r="J197" s="351" t="s">
        <v>1765</v>
      </c>
      <c r="K197" s="1"/>
      <c r="L197" s="326"/>
      <c r="M197" s="1"/>
      <c r="N197" s="1" t="s">
        <v>1766</v>
      </c>
      <c r="O197" s="1"/>
      <c r="P197" s="1"/>
      <c r="Q197" s="1"/>
      <c r="R197" s="1"/>
      <c r="S197" s="1"/>
      <c r="T197" s="4"/>
      <c r="U197" s="4"/>
      <c r="V197" s="1"/>
      <c r="W197" s="1"/>
      <c r="X197" s="1"/>
    </row>
    <row r="198" spans="1:24" x14ac:dyDescent="0.25">
      <c r="A198" s="3" t="s">
        <v>1106</v>
      </c>
      <c r="B198" s="3"/>
      <c r="C198" s="1"/>
      <c r="D198" s="3"/>
      <c r="E198" s="3"/>
      <c r="F198" s="3"/>
      <c r="G198" s="3" t="s">
        <v>91</v>
      </c>
      <c r="H198" s="3"/>
      <c r="I198" s="3"/>
      <c r="J198" s="1" t="s">
        <v>1767</v>
      </c>
      <c r="K198" s="1" t="s">
        <v>1768</v>
      </c>
      <c r="L198" s="326" t="s">
        <v>1416</v>
      </c>
      <c r="M198" s="1"/>
      <c r="N198" s="1"/>
      <c r="O198" s="1"/>
      <c r="P198" s="1"/>
      <c r="Q198" s="1"/>
      <c r="R198" s="1"/>
      <c r="S198" s="1"/>
      <c r="T198" s="4"/>
      <c r="U198" s="4"/>
      <c r="V198" s="1"/>
      <c r="W198" s="1"/>
      <c r="X198" s="1"/>
    </row>
    <row r="199" spans="1:24" x14ac:dyDescent="0.25">
      <c r="A199" s="3" t="s">
        <v>1106</v>
      </c>
      <c r="B199" s="3"/>
      <c r="C199" s="1"/>
      <c r="D199" s="3"/>
      <c r="E199" s="3"/>
      <c r="F199" s="3"/>
      <c r="G199" s="3" t="s">
        <v>91</v>
      </c>
      <c r="H199" s="3"/>
      <c r="I199" s="3"/>
      <c r="J199" s="337" t="s">
        <v>1769</v>
      </c>
      <c r="K199" s="337" t="s">
        <v>1770</v>
      </c>
      <c r="L199" s="340" t="s">
        <v>1519</v>
      </c>
      <c r="M199" s="1"/>
      <c r="N199" s="1"/>
      <c r="O199" s="1"/>
      <c r="P199" s="1"/>
      <c r="Q199" s="1"/>
      <c r="R199" s="1"/>
      <c r="S199" s="1"/>
      <c r="T199" s="4"/>
      <c r="U199" s="4"/>
      <c r="V199" s="1"/>
      <c r="W199" s="1"/>
      <c r="X199" s="1"/>
    </row>
    <row r="200" spans="1:24" x14ac:dyDescent="0.25">
      <c r="A200" s="3" t="s">
        <v>1106</v>
      </c>
      <c r="B200" s="3"/>
      <c r="C200" s="1"/>
      <c r="D200" s="3"/>
      <c r="E200" s="3"/>
      <c r="F200" s="3"/>
      <c r="G200" s="3" t="s">
        <v>91</v>
      </c>
      <c r="H200" s="3"/>
      <c r="I200" s="3"/>
      <c r="J200" s="1" t="s">
        <v>1771</v>
      </c>
      <c r="K200" s="1" t="s">
        <v>1772</v>
      </c>
      <c r="L200" s="326" t="s">
        <v>1416</v>
      </c>
      <c r="M200" s="1"/>
      <c r="N200" s="1"/>
      <c r="O200" s="1"/>
      <c r="P200" s="1"/>
      <c r="Q200" s="1"/>
      <c r="R200" s="1"/>
      <c r="S200" s="1"/>
      <c r="T200" s="4"/>
      <c r="U200" s="4"/>
      <c r="V200" s="1"/>
      <c r="W200" s="1"/>
      <c r="X200" s="1"/>
    </row>
    <row r="201" spans="1:24" x14ac:dyDescent="0.25">
      <c r="A201" s="3" t="s">
        <v>1106</v>
      </c>
      <c r="B201" s="3"/>
      <c r="C201" s="1"/>
      <c r="D201" s="3"/>
      <c r="E201" s="3"/>
      <c r="F201" s="3"/>
      <c r="G201" s="3" t="s">
        <v>91</v>
      </c>
      <c r="H201" s="3"/>
      <c r="I201" s="3"/>
      <c r="J201" s="1" t="s">
        <v>1773</v>
      </c>
      <c r="K201" s="1" t="s">
        <v>1774</v>
      </c>
      <c r="L201" s="326" t="s">
        <v>1416</v>
      </c>
      <c r="M201" s="1"/>
      <c r="N201" s="1"/>
      <c r="O201" s="1"/>
      <c r="P201" s="1"/>
      <c r="Q201" s="1"/>
      <c r="R201" s="1"/>
      <c r="S201" s="1"/>
      <c r="T201" s="4"/>
      <c r="U201" s="4"/>
      <c r="V201" s="1"/>
      <c r="W201" s="1"/>
      <c r="X201" s="1"/>
    </row>
    <row r="202" spans="1:24" x14ac:dyDescent="0.25">
      <c r="A202" s="3" t="s">
        <v>1106</v>
      </c>
      <c r="B202" s="3"/>
      <c r="C202" s="1"/>
      <c r="D202" s="3"/>
      <c r="E202" s="3"/>
      <c r="F202" s="3"/>
      <c r="G202" s="3" t="s">
        <v>91</v>
      </c>
      <c r="H202" s="3"/>
      <c r="I202" s="3"/>
      <c r="J202" s="1" t="s">
        <v>1775</v>
      </c>
      <c r="K202" s="1" t="s">
        <v>1776</v>
      </c>
      <c r="L202" s="326" t="s">
        <v>1416</v>
      </c>
      <c r="M202" s="1"/>
      <c r="N202" s="1"/>
      <c r="O202" s="1"/>
      <c r="P202" s="1"/>
      <c r="Q202" s="1"/>
      <c r="R202" s="1"/>
      <c r="S202" s="1"/>
      <c r="T202" s="4"/>
      <c r="U202" s="4"/>
      <c r="V202" s="1"/>
      <c r="W202" s="1"/>
      <c r="X202" s="1"/>
    </row>
    <row r="203" spans="1:24" x14ac:dyDescent="0.25">
      <c r="A203" s="3"/>
      <c r="B203" s="3"/>
      <c r="C203" s="1"/>
      <c r="D203" s="3"/>
      <c r="E203" s="3"/>
      <c r="F203" s="3" t="s">
        <v>91</v>
      </c>
      <c r="G203" s="3"/>
      <c r="H203" s="3"/>
      <c r="I203" s="3"/>
      <c r="J203" s="351" t="s">
        <v>1777</v>
      </c>
      <c r="K203" s="1"/>
      <c r="L203" s="326"/>
      <c r="M203" s="1"/>
      <c r="N203" s="1" t="s">
        <v>1778</v>
      </c>
      <c r="O203" s="1"/>
      <c r="P203" s="1"/>
      <c r="Q203" s="1"/>
      <c r="R203" s="1"/>
      <c r="S203" s="1"/>
      <c r="T203" s="4"/>
      <c r="U203" s="4"/>
      <c r="V203" s="1"/>
      <c r="W203" s="1"/>
      <c r="X203" s="1"/>
    </row>
    <row r="204" spans="1:24" x14ac:dyDescent="0.25">
      <c r="A204" s="3" t="s">
        <v>1106</v>
      </c>
      <c r="B204" s="3"/>
      <c r="C204" s="1"/>
      <c r="D204" s="3"/>
      <c r="E204" s="3"/>
      <c r="F204" s="3"/>
      <c r="G204" s="3" t="s">
        <v>91</v>
      </c>
      <c r="H204" s="3"/>
      <c r="I204" s="3"/>
      <c r="J204" s="1" t="s">
        <v>1779</v>
      </c>
      <c r="K204" s="1" t="s">
        <v>1780</v>
      </c>
      <c r="L204" s="326" t="s">
        <v>1416</v>
      </c>
      <c r="M204" s="1"/>
      <c r="N204" s="1"/>
      <c r="O204" s="1"/>
      <c r="P204" s="1"/>
      <c r="Q204" s="1"/>
      <c r="R204" s="1"/>
      <c r="S204" s="1"/>
      <c r="T204" s="4"/>
      <c r="U204" s="4"/>
      <c r="V204" s="1"/>
      <c r="W204" s="1"/>
      <c r="X204" s="1"/>
    </row>
    <row r="205" spans="1:24" x14ac:dyDescent="0.25">
      <c r="A205" s="3" t="s">
        <v>1098</v>
      </c>
      <c r="B205" s="3" t="s">
        <v>33</v>
      </c>
      <c r="C205" s="1"/>
      <c r="D205" s="3"/>
      <c r="E205" s="3"/>
      <c r="F205" s="3"/>
      <c r="G205" s="3" t="s">
        <v>91</v>
      </c>
      <c r="H205" s="3"/>
      <c r="I205" s="3"/>
      <c r="J205" s="337" t="s">
        <v>1781</v>
      </c>
      <c r="K205" s="337" t="s">
        <v>1782</v>
      </c>
      <c r="L205" s="340" t="s">
        <v>1519</v>
      </c>
      <c r="M205" s="1"/>
      <c r="N205" s="1"/>
      <c r="O205" s="1"/>
      <c r="P205" s="1"/>
      <c r="Q205" s="1"/>
      <c r="R205" s="1"/>
      <c r="S205" s="1"/>
      <c r="T205" s="4"/>
      <c r="U205" s="4"/>
      <c r="V205" s="1"/>
      <c r="W205" s="1"/>
      <c r="X205" s="1"/>
    </row>
    <row r="206" spans="1:24" x14ac:dyDescent="0.25">
      <c r="A206" s="3"/>
      <c r="B206" s="3"/>
      <c r="C206" s="1"/>
      <c r="D206" s="3"/>
      <c r="E206" s="3"/>
      <c r="F206" s="3"/>
      <c r="G206" s="3"/>
      <c r="H206" s="3" t="s">
        <v>91</v>
      </c>
      <c r="I206" s="3"/>
      <c r="J206" s="1" t="s">
        <v>1783</v>
      </c>
      <c r="K206" s="1" t="s">
        <v>1784</v>
      </c>
      <c r="L206" s="4" t="s">
        <v>1399</v>
      </c>
      <c r="M206" s="1"/>
      <c r="N206" s="1"/>
      <c r="O206" s="1"/>
      <c r="P206" s="1"/>
      <c r="Q206" s="1"/>
      <c r="R206" s="1"/>
      <c r="S206" s="1"/>
      <c r="T206" s="4"/>
      <c r="U206" s="4"/>
      <c r="V206" s="1"/>
      <c r="W206" s="1"/>
      <c r="X206" s="1"/>
    </row>
    <row r="207" spans="1:24" x14ac:dyDescent="0.25">
      <c r="A207" s="3" t="s">
        <v>1106</v>
      </c>
      <c r="B207" s="3"/>
      <c r="C207" s="1"/>
      <c r="D207" s="3"/>
      <c r="E207" s="3"/>
      <c r="F207" s="3"/>
      <c r="G207" s="3"/>
      <c r="H207" s="3" t="s">
        <v>91</v>
      </c>
      <c r="I207" s="3"/>
      <c r="J207" s="1" t="s">
        <v>1785</v>
      </c>
      <c r="K207" s="1" t="s">
        <v>1786</v>
      </c>
      <c r="L207" s="326" t="s">
        <v>1416</v>
      </c>
      <c r="M207" s="1"/>
      <c r="N207" s="1" t="s">
        <v>1787</v>
      </c>
      <c r="O207" s="1"/>
      <c r="P207" s="1"/>
      <c r="Q207" s="1"/>
      <c r="R207" s="1"/>
      <c r="S207" s="1"/>
      <c r="T207" s="4"/>
      <c r="U207" s="4"/>
      <c r="V207" s="1"/>
      <c r="W207" s="1"/>
      <c r="X207" s="1"/>
    </row>
    <row r="208" spans="1:24" x14ac:dyDescent="0.25">
      <c r="A208" s="3" t="s">
        <v>1106</v>
      </c>
      <c r="B208" s="3"/>
      <c r="C208" s="1"/>
      <c r="D208" s="3"/>
      <c r="E208" s="3"/>
      <c r="F208" s="3"/>
      <c r="G208" s="3"/>
      <c r="H208" s="3" t="s">
        <v>91</v>
      </c>
      <c r="I208" s="3"/>
      <c r="J208" s="1" t="s">
        <v>1788</v>
      </c>
      <c r="K208" s="1" t="s">
        <v>1789</v>
      </c>
      <c r="L208" s="326" t="s">
        <v>1416</v>
      </c>
      <c r="M208" s="1"/>
      <c r="N208" s="1"/>
      <c r="O208" s="1"/>
      <c r="P208" s="1"/>
      <c r="Q208" s="1"/>
      <c r="R208" s="1"/>
      <c r="S208" s="1"/>
      <c r="T208" s="4"/>
      <c r="U208" s="4"/>
      <c r="V208" s="1"/>
      <c r="W208" s="1"/>
      <c r="X208" s="1"/>
    </row>
    <row r="209" spans="1:40" x14ac:dyDescent="0.25">
      <c r="A209" s="3" t="s">
        <v>1106</v>
      </c>
      <c r="B209" s="3"/>
      <c r="C209" s="1"/>
      <c r="D209" s="3"/>
      <c r="E209" s="3"/>
      <c r="F209" s="3"/>
      <c r="G209" s="3"/>
      <c r="H209" s="3" t="s">
        <v>91</v>
      </c>
      <c r="I209" s="3"/>
      <c r="J209" s="337" t="s">
        <v>1790</v>
      </c>
      <c r="K209" s="337" t="s">
        <v>1791</v>
      </c>
      <c r="L209" s="340" t="s">
        <v>1792</v>
      </c>
      <c r="M209" s="1"/>
      <c r="N209" s="1"/>
      <c r="O209" s="1"/>
      <c r="P209" s="1"/>
      <c r="Q209" s="1"/>
      <c r="R209" s="1"/>
      <c r="S209" s="1"/>
      <c r="T209" s="4"/>
      <c r="U209" s="4"/>
      <c r="V209" s="1"/>
      <c r="W209" s="1"/>
      <c r="X209" s="1"/>
    </row>
    <row r="210" spans="1:40" x14ac:dyDescent="0.25">
      <c r="A210" s="3" t="s">
        <v>1106</v>
      </c>
      <c r="B210" s="3"/>
      <c r="C210" s="1"/>
      <c r="D210" s="3"/>
      <c r="E210" s="3"/>
      <c r="F210" s="3"/>
      <c r="G210" s="3"/>
      <c r="H210" s="3" t="s">
        <v>91</v>
      </c>
      <c r="I210" s="3"/>
      <c r="J210" s="1" t="s">
        <v>1793</v>
      </c>
      <c r="K210" s="1" t="s">
        <v>1794</v>
      </c>
      <c r="L210" s="326" t="s">
        <v>1416</v>
      </c>
      <c r="M210" s="1"/>
      <c r="N210" s="1"/>
      <c r="O210" s="1"/>
      <c r="P210" s="1"/>
      <c r="Q210" s="1"/>
      <c r="R210" s="1"/>
      <c r="S210" s="1"/>
      <c r="T210" s="4"/>
      <c r="U210" s="4"/>
      <c r="V210" s="1"/>
      <c r="W210" s="1"/>
      <c r="X210" s="1"/>
    </row>
    <row r="211" spans="1:40" ht="15.75" customHeight="1" x14ac:dyDescent="0.25">
      <c r="A211" s="3"/>
      <c r="B211" s="3"/>
      <c r="C211" s="1"/>
      <c r="D211" s="3"/>
      <c r="E211" s="3" t="s">
        <v>91</v>
      </c>
      <c r="F211" s="3"/>
      <c r="G211" s="3"/>
      <c r="H211" s="3"/>
      <c r="I211" s="3"/>
      <c r="J211" s="351" t="s">
        <v>1795</v>
      </c>
      <c r="K211" s="1"/>
      <c r="L211" s="326"/>
      <c r="M211" s="1"/>
      <c r="N211" s="1"/>
      <c r="O211" s="1"/>
      <c r="P211" s="1"/>
      <c r="Q211" s="1"/>
      <c r="R211" s="1"/>
      <c r="S211" s="1"/>
      <c r="T211" s="4"/>
      <c r="U211" s="4"/>
      <c r="V211" s="1"/>
      <c r="W211" s="1"/>
      <c r="X211" s="1"/>
    </row>
    <row r="212" spans="1:40" x14ac:dyDescent="0.25">
      <c r="A212" s="3" t="s">
        <v>1106</v>
      </c>
      <c r="B212" s="3"/>
      <c r="C212" s="1"/>
      <c r="D212" s="3"/>
      <c r="E212" s="3"/>
      <c r="F212" s="3" t="s">
        <v>91</v>
      </c>
      <c r="G212" s="3"/>
      <c r="H212" s="3"/>
      <c r="I212" s="3"/>
      <c r="J212" s="1" t="s">
        <v>1796</v>
      </c>
      <c r="K212" s="1" t="s">
        <v>1797</v>
      </c>
      <c r="L212" s="326" t="s">
        <v>1416</v>
      </c>
      <c r="M212" s="1"/>
      <c r="N212" s="1"/>
      <c r="O212" s="1"/>
      <c r="P212" s="1"/>
      <c r="Q212" s="1"/>
      <c r="R212" s="1"/>
      <c r="S212" s="1"/>
      <c r="T212" s="4"/>
      <c r="U212" s="4"/>
      <c r="V212" s="1"/>
      <c r="W212" s="1"/>
      <c r="X212" s="1"/>
    </row>
    <row r="213" spans="1:40" x14ac:dyDescent="0.25">
      <c r="A213" s="3" t="s">
        <v>1106</v>
      </c>
      <c r="B213" s="3"/>
      <c r="C213" s="1"/>
      <c r="D213" s="3"/>
      <c r="E213" s="3"/>
      <c r="F213" s="3"/>
      <c r="G213" s="3" t="s">
        <v>91</v>
      </c>
      <c r="H213" s="3"/>
      <c r="I213" s="3"/>
      <c r="J213" s="1" t="s">
        <v>1798</v>
      </c>
      <c r="K213" s="1" t="s">
        <v>1727</v>
      </c>
      <c r="L213" s="326" t="s">
        <v>1416</v>
      </c>
      <c r="M213" s="1"/>
      <c r="N213" s="1"/>
      <c r="O213" s="1"/>
      <c r="P213" s="1"/>
      <c r="Q213" s="1"/>
      <c r="R213" s="1"/>
      <c r="S213" s="1"/>
      <c r="T213" s="4"/>
      <c r="U213" s="4"/>
      <c r="V213" s="1"/>
      <c r="W213" s="1"/>
      <c r="X213" s="1"/>
    </row>
    <row r="214" spans="1:40" x14ac:dyDescent="0.25">
      <c r="A214" s="3" t="s">
        <v>1106</v>
      </c>
      <c r="B214" s="3"/>
      <c r="C214" s="1"/>
      <c r="D214" s="3"/>
      <c r="E214" s="3"/>
      <c r="F214" s="3"/>
      <c r="G214" s="3" t="s">
        <v>91</v>
      </c>
      <c r="H214" s="3"/>
      <c r="I214" s="3"/>
      <c r="J214" s="1" t="s">
        <v>1799</v>
      </c>
      <c r="K214" s="1" t="s">
        <v>1800</v>
      </c>
      <c r="L214" s="326" t="s">
        <v>1416</v>
      </c>
      <c r="M214" s="1"/>
      <c r="N214" s="1"/>
      <c r="O214" s="1"/>
      <c r="P214" s="1"/>
      <c r="Q214" s="1"/>
      <c r="R214" s="1"/>
      <c r="S214" s="1"/>
      <c r="T214" s="4"/>
      <c r="U214" s="4"/>
      <c r="V214" s="1"/>
      <c r="W214" s="1"/>
      <c r="X214" s="1"/>
    </row>
    <row r="215" spans="1:40" x14ac:dyDescent="0.25">
      <c r="A215" s="3" t="s">
        <v>1106</v>
      </c>
      <c r="B215" s="3"/>
      <c r="C215" s="1"/>
      <c r="D215" s="3"/>
      <c r="E215" s="3"/>
      <c r="F215" s="3"/>
      <c r="G215" s="3" t="s">
        <v>91</v>
      </c>
      <c r="H215" s="3"/>
      <c r="I215" s="3"/>
      <c r="J215" s="1" t="s">
        <v>1801</v>
      </c>
      <c r="K215" s="1" t="s">
        <v>1802</v>
      </c>
      <c r="L215" s="326" t="s">
        <v>1416</v>
      </c>
      <c r="M215" s="1"/>
      <c r="N215" s="1"/>
      <c r="O215" s="1"/>
      <c r="P215" s="1"/>
      <c r="Q215" s="1"/>
      <c r="R215" s="1"/>
      <c r="S215" s="1"/>
      <c r="T215" s="4"/>
      <c r="U215" s="4"/>
      <c r="V215" s="1"/>
      <c r="W215" s="1"/>
      <c r="X215" s="1"/>
    </row>
    <row r="216" spans="1:40" x14ac:dyDescent="0.25">
      <c r="A216" s="3" t="s">
        <v>1106</v>
      </c>
      <c r="B216" s="3"/>
      <c r="C216" s="1"/>
      <c r="D216" s="3"/>
      <c r="E216" s="3"/>
      <c r="F216" s="3"/>
      <c r="G216" s="3" t="s">
        <v>91</v>
      </c>
      <c r="H216" s="3"/>
      <c r="I216" s="3"/>
      <c r="J216" s="1" t="s">
        <v>1303</v>
      </c>
      <c r="K216" s="1" t="s">
        <v>1803</v>
      </c>
      <c r="L216" s="326" t="s">
        <v>1416</v>
      </c>
      <c r="M216" s="1"/>
      <c r="N216" s="1"/>
      <c r="O216" s="1"/>
      <c r="P216" s="1"/>
      <c r="Q216" s="1"/>
      <c r="R216" s="1"/>
      <c r="S216" s="1"/>
      <c r="T216" s="4"/>
      <c r="U216" s="4"/>
      <c r="V216" s="1"/>
      <c r="W216" s="1"/>
      <c r="X216" s="1"/>
    </row>
    <row r="217" spans="1:40" x14ac:dyDescent="0.25">
      <c r="A217" s="3" t="s">
        <v>1106</v>
      </c>
      <c r="B217" s="3"/>
      <c r="C217" s="1"/>
      <c r="D217" s="3"/>
      <c r="E217" s="3"/>
      <c r="F217" s="3"/>
      <c r="G217" s="3"/>
      <c r="H217" s="3" t="s">
        <v>91</v>
      </c>
      <c r="I217" s="3"/>
      <c r="J217" s="337" t="s">
        <v>1804</v>
      </c>
      <c r="K217" s="337" t="s">
        <v>1667</v>
      </c>
      <c r="L217" s="340" t="s">
        <v>1668</v>
      </c>
      <c r="M217" s="1"/>
      <c r="N217" s="1"/>
      <c r="O217" s="1"/>
      <c r="P217" s="1"/>
      <c r="Q217" s="1"/>
      <c r="R217" s="1"/>
      <c r="S217" s="1"/>
      <c r="T217" s="4"/>
      <c r="U217" s="4"/>
      <c r="V217" s="1"/>
      <c r="W217" s="1"/>
      <c r="X217" s="1"/>
    </row>
    <row r="218" spans="1:40" x14ac:dyDescent="0.25">
      <c r="A218" s="3" t="s">
        <v>1106</v>
      </c>
      <c r="B218" s="3"/>
      <c r="C218" s="1"/>
      <c r="D218" s="3"/>
      <c r="E218" s="3"/>
      <c r="F218" s="3"/>
      <c r="G218" s="3"/>
      <c r="H218" s="3" t="s">
        <v>91</v>
      </c>
      <c r="I218" s="3"/>
      <c r="J218" s="1" t="s">
        <v>1805</v>
      </c>
      <c r="K218" s="1" t="s">
        <v>1806</v>
      </c>
      <c r="L218" s="326" t="s">
        <v>1416</v>
      </c>
      <c r="M218" s="1"/>
      <c r="N218" s="1" t="s">
        <v>1807</v>
      </c>
      <c r="O218" s="1"/>
      <c r="P218" s="1"/>
      <c r="Q218" s="1"/>
      <c r="R218" s="1"/>
      <c r="S218" s="1"/>
      <c r="T218" s="4"/>
      <c r="U218" s="4"/>
      <c r="V218" s="1"/>
      <c r="W218" s="1"/>
      <c r="X218" s="1"/>
    </row>
    <row r="219" spans="1:40" x14ac:dyDescent="0.25">
      <c r="A219" s="3" t="s">
        <v>1106</v>
      </c>
      <c r="B219" s="3"/>
      <c r="C219" s="1"/>
      <c r="D219" s="3"/>
      <c r="E219" s="3"/>
      <c r="F219" s="3"/>
      <c r="G219" s="3"/>
      <c r="H219" s="3" t="s">
        <v>91</v>
      </c>
      <c r="I219" s="3"/>
      <c r="J219" s="1" t="s">
        <v>1808</v>
      </c>
      <c r="K219" s="1" t="s">
        <v>1809</v>
      </c>
      <c r="L219" s="326" t="s">
        <v>1416</v>
      </c>
      <c r="M219" s="1"/>
      <c r="N219" s="1"/>
      <c r="O219" s="1"/>
      <c r="P219" s="1"/>
      <c r="Q219" s="1"/>
      <c r="R219" s="1"/>
      <c r="S219" s="1"/>
      <c r="T219" s="4"/>
      <c r="U219" s="4"/>
      <c r="V219" s="1"/>
      <c r="W219" s="1"/>
      <c r="X219" s="1"/>
    </row>
    <row r="220" spans="1:40" ht="15.75" customHeight="1" x14ac:dyDescent="0.25">
      <c r="A220" s="3"/>
      <c r="B220" s="3"/>
      <c r="C220" s="1"/>
      <c r="D220" s="3"/>
      <c r="E220" s="3" t="s">
        <v>91</v>
      </c>
      <c r="F220" s="3"/>
      <c r="G220" s="3"/>
      <c r="H220" s="3"/>
      <c r="I220" s="3"/>
      <c r="J220" s="351" t="s">
        <v>1312</v>
      </c>
      <c r="K220" s="1"/>
      <c r="L220" s="326"/>
      <c r="M220" s="1"/>
      <c r="N220" s="1"/>
      <c r="O220" s="1"/>
      <c r="P220" s="1"/>
      <c r="Q220" s="1"/>
      <c r="R220" s="1"/>
      <c r="S220" s="1"/>
      <c r="T220" s="4"/>
      <c r="U220" s="4"/>
      <c r="V220" s="1"/>
      <c r="W220" s="1"/>
      <c r="X220" s="1"/>
    </row>
    <row r="221" spans="1:40" x14ac:dyDescent="0.25">
      <c r="A221" s="3" t="s">
        <v>1106</v>
      </c>
      <c r="B221" s="3"/>
      <c r="C221" s="1"/>
      <c r="D221" s="3"/>
      <c r="E221" s="3"/>
      <c r="F221" s="3" t="s">
        <v>91</v>
      </c>
      <c r="G221" s="3"/>
      <c r="H221" s="3"/>
      <c r="I221" s="3"/>
      <c r="J221" s="1" t="s">
        <v>1810</v>
      </c>
      <c r="K221" s="1" t="s">
        <v>1811</v>
      </c>
      <c r="L221" s="326" t="s">
        <v>1416</v>
      </c>
      <c r="M221" s="1"/>
      <c r="N221" s="1" t="s">
        <v>1812</v>
      </c>
      <c r="O221" s="1"/>
      <c r="P221" s="1"/>
      <c r="Q221" s="1"/>
      <c r="R221" s="1"/>
      <c r="S221" s="1"/>
      <c r="T221" s="4"/>
      <c r="U221" s="4"/>
      <c r="V221" s="1"/>
      <c r="W221" s="1"/>
      <c r="X221" s="1"/>
    </row>
    <row r="222" spans="1:40" ht="20.25" customHeight="1" x14ac:dyDescent="0.25">
      <c r="A222" s="3"/>
      <c r="B222" s="3"/>
      <c r="C222" s="742"/>
      <c r="D222" s="742">
        <v>9</v>
      </c>
      <c r="E222" s="1072" t="s">
        <v>1316</v>
      </c>
      <c r="F222" s="1072"/>
      <c r="G222" s="1072"/>
      <c r="H222" s="1072"/>
      <c r="I222" s="1072"/>
      <c r="J222" s="1072"/>
      <c r="K222" s="1073"/>
      <c r="L222" s="1074"/>
      <c r="M222" s="1075"/>
      <c r="N222" s="1075"/>
      <c r="O222" s="1075"/>
      <c r="P222" s="1075"/>
      <c r="Q222" s="1075"/>
      <c r="R222" s="1075"/>
      <c r="S222" s="1075"/>
      <c r="T222" s="1075"/>
      <c r="U222" s="1075"/>
      <c r="V222" s="1075"/>
      <c r="W222" s="1075"/>
      <c r="X222" s="1076"/>
      <c r="Y222" s="2"/>
      <c r="Z222" s="2"/>
      <c r="AA222" s="2"/>
      <c r="AB222" s="2"/>
      <c r="AC222" s="2"/>
      <c r="AD222" s="2"/>
      <c r="AE222" s="2"/>
      <c r="AF222" s="2"/>
      <c r="AG222" s="2"/>
      <c r="AH222" s="2"/>
      <c r="AI222" s="2"/>
      <c r="AJ222" s="2"/>
      <c r="AK222" s="2"/>
      <c r="AL222" s="2"/>
      <c r="AM222" s="2"/>
      <c r="AN222" s="2"/>
    </row>
    <row r="223" spans="1:40" x14ac:dyDescent="0.25">
      <c r="A223" s="3"/>
      <c r="B223" s="3"/>
      <c r="C223" s="1"/>
      <c r="D223" s="3"/>
      <c r="E223" s="3" t="s">
        <v>91</v>
      </c>
      <c r="F223" s="3"/>
      <c r="G223" s="3"/>
      <c r="H223" s="3"/>
      <c r="I223" s="3"/>
      <c r="J223" s="351" t="s">
        <v>1813</v>
      </c>
      <c r="K223" s="1"/>
      <c r="L223" s="326"/>
      <c r="M223" s="1"/>
      <c r="N223" s="1" t="s">
        <v>1814</v>
      </c>
      <c r="O223" s="1"/>
      <c r="P223" s="1"/>
      <c r="Q223" s="1"/>
      <c r="R223" s="1"/>
      <c r="S223" s="1"/>
      <c r="T223" s="4"/>
      <c r="U223" s="4"/>
      <c r="V223" s="1"/>
      <c r="W223" s="1"/>
      <c r="X223" s="1"/>
    </row>
    <row r="224" spans="1:40" x14ac:dyDescent="0.25">
      <c r="A224" s="3" t="s">
        <v>1106</v>
      </c>
      <c r="B224" s="3"/>
      <c r="C224" s="1"/>
      <c r="D224" s="3"/>
      <c r="E224" s="3" t="s">
        <v>91</v>
      </c>
      <c r="F224" s="3"/>
      <c r="G224" s="3"/>
      <c r="H224" s="3"/>
      <c r="I224" s="3"/>
      <c r="J224" s="1" t="s">
        <v>1815</v>
      </c>
      <c r="K224" s="1" t="s">
        <v>1816</v>
      </c>
      <c r="L224" s="4" t="s">
        <v>1399</v>
      </c>
      <c r="M224" s="1"/>
      <c r="N224" s="1" t="s">
        <v>1817</v>
      </c>
      <c r="O224" s="1"/>
      <c r="P224" s="1"/>
      <c r="Q224" s="1"/>
      <c r="R224" s="1"/>
      <c r="S224" s="1"/>
      <c r="T224" s="4"/>
      <c r="U224" s="4"/>
      <c r="V224" s="1"/>
      <c r="W224" s="1"/>
      <c r="X224" s="1"/>
    </row>
    <row r="225" spans="1:24" x14ac:dyDescent="0.25">
      <c r="A225" s="3" t="s">
        <v>1106</v>
      </c>
      <c r="B225" s="3"/>
      <c r="C225" s="1"/>
      <c r="D225" s="3"/>
      <c r="E225" s="3"/>
      <c r="F225" s="3" t="s">
        <v>91</v>
      </c>
      <c r="G225" s="3"/>
      <c r="H225" s="3"/>
      <c r="I225" s="3"/>
      <c r="J225" s="1" t="s">
        <v>1818</v>
      </c>
      <c r="K225" s="1" t="s">
        <v>1819</v>
      </c>
      <c r="L225" s="326" t="s">
        <v>1416</v>
      </c>
      <c r="M225" s="1"/>
      <c r="N225" s="1" t="s">
        <v>1820</v>
      </c>
      <c r="O225" s="1"/>
      <c r="P225" s="1"/>
      <c r="Q225" s="1"/>
      <c r="R225" s="1"/>
      <c r="S225" s="1"/>
      <c r="T225" s="4"/>
      <c r="U225" s="4"/>
      <c r="V225" s="1"/>
      <c r="W225" s="1"/>
      <c r="X225" s="1"/>
    </row>
    <row r="226" spans="1:24" x14ac:dyDescent="0.25">
      <c r="A226" s="3" t="s">
        <v>1106</v>
      </c>
      <c r="B226" s="3"/>
      <c r="C226" s="1"/>
      <c r="D226" s="3"/>
      <c r="E226" s="3"/>
      <c r="F226" s="3" t="s">
        <v>91</v>
      </c>
      <c r="G226" s="3"/>
      <c r="H226" s="3"/>
      <c r="I226" s="3"/>
      <c r="J226" s="1" t="s">
        <v>1821</v>
      </c>
      <c r="K226" s="1" t="s">
        <v>1822</v>
      </c>
      <c r="L226" s="4" t="s">
        <v>1399</v>
      </c>
      <c r="M226" s="1"/>
      <c r="N226" s="1"/>
      <c r="O226" s="1"/>
      <c r="P226" s="1"/>
      <c r="Q226" s="1"/>
      <c r="R226" s="1"/>
      <c r="S226" s="1"/>
      <c r="T226" s="4"/>
      <c r="U226" s="4"/>
      <c r="V226" s="1"/>
      <c r="W226" s="1"/>
      <c r="X226" s="1"/>
    </row>
    <row r="227" spans="1:24" x14ac:dyDescent="0.25">
      <c r="A227" s="3" t="s">
        <v>1106</v>
      </c>
      <c r="B227" s="3"/>
      <c r="C227" s="1"/>
      <c r="D227" s="3"/>
      <c r="E227" s="3"/>
      <c r="F227" s="3" t="s">
        <v>91</v>
      </c>
      <c r="G227" s="3"/>
      <c r="H227" s="3"/>
      <c r="I227" s="3"/>
      <c r="J227" s="1" t="s">
        <v>1823</v>
      </c>
      <c r="K227" s="1" t="s">
        <v>1824</v>
      </c>
      <c r="L227" s="326" t="s">
        <v>1416</v>
      </c>
      <c r="M227" s="1"/>
      <c r="N227" s="1" t="s">
        <v>1825</v>
      </c>
      <c r="O227" s="1"/>
      <c r="P227" s="1"/>
      <c r="Q227" s="1"/>
      <c r="R227" s="1"/>
      <c r="S227" s="1"/>
      <c r="T227" s="4"/>
      <c r="U227" s="4"/>
      <c r="V227" s="1"/>
      <c r="W227" s="1"/>
      <c r="X227" s="1"/>
    </row>
    <row r="228" spans="1:24" x14ac:dyDescent="0.25">
      <c r="A228" s="3" t="s">
        <v>1106</v>
      </c>
      <c r="B228" s="3"/>
      <c r="C228" s="1"/>
      <c r="D228" s="3"/>
      <c r="E228" s="3"/>
      <c r="F228" s="3" t="s">
        <v>91</v>
      </c>
      <c r="G228" s="3"/>
      <c r="H228" s="3"/>
      <c r="I228" s="3"/>
      <c r="J228" s="1" t="s">
        <v>1826</v>
      </c>
      <c r="K228" s="1" t="s">
        <v>1827</v>
      </c>
      <c r="L228" s="326" t="s">
        <v>1416</v>
      </c>
      <c r="M228" s="1"/>
      <c r="N228" s="1" t="s">
        <v>1828</v>
      </c>
      <c r="O228" s="1"/>
      <c r="P228" s="1"/>
      <c r="Q228" s="1"/>
      <c r="R228" s="1"/>
      <c r="S228" s="1"/>
      <c r="T228" s="4"/>
      <c r="U228" s="4"/>
      <c r="V228" s="1"/>
      <c r="W228" s="1"/>
      <c r="X228" s="1"/>
    </row>
    <row r="229" spans="1:24" x14ac:dyDescent="0.25">
      <c r="A229" s="3"/>
      <c r="B229" s="3"/>
      <c r="C229" s="1"/>
      <c r="D229" s="3"/>
      <c r="E229" s="3" t="s">
        <v>91</v>
      </c>
      <c r="F229" s="3"/>
      <c r="G229" s="3"/>
      <c r="H229" s="3"/>
      <c r="I229" s="3"/>
      <c r="J229" s="351" t="s">
        <v>1829</v>
      </c>
      <c r="K229" s="1"/>
      <c r="L229" s="327"/>
      <c r="M229" s="1"/>
      <c r="N229" s="1"/>
      <c r="O229" s="1"/>
      <c r="P229" s="1"/>
      <c r="Q229" s="1"/>
      <c r="R229" s="1"/>
      <c r="S229" s="1"/>
      <c r="T229" s="4"/>
      <c r="U229" s="4"/>
      <c r="V229" s="1"/>
      <c r="W229" s="1"/>
      <c r="X229" s="1"/>
    </row>
    <row r="230" spans="1:24" x14ac:dyDescent="0.25">
      <c r="A230" s="3" t="s">
        <v>1106</v>
      </c>
      <c r="B230" s="3"/>
      <c r="C230" s="1"/>
      <c r="D230" s="3"/>
      <c r="E230" s="3"/>
      <c r="F230" s="3" t="s">
        <v>91</v>
      </c>
      <c r="G230" s="3"/>
      <c r="H230" s="3"/>
      <c r="I230" s="3"/>
      <c r="J230" s="1" t="s">
        <v>1830</v>
      </c>
      <c r="K230" s="1" t="s">
        <v>1831</v>
      </c>
      <c r="L230" s="4" t="s">
        <v>1399</v>
      </c>
      <c r="M230" s="1"/>
      <c r="N230" s="1" t="s">
        <v>1817</v>
      </c>
      <c r="O230" s="1"/>
      <c r="P230" s="1"/>
      <c r="Q230" s="1"/>
      <c r="R230" s="1"/>
      <c r="S230" s="1"/>
      <c r="T230" s="4"/>
      <c r="U230" s="4"/>
      <c r="V230" s="1"/>
      <c r="W230" s="1"/>
      <c r="X230" s="1"/>
    </row>
    <row r="231" spans="1:24" x14ac:dyDescent="0.25">
      <c r="A231" s="3" t="s">
        <v>1106</v>
      </c>
      <c r="B231" s="3"/>
      <c r="C231" s="1"/>
      <c r="D231" s="3"/>
      <c r="E231" s="3"/>
      <c r="F231" s="3"/>
      <c r="G231" s="3" t="s">
        <v>91</v>
      </c>
      <c r="H231" s="3"/>
      <c r="I231" s="3"/>
      <c r="J231" s="1" t="s">
        <v>1832</v>
      </c>
      <c r="K231" s="1" t="s">
        <v>1833</v>
      </c>
      <c r="L231" s="326" t="s">
        <v>1416</v>
      </c>
      <c r="M231" s="1"/>
      <c r="N231" s="1" t="s">
        <v>1834</v>
      </c>
      <c r="O231" s="1"/>
      <c r="P231" s="1"/>
      <c r="Q231" s="1"/>
      <c r="R231" s="1"/>
      <c r="S231" s="1"/>
      <c r="T231" s="4"/>
      <c r="U231" s="4"/>
      <c r="V231" s="1"/>
      <c r="W231" s="1"/>
      <c r="X231" s="1"/>
    </row>
    <row r="232" spans="1:24" x14ac:dyDescent="0.25">
      <c r="A232" s="3" t="s">
        <v>1106</v>
      </c>
      <c r="B232" s="3"/>
      <c r="C232" s="1"/>
      <c r="D232" s="3"/>
      <c r="E232" s="3"/>
      <c r="F232" s="3"/>
      <c r="G232" s="3" t="s">
        <v>91</v>
      </c>
      <c r="H232" s="3"/>
      <c r="I232" s="3"/>
      <c r="J232" s="1" t="s">
        <v>1835</v>
      </c>
      <c r="K232" s="1" t="s">
        <v>1836</v>
      </c>
      <c r="L232" s="326" t="s">
        <v>1416</v>
      </c>
      <c r="M232" s="1"/>
      <c r="N232" s="1" t="s">
        <v>1820</v>
      </c>
      <c r="O232" s="1"/>
      <c r="P232" s="1"/>
      <c r="Q232" s="1"/>
      <c r="R232" s="1"/>
      <c r="S232" s="1"/>
      <c r="T232" s="4"/>
      <c r="U232" s="4"/>
      <c r="V232" s="1"/>
      <c r="W232" s="1"/>
      <c r="X232" s="1"/>
    </row>
    <row r="233" spans="1:24" x14ac:dyDescent="0.25">
      <c r="A233" s="3" t="s">
        <v>1106</v>
      </c>
      <c r="B233" s="3"/>
      <c r="C233" s="1"/>
      <c r="D233" s="3"/>
      <c r="E233" s="3"/>
      <c r="F233" s="3"/>
      <c r="G233" s="3" t="s">
        <v>91</v>
      </c>
      <c r="H233" s="3"/>
      <c r="I233" s="3"/>
      <c r="J233" s="1" t="s">
        <v>1837</v>
      </c>
      <c r="K233" s="1" t="s">
        <v>1822</v>
      </c>
      <c r="L233" s="4" t="s">
        <v>1399</v>
      </c>
      <c r="M233" s="1"/>
      <c r="N233" s="1"/>
      <c r="O233" s="1"/>
      <c r="P233" s="1"/>
      <c r="Q233" s="1"/>
      <c r="R233" s="1"/>
      <c r="S233" s="1"/>
      <c r="T233" s="4"/>
      <c r="U233" s="4"/>
      <c r="V233" s="1"/>
      <c r="W233" s="1"/>
      <c r="X233" s="1"/>
    </row>
    <row r="234" spans="1:24" x14ac:dyDescent="0.25">
      <c r="A234" s="3" t="s">
        <v>1106</v>
      </c>
      <c r="B234" s="3"/>
      <c r="C234" s="1"/>
      <c r="D234" s="3"/>
      <c r="E234" s="3"/>
      <c r="F234" s="3"/>
      <c r="G234" s="3" t="s">
        <v>91</v>
      </c>
      <c r="H234" s="3"/>
      <c r="I234" s="3"/>
      <c r="J234" s="1" t="s">
        <v>1838</v>
      </c>
      <c r="K234" s="1" t="s">
        <v>1824</v>
      </c>
      <c r="L234" s="326" t="s">
        <v>1416</v>
      </c>
      <c r="M234" s="1"/>
      <c r="N234" s="1" t="s">
        <v>1825</v>
      </c>
      <c r="O234" s="1"/>
      <c r="P234" s="1"/>
      <c r="Q234" s="1"/>
      <c r="R234" s="1"/>
      <c r="S234" s="1"/>
      <c r="T234" s="4"/>
      <c r="U234" s="4"/>
      <c r="V234" s="1"/>
      <c r="W234" s="1"/>
      <c r="X234" s="1"/>
    </row>
    <row r="235" spans="1:24" x14ac:dyDescent="0.25">
      <c r="A235" s="3" t="s">
        <v>1106</v>
      </c>
      <c r="B235" s="3"/>
      <c r="C235" s="1"/>
      <c r="D235" s="3"/>
      <c r="E235" s="3"/>
      <c r="F235" s="3"/>
      <c r="G235" s="3" t="s">
        <v>91</v>
      </c>
      <c r="H235" s="3"/>
      <c r="I235" s="3"/>
      <c r="J235" s="1" t="s">
        <v>1839</v>
      </c>
      <c r="K235" s="1" t="s">
        <v>1840</v>
      </c>
      <c r="L235" s="326" t="s">
        <v>1416</v>
      </c>
      <c r="M235" s="1"/>
      <c r="N235" s="1" t="s">
        <v>1828</v>
      </c>
      <c r="O235" s="1"/>
      <c r="P235" s="1"/>
      <c r="Q235" s="1"/>
      <c r="R235" s="1"/>
      <c r="S235" s="1"/>
      <c r="T235" s="4"/>
      <c r="U235" s="4"/>
      <c r="V235" s="1"/>
      <c r="W235" s="1"/>
      <c r="X235" s="1"/>
    </row>
    <row r="236" spans="1:24" ht="15.75" customHeight="1" x14ac:dyDescent="0.25">
      <c r="A236" s="3"/>
      <c r="B236" s="3"/>
      <c r="C236" s="1"/>
      <c r="D236" s="3"/>
      <c r="E236" s="3" t="s">
        <v>91</v>
      </c>
      <c r="F236" s="3"/>
      <c r="G236" s="3"/>
      <c r="H236" s="3"/>
      <c r="I236" s="3"/>
      <c r="J236" s="351" t="s">
        <v>1841</v>
      </c>
      <c r="K236" s="1"/>
      <c r="L236" s="327"/>
      <c r="M236" s="1"/>
      <c r="N236" s="1" t="s">
        <v>1842</v>
      </c>
      <c r="O236" s="1"/>
      <c r="P236" s="1"/>
      <c r="Q236" s="1"/>
      <c r="R236" s="1"/>
      <c r="S236" s="1"/>
      <c r="T236" s="4"/>
      <c r="U236" s="4"/>
      <c r="V236" s="1"/>
      <c r="W236" s="1"/>
      <c r="X236" s="1"/>
    </row>
    <row r="237" spans="1:24" ht="15.75" customHeight="1" x14ac:dyDescent="0.25">
      <c r="A237" s="3"/>
      <c r="B237" s="3"/>
      <c r="C237" s="1"/>
      <c r="D237" s="3"/>
      <c r="E237" s="3"/>
      <c r="F237" s="3" t="s">
        <v>91</v>
      </c>
      <c r="G237" s="3"/>
      <c r="H237" s="3"/>
      <c r="I237" s="3"/>
      <c r="J237" s="351" t="s">
        <v>1843</v>
      </c>
      <c r="K237" s="1"/>
      <c r="L237" s="327"/>
      <c r="M237" s="1"/>
      <c r="N237" s="1"/>
      <c r="O237" s="1"/>
      <c r="P237" s="1"/>
      <c r="Q237" s="1"/>
      <c r="R237" s="1"/>
      <c r="S237" s="1"/>
      <c r="T237" s="4"/>
      <c r="U237" s="4"/>
      <c r="V237" s="1"/>
      <c r="W237" s="1"/>
      <c r="X237" s="1"/>
    </row>
    <row r="238" spans="1:24" x14ac:dyDescent="0.25">
      <c r="A238" s="3" t="s">
        <v>1106</v>
      </c>
      <c r="B238" s="3"/>
      <c r="C238" s="1"/>
      <c r="D238" s="3"/>
      <c r="E238" s="3"/>
      <c r="F238" s="3"/>
      <c r="G238" s="3" t="s">
        <v>91</v>
      </c>
      <c r="H238" s="3"/>
      <c r="I238" s="3"/>
      <c r="J238" s="1" t="s">
        <v>1844</v>
      </c>
      <c r="K238" s="1" t="s">
        <v>1845</v>
      </c>
      <c r="L238" s="326" t="s">
        <v>1416</v>
      </c>
      <c r="M238" s="1"/>
      <c r="N238" s="1" t="s">
        <v>1846</v>
      </c>
      <c r="O238" s="1"/>
      <c r="P238" s="1"/>
      <c r="Q238" s="1"/>
      <c r="R238" s="1"/>
      <c r="S238" s="1"/>
      <c r="T238" s="4"/>
      <c r="U238" s="4"/>
      <c r="V238" s="1"/>
      <c r="W238" s="1"/>
      <c r="X238" s="1"/>
    </row>
    <row r="239" spans="1:24" x14ac:dyDescent="0.25">
      <c r="A239" s="3" t="s">
        <v>1106</v>
      </c>
      <c r="B239" s="3"/>
      <c r="C239" s="1"/>
      <c r="D239" s="3"/>
      <c r="E239" s="3"/>
      <c r="F239" s="3"/>
      <c r="G239" s="3" t="s">
        <v>91</v>
      </c>
      <c r="H239" s="3"/>
      <c r="I239" s="3"/>
      <c r="J239" s="1" t="s">
        <v>1847</v>
      </c>
      <c r="K239" s="1" t="s">
        <v>1848</v>
      </c>
      <c r="L239" s="4" t="s">
        <v>1849</v>
      </c>
      <c r="M239" s="1"/>
      <c r="N239" s="1" t="s">
        <v>1850</v>
      </c>
      <c r="O239" s="1"/>
      <c r="P239" s="1"/>
      <c r="Q239" s="1"/>
      <c r="R239" s="1"/>
      <c r="S239" s="1"/>
      <c r="T239" s="4"/>
      <c r="U239" s="4"/>
      <c r="V239" s="1"/>
      <c r="W239" s="1"/>
      <c r="X239" s="1"/>
    </row>
    <row r="240" spans="1:24" x14ac:dyDescent="0.25">
      <c r="A240" s="3" t="s">
        <v>1098</v>
      </c>
      <c r="B240" s="3" t="s">
        <v>55</v>
      </c>
      <c r="C240" s="1"/>
      <c r="D240" s="3"/>
      <c r="E240" s="3"/>
      <c r="F240" s="3"/>
      <c r="G240" s="3" t="s">
        <v>91</v>
      </c>
      <c r="H240" s="3"/>
      <c r="I240" s="3"/>
      <c r="J240" s="1" t="s">
        <v>1851</v>
      </c>
      <c r="K240" s="1" t="s">
        <v>1852</v>
      </c>
      <c r="L240" s="849" t="s">
        <v>1853</v>
      </c>
      <c r="M240" s="1"/>
      <c r="N240" s="1"/>
      <c r="O240" s="1"/>
      <c r="P240" s="1"/>
      <c r="Q240" s="1"/>
      <c r="R240" s="1"/>
      <c r="S240" s="1"/>
      <c r="T240" s="4"/>
      <c r="U240" s="4"/>
      <c r="V240" s="1"/>
      <c r="W240" s="1"/>
      <c r="X240" s="1"/>
    </row>
    <row r="241" spans="1:24" x14ac:dyDescent="0.25">
      <c r="A241" s="3" t="s">
        <v>1106</v>
      </c>
      <c r="B241" s="3"/>
      <c r="C241" s="1"/>
      <c r="D241" s="3"/>
      <c r="E241" s="3"/>
      <c r="F241" s="3"/>
      <c r="G241" s="3" t="s">
        <v>91</v>
      </c>
      <c r="H241" s="3"/>
      <c r="I241" s="3"/>
      <c r="J241" s="337" t="s">
        <v>1854</v>
      </c>
      <c r="K241" s="337" t="s">
        <v>1855</v>
      </c>
      <c r="L241" s="340" t="s">
        <v>1856</v>
      </c>
      <c r="M241" s="1"/>
      <c r="N241" s="1" t="s">
        <v>1857</v>
      </c>
      <c r="O241" s="1"/>
      <c r="P241" s="1"/>
      <c r="Q241" s="1"/>
      <c r="R241" s="1"/>
      <c r="S241" s="1"/>
      <c r="T241" s="4"/>
      <c r="U241" s="4"/>
      <c r="V241" s="1"/>
      <c r="W241" s="1"/>
      <c r="X241" s="1"/>
    </row>
    <row r="242" spans="1:24" x14ac:dyDescent="0.25">
      <c r="A242" s="3"/>
      <c r="B242" s="3"/>
      <c r="C242" s="1"/>
      <c r="D242" s="3"/>
      <c r="E242" s="3"/>
      <c r="F242" s="3" t="s">
        <v>91</v>
      </c>
      <c r="G242" s="3"/>
      <c r="H242" s="3"/>
      <c r="I242" s="3"/>
      <c r="J242" s="351" t="s">
        <v>1858</v>
      </c>
      <c r="K242" s="1"/>
      <c r="L242" s="327"/>
      <c r="M242" s="1"/>
      <c r="N242" s="1"/>
      <c r="O242" s="1"/>
      <c r="P242" s="1"/>
      <c r="Q242" s="1"/>
      <c r="R242" s="1"/>
      <c r="S242" s="1"/>
      <c r="T242" s="4"/>
      <c r="U242" s="4"/>
      <c r="V242" s="1"/>
      <c r="W242" s="1"/>
      <c r="X242" s="1"/>
    </row>
    <row r="243" spans="1:24" x14ac:dyDescent="0.25">
      <c r="A243" s="3"/>
      <c r="B243" s="3"/>
      <c r="C243" s="1"/>
      <c r="D243" s="3"/>
      <c r="E243" s="3"/>
      <c r="F243" s="3"/>
      <c r="G243" s="3" t="s">
        <v>91</v>
      </c>
      <c r="H243" s="3"/>
      <c r="I243" s="3"/>
      <c r="J243" s="1" t="s">
        <v>1859</v>
      </c>
      <c r="K243" s="1" t="s">
        <v>1860</v>
      </c>
      <c r="L243" s="326" t="s">
        <v>1416</v>
      </c>
      <c r="M243" s="1"/>
      <c r="N243" s="1" t="s">
        <v>1846</v>
      </c>
      <c r="O243" s="1"/>
      <c r="P243" s="1"/>
      <c r="Q243" s="1"/>
      <c r="R243" s="1"/>
      <c r="S243" s="1"/>
      <c r="T243" s="4"/>
      <c r="U243" s="4"/>
      <c r="V243" s="1"/>
      <c r="W243" s="1"/>
      <c r="X243" s="1"/>
    </row>
    <row r="244" spans="1:24" x14ac:dyDescent="0.25">
      <c r="A244" s="3" t="s">
        <v>1106</v>
      </c>
      <c r="B244" s="3"/>
      <c r="C244" s="1"/>
      <c r="D244" s="3"/>
      <c r="E244" s="3"/>
      <c r="F244" s="3"/>
      <c r="G244" s="3" t="s">
        <v>91</v>
      </c>
      <c r="H244" s="3"/>
      <c r="I244" s="3"/>
      <c r="J244" s="1" t="s">
        <v>1861</v>
      </c>
      <c r="K244" s="1" t="s">
        <v>1862</v>
      </c>
      <c r="L244" s="4" t="s">
        <v>1849</v>
      </c>
      <c r="M244" s="1"/>
      <c r="N244" s="1" t="s">
        <v>1850</v>
      </c>
      <c r="O244" s="1"/>
      <c r="P244" s="1"/>
      <c r="Q244" s="1"/>
      <c r="R244" s="1"/>
      <c r="S244" s="1"/>
      <c r="T244" s="4"/>
      <c r="U244" s="4"/>
      <c r="V244" s="1"/>
      <c r="W244" s="1"/>
      <c r="X244" s="1"/>
    </row>
    <row r="245" spans="1:24" x14ac:dyDescent="0.25">
      <c r="A245" s="3" t="s">
        <v>1098</v>
      </c>
      <c r="B245" s="3" t="s">
        <v>55</v>
      </c>
      <c r="C245" s="1"/>
      <c r="D245" s="3"/>
      <c r="E245" s="3"/>
      <c r="F245" s="3"/>
      <c r="G245" s="3" t="s">
        <v>91</v>
      </c>
      <c r="H245" s="3"/>
      <c r="I245" s="3"/>
      <c r="J245" s="1" t="s">
        <v>1863</v>
      </c>
      <c r="K245" s="1" t="s">
        <v>1864</v>
      </c>
      <c r="L245" s="849" t="s">
        <v>1853</v>
      </c>
      <c r="M245" s="1"/>
      <c r="N245" s="1"/>
      <c r="O245" s="1"/>
      <c r="P245" s="1"/>
      <c r="Q245" s="1"/>
      <c r="R245" s="1"/>
      <c r="S245" s="1"/>
      <c r="T245" s="4"/>
      <c r="U245" s="4"/>
      <c r="V245" s="1"/>
      <c r="W245" s="1"/>
      <c r="X245" s="1"/>
    </row>
    <row r="246" spans="1:24" x14ac:dyDescent="0.25">
      <c r="A246" s="3" t="s">
        <v>1106</v>
      </c>
      <c r="B246" s="3"/>
      <c r="C246" s="1"/>
      <c r="D246" s="3"/>
      <c r="E246" s="3"/>
      <c r="F246" s="3"/>
      <c r="G246" s="3" t="s">
        <v>91</v>
      </c>
      <c r="H246" s="3"/>
      <c r="I246" s="3"/>
      <c r="J246" s="337" t="s">
        <v>1865</v>
      </c>
      <c r="K246" s="337" t="s">
        <v>1866</v>
      </c>
      <c r="L246" s="340" t="s">
        <v>1856</v>
      </c>
      <c r="M246" s="1"/>
      <c r="N246" s="1"/>
      <c r="O246" s="1"/>
      <c r="P246" s="1"/>
      <c r="Q246" s="1"/>
      <c r="R246" s="1"/>
      <c r="S246" s="1"/>
      <c r="T246" s="4"/>
      <c r="U246" s="4"/>
      <c r="V246" s="1"/>
      <c r="W246" s="1"/>
      <c r="X246" s="1"/>
    </row>
    <row r="247" spans="1:24" x14ac:dyDescent="0.25">
      <c r="A247" s="3"/>
      <c r="B247" s="3"/>
      <c r="C247" s="1"/>
      <c r="D247" s="3"/>
      <c r="E247" s="3"/>
      <c r="F247" s="3" t="s">
        <v>91</v>
      </c>
      <c r="G247" s="3"/>
      <c r="H247" s="3"/>
      <c r="I247" s="3"/>
      <c r="J247" s="351" t="s">
        <v>1867</v>
      </c>
      <c r="K247" s="1"/>
      <c r="L247" s="327"/>
      <c r="M247" s="1"/>
      <c r="N247" s="1"/>
      <c r="O247" s="1"/>
      <c r="P247" s="1"/>
      <c r="Q247" s="1"/>
      <c r="R247" s="1"/>
      <c r="S247" s="1"/>
      <c r="T247" s="4"/>
      <c r="U247" s="4"/>
      <c r="V247" s="1"/>
      <c r="W247" s="1"/>
      <c r="X247" s="1"/>
    </row>
    <row r="248" spans="1:24" x14ac:dyDescent="0.25">
      <c r="A248" s="3" t="s">
        <v>1106</v>
      </c>
      <c r="B248" s="3"/>
      <c r="C248" s="1"/>
      <c r="D248" s="3"/>
      <c r="E248" s="3"/>
      <c r="F248" s="3"/>
      <c r="G248" s="3" t="s">
        <v>91</v>
      </c>
      <c r="H248" s="3"/>
      <c r="I248" s="3"/>
      <c r="J248" s="1" t="s">
        <v>1868</v>
      </c>
      <c r="K248" s="1" t="s">
        <v>1869</v>
      </c>
      <c r="L248" s="326" t="s">
        <v>1416</v>
      </c>
      <c r="M248" s="1"/>
      <c r="N248" s="1" t="s">
        <v>1846</v>
      </c>
      <c r="O248" s="1"/>
      <c r="P248" s="1"/>
      <c r="Q248" s="1"/>
      <c r="R248" s="1"/>
      <c r="S248" s="1"/>
      <c r="T248" s="4"/>
      <c r="U248" s="4"/>
      <c r="V248" s="1"/>
      <c r="W248" s="1"/>
      <c r="X248" s="1"/>
    </row>
    <row r="249" spans="1:24" x14ac:dyDescent="0.25">
      <c r="A249" s="3" t="s">
        <v>1106</v>
      </c>
      <c r="B249" s="3"/>
      <c r="C249" s="1"/>
      <c r="D249" s="3"/>
      <c r="E249" s="3"/>
      <c r="F249" s="3"/>
      <c r="G249" s="3" t="s">
        <v>91</v>
      </c>
      <c r="H249" s="3"/>
      <c r="I249" s="3"/>
      <c r="J249" s="1" t="s">
        <v>1870</v>
      </c>
      <c r="K249" s="1" t="s">
        <v>1871</v>
      </c>
      <c r="L249" s="4" t="s">
        <v>1849</v>
      </c>
      <c r="M249" s="1"/>
      <c r="N249" s="1" t="s">
        <v>1850</v>
      </c>
      <c r="O249" s="1"/>
      <c r="P249" s="1"/>
      <c r="Q249" s="1"/>
      <c r="R249" s="1"/>
      <c r="S249" s="1"/>
      <c r="T249" s="4"/>
      <c r="U249" s="4"/>
      <c r="V249" s="1"/>
      <c r="W249" s="1"/>
      <c r="X249" s="1"/>
    </row>
    <row r="250" spans="1:24" x14ac:dyDescent="0.25">
      <c r="A250" s="3" t="s">
        <v>1098</v>
      </c>
      <c r="B250" s="3" t="s">
        <v>55</v>
      </c>
      <c r="C250" s="1"/>
      <c r="D250" s="3"/>
      <c r="E250" s="3"/>
      <c r="F250" s="3"/>
      <c r="G250" s="3" t="s">
        <v>91</v>
      </c>
      <c r="H250" s="3"/>
      <c r="I250" s="3"/>
      <c r="J250" s="1" t="s">
        <v>1872</v>
      </c>
      <c r="K250" s="1" t="s">
        <v>1873</v>
      </c>
      <c r="L250" s="849" t="s">
        <v>1853</v>
      </c>
      <c r="M250" s="1"/>
      <c r="N250" s="1"/>
      <c r="O250" s="1"/>
      <c r="P250" s="1"/>
      <c r="Q250" s="1"/>
      <c r="R250" s="1"/>
      <c r="S250" s="1"/>
      <c r="T250" s="4"/>
      <c r="U250" s="4"/>
      <c r="V250" s="1"/>
      <c r="W250" s="1"/>
      <c r="X250" s="1"/>
    </row>
    <row r="251" spans="1:24" x14ac:dyDescent="0.25">
      <c r="A251" s="3" t="s">
        <v>1106</v>
      </c>
      <c r="B251" s="3"/>
      <c r="C251" s="1"/>
      <c r="D251" s="3"/>
      <c r="E251" s="3"/>
      <c r="F251" s="3"/>
      <c r="G251" s="3" t="s">
        <v>91</v>
      </c>
      <c r="H251" s="3"/>
      <c r="I251" s="3"/>
      <c r="J251" s="337" t="s">
        <v>1874</v>
      </c>
      <c r="K251" s="337" t="s">
        <v>1875</v>
      </c>
      <c r="L251" s="340" t="s">
        <v>1856</v>
      </c>
      <c r="M251" s="1"/>
      <c r="N251" s="1"/>
      <c r="O251" s="1"/>
      <c r="P251" s="1"/>
      <c r="Q251" s="1"/>
      <c r="R251" s="1"/>
      <c r="S251" s="1"/>
      <c r="T251" s="4"/>
      <c r="U251" s="4"/>
      <c r="V251" s="1"/>
      <c r="W251" s="1"/>
      <c r="X251" s="1"/>
    </row>
    <row r="252" spans="1:24" x14ac:dyDescent="0.25">
      <c r="A252" s="3"/>
      <c r="B252" s="3"/>
      <c r="C252" s="1"/>
      <c r="D252" s="3"/>
      <c r="E252" s="3"/>
      <c r="F252" s="3" t="s">
        <v>91</v>
      </c>
      <c r="G252" s="3"/>
      <c r="H252" s="3"/>
      <c r="I252" s="3"/>
      <c r="J252" s="351" t="s">
        <v>1876</v>
      </c>
      <c r="K252" s="1"/>
      <c r="L252" s="327"/>
      <c r="M252" s="1"/>
      <c r="N252" s="1"/>
      <c r="O252" s="1"/>
      <c r="P252" s="1"/>
      <c r="Q252" s="1"/>
      <c r="R252" s="1"/>
      <c r="S252" s="1"/>
      <c r="T252" s="4"/>
      <c r="U252" s="4"/>
      <c r="V252" s="1"/>
      <c r="W252" s="1"/>
      <c r="X252" s="1"/>
    </row>
    <row r="253" spans="1:24" x14ac:dyDescent="0.25">
      <c r="A253" s="3" t="s">
        <v>1106</v>
      </c>
      <c r="B253" s="3"/>
      <c r="C253" s="1"/>
      <c r="D253" s="3"/>
      <c r="E253" s="3"/>
      <c r="F253" s="3"/>
      <c r="G253" s="3" t="s">
        <v>91</v>
      </c>
      <c r="H253" s="3"/>
      <c r="I253" s="3"/>
      <c r="J253" s="1" t="s">
        <v>1877</v>
      </c>
      <c r="K253" s="1" t="s">
        <v>1878</v>
      </c>
      <c r="L253" s="326" t="s">
        <v>1416</v>
      </c>
      <c r="M253" s="1"/>
      <c r="N253" s="1" t="s">
        <v>1846</v>
      </c>
      <c r="O253" s="1"/>
      <c r="P253" s="1"/>
      <c r="Q253" s="1"/>
      <c r="R253" s="1"/>
      <c r="S253" s="1"/>
      <c r="T253" s="4"/>
      <c r="U253" s="4"/>
      <c r="V253" s="1"/>
      <c r="W253" s="1"/>
      <c r="X253" s="1"/>
    </row>
    <row r="254" spans="1:24" x14ac:dyDescent="0.25">
      <c r="A254" s="3" t="s">
        <v>1106</v>
      </c>
      <c r="B254" s="3"/>
      <c r="C254" s="1"/>
      <c r="D254" s="3"/>
      <c r="E254" s="3"/>
      <c r="F254" s="3"/>
      <c r="G254" s="3" t="s">
        <v>91</v>
      </c>
      <c r="H254" s="3"/>
      <c r="I254" s="3"/>
      <c r="J254" s="1" t="s">
        <v>1879</v>
      </c>
      <c r="K254" s="1" t="s">
        <v>1880</v>
      </c>
      <c r="L254" s="4" t="s">
        <v>1849</v>
      </c>
      <c r="M254" s="1"/>
      <c r="N254" s="1" t="s">
        <v>1850</v>
      </c>
      <c r="O254" s="1"/>
      <c r="P254" s="1"/>
      <c r="Q254" s="1"/>
      <c r="R254" s="1"/>
      <c r="S254" s="1"/>
      <c r="T254" s="4"/>
      <c r="U254" s="4"/>
      <c r="V254" s="1"/>
      <c r="W254" s="1"/>
      <c r="X254" s="1"/>
    </row>
    <row r="255" spans="1:24" x14ac:dyDescent="0.25">
      <c r="A255" s="3" t="s">
        <v>1098</v>
      </c>
      <c r="B255" s="3" t="s">
        <v>55</v>
      </c>
      <c r="C255" s="1"/>
      <c r="D255" s="3"/>
      <c r="E255" s="3"/>
      <c r="F255" s="3"/>
      <c r="G255" s="3" t="s">
        <v>91</v>
      </c>
      <c r="H255" s="3"/>
      <c r="I255" s="3"/>
      <c r="J255" s="1" t="s">
        <v>1881</v>
      </c>
      <c r="K255" s="1" t="s">
        <v>1882</v>
      </c>
      <c r="L255" s="849" t="s">
        <v>1853</v>
      </c>
      <c r="M255" s="1"/>
      <c r="N255" s="1"/>
      <c r="O255" s="1"/>
      <c r="P255" s="1"/>
      <c r="Q255" s="1"/>
      <c r="R255" s="1"/>
      <c r="S255" s="1"/>
      <c r="T255" s="4"/>
      <c r="U255" s="4"/>
      <c r="V255" s="1"/>
      <c r="W255" s="1"/>
      <c r="X255" s="1"/>
    </row>
    <row r="256" spans="1:24" x14ac:dyDescent="0.25">
      <c r="A256" s="3" t="s">
        <v>1106</v>
      </c>
      <c r="B256" s="3"/>
      <c r="C256" s="1"/>
      <c r="D256" s="3"/>
      <c r="E256" s="3"/>
      <c r="F256" s="3"/>
      <c r="G256" s="3" t="s">
        <v>91</v>
      </c>
      <c r="H256" s="3"/>
      <c r="I256" s="3"/>
      <c r="J256" s="337" t="s">
        <v>1883</v>
      </c>
      <c r="K256" s="337" t="s">
        <v>1884</v>
      </c>
      <c r="L256" s="340" t="s">
        <v>1856</v>
      </c>
      <c r="M256" s="1"/>
      <c r="N256" s="1"/>
      <c r="O256" s="1"/>
      <c r="P256" s="1"/>
      <c r="Q256" s="1"/>
      <c r="R256" s="1"/>
      <c r="S256" s="1"/>
      <c r="T256" s="4"/>
      <c r="U256" s="4"/>
      <c r="V256" s="1"/>
      <c r="W256" s="1"/>
      <c r="X256" s="1"/>
    </row>
    <row r="257" spans="1:40" x14ac:dyDescent="0.25">
      <c r="A257" s="3"/>
      <c r="B257" s="3"/>
      <c r="C257" s="1"/>
      <c r="D257" s="3"/>
      <c r="E257" s="3"/>
      <c r="F257" s="3" t="s">
        <v>91</v>
      </c>
      <c r="G257" s="3"/>
      <c r="H257" s="3"/>
      <c r="I257" s="3"/>
      <c r="J257" s="351" t="s">
        <v>1885</v>
      </c>
      <c r="K257" s="1"/>
      <c r="L257" s="327"/>
      <c r="M257" s="1"/>
      <c r="N257" s="1"/>
      <c r="O257" s="1"/>
      <c r="P257" s="1"/>
      <c r="Q257" s="1"/>
      <c r="R257" s="1"/>
      <c r="S257" s="1"/>
      <c r="T257" s="4"/>
      <c r="U257" s="4"/>
      <c r="V257" s="1"/>
      <c r="W257" s="1"/>
      <c r="X257" s="1"/>
    </row>
    <row r="258" spans="1:40" x14ac:dyDescent="0.25">
      <c r="A258" s="3" t="s">
        <v>1106</v>
      </c>
      <c r="B258" s="3"/>
      <c r="C258" s="1"/>
      <c r="D258" s="3"/>
      <c r="E258" s="3"/>
      <c r="F258" s="3"/>
      <c r="G258" s="3" t="s">
        <v>91</v>
      </c>
      <c r="H258" s="3"/>
      <c r="I258" s="3"/>
      <c r="J258" s="1" t="s">
        <v>1886</v>
      </c>
      <c r="K258" s="1" t="s">
        <v>1887</v>
      </c>
      <c r="L258" s="326" t="s">
        <v>1416</v>
      </c>
      <c r="M258" s="1"/>
      <c r="N258" s="1" t="s">
        <v>1846</v>
      </c>
      <c r="O258" s="1"/>
      <c r="P258" s="1"/>
      <c r="Q258" s="1"/>
      <c r="R258" s="1"/>
      <c r="S258" s="1"/>
      <c r="T258" s="4"/>
      <c r="U258" s="4"/>
      <c r="V258" s="1"/>
      <c r="W258" s="1"/>
      <c r="X258" s="1"/>
    </row>
    <row r="259" spans="1:40" x14ac:dyDescent="0.25">
      <c r="A259" s="3" t="s">
        <v>1106</v>
      </c>
      <c r="B259" s="3"/>
      <c r="C259" s="1"/>
      <c r="D259" s="3"/>
      <c r="E259" s="3"/>
      <c r="F259" s="3"/>
      <c r="G259" s="3" t="s">
        <v>91</v>
      </c>
      <c r="H259" s="3"/>
      <c r="I259" s="3"/>
      <c r="J259" s="1" t="s">
        <v>1888</v>
      </c>
      <c r="K259" s="1" t="s">
        <v>1889</v>
      </c>
      <c r="L259" s="4" t="s">
        <v>1849</v>
      </c>
      <c r="M259" s="1"/>
      <c r="N259" s="1" t="s">
        <v>1850</v>
      </c>
      <c r="O259" s="1"/>
      <c r="P259" s="1"/>
      <c r="Q259" s="1"/>
      <c r="R259" s="1"/>
      <c r="S259" s="1"/>
      <c r="T259" s="4"/>
      <c r="U259" s="4"/>
      <c r="V259" s="1"/>
      <c r="W259" s="1"/>
      <c r="X259" s="1"/>
    </row>
    <row r="260" spans="1:40" x14ac:dyDescent="0.25">
      <c r="A260" s="3" t="s">
        <v>1098</v>
      </c>
      <c r="B260" s="3" t="s">
        <v>55</v>
      </c>
      <c r="C260" s="1"/>
      <c r="D260" s="3"/>
      <c r="E260" s="3"/>
      <c r="F260" s="3"/>
      <c r="G260" s="3" t="s">
        <v>91</v>
      </c>
      <c r="H260" s="3"/>
      <c r="I260" s="3"/>
      <c r="J260" s="1" t="s">
        <v>1890</v>
      </c>
      <c r="K260" s="1" t="s">
        <v>1891</v>
      </c>
      <c r="L260" s="849" t="s">
        <v>1853</v>
      </c>
      <c r="M260" s="1"/>
      <c r="N260" s="1"/>
      <c r="O260" s="1"/>
      <c r="P260" s="1"/>
      <c r="Q260" s="1"/>
      <c r="R260" s="1"/>
      <c r="S260" s="1"/>
      <c r="T260" s="4"/>
      <c r="U260" s="4"/>
      <c r="V260" s="1"/>
      <c r="W260" s="1"/>
      <c r="X260" s="1"/>
    </row>
    <row r="261" spans="1:40" x14ac:dyDescent="0.25">
      <c r="A261" s="3" t="s">
        <v>1106</v>
      </c>
      <c r="B261" s="3"/>
      <c r="C261" s="1"/>
      <c r="D261" s="3"/>
      <c r="E261" s="3"/>
      <c r="F261" s="3"/>
      <c r="G261" s="3" t="s">
        <v>91</v>
      </c>
      <c r="H261" s="3"/>
      <c r="I261" s="3"/>
      <c r="J261" s="337" t="s">
        <v>1892</v>
      </c>
      <c r="K261" s="337" t="s">
        <v>1893</v>
      </c>
      <c r="L261" s="340" t="s">
        <v>1856</v>
      </c>
      <c r="M261" s="1"/>
      <c r="N261" s="1"/>
      <c r="O261" s="1"/>
      <c r="P261" s="1"/>
      <c r="Q261" s="1"/>
      <c r="R261" s="1"/>
      <c r="S261" s="1"/>
      <c r="T261" s="4"/>
      <c r="U261" s="4"/>
      <c r="V261" s="1"/>
      <c r="W261" s="1"/>
      <c r="X261" s="1"/>
    </row>
    <row r="262" spans="1:40" x14ac:dyDescent="0.25">
      <c r="A262" s="3"/>
      <c r="B262" s="3"/>
      <c r="C262" s="1"/>
      <c r="D262" s="3"/>
      <c r="E262" s="3"/>
      <c r="F262" s="3" t="s">
        <v>91</v>
      </c>
      <c r="G262" s="3"/>
      <c r="H262" s="3"/>
      <c r="I262" s="3"/>
      <c r="J262" s="351" t="s">
        <v>1894</v>
      </c>
      <c r="K262" s="1"/>
      <c r="L262" s="327"/>
      <c r="M262" s="1"/>
      <c r="N262" s="1"/>
      <c r="O262" s="1"/>
      <c r="P262" s="1"/>
      <c r="Q262" s="1"/>
      <c r="R262" s="1"/>
      <c r="S262" s="1"/>
      <c r="T262" s="4"/>
      <c r="U262" s="4"/>
      <c r="V262" s="1"/>
      <c r="W262" s="1"/>
      <c r="X262" s="1"/>
    </row>
    <row r="263" spans="1:40" x14ac:dyDescent="0.25">
      <c r="A263" s="3" t="s">
        <v>1106</v>
      </c>
      <c r="B263" s="3"/>
      <c r="C263" s="1"/>
      <c r="D263" s="3"/>
      <c r="E263" s="3"/>
      <c r="F263" s="3"/>
      <c r="G263" s="3" t="s">
        <v>91</v>
      </c>
      <c r="H263" s="3"/>
      <c r="I263" s="3"/>
      <c r="J263" s="1" t="s">
        <v>1323</v>
      </c>
      <c r="K263" s="1" t="s">
        <v>1895</v>
      </c>
      <c r="L263" s="326" t="s">
        <v>1416</v>
      </c>
      <c r="M263" s="1"/>
      <c r="N263" s="1" t="s">
        <v>1846</v>
      </c>
      <c r="O263" s="1"/>
      <c r="P263" s="1"/>
      <c r="Q263" s="1"/>
      <c r="R263" s="1"/>
      <c r="S263" s="1"/>
      <c r="T263" s="4"/>
      <c r="U263" s="4"/>
      <c r="V263" s="1"/>
      <c r="W263" s="1"/>
      <c r="X263" s="1"/>
    </row>
    <row r="264" spans="1:40" x14ac:dyDescent="0.25">
      <c r="A264" s="3" t="s">
        <v>1106</v>
      </c>
      <c r="B264" s="3"/>
      <c r="C264" s="1"/>
      <c r="D264" s="3"/>
      <c r="E264" s="3"/>
      <c r="F264" s="3"/>
      <c r="G264" s="3" t="s">
        <v>91</v>
      </c>
      <c r="H264" s="3"/>
      <c r="I264" s="3"/>
      <c r="J264" s="1" t="s">
        <v>1896</v>
      </c>
      <c r="K264" s="1" t="s">
        <v>1897</v>
      </c>
      <c r="L264" s="326" t="s">
        <v>1416</v>
      </c>
      <c r="M264" s="1"/>
      <c r="N264" s="1" t="s">
        <v>1850</v>
      </c>
      <c r="O264" s="1"/>
      <c r="P264" s="1"/>
      <c r="Q264" s="1"/>
      <c r="R264" s="1"/>
      <c r="S264" s="1"/>
      <c r="T264" s="4"/>
      <c r="U264" s="4"/>
      <c r="V264" s="1"/>
      <c r="W264" s="1"/>
      <c r="X264" s="1"/>
    </row>
    <row r="265" spans="1:40" x14ac:dyDescent="0.25">
      <c r="A265" s="3"/>
      <c r="B265" s="3"/>
      <c r="C265" s="1"/>
      <c r="D265" s="3"/>
      <c r="E265" s="3"/>
      <c r="F265" s="3" t="s">
        <v>91</v>
      </c>
      <c r="G265" s="3"/>
      <c r="H265" s="3"/>
      <c r="I265" s="3"/>
      <c r="J265" s="351" t="s">
        <v>1898</v>
      </c>
      <c r="K265" s="1"/>
      <c r="L265" s="327"/>
      <c r="M265" s="1"/>
      <c r="N265" s="1"/>
      <c r="O265" s="1"/>
      <c r="P265" s="1"/>
      <c r="Q265" s="1"/>
      <c r="R265" s="1"/>
      <c r="S265" s="1"/>
      <c r="T265" s="4"/>
      <c r="U265" s="4"/>
      <c r="V265" s="1"/>
      <c r="W265" s="1"/>
      <c r="X265" s="1"/>
    </row>
    <row r="266" spans="1:40" x14ac:dyDescent="0.25">
      <c r="A266" s="3" t="s">
        <v>1106</v>
      </c>
      <c r="B266" s="3"/>
      <c r="C266" s="1"/>
      <c r="D266" s="3"/>
      <c r="E266" s="3"/>
      <c r="F266" s="3"/>
      <c r="G266" s="3" t="s">
        <v>91</v>
      </c>
      <c r="H266" s="3"/>
      <c r="I266" s="3"/>
      <c r="J266" s="1" t="s">
        <v>1899</v>
      </c>
      <c r="K266" s="1" t="s">
        <v>1895</v>
      </c>
      <c r="L266" s="326" t="s">
        <v>1416</v>
      </c>
      <c r="M266" s="1"/>
      <c r="N266" s="1" t="s">
        <v>1846</v>
      </c>
      <c r="O266" s="1"/>
      <c r="P266" s="1"/>
      <c r="Q266" s="1"/>
      <c r="R266" s="1"/>
      <c r="S266" s="1"/>
      <c r="T266" s="4"/>
      <c r="U266" s="4"/>
      <c r="V266" s="1"/>
      <c r="W266" s="1"/>
      <c r="X266" s="1"/>
    </row>
    <row r="267" spans="1:40" x14ac:dyDescent="0.25">
      <c r="A267" s="3" t="s">
        <v>1098</v>
      </c>
      <c r="B267" s="3" t="s">
        <v>55</v>
      </c>
      <c r="C267" s="1"/>
      <c r="D267" s="3"/>
      <c r="E267" s="3"/>
      <c r="F267" s="3"/>
      <c r="G267" s="3" t="s">
        <v>91</v>
      </c>
      <c r="H267" s="3"/>
      <c r="I267" s="3"/>
      <c r="J267" s="1" t="s">
        <v>1900</v>
      </c>
      <c r="K267" s="1" t="s">
        <v>1901</v>
      </c>
      <c r="L267" s="4" t="s">
        <v>1853</v>
      </c>
      <c r="M267" s="1"/>
      <c r="N267" s="1" t="s">
        <v>1902</v>
      </c>
      <c r="O267" s="1"/>
      <c r="P267" s="1"/>
      <c r="Q267" s="1"/>
      <c r="R267" s="1"/>
      <c r="S267" s="1"/>
      <c r="T267" s="4"/>
      <c r="U267" s="4"/>
      <c r="V267" s="1"/>
      <c r="W267" s="1"/>
      <c r="X267" s="1"/>
    </row>
    <row r="268" spans="1:40" x14ac:dyDescent="0.25">
      <c r="A268" s="3" t="s">
        <v>1106</v>
      </c>
      <c r="B268" s="3"/>
      <c r="C268" s="1"/>
      <c r="D268" s="3"/>
      <c r="E268" s="3"/>
      <c r="F268" s="3"/>
      <c r="G268" s="3" t="s">
        <v>91</v>
      </c>
      <c r="H268" s="3"/>
      <c r="I268" s="3"/>
      <c r="J268" s="337" t="s">
        <v>1903</v>
      </c>
      <c r="K268" s="337" t="s">
        <v>1904</v>
      </c>
      <c r="L268" s="340" t="s">
        <v>1856</v>
      </c>
      <c r="M268" s="1"/>
      <c r="N268" s="1"/>
      <c r="O268" s="1"/>
      <c r="P268" s="1"/>
      <c r="Q268" s="1"/>
      <c r="R268" s="1"/>
      <c r="S268" s="1"/>
      <c r="T268" s="4"/>
      <c r="U268" s="4"/>
      <c r="V268" s="1"/>
      <c r="W268" s="1"/>
      <c r="X268" s="1"/>
    </row>
    <row r="269" spans="1:40" x14ac:dyDescent="0.25">
      <c r="A269" s="3"/>
      <c r="B269" s="3"/>
      <c r="C269" s="1"/>
      <c r="D269" s="3"/>
      <c r="E269" s="3"/>
      <c r="F269" s="3" t="s">
        <v>91</v>
      </c>
      <c r="G269" s="3"/>
      <c r="H269" s="3"/>
      <c r="I269" s="3"/>
      <c r="J269" s="351" t="s">
        <v>1905</v>
      </c>
      <c r="K269" s="1"/>
      <c r="L269" s="4"/>
      <c r="M269" s="1"/>
      <c r="N269" s="1"/>
      <c r="O269" s="1"/>
      <c r="P269" s="1"/>
      <c r="Q269" s="1"/>
      <c r="R269" s="1"/>
      <c r="S269" s="1"/>
      <c r="T269" s="4"/>
      <c r="U269" s="4"/>
      <c r="V269" s="1"/>
      <c r="W269" s="1"/>
      <c r="X269" s="1"/>
    </row>
    <row r="270" spans="1:40" x14ac:dyDescent="0.25">
      <c r="A270" s="3" t="s">
        <v>1106</v>
      </c>
      <c r="B270" s="3"/>
      <c r="C270" s="1"/>
      <c r="D270" s="3"/>
      <c r="E270" s="3"/>
      <c r="F270" s="3"/>
      <c r="G270" s="3" t="s">
        <v>91</v>
      </c>
      <c r="H270" s="3"/>
      <c r="I270" s="3"/>
      <c r="J270" s="1" t="s">
        <v>1906</v>
      </c>
      <c r="K270" s="1" t="s">
        <v>1907</v>
      </c>
      <c r="L270" s="326" t="s">
        <v>1416</v>
      </c>
      <c r="M270" s="1"/>
      <c r="N270" s="1" t="s">
        <v>1908</v>
      </c>
      <c r="O270" s="1"/>
      <c r="P270" s="1"/>
      <c r="Q270" s="1"/>
      <c r="R270" s="1"/>
      <c r="S270" s="1"/>
      <c r="T270" s="4"/>
      <c r="U270" s="4"/>
      <c r="V270" s="1"/>
      <c r="W270" s="1"/>
      <c r="X270" s="1"/>
    </row>
    <row r="271" spans="1:40" ht="20.25" customHeight="1" x14ac:dyDescent="0.25">
      <c r="A271" s="3"/>
      <c r="B271" s="3"/>
      <c r="C271" s="742"/>
      <c r="D271" s="742">
        <v>10</v>
      </c>
      <c r="E271" s="1072" t="s">
        <v>1328</v>
      </c>
      <c r="F271" s="1072"/>
      <c r="G271" s="1072"/>
      <c r="H271" s="1072"/>
      <c r="I271" s="1072"/>
      <c r="J271" s="1072"/>
      <c r="K271" s="1073"/>
      <c r="L271" s="1074"/>
      <c r="M271" s="1075"/>
      <c r="N271" s="1075"/>
      <c r="O271" s="1075"/>
      <c r="P271" s="1075"/>
      <c r="Q271" s="1075"/>
      <c r="R271" s="1075"/>
      <c r="S271" s="1075"/>
      <c r="T271" s="1075"/>
      <c r="U271" s="1075"/>
      <c r="V271" s="1075"/>
      <c r="W271" s="1075"/>
      <c r="X271" s="1076"/>
      <c r="Y271" s="2"/>
      <c r="Z271" s="2"/>
      <c r="AA271" s="2"/>
      <c r="AB271" s="2"/>
      <c r="AC271" s="2"/>
      <c r="AD271" s="2"/>
      <c r="AE271" s="2"/>
      <c r="AF271" s="2"/>
      <c r="AG271" s="2"/>
      <c r="AH271" s="2"/>
      <c r="AI271" s="2"/>
      <c r="AJ271" s="2"/>
      <c r="AK271" s="2"/>
      <c r="AL271" s="2"/>
      <c r="AM271" s="2"/>
      <c r="AN271" s="2"/>
    </row>
    <row r="272" spans="1:40" x14ac:dyDescent="0.25">
      <c r="A272" s="3"/>
      <c r="B272" s="3"/>
      <c r="C272" s="1"/>
      <c r="D272" s="3"/>
      <c r="E272" s="3" t="s">
        <v>91</v>
      </c>
      <c r="F272" s="3"/>
      <c r="G272" s="3"/>
      <c r="H272" s="3"/>
      <c r="I272" s="3"/>
      <c r="J272" s="351" t="s">
        <v>1909</v>
      </c>
      <c r="K272" s="1"/>
      <c r="L272" s="326"/>
      <c r="M272" s="1"/>
      <c r="N272" s="1"/>
      <c r="O272" s="1"/>
      <c r="P272" s="1"/>
      <c r="Q272" s="1"/>
      <c r="R272" s="1"/>
      <c r="S272" s="1"/>
      <c r="T272" s="4"/>
      <c r="U272" s="4"/>
      <c r="V272" s="1"/>
      <c r="W272" s="1"/>
      <c r="X272" s="1"/>
    </row>
    <row r="273" spans="1:40" x14ac:dyDescent="0.25">
      <c r="A273" s="3" t="s">
        <v>1106</v>
      </c>
      <c r="B273" s="3"/>
      <c r="C273" s="1"/>
      <c r="D273" s="3"/>
      <c r="E273" s="3"/>
      <c r="F273" s="3" t="s">
        <v>91</v>
      </c>
      <c r="G273" s="3"/>
      <c r="H273" s="3"/>
      <c r="I273" s="3"/>
      <c r="J273" s="1" t="s">
        <v>1329</v>
      </c>
      <c r="K273" s="1" t="s">
        <v>1910</v>
      </c>
      <c r="L273" s="326" t="s">
        <v>1416</v>
      </c>
      <c r="M273" s="1"/>
      <c r="N273" s="1" t="s">
        <v>1911</v>
      </c>
      <c r="O273" s="1"/>
      <c r="P273" s="1"/>
      <c r="Q273" s="1"/>
      <c r="R273" s="1"/>
      <c r="S273" s="1"/>
      <c r="T273" s="4"/>
      <c r="U273" s="4"/>
      <c r="V273" s="1"/>
      <c r="W273" s="1"/>
      <c r="X273" s="1"/>
    </row>
    <row r="274" spans="1:40" x14ac:dyDescent="0.25">
      <c r="A274" s="3" t="s">
        <v>1106</v>
      </c>
      <c r="B274" s="3"/>
      <c r="C274" s="1"/>
      <c r="D274" s="3"/>
      <c r="E274" s="3"/>
      <c r="F274" s="3" t="s">
        <v>91</v>
      </c>
      <c r="G274" s="3"/>
      <c r="H274" s="3"/>
      <c r="I274" s="3"/>
      <c r="J274" s="1" t="s">
        <v>1912</v>
      </c>
      <c r="K274" s="1" t="s">
        <v>1913</v>
      </c>
      <c r="L274" s="327" t="s">
        <v>1399</v>
      </c>
      <c r="M274" s="1"/>
      <c r="N274" s="1"/>
      <c r="O274" s="1"/>
      <c r="P274" s="1"/>
      <c r="Q274" s="1"/>
      <c r="R274" s="1"/>
      <c r="S274" s="1"/>
      <c r="T274" s="4"/>
      <c r="U274" s="4"/>
      <c r="V274" s="1"/>
      <c r="W274" s="1"/>
      <c r="X274" s="1"/>
    </row>
    <row r="275" spans="1:40" x14ac:dyDescent="0.25">
      <c r="A275" s="3"/>
      <c r="B275" s="3"/>
      <c r="C275" s="1"/>
      <c r="D275" s="3"/>
      <c r="E275" s="3" t="s">
        <v>91</v>
      </c>
      <c r="F275" s="3"/>
      <c r="G275" s="3"/>
      <c r="H275" s="3"/>
      <c r="I275" s="3"/>
      <c r="J275" s="351" t="s">
        <v>1914</v>
      </c>
      <c r="K275" s="1"/>
      <c r="L275" s="4"/>
      <c r="M275" s="1"/>
      <c r="N275" s="1"/>
      <c r="O275" s="1"/>
      <c r="P275" s="1"/>
      <c r="Q275" s="1"/>
      <c r="R275" s="1"/>
      <c r="S275" s="1"/>
      <c r="T275" s="4"/>
      <c r="U275" s="4"/>
      <c r="V275" s="1"/>
      <c r="W275" s="1"/>
      <c r="X275" s="1"/>
    </row>
    <row r="276" spans="1:40" x14ac:dyDescent="0.25">
      <c r="A276" s="3" t="s">
        <v>1106</v>
      </c>
      <c r="B276" s="3"/>
      <c r="C276" s="1"/>
      <c r="D276" s="3"/>
      <c r="E276" s="3"/>
      <c r="F276" s="3" t="s">
        <v>91</v>
      </c>
      <c r="G276" s="3"/>
      <c r="H276" s="3"/>
      <c r="I276" s="3"/>
      <c r="J276" s="1" t="s">
        <v>1915</v>
      </c>
      <c r="K276" s="1" t="s">
        <v>1916</v>
      </c>
      <c r="L276" s="4" t="s">
        <v>1853</v>
      </c>
      <c r="M276" s="1"/>
      <c r="N276" s="1"/>
      <c r="O276" s="1"/>
      <c r="P276" s="1"/>
      <c r="Q276" s="1"/>
      <c r="R276" s="1"/>
      <c r="S276" s="1"/>
      <c r="T276" s="4"/>
      <c r="U276" s="4"/>
      <c r="V276" s="1"/>
      <c r="W276" s="1"/>
      <c r="X276" s="1"/>
    </row>
    <row r="277" spans="1:40" ht="20.25" customHeight="1" x14ac:dyDescent="0.25">
      <c r="A277" s="3"/>
      <c r="B277" s="3"/>
      <c r="C277" s="742"/>
      <c r="D277" s="742">
        <v>11</v>
      </c>
      <c r="E277" s="1072" t="s">
        <v>1331</v>
      </c>
      <c r="F277" s="1072"/>
      <c r="G277" s="1072"/>
      <c r="H277" s="1072"/>
      <c r="I277" s="1072"/>
      <c r="J277" s="1072"/>
      <c r="K277" s="1073"/>
      <c r="L277" s="1074"/>
      <c r="M277" s="1075"/>
      <c r="N277" s="1075"/>
      <c r="O277" s="1075"/>
      <c r="P277" s="1075"/>
      <c r="Q277" s="1075"/>
      <c r="R277" s="1075"/>
      <c r="S277" s="1075"/>
      <c r="T277" s="1075"/>
      <c r="U277" s="1075"/>
      <c r="V277" s="1075"/>
      <c r="W277" s="1075"/>
      <c r="X277" s="1076"/>
      <c r="Y277" s="2"/>
      <c r="Z277" s="2"/>
      <c r="AA277" s="2"/>
      <c r="AB277" s="2"/>
      <c r="AC277" s="2"/>
      <c r="AD277" s="2"/>
      <c r="AE277" s="2"/>
      <c r="AF277" s="2"/>
      <c r="AG277" s="2"/>
      <c r="AH277" s="2"/>
      <c r="AI277" s="2"/>
      <c r="AJ277" s="2"/>
      <c r="AK277" s="2"/>
      <c r="AL277" s="2"/>
      <c r="AM277" s="2"/>
      <c r="AN277" s="2"/>
    </row>
    <row r="278" spans="1:40" x14ac:dyDescent="0.25">
      <c r="A278" s="3" t="s">
        <v>1106</v>
      </c>
      <c r="B278" s="3"/>
      <c r="C278" s="1"/>
      <c r="D278" s="3"/>
      <c r="E278" s="3" t="s">
        <v>91</v>
      </c>
      <c r="F278" s="3"/>
      <c r="G278" s="3"/>
      <c r="H278" s="3"/>
      <c r="I278" s="3"/>
      <c r="J278" s="1" t="s">
        <v>1917</v>
      </c>
      <c r="K278" s="1" t="s">
        <v>1918</v>
      </c>
      <c r="L278" s="327" t="s">
        <v>1399</v>
      </c>
      <c r="M278" s="1"/>
      <c r="N278" s="1" t="s">
        <v>1919</v>
      </c>
      <c r="O278" s="1"/>
      <c r="P278" s="1"/>
      <c r="Q278" s="1"/>
      <c r="R278" s="1"/>
      <c r="S278" s="1"/>
      <c r="T278" s="4"/>
      <c r="U278" s="4"/>
      <c r="V278" s="1"/>
      <c r="W278" s="1"/>
      <c r="X278" s="1"/>
    </row>
    <row r="279" spans="1:40" x14ac:dyDescent="0.25">
      <c r="A279" s="3" t="s">
        <v>1106</v>
      </c>
      <c r="B279" s="3"/>
      <c r="C279" s="1"/>
      <c r="D279" s="3"/>
      <c r="E279" s="3" t="s">
        <v>91</v>
      </c>
      <c r="F279" s="3"/>
      <c r="G279" s="3"/>
      <c r="H279" s="3"/>
      <c r="I279" s="3"/>
      <c r="J279" s="1" t="s">
        <v>1920</v>
      </c>
      <c r="K279" s="1" t="s">
        <v>1921</v>
      </c>
      <c r="L279" s="326" t="s">
        <v>1416</v>
      </c>
      <c r="M279" s="1"/>
      <c r="N279" s="1"/>
      <c r="O279" s="1"/>
      <c r="P279" s="1"/>
      <c r="Q279" s="1"/>
      <c r="R279" s="1"/>
      <c r="S279" s="1"/>
      <c r="T279" s="4"/>
      <c r="U279" s="4"/>
      <c r="V279" s="1"/>
      <c r="W279" s="1"/>
      <c r="X279" s="1"/>
    </row>
    <row r="280" spans="1:40" ht="20.25" customHeight="1" x14ac:dyDescent="0.25">
      <c r="A280" s="3"/>
      <c r="B280" s="3"/>
      <c r="C280" s="742"/>
      <c r="D280" s="742">
        <v>12</v>
      </c>
      <c r="E280" s="743" t="s">
        <v>1334</v>
      </c>
      <c r="F280" s="743"/>
      <c r="G280" s="743"/>
      <c r="H280" s="743"/>
      <c r="I280" s="743"/>
      <c r="J280" s="743"/>
      <c r="K280" s="744"/>
      <c r="L280" s="839"/>
      <c r="M280" s="746"/>
      <c r="N280" s="746"/>
      <c r="O280" s="746"/>
      <c r="P280" s="746"/>
      <c r="Q280" s="746"/>
      <c r="R280" s="746"/>
      <c r="S280" s="746"/>
      <c r="T280" s="746"/>
      <c r="U280" s="746"/>
      <c r="V280" s="746"/>
      <c r="W280" s="746"/>
      <c r="X280" s="745"/>
      <c r="Y280" s="2"/>
      <c r="Z280" s="2"/>
      <c r="AA280" s="2"/>
      <c r="AB280" s="2"/>
      <c r="AC280" s="2"/>
      <c r="AD280" s="2"/>
      <c r="AE280" s="2"/>
      <c r="AF280" s="2"/>
      <c r="AG280" s="2"/>
      <c r="AH280" s="2"/>
      <c r="AI280" s="2"/>
      <c r="AJ280" s="2"/>
      <c r="AK280" s="2"/>
      <c r="AL280" s="2"/>
      <c r="AM280" s="2"/>
      <c r="AN280" s="2"/>
    </row>
    <row r="281" spans="1:40" x14ac:dyDescent="0.25">
      <c r="A281" s="3" t="s">
        <v>1106</v>
      </c>
      <c r="B281" s="3"/>
      <c r="C281" s="1"/>
      <c r="D281" s="3"/>
      <c r="E281" s="3" t="s">
        <v>91</v>
      </c>
      <c r="F281" s="3"/>
      <c r="G281" s="3"/>
      <c r="H281" s="3"/>
      <c r="I281" s="3"/>
      <c r="J281" s="1" t="s">
        <v>1922</v>
      </c>
      <c r="K281" s="1" t="s">
        <v>1923</v>
      </c>
      <c r="L281" s="327" t="s">
        <v>1399</v>
      </c>
      <c r="M281" s="1"/>
      <c r="N281" s="1" t="s">
        <v>1924</v>
      </c>
      <c r="O281" s="1"/>
      <c r="P281" s="1"/>
      <c r="Q281" s="1"/>
      <c r="R281" s="1"/>
      <c r="S281" s="1"/>
      <c r="T281" s="4"/>
      <c r="U281" s="4"/>
      <c r="V281" s="1"/>
      <c r="W281" s="1"/>
      <c r="X281" s="1"/>
    </row>
    <row r="282" spans="1:40" x14ac:dyDescent="0.25">
      <c r="A282" s="3" t="s">
        <v>1106</v>
      </c>
      <c r="B282" s="3"/>
      <c r="C282" s="1"/>
      <c r="D282" s="3"/>
      <c r="E282" s="3" t="s">
        <v>91</v>
      </c>
      <c r="F282" s="3"/>
      <c r="G282" s="3"/>
      <c r="H282" s="3"/>
      <c r="I282" s="3"/>
      <c r="J282" s="1" t="s">
        <v>1925</v>
      </c>
      <c r="K282" s="1" t="s">
        <v>1926</v>
      </c>
      <c r="L282" s="326" t="s">
        <v>1416</v>
      </c>
      <c r="M282" s="1"/>
      <c r="N282" s="1" t="s">
        <v>1927</v>
      </c>
      <c r="O282" s="1"/>
      <c r="P282" s="1"/>
      <c r="Q282" s="1"/>
      <c r="R282" s="1"/>
      <c r="S282" s="1"/>
      <c r="T282" s="4"/>
      <c r="U282" s="4"/>
      <c r="V282" s="1"/>
      <c r="W282" s="1"/>
      <c r="X282" s="1"/>
    </row>
    <row r="283" spans="1:40" ht="20.25" customHeight="1" x14ac:dyDescent="0.25">
      <c r="A283" s="3"/>
      <c r="B283" s="3"/>
      <c r="C283" s="742"/>
      <c r="D283" s="742">
        <v>13</v>
      </c>
      <c r="E283" s="1072" t="s">
        <v>1337</v>
      </c>
      <c r="F283" s="1072"/>
      <c r="G283" s="1072"/>
      <c r="H283" s="1072"/>
      <c r="I283" s="1072"/>
      <c r="J283" s="1072"/>
      <c r="K283" s="1073"/>
      <c r="L283" s="1074"/>
      <c r="M283" s="1075"/>
      <c r="N283" s="1075"/>
      <c r="O283" s="1075"/>
      <c r="P283" s="1075"/>
      <c r="Q283" s="1075"/>
      <c r="R283" s="1075"/>
      <c r="S283" s="1075"/>
      <c r="T283" s="1075"/>
      <c r="U283" s="1075"/>
      <c r="V283" s="1075"/>
      <c r="W283" s="1075"/>
      <c r="X283" s="1076"/>
      <c r="Y283" s="2"/>
      <c r="Z283" s="2"/>
      <c r="AA283" s="2"/>
      <c r="AB283" s="2"/>
      <c r="AC283" s="2"/>
      <c r="AD283" s="2"/>
      <c r="AE283" s="2"/>
      <c r="AF283" s="2"/>
      <c r="AG283" s="2"/>
      <c r="AH283" s="2"/>
      <c r="AI283" s="2"/>
      <c r="AJ283" s="2"/>
      <c r="AK283" s="2"/>
      <c r="AL283" s="2"/>
      <c r="AM283" s="2"/>
      <c r="AN283" s="2"/>
    </row>
    <row r="284" spans="1:40" x14ac:dyDescent="0.25">
      <c r="A284" s="3"/>
      <c r="B284" s="3"/>
      <c r="C284" s="1"/>
      <c r="D284" s="3"/>
      <c r="E284" s="3" t="s">
        <v>91</v>
      </c>
      <c r="F284" s="3"/>
      <c r="G284" s="3"/>
      <c r="H284" s="3"/>
      <c r="I284" s="3"/>
      <c r="J284" s="351" t="s">
        <v>1338</v>
      </c>
      <c r="K284" s="1"/>
      <c r="L284" s="5"/>
      <c r="M284" s="1"/>
      <c r="N284" s="1" t="s">
        <v>1928</v>
      </c>
      <c r="O284" s="1"/>
      <c r="P284" s="1"/>
      <c r="Q284" s="1"/>
      <c r="R284" s="1"/>
      <c r="S284" s="1"/>
      <c r="T284" s="4"/>
      <c r="U284" s="4"/>
      <c r="V284" s="1"/>
      <c r="W284" s="1"/>
      <c r="X284" s="1"/>
    </row>
    <row r="285" spans="1:40" x14ac:dyDescent="0.25">
      <c r="A285" s="3" t="s">
        <v>1106</v>
      </c>
      <c r="B285" s="3"/>
      <c r="C285" s="1"/>
      <c r="D285" s="3"/>
      <c r="E285" s="3"/>
      <c r="F285" s="3" t="s">
        <v>91</v>
      </c>
      <c r="G285" s="3"/>
      <c r="H285" s="3"/>
      <c r="I285" s="3"/>
      <c r="J285" s="1" t="s">
        <v>1929</v>
      </c>
      <c r="K285" s="1" t="s">
        <v>1930</v>
      </c>
      <c r="L285" s="327" t="s">
        <v>1399</v>
      </c>
      <c r="M285" s="1"/>
      <c r="N285" s="1" t="s">
        <v>1931</v>
      </c>
      <c r="O285" s="1"/>
      <c r="P285" s="1"/>
      <c r="Q285" s="1"/>
      <c r="R285" s="1"/>
      <c r="S285" s="1"/>
      <c r="T285" s="4"/>
      <c r="U285" s="4"/>
      <c r="V285" s="1"/>
      <c r="W285" s="1"/>
      <c r="X285" s="1"/>
    </row>
    <row r="286" spans="1:40" x14ac:dyDescent="0.25">
      <c r="A286" s="3" t="s">
        <v>1106</v>
      </c>
      <c r="B286" s="3"/>
      <c r="C286" s="1"/>
      <c r="D286" s="3"/>
      <c r="E286" s="3"/>
      <c r="F286" s="3"/>
      <c r="G286" s="3" t="s">
        <v>91</v>
      </c>
      <c r="H286" s="3"/>
      <c r="I286" s="3"/>
      <c r="J286" s="1" t="s">
        <v>1932</v>
      </c>
      <c r="K286" s="1" t="s">
        <v>1933</v>
      </c>
      <c r="L286" s="326" t="s">
        <v>1416</v>
      </c>
      <c r="M286" s="1"/>
      <c r="N286" s="1"/>
      <c r="O286" s="1"/>
      <c r="P286" s="1"/>
      <c r="Q286" s="1"/>
      <c r="R286" s="1"/>
      <c r="S286" s="1"/>
      <c r="T286" s="4"/>
      <c r="U286" s="4"/>
      <c r="V286" s="1"/>
      <c r="W286" s="1"/>
      <c r="X286" s="1"/>
    </row>
    <row r="287" spans="1:40" x14ac:dyDescent="0.25">
      <c r="A287" s="3" t="s">
        <v>1106</v>
      </c>
      <c r="B287" s="3"/>
      <c r="C287" s="1"/>
      <c r="D287" s="3"/>
      <c r="E287" s="3"/>
      <c r="F287" s="3"/>
      <c r="G287" s="3"/>
      <c r="H287" s="3" t="s">
        <v>91</v>
      </c>
      <c r="I287" s="3"/>
      <c r="J287" s="1" t="s">
        <v>1934</v>
      </c>
      <c r="K287" s="1" t="s">
        <v>1935</v>
      </c>
      <c r="L287" s="326" t="s">
        <v>1416</v>
      </c>
      <c r="M287" s="1"/>
      <c r="N287" s="1"/>
      <c r="O287" s="1"/>
      <c r="P287" s="1"/>
      <c r="Q287" s="1"/>
      <c r="R287" s="1"/>
      <c r="S287" s="1"/>
      <c r="T287" s="4"/>
      <c r="U287" s="4"/>
      <c r="V287" s="1"/>
      <c r="W287" s="1"/>
      <c r="X287" s="1"/>
    </row>
    <row r="288" spans="1:40" x14ac:dyDescent="0.25">
      <c r="A288" s="3" t="s">
        <v>1106</v>
      </c>
      <c r="B288" s="3"/>
      <c r="C288" s="1"/>
      <c r="D288" s="3"/>
      <c r="E288" s="3"/>
      <c r="F288" s="3" t="s">
        <v>91</v>
      </c>
      <c r="G288" s="3"/>
      <c r="H288" s="3"/>
      <c r="I288" s="3"/>
      <c r="J288" s="1" t="s">
        <v>1936</v>
      </c>
      <c r="K288" s="1" t="s">
        <v>1937</v>
      </c>
      <c r="L288" s="326" t="s">
        <v>1416</v>
      </c>
      <c r="M288" s="1"/>
      <c r="N288" s="1"/>
      <c r="O288" s="1"/>
      <c r="P288" s="1"/>
      <c r="Q288" s="1"/>
      <c r="R288" s="1"/>
      <c r="S288" s="1"/>
      <c r="T288" s="4"/>
      <c r="U288" s="4"/>
      <c r="V288" s="1"/>
      <c r="W288" s="1"/>
      <c r="X288" s="1"/>
    </row>
    <row r="289" spans="1:40" x14ac:dyDescent="0.25">
      <c r="A289" s="3" t="s">
        <v>1106</v>
      </c>
      <c r="B289" s="3"/>
      <c r="C289" s="1"/>
      <c r="D289" s="3"/>
      <c r="E289" s="3"/>
      <c r="F289" s="3" t="s">
        <v>91</v>
      </c>
      <c r="G289" s="3"/>
      <c r="H289" s="3"/>
      <c r="I289" s="3"/>
      <c r="J289" s="1" t="s">
        <v>1938</v>
      </c>
      <c r="K289" s="1" t="s">
        <v>1939</v>
      </c>
      <c r="L289" s="326" t="s">
        <v>1416</v>
      </c>
      <c r="M289" s="1"/>
      <c r="N289" s="1" t="s">
        <v>1940</v>
      </c>
      <c r="O289" s="1"/>
      <c r="P289" s="1"/>
      <c r="Q289" s="1"/>
      <c r="R289" s="1"/>
      <c r="S289" s="1"/>
      <c r="T289" s="4"/>
      <c r="U289" s="4"/>
      <c r="V289" s="1"/>
      <c r="W289" s="1"/>
      <c r="X289" s="1"/>
    </row>
    <row r="290" spans="1:40" x14ac:dyDescent="0.25">
      <c r="A290" s="3" t="s">
        <v>1106</v>
      </c>
      <c r="B290" s="3"/>
      <c r="C290" s="1"/>
      <c r="D290" s="3"/>
      <c r="E290" s="3"/>
      <c r="F290" s="3" t="s">
        <v>91</v>
      </c>
      <c r="G290" s="3"/>
      <c r="H290" s="3"/>
      <c r="I290" s="3"/>
      <c r="J290" s="1" t="s">
        <v>1941</v>
      </c>
      <c r="K290" s="1" t="s">
        <v>1942</v>
      </c>
      <c r="L290" s="326" t="s">
        <v>1416</v>
      </c>
      <c r="M290" s="1"/>
      <c r="N290" s="1" t="s">
        <v>1943</v>
      </c>
      <c r="O290" s="1"/>
      <c r="P290" s="1"/>
      <c r="Q290" s="1"/>
      <c r="R290" s="1"/>
      <c r="S290" s="1"/>
      <c r="T290" s="4"/>
      <c r="U290" s="4"/>
      <c r="V290" s="1"/>
      <c r="W290" s="1"/>
      <c r="X290" s="1"/>
    </row>
    <row r="291" spans="1:40" x14ac:dyDescent="0.25">
      <c r="A291" s="3" t="s">
        <v>1098</v>
      </c>
      <c r="B291" s="3" t="s">
        <v>35</v>
      </c>
      <c r="C291" s="1"/>
      <c r="D291" s="3"/>
      <c r="E291" s="3"/>
      <c r="F291" s="3" t="s">
        <v>91</v>
      </c>
      <c r="G291" s="3"/>
      <c r="H291" s="3"/>
      <c r="I291" s="3"/>
      <c r="J291" s="1" t="s">
        <v>1944</v>
      </c>
      <c r="K291" s="1" t="s">
        <v>1945</v>
      </c>
      <c r="L291" s="327" t="s">
        <v>1399</v>
      </c>
      <c r="M291" s="1"/>
      <c r="N291" s="1" t="s">
        <v>1946</v>
      </c>
      <c r="O291" s="1"/>
      <c r="P291" s="1"/>
      <c r="Q291" s="1"/>
      <c r="R291" s="1"/>
      <c r="S291" s="1"/>
      <c r="T291" s="4"/>
      <c r="U291" s="4"/>
      <c r="V291" s="1"/>
      <c r="W291" s="1"/>
      <c r="X291" s="1"/>
    </row>
    <row r="292" spans="1:40" x14ac:dyDescent="0.25">
      <c r="A292" s="3"/>
      <c r="B292" s="3"/>
      <c r="C292" s="1"/>
      <c r="D292" s="3"/>
      <c r="E292" s="3"/>
      <c r="F292" s="3" t="s">
        <v>91</v>
      </c>
      <c r="G292" s="3"/>
      <c r="H292" s="3"/>
      <c r="I292" s="3"/>
      <c r="J292" s="1" t="s">
        <v>1947</v>
      </c>
      <c r="K292" s="1" t="s">
        <v>1948</v>
      </c>
      <c r="L292" s="326" t="s">
        <v>1416</v>
      </c>
      <c r="M292" s="1"/>
      <c r="N292" s="1" t="s">
        <v>1949</v>
      </c>
      <c r="O292" s="1"/>
      <c r="P292" s="1"/>
      <c r="Q292" s="1"/>
      <c r="R292" s="1"/>
      <c r="S292" s="1"/>
      <c r="T292" s="4"/>
      <c r="U292" s="4"/>
      <c r="V292" s="1"/>
      <c r="W292" s="1"/>
      <c r="X292" s="1"/>
    </row>
    <row r="293" spans="1:40" ht="15.75" customHeight="1" x14ac:dyDescent="0.25">
      <c r="A293" s="3"/>
      <c r="B293" s="3"/>
      <c r="C293" s="1"/>
      <c r="D293" s="3"/>
      <c r="E293" s="3" t="s">
        <v>91</v>
      </c>
      <c r="F293" s="3"/>
      <c r="G293" s="3"/>
      <c r="H293" s="3"/>
      <c r="I293" s="3"/>
      <c r="J293" s="351" t="s">
        <v>1343</v>
      </c>
      <c r="K293" s="1"/>
      <c r="L293" s="326"/>
      <c r="M293" s="1"/>
      <c r="N293" s="1" t="s">
        <v>1928</v>
      </c>
      <c r="O293" s="1"/>
      <c r="P293" s="1"/>
      <c r="Q293" s="1"/>
      <c r="R293" s="1"/>
      <c r="S293" s="1"/>
      <c r="T293" s="4"/>
      <c r="U293" s="4"/>
      <c r="V293" s="1"/>
      <c r="W293" s="1"/>
      <c r="X293" s="1"/>
    </row>
    <row r="294" spans="1:40" ht="15.75" customHeight="1" x14ac:dyDescent="0.25">
      <c r="A294" s="3" t="s">
        <v>1106</v>
      </c>
      <c r="B294" s="3"/>
      <c r="C294" s="1"/>
      <c r="D294" s="3"/>
      <c r="E294" s="3"/>
      <c r="F294" s="3" t="s">
        <v>91</v>
      </c>
      <c r="G294" s="3"/>
      <c r="H294" s="3"/>
      <c r="I294" s="3"/>
      <c r="J294" s="1" t="s">
        <v>1950</v>
      </c>
      <c r="K294" s="1" t="s">
        <v>1951</v>
      </c>
      <c r="L294" s="327" t="s">
        <v>1399</v>
      </c>
      <c r="M294" s="1"/>
      <c r="N294" s="1" t="s">
        <v>1931</v>
      </c>
      <c r="O294" s="1"/>
      <c r="P294" s="1"/>
      <c r="Q294" s="1"/>
      <c r="R294" s="1"/>
      <c r="S294" s="1"/>
      <c r="T294" s="4"/>
      <c r="U294" s="4"/>
      <c r="V294" s="1"/>
      <c r="W294" s="1"/>
      <c r="X294" s="1"/>
    </row>
    <row r="295" spans="1:40" x14ac:dyDescent="0.25">
      <c r="A295" s="3" t="s">
        <v>1106</v>
      </c>
      <c r="B295" s="3"/>
      <c r="C295" s="1"/>
      <c r="D295" s="3"/>
      <c r="E295" s="3"/>
      <c r="F295" s="3" t="s">
        <v>91</v>
      </c>
      <c r="G295" s="3"/>
      <c r="H295" s="3"/>
      <c r="I295" s="3"/>
      <c r="J295" s="1" t="s">
        <v>1952</v>
      </c>
      <c r="K295" s="1" t="s">
        <v>1953</v>
      </c>
      <c r="L295" s="326" t="s">
        <v>1416</v>
      </c>
      <c r="M295" s="1"/>
      <c r="N295" s="1"/>
      <c r="O295" s="1"/>
      <c r="P295" s="1"/>
      <c r="Q295" s="1"/>
      <c r="R295" s="1"/>
      <c r="S295" s="1"/>
      <c r="T295" s="4"/>
      <c r="U295" s="4"/>
      <c r="V295" s="1"/>
      <c r="W295" s="1"/>
      <c r="X295" s="1"/>
    </row>
    <row r="296" spans="1:40" ht="15.75" customHeight="1" x14ac:dyDescent="0.25">
      <c r="A296" s="3" t="s">
        <v>1106</v>
      </c>
      <c r="B296" s="3"/>
      <c r="C296" s="1"/>
      <c r="D296" s="3"/>
      <c r="E296" s="3"/>
      <c r="F296" s="3"/>
      <c r="G296" s="3" t="s">
        <v>91</v>
      </c>
      <c r="H296" s="3"/>
      <c r="I296" s="3"/>
      <c r="J296" s="1" t="s">
        <v>1954</v>
      </c>
      <c r="K296" s="1" t="s">
        <v>1955</v>
      </c>
      <c r="L296" s="326" t="s">
        <v>1416</v>
      </c>
      <c r="M296" s="1"/>
      <c r="N296" s="1"/>
      <c r="O296" s="1"/>
      <c r="P296" s="1"/>
      <c r="Q296" s="1"/>
      <c r="R296" s="1"/>
      <c r="S296" s="1"/>
      <c r="T296" s="4"/>
      <c r="U296" s="4"/>
      <c r="V296" s="1"/>
      <c r="W296" s="1"/>
      <c r="X296" s="1"/>
    </row>
    <row r="297" spans="1:40" x14ac:dyDescent="0.25">
      <c r="A297" s="3" t="s">
        <v>1106</v>
      </c>
      <c r="B297" s="3"/>
      <c r="C297" s="1"/>
      <c r="D297" s="3"/>
      <c r="E297" s="3"/>
      <c r="F297" s="3" t="s">
        <v>91</v>
      </c>
      <c r="G297" s="3"/>
      <c r="H297" s="3"/>
      <c r="I297" s="3"/>
      <c r="J297" s="1" t="s">
        <v>1956</v>
      </c>
      <c r="K297" s="1" t="s">
        <v>1957</v>
      </c>
      <c r="L297" s="326" t="s">
        <v>1416</v>
      </c>
      <c r="M297" s="1"/>
      <c r="N297" s="1"/>
      <c r="O297" s="1"/>
      <c r="P297" s="1"/>
      <c r="Q297" s="1"/>
      <c r="R297" s="1"/>
      <c r="S297" s="1"/>
      <c r="T297" s="4"/>
      <c r="U297" s="4"/>
      <c r="V297" s="1"/>
      <c r="W297" s="1"/>
      <c r="X297" s="1"/>
    </row>
    <row r="298" spans="1:40" ht="165" x14ac:dyDescent="0.25">
      <c r="A298" s="3" t="s">
        <v>1106</v>
      </c>
      <c r="B298" s="3"/>
      <c r="C298" s="1"/>
      <c r="D298" s="3"/>
      <c r="E298" s="3"/>
      <c r="F298" s="3" t="s">
        <v>91</v>
      </c>
      <c r="G298" s="3"/>
      <c r="H298" s="3"/>
      <c r="I298" s="3"/>
      <c r="J298" s="1" t="s">
        <v>1958</v>
      </c>
      <c r="K298" s="1" t="s">
        <v>1939</v>
      </c>
      <c r="L298" s="326" t="s">
        <v>1416</v>
      </c>
      <c r="M298" s="1"/>
      <c r="N298" s="848" t="s">
        <v>1959</v>
      </c>
      <c r="O298" s="1"/>
      <c r="P298" s="1"/>
      <c r="Q298" s="1"/>
      <c r="R298" s="1"/>
      <c r="S298" s="1"/>
      <c r="T298" s="4"/>
      <c r="U298" s="4"/>
      <c r="V298" s="1"/>
      <c r="W298" s="1"/>
      <c r="X298" s="1"/>
    </row>
    <row r="299" spans="1:40" x14ac:dyDescent="0.25">
      <c r="A299" s="3" t="s">
        <v>1106</v>
      </c>
      <c r="B299" s="3"/>
      <c r="C299" s="1"/>
      <c r="D299" s="3"/>
      <c r="E299" s="3"/>
      <c r="F299" s="3"/>
      <c r="G299" s="3" t="s">
        <v>91</v>
      </c>
      <c r="H299" s="3"/>
      <c r="I299" s="3"/>
      <c r="J299" s="1" t="s">
        <v>1960</v>
      </c>
      <c r="K299" s="1" t="s">
        <v>1961</v>
      </c>
      <c r="L299" s="326" t="s">
        <v>1416</v>
      </c>
      <c r="M299" s="1"/>
      <c r="N299" s="1" t="s">
        <v>1962</v>
      </c>
      <c r="O299" s="1"/>
      <c r="P299" s="1"/>
      <c r="Q299" s="1"/>
      <c r="R299" s="1"/>
      <c r="S299" s="1"/>
      <c r="T299" s="4"/>
      <c r="U299" s="4"/>
      <c r="V299" s="1"/>
      <c r="W299" s="1"/>
      <c r="X299" s="1"/>
    </row>
    <row r="300" spans="1:40" x14ac:dyDescent="0.25">
      <c r="A300" s="3" t="s">
        <v>1098</v>
      </c>
      <c r="B300" s="3" t="s">
        <v>35</v>
      </c>
      <c r="C300" s="1"/>
      <c r="D300" s="3"/>
      <c r="E300" s="3"/>
      <c r="F300" s="3"/>
      <c r="G300" s="3"/>
      <c r="H300" s="3" t="s">
        <v>91</v>
      </c>
      <c r="I300" s="3"/>
      <c r="J300" s="1" t="s">
        <v>1963</v>
      </c>
      <c r="K300" s="1" t="s">
        <v>1964</v>
      </c>
      <c r="L300" s="327" t="s">
        <v>1399</v>
      </c>
      <c r="M300" s="1"/>
      <c r="N300" s="1" t="s">
        <v>1946</v>
      </c>
      <c r="O300" s="1"/>
      <c r="P300" s="1"/>
      <c r="Q300" s="1"/>
      <c r="R300" s="1"/>
      <c r="S300" s="1"/>
      <c r="T300" s="4"/>
      <c r="U300" s="4"/>
      <c r="V300" s="1"/>
      <c r="W300" s="1"/>
      <c r="X300" s="1"/>
    </row>
    <row r="301" spans="1:40" x14ac:dyDescent="0.25">
      <c r="A301" s="3" t="s">
        <v>1106</v>
      </c>
      <c r="B301" s="3"/>
      <c r="C301" s="1"/>
      <c r="D301" s="3"/>
      <c r="E301" s="3"/>
      <c r="F301" s="3" t="s">
        <v>91</v>
      </c>
      <c r="G301" s="3"/>
      <c r="H301" s="3"/>
      <c r="I301" s="3"/>
      <c r="J301" s="1" t="s">
        <v>1965</v>
      </c>
      <c r="K301" s="1" t="s">
        <v>1966</v>
      </c>
      <c r="L301" s="326" t="s">
        <v>1416</v>
      </c>
      <c r="M301" s="1"/>
      <c r="N301" s="1"/>
      <c r="O301" s="1"/>
      <c r="P301" s="1"/>
      <c r="Q301" s="1"/>
      <c r="R301" s="1"/>
      <c r="S301" s="1"/>
      <c r="T301" s="4"/>
      <c r="U301" s="4"/>
      <c r="V301" s="1"/>
      <c r="W301" s="1"/>
      <c r="X301" s="1"/>
    </row>
    <row r="302" spans="1:40" ht="20.25" customHeight="1" x14ac:dyDescent="0.25">
      <c r="A302" s="3"/>
      <c r="B302" s="3"/>
      <c r="C302" s="742"/>
      <c r="D302" s="742">
        <v>14</v>
      </c>
      <c r="E302" s="1072" t="s">
        <v>1348</v>
      </c>
      <c r="F302" s="1072"/>
      <c r="G302" s="1072"/>
      <c r="H302" s="1072"/>
      <c r="I302" s="1072"/>
      <c r="J302" s="1072"/>
      <c r="K302" s="1073"/>
      <c r="L302" s="1074"/>
      <c r="M302" s="1075"/>
      <c r="N302" s="1075"/>
      <c r="O302" s="1075"/>
      <c r="P302" s="1075"/>
      <c r="Q302" s="1075"/>
      <c r="R302" s="1075"/>
      <c r="S302" s="1075"/>
      <c r="T302" s="1075"/>
      <c r="U302" s="1075"/>
      <c r="V302" s="1075"/>
      <c r="W302" s="1075"/>
      <c r="X302" s="1076"/>
      <c r="Y302" s="2"/>
      <c r="Z302" s="2"/>
      <c r="AA302" s="2"/>
      <c r="AB302" s="2"/>
      <c r="AC302" s="2"/>
      <c r="AD302" s="2"/>
      <c r="AE302" s="2"/>
      <c r="AF302" s="2"/>
      <c r="AG302" s="2"/>
      <c r="AH302" s="2"/>
      <c r="AI302" s="2"/>
      <c r="AJ302" s="2"/>
      <c r="AK302" s="2"/>
      <c r="AL302" s="2"/>
      <c r="AM302" s="2"/>
      <c r="AN302" s="2"/>
    </row>
    <row r="303" spans="1:40" x14ac:dyDescent="0.25">
      <c r="A303" s="3"/>
      <c r="B303" s="3"/>
      <c r="C303" s="1"/>
      <c r="D303" s="3"/>
      <c r="E303" s="3" t="s">
        <v>91</v>
      </c>
      <c r="F303" s="3"/>
      <c r="G303" s="3"/>
      <c r="H303" s="3"/>
      <c r="I303" s="3"/>
      <c r="J303" s="351" t="s">
        <v>1967</v>
      </c>
      <c r="K303" s="1"/>
      <c r="L303" s="327"/>
      <c r="M303" s="1"/>
      <c r="N303" s="1" t="s">
        <v>1968</v>
      </c>
      <c r="O303" s="1"/>
      <c r="P303" s="1"/>
      <c r="Q303" s="1"/>
      <c r="R303" s="1"/>
      <c r="S303" s="1"/>
      <c r="T303" s="4"/>
      <c r="U303" s="4"/>
      <c r="V303" s="1"/>
      <c r="W303" s="1"/>
      <c r="X303" s="1"/>
    </row>
    <row r="304" spans="1:40" x14ac:dyDescent="0.25">
      <c r="A304" s="3" t="s">
        <v>1098</v>
      </c>
      <c r="B304" s="3" t="s">
        <v>1969</v>
      </c>
      <c r="C304" s="1"/>
      <c r="D304" s="3"/>
      <c r="E304" s="3"/>
      <c r="F304" s="3" t="s">
        <v>91</v>
      </c>
      <c r="G304" s="3"/>
      <c r="H304" s="3"/>
      <c r="I304" s="3"/>
      <c r="J304" s="1" t="s">
        <v>1970</v>
      </c>
      <c r="K304" s="1" t="s">
        <v>1971</v>
      </c>
      <c r="L304" s="327" t="s">
        <v>1399</v>
      </c>
      <c r="M304" s="1"/>
      <c r="N304" s="1" t="s">
        <v>1972</v>
      </c>
      <c r="O304" s="1"/>
      <c r="P304" s="1"/>
      <c r="Q304" s="1"/>
      <c r="R304" s="1"/>
      <c r="S304" s="1"/>
      <c r="T304" s="4"/>
      <c r="U304" s="4"/>
      <c r="V304" s="1"/>
      <c r="W304" s="1"/>
      <c r="X304" s="1"/>
    </row>
    <row r="305" spans="1:40" x14ac:dyDescent="0.25">
      <c r="A305" s="3" t="s">
        <v>1098</v>
      </c>
      <c r="B305" s="3" t="s">
        <v>35</v>
      </c>
      <c r="C305" s="1"/>
      <c r="D305" s="3"/>
      <c r="E305" s="3"/>
      <c r="F305" s="3"/>
      <c r="G305" s="3" t="s">
        <v>91</v>
      </c>
      <c r="H305" s="3"/>
      <c r="I305" s="3"/>
      <c r="J305" s="1" t="s">
        <v>1973</v>
      </c>
      <c r="K305" s="1" t="s">
        <v>1974</v>
      </c>
      <c r="L305" s="327" t="s">
        <v>1399</v>
      </c>
      <c r="M305" s="1"/>
      <c r="N305" s="1" t="s">
        <v>1946</v>
      </c>
      <c r="O305" s="1"/>
      <c r="P305" s="1"/>
      <c r="Q305" s="1"/>
      <c r="R305" s="1"/>
      <c r="S305" s="1"/>
      <c r="T305" s="4"/>
      <c r="U305" s="4"/>
      <c r="V305" s="1"/>
      <c r="W305" s="1"/>
      <c r="X305" s="1"/>
    </row>
    <row r="306" spans="1:40" x14ac:dyDescent="0.25">
      <c r="A306" s="3" t="s">
        <v>1106</v>
      </c>
      <c r="B306" s="3"/>
      <c r="C306" s="1"/>
      <c r="D306" s="3"/>
      <c r="E306" s="3"/>
      <c r="F306" s="3"/>
      <c r="G306" s="3" t="s">
        <v>91</v>
      </c>
      <c r="H306" s="3"/>
      <c r="I306" s="3"/>
      <c r="J306" s="1" t="s">
        <v>1975</v>
      </c>
      <c r="K306" s="1" t="s">
        <v>1976</v>
      </c>
      <c r="L306" s="326" t="s">
        <v>1416</v>
      </c>
      <c r="M306" s="1"/>
      <c r="N306" s="1"/>
      <c r="O306" s="1"/>
      <c r="P306" s="1"/>
      <c r="Q306" s="1"/>
      <c r="R306" s="1"/>
      <c r="S306" s="1"/>
      <c r="T306" s="4"/>
      <c r="U306" s="4"/>
      <c r="V306" s="1"/>
      <c r="W306" s="1"/>
      <c r="X306" s="1"/>
    </row>
    <row r="307" spans="1:40" x14ac:dyDescent="0.25">
      <c r="A307" s="3" t="s">
        <v>1106</v>
      </c>
      <c r="B307" s="3"/>
      <c r="C307" s="1"/>
      <c r="D307" s="3"/>
      <c r="E307" s="3"/>
      <c r="F307" s="3"/>
      <c r="G307" s="3"/>
      <c r="H307" s="3" t="s">
        <v>91</v>
      </c>
      <c r="I307" s="3"/>
      <c r="J307" s="1" t="s">
        <v>1977</v>
      </c>
      <c r="K307" s="1" t="s">
        <v>1978</v>
      </c>
      <c r="L307" s="326" t="s">
        <v>1416</v>
      </c>
      <c r="M307" s="1"/>
      <c r="N307" s="1" t="s">
        <v>1979</v>
      </c>
      <c r="O307" s="1"/>
      <c r="P307" s="1"/>
      <c r="Q307" s="1"/>
      <c r="R307" s="1"/>
      <c r="S307" s="1"/>
      <c r="T307" s="4"/>
      <c r="U307" s="4"/>
      <c r="V307" s="1"/>
      <c r="W307" s="1"/>
      <c r="X307" s="1"/>
    </row>
    <row r="308" spans="1:40" x14ac:dyDescent="0.25">
      <c r="A308" s="3" t="s">
        <v>1106</v>
      </c>
      <c r="B308" s="3"/>
      <c r="C308" s="1"/>
      <c r="D308" s="3"/>
      <c r="E308" s="3"/>
      <c r="F308" s="3"/>
      <c r="G308" s="3"/>
      <c r="H308" s="3" t="s">
        <v>91</v>
      </c>
      <c r="I308" s="3"/>
      <c r="J308" s="1" t="s">
        <v>1980</v>
      </c>
      <c r="K308" s="1" t="s">
        <v>1981</v>
      </c>
      <c r="L308" s="326" t="s">
        <v>1416</v>
      </c>
      <c r="M308" s="1"/>
      <c r="N308" s="1" t="s">
        <v>1982</v>
      </c>
      <c r="O308" s="1"/>
      <c r="P308" s="1"/>
      <c r="Q308" s="1"/>
      <c r="R308" s="1"/>
      <c r="S308" s="1"/>
      <c r="T308" s="4"/>
      <c r="U308" s="4"/>
      <c r="V308" s="1"/>
      <c r="W308" s="1"/>
      <c r="X308" s="1"/>
    </row>
    <row r="309" spans="1:40" x14ac:dyDescent="0.25">
      <c r="A309" s="3"/>
      <c r="B309" s="3"/>
      <c r="C309" s="1"/>
      <c r="D309" s="3"/>
      <c r="E309" s="3" t="s">
        <v>91</v>
      </c>
      <c r="F309" s="3"/>
      <c r="G309" s="3"/>
      <c r="H309" s="3"/>
      <c r="I309" s="3"/>
      <c r="J309" s="845" t="s">
        <v>1983</v>
      </c>
      <c r="K309" s="337"/>
      <c r="L309" s="340"/>
      <c r="M309" s="1"/>
      <c r="N309" s="1"/>
      <c r="O309" s="1"/>
      <c r="P309" s="1"/>
      <c r="Q309" s="1"/>
      <c r="R309" s="1"/>
      <c r="S309" s="1"/>
      <c r="T309" s="4"/>
      <c r="U309" s="4"/>
      <c r="V309" s="1"/>
      <c r="W309" s="1"/>
      <c r="X309" s="1"/>
    </row>
    <row r="310" spans="1:40" x14ac:dyDescent="0.25">
      <c r="A310" s="3" t="s">
        <v>1106</v>
      </c>
      <c r="B310" s="3"/>
      <c r="C310" s="1"/>
      <c r="D310" s="3"/>
      <c r="E310" s="3"/>
      <c r="F310" s="3" t="s">
        <v>91</v>
      </c>
      <c r="G310" s="3"/>
      <c r="H310" s="3"/>
      <c r="I310" s="3"/>
      <c r="J310" s="337" t="s">
        <v>1984</v>
      </c>
      <c r="K310" s="337" t="s">
        <v>1985</v>
      </c>
      <c r="L310" s="340" t="s">
        <v>1986</v>
      </c>
      <c r="M310" s="1"/>
      <c r="N310" s="1"/>
      <c r="O310" s="1"/>
      <c r="P310" s="1"/>
      <c r="Q310" s="1"/>
      <c r="R310" s="1"/>
      <c r="S310" s="1"/>
      <c r="T310" s="4"/>
      <c r="U310" s="4"/>
      <c r="V310" s="1"/>
      <c r="W310" s="1"/>
      <c r="X310" s="1"/>
    </row>
    <row r="311" spans="1:40" x14ac:dyDescent="0.25">
      <c r="A311" s="3" t="s">
        <v>1106</v>
      </c>
      <c r="B311" s="3"/>
      <c r="C311" s="1"/>
      <c r="D311" s="3"/>
      <c r="E311" s="3"/>
      <c r="F311" s="3" t="s">
        <v>91</v>
      </c>
      <c r="G311" s="3"/>
      <c r="H311" s="3"/>
      <c r="I311" s="3"/>
      <c r="J311" s="1" t="s">
        <v>1351</v>
      </c>
      <c r="K311" s="1" t="s">
        <v>1987</v>
      </c>
      <c r="L311" s="326" t="s">
        <v>1416</v>
      </c>
      <c r="M311" s="1"/>
      <c r="N311" s="1"/>
      <c r="O311" s="1"/>
      <c r="P311" s="1"/>
      <c r="Q311" s="1"/>
      <c r="R311" s="1"/>
      <c r="S311" s="1"/>
      <c r="T311" s="4"/>
      <c r="U311" s="4"/>
      <c r="V311" s="1"/>
      <c r="W311" s="1"/>
      <c r="X311" s="1"/>
    </row>
    <row r="312" spans="1:40" x14ac:dyDescent="0.25">
      <c r="A312" s="3" t="s">
        <v>1106</v>
      </c>
      <c r="B312" s="3"/>
      <c r="C312" s="1"/>
      <c r="D312" s="3"/>
      <c r="E312" s="3"/>
      <c r="F312" s="3" t="s">
        <v>91</v>
      </c>
      <c r="G312" s="3"/>
      <c r="H312" s="3"/>
      <c r="I312" s="3"/>
      <c r="J312" s="337" t="s">
        <v>1988</v>
      </c>
      <c r="K312" s="1" t="s">
        <v>1989</v>
      </c>
      <c r="L312" s="340" t="s">
        <v>1990</v>
      </c>
      <c r="M312" s="1"/>
      <c r="N312" s="1"/>
      <c r="O312" s="1"/>
      <c r="P312" s="1"/>
      <c r="Q312" s="1"/>
      <c r="R312" s="1"/>
      <c r="S312" s="1"/>
      <c r="T312" s="4"/>
      <c r="U312" s="4"/>
      <c r="V312" s="1"/>
      <c r="W312" s="1"/>
      <c r="X312" s="1"/>
    </row>
    <row r="313" spans="1:40" x14ac:dyDescent="0.25">
      <c r="A313" s="3"/>
      <c r="B313" s="3"/>
      <c r="C313" s="1"/>
      <c r="D313" s="3"/>
      <c r="E313" s="3" t="s">
        <v>91</v>
      </c>
      <c r="F313" s="3"/>
      <c r="G313" s="3"/>
      <c r="H313" s="3"/>
      <c r="I313" s="3"/>
      <c r="J313" s="351" t="s">
        <v>1991</v>
      </c>
      <c r="K313" s="1"/>
      <c r="L313" s="327"/>
      <c r="M313" s="1"/>
      <c r="N313" s="1"/>
      <c r="O313" s="1"/>
      <c r="P313" s="1"/>
      <c r="Q313" s="1"/>
      <c r="R313" s="1"/>
      <c r="S313" s="1"/>
      <c r="T313" s="4"/>
      <c r="U313" s="4"/>
      <c r="V313" s="1"/>
      <c r="W313" s="1"/>
      <c r="X313" s="1"/>
    </row>
    <row r="314" spans="1:40" x14ac:dyDescent="0.25">
      <c r="A314" s="3" t="s">
        <v>1098</v>
      </c>
      <c r="B314" s="3" t="s">
        <v>1969</v>
      </c>
      <c r="C314" s="1"/>
      <c r="D314" s="3"/>
      <c r="E314" s="3"/>
      <c r="F314" s="3" t="s">
        <v>91</v>
      </c>
      <c r="G314" s="3"/>
      <c r="H314" s="3"/>
      <c r="I314" s="3"/>
      <c r="J314" s="1" t="s">
        <v>1992</v>
      </c>
      <c r="K314" s="1" t="s">
        <v>1993</v>
      </c>
      <c r="L314" s="327" t="s">
        <v>1399</v>
      </c>
      <c r="M314" s="1"/>
      <c r="N314" s="1"/>
      <c r="O314" s="1"/>
      <c r="P314" s="1"/>
      <c r="Q314" s="1"/>
      <c r="R314" s="1"/>
      <c r="S314" s="1"/>
      <c r="T314" s="4"/>
      <c r="U314" s="4"/>
      <c r="V314" s="1"/>
      <c r="W314" s="1"/>
      <c r="X314" s="1"/>
    </row>
    <row r="315" spans="1:40" x14ac:dyDescent="0.25">
      <c r="A315" s="3" t="s">
        <v>1106</v>
      </c>
      <c r="B315" s="3"/>
      <c r="C315" s="1"/>
      <c r="D315" s="3"/>
      <c r="E315" s="3"/>
      <c r="F315" s="3" t="s">
        <v>91</v>
      </c>
      <c r="G315" s="3"/>
      <c r="H315" s="3"/>
      <c r="I315" s="3"/>
      <c r="J315" s="1" t="s">
        <v>1994</v>
      </c>
      <c r="K315" s="1" t="s">
        <v>1995</v>
      </c>
      <c r="L315" s="326" t="s">
        <v>1416</v>
      </c>
      <c r="M315" s="1"/>
      <c r="N315" s="1"/>
      <c r="O315" s="1"/>
      <c r="P315" s="1"/>
      <c r="Q315" s="1"/>
      <c r="R315" s="1"/>
      <c r="S315" s="1"/>
      <c r="T315" s="4"/>
      <c r="U315" s="4"/>
      <c r="V315" s="1"/>
      <c r="W315" s="1"/>
      <c r="X315" s="1"/>
    </row>
    <row r="316" spans="1:40" x14ac:dyDescent="0.25">
      <c r="A316" s="3"/>
      <c r="B316" s="3"/>
      <c r="C316" s="1"/>
      <c r="D316" s="3"/>
      <c r="E316" s="3" t="s">
        <v>91</v>
      </c>
      <c r="F316" s="3"/>
      <c r="G316" s="3"/>
      <c r="H316" s="3"/>
      <c r="I316" s="3"/>
      <c r="J316" s="850" t="s">
        <v>1996</v>
      </c>
      <c r="K316" s="337"/>
      <c r="L316" s="340"/>
      <c r="M316" s="1"/>
      <c r="N316" s="1" t="s">
        <v>1997</v>
      </c>
      <c r="O316" s="1"/>
      <c r="P316" s="1"/>
      <c r="Q316" s="1"/>
      <c r="R316" s="1"/>
      <c r="S316" s="1"/>
      <c r="T316" s="4"/>
      <c r="U316" s="4"/>
      <c r="V316" s="1"/>
      <c r="W316" s="1"/>
      <c r="X316" s="1"/>
    </row>
    <row r="317" spans="1:40" x14ac:dyDescent="0.25">
      <c r="A317" s="3" t="s">
        <v>1098</v>
      </c>
      <c r="B317" s="3" t="s">
        <v>55</v>
      </c>
      <c r="C317" s="1"/>
      <c r="D317" s="3"/>
      <c r="E317" s="3"/>
      <c r="F317" s="3" t="s">
        <v>91</v>
      </c>
      <c r="G317" s="3"/>
      <c r="H317" s="3"/>
      <c r="I317" s="3"/>
      <c r="J317" s="353" t="s">
        <v>1998</v>
      </c>
      <c r="K317" s="353" t="s">
        <v>1999</v>
      </c>
      <c r="L317" s="354" t="s">
        <v>1853</v>
      </c>
      <c r="M317" s="1"/>
      <c r="N317" s="1" t="s">
        <v>2000</v>
      </c>
      <c r="O317" s="1"/>
      <c r="P317" s="1"/>
      <c r="Q317" s="1"/>
      <c r="R317" s="1"/>
      <c r="S317" s="1"/>
      <c r="T317" s="4"/>
      <c r="U317" s="4"/>
      <c r="V317" s="1"/>
      <c r="W317" s="1"/>
      <c r="X317" s="1"/>
    </row>
    <row r="318" spans="1:40" x14ac:dyDescent="0.25">
      <c r="A318" s="3" t="s">
        <v>1098</v>
      </c>
      <c r="B318" s="3" t="s">
        <v>35</v>
      </c>
      <c r="C318" s="1"/>
      <c r="D318" s="3"/>
      <c r="E318" s="3"/>
      <c r="F318" s="3" t="s">
        <v>91</v>
      </c>
      <c r="G318" s="3"/>
      <c r="H318" s="3"/>
      <c r="I318" s="3"/>
      <c r="J318" s="1" t="s">
        <v>2001</v>
      </c>
      <c r="K318" s="1" t="s">
        <v>2002</v>
      </c>
      <c r="L318" s="327" t="s">
        <v>1399</v>
      </c>
      <c r="M318" s="1"/>
      <c r="N318" s="1" t="s">
        <v>2003</v>
      </c>
      <c r="O318" s="1"/>
      <c r="P318" s="1"/>
      <c r="Q318" s="1"/>
      <c r="R318" s="1" t="s">
        <v>2004</v>
      </c>
      <c r="S318" s="1"/>
      <c r="T318" s="4"/>
      <c r="U318" s="4"/>
      <c r="V318" s="1"/>
      <c r="W318" s="1"/>
      <c r="X318" s="1"/>
    </row>
    <row r="319" spans="1:40" ht="20.25" customHeight="1" x14ac:dyDescent="0.25">
      <c r="A319" s="3"/>
      <c r="B319" s="3"/>
      <c r="C319" s="742"/>
      <c r="D319" s="742">
        <v>15</v>
      </c>
      <c r="E319" s="1072" t="s">
        <v>1355</v>
      </c>
      <c r="F319" s="1072"/>
      <c r="G319" s="1072"/>
      <c r="H319" s="1072"/>
      <c r="I319" s="1072"/>
      <c r="J319" s="1072"/>
      <c r="K319" s="1073"/>
      <c r="L319" s="1074"/>
      <c r="M319" s="1075"/>
      <c r="N319" s="1075"/>
      <c r="O319" s="1075"/>
      <c r="P319" s="1075"/>
      <c r="Q319" s="1075"/>
      <c r="R319" s="1075"/>
      <c r="S319" s="1075"/>
      <c r="T319" s="1075"/>
      <c r="U319" s="1075"/>
      <c r="V319" s="1075"/>
      <c r="W319" s="1075"/>
      <c r="X319" s="1076"/>
      <c r="Y319" s="2"/>
      <c r="Z319" s="2"/>
      <c r="AA319" s="2"/>
      <c r="AB319" s="2"/>
      <c r="AC319" s="2"/>
      <c r="AD319" s="2"/>
      <c r="AE319" s="2"/>
      <c r="AF319" s="2"/>
      <c r="AG319" s="2"/>
      <c r="AH319" s="2"/>
      <c r="AI319" s="2"/>
      <c r="AJ319" s="2"/>
      <c r="AK319" s="2"/>
      <c r="AL319" s="2"/>
      <c r="AM319" s="2"/>
      <c r="AN319" s="2"/>
    </row>
    <row r="320" spans="1:40" x14ac:dyDescent="0.25">
      <c r="A320" s="3"/>
      <c r="B320" s="3"/>
      <c r="C320" s="1"/>
      <c r="D320" s="3"/>
      <c r="E320" s="3" t="s">
        <v>91</v>
      </c>
      <c r="F320" s="3"/>
      <c r="G320" s="3"/>
      <c r="H320" s="3"/>
      <c r="I320" s="3"/>
      <c r="J320" s="351" t="s">
        <v>2005</v>
      </c>
      <c r="K320" s="1"/>
      <c r="L320" s="326"/>
      <c r="M320" s="1"/>
      <c r="N320" s="1" t="s">
        <v>2006</v>
      </c>
      <c r="O320" s="1"/>
      <c r="P320" s="1"/>
      <c r="Q320" s="1"/>
      <c r="R320" s="1"/>
      <c r="S320" s="1"/>
      <c r="T320" s="4"/>
      <c r="U320" s="4"/>
      <c r="V320" s="1"/>
      <c r="W320" s="1"/>
      <c r="X320" s="1"/>
    </row>
    <row r="321" spans="1:40" x14ac:dyDescent="0.25">
      <c r="A321" s="3" t="s">
        <v>1106</v>
      </c>
      <c r="B321" s="3"/>
      <c r="C321" s="1"/>
      <c r="D321" s="3"/>
      <c r="E321" s="3"/>
      <c r="F321" s="3" t="s">
        <v>91</v>
      </c>
      <c r="G321" s="3"/>
      <c r="H321" s="3"/>
      <c r="I321" s="3"/>
      <c r="J321" s="1" t="s">
        <v>2007</v>
      </c>
      <c r="K321" s="1" t="s">
        <v>2008</v>
      </c>
      <c r="L321" s="326" t="s">
        <v>1416</v>
      </c>
      <c r="M321" s="1"/>
      <c r="N321" s="1" t="s">
        <v>2009</v>
      </c>
      <c r="O321" s="1"/>
      <c r="P321" s="1"/>
      <c r="Q321" s="1"/>
      <c r="R321" s="1"/>
      <c r="S321" s="1"/>
      <c r="T321" s="4"/>
      <c r="U321" s="4"/>
      <c r="V321" s="1"/>
      <c r="W321" s="1"/>
      <c r="X321" s="1"/>
    </row>
    <row r="322" spans="1:40" x14ac:dyDescent="0.25">
      <c r="A322" s="3" t="s">
        <v>1106</v>
      </c>
      <c r="B322" s="3"/>
      <c r="C322" s="1"/>
      <c r="D322" s="3"/>
      <c r="E322" s="3"/>
      <c r="F322" s="3" t="s">
        <v>91</v>
      </c>
      <c r="G322" s="3"/>
      <c r="H322" s="3"/>
      <c r="I322" s="3"/>
      <c r="J322" s="1" t="s">
        <v>2010</v>
      </c>
      <c r="K322" s="1" t="s">
        <v>2011</v>
      </c>
      <c r="L322" s="326" t="s">
        <v>1416</v>
      </c>
      <c r="M322" s="1"/>
      <c r="N322" s="1" t="s">
        <v>2012</v>
      </c>
      <c r="O322" s="1"/>
      <c r="P322" s="1"/>
      <c r="Q322" s="1"/>
      <c r="R322" s="1"/>
      <c r="S322" s="1"/>
      <c r="T322" s="4"/>
      <c r="U322" s="4"/>
      <c r="V322" s="1"/>
      <c r="W322" s="1"/>
      <c r="X322" s="1"/>
    </row>
    <row r="323" spans="1:40" x14ac:dyDescent="0.25">
      <c r="A323" s="3"/>
      <c r="B323" s="3"/>
      <c r="C323" s="1"/>
      <c r="D323" s="3"/>
      <c r="E323" s="3" t="s">
        <v>91</v>
      </c>
      <c r="F323" s="3"/>
      <c r="G323" s="3"/>
      <c r="H323" s="3"/>
      <c r="I323" s="3"/>
      <c r="J323" s="351" t="s">
        <v>2013</v>
      </c>
      <c r="K323" s="1"/>
      <c r="L323" s="326"/>
      <c r="M323" s="1"/>
      <c r="N323" s="1"/>
      <c r="O323" s="1"/>
      <c r="P323" s="1"/>
      <c r="Q323" s="1"/>
      <c r="R323" s="1"/>
      <c r="S323" s="1"/>
      <c r="T323" s="4"/>
      <c r="U323" s="4"/>
      <c r="V323" s="1"/>
      <c r="W323" s="1"/>
      <c r="X323" s="1"/>
    </row>
    <row r="324" spans="1:40" x14ac:dyDescent="0.25">
      <c r="A324" s="3" t="s">
        <v>1106</v>
      </c>
      <c r="B324" s="3"/>
      <c r="C324" s="1"/>
      <c r="D324" s="3"/>
      <c r="E324" s="3"/>
      <c r="F324" s="3" t="s">
        <v>91</v>
      </c>
      <c r="G324" s="3"/>
      <c r="H324" s="3"/>
      <c r="I324" s="3"/>
      <c r="J324" s="1" t="s">
        <v>2014</v>
      </c>
      <c r="K324" s="1" t="s">
        <v>2015</v>
      </c>
      <c r="L324" s="326" t="s">
        <v>1416</v>
      </c>
      <c r="M324" s="1"/>
      <c r="N324" s="1" t="s">
        <v>2016</v>
      </c>
      <c r="O324" s="1"/>
      <c r="P324" s="1"/>
      <c r="Q324" s="1"/>
      <c r="R324" s="1"/>
      <c r="S324" s="1"/>
      <c r="T324" s="4"/>
      <c r="U324" s="4"/>
      <c r="V324" s="1"/>
      <c r="W324" s="1"/>
      <c r="X324" s="1"/>
    </row>
    <row r="325" spans="1:40" ht="20.25" customHeight="1" x14ac:dyDescent="0.25">
      <c r="A325" s="3"/>
      <c r="B325" s="3"/>
      <c r="C325" s="742"/>
      <c r="D325" s="742">
        <v>16</v>
      </c>
      <c r="E325" s="1072" t="s">
        <v>1358</v>
      </c>
      <c r="F325" s="1072"/>
      <c r="G325" s="1072"/>
      <c r="H325" s="1072"/>
      <c r="I325" s="1072"/>
      <c r="J325" s="1072"/>
      <c r="K325" s="1073"/>
      <c r="L325" s="1074"/>
      <c r="M325" s="1075"/>
      <c r="N325" s="1075"/>
      <c r="O325" s="1075"/>
      <c r="P325" s="1075"/>
      <c r="Q325" s="1075"/>
      <c r="R325" s="1075"/>
      <c r="S325" s="1075"/>
      <c r="T325" s="1075"/>
      <c r="U325" s="1075"/>
      <c r="V325" s="1075"/>
      <c r="W325" s="1075"/>
      <c r="X325" s="1076"/>
      <c r="Y325" s="2"/>
      <c r="Z325" s="2"/>
      <c r="AA325" s="2"/>
      <c r="AB325" s="2"/>
      <c r="AC325" s="2"/>
      <c r="AD325" s="2"/>
      <c r="AE325" s="2"/>
      <c r="AF325" s="2"/>
      <c r="AG325" s="2"/>
      <c r="AH325" s="2"/>
      <c r="AI325" s="2"/>
      <c r="AJ325" s="2"/>
      <c r="AK325" s="2"/>
      <c r="AL325" s="2"/>
      <c r="AM325" s="2"/>
      <c r="AN325" s="2"/>
    </row>
    <row r="326" spans="1:40" x14ac:dyDescent="0.25">
      <c r="A326" s="3"/>
      <c r="B326" s="3"/>
      <c r="C326" s="1"/>
      <c r="D326" s="3"/>
      <c r="E326" s="3" t="s">
        <v>91</v>
      </c>
      <c r="F326" s="3"/>
      <c r="G326" s="3"/>
      <c r="H326" s="3"/>
      <c r="I326" s="3"/>
      <c r="J326" s="1" t="s">
        <v>2017</v>
      </c>
      <c r="K326" s="1" t="s">
        <v>2018</v>
      </c>
      <c r="L326" s="326" t="s">
        <v>1416</v>
      </c>
      <c r="M326" s="1"/>
      <c r="N326" s="1" t="s">
        <v>2019</v>
      </c>
      <c r="O326" s="1"/>
      <c r="P326" s="1"/>
      <c r="Q326" s="1"/>
      <c r="R326" s="1"/>
      <c r="S326" s="1"/>
      <c r="T326" s="4"/>
      <c r="U326" s="4"/>
      <c r="V326" s="1"/>
      <c r="W326" s="1"/>
      <c r="X326" s="1"/>
    </row>
    <row r="327" spans="1:40" x14ac:dyDescent="0.25">
      <c r="A327" s="3"/>
      <c r="B327" s="3"/>
      <c r="C327" s="1"/>
      <c r="D327" s="3"/>
      <c r="E327" s="3" t="s">
        <v>91</v>
      </c>
      <c r="F327" s="3"/>
      <c r="G327" s="3"/>
      <c r="H327" s="3"/>
      <c r="I327" s="3"/>
      <c r="J327" s="1" t="s">
        <v>2020</v>
      </c>
      <c r="K327" s="1" t="s">
        <v>2021</v>
      </c>
      <c r="L327" s="326" t="s">
        <v>1416</v>
      </c>
      <c r="M327" s="1"/>
      <c r="N327" s="1" t="s">
        <v>2022</v>
      </c>
      <c r="O327" s="1"/>
      <c r="P327" s="1"/>
      <c r="Q327" s="1"/>
      <c r="R327" s="1"/>
      <c r="S327" s="1"/>
      <c r="T327" s="4"/>
      <c r="U327" s="4"/>
      <c r="V327" s="1"/>
      <c r="W327" s="1"/>
      <c r="X327" s="1"/>
    </row>
    <row r="328" spans="1:40" ht="20.25" customHeight="1" x14ac:dyDescent="0.25">
      <c r="A328" s="3"/>
      <c r="B328" s="3"/>
      <c r="C328" s="742"/>
      <c r="D328" s="847">
        <v>17</v>
      </c>
      <c r="E328" s="1154" t="s">
        <v>1377</v>
      </c>
      <c r="F328" s="1154"/>
      <c r="G328" s="1154"/>
      <c r="H328" s="1154"/>
      <c r="I328" s="1154"/>
      <c r="J328" s="1154"/>
      <c r="K328" s="1155"/>
      <c r="L328" s="1156"/>
      <c r="M328" s="1157"/>
      <c r="N328" s="1157"/>
      <c r="O328" s="1157"/>
      <c r="P328" s="1157"/>
      <c r="Q328" s="1157"/>
      <c r="R328" s="1157"/>
      <c r="S328" s="1157"/>
      <c r="T328" s="1157"/>
      <c r="U328" s="1157"/>
      <c r="V328" s="1157"/>
      <c r="W328" s="1157"/>
      <c r="X328" s="1158"/>
      <c r="Y328" s="2"/>
      <c r="Z328" s="2"/>
      <c r="AA328" s="2"/>
      <c r="AB328" s="2"/>
      <c r="AC328" s="2"/>
      <c r="AD328" s="2"/>
      <c r="AE328" s="2"/>
      <c r="AF328" s="2"/>
      <c r="AG328" s="2"/>
      <c r="AH328" s="2"/>
      <c r="AI328" s="2"/>
      <c r="AJ328" s="2"/>
      <c r="AK328" s="2"/>
      <c r="AL328" s="2"/>
      <c r="AM328" s="2"/>
      <c r="AN328" s="2"/>
    </row>
    <row r="329" spans="1:40" x14ac:dyDescent="0.25">
      <c r="A329" s="3"/>
      <c r="B329" s="3"/>
      <c r="C329" s="1"/>
      <c r="D329" s="3"/>
      <c r="E329" s="3" t="s">
        <v>91</v>
      </c>
      <c r="F329" s="3"/>
      <c r="G329" s="3"/>
      <c r="H329" s="3"/>
      <c r="I329" s="3"/>
      <c r="J329" s="845" t="s">
        <v>2023</v>
      </c>
      <c r="K329" s="337"/>
      <c r="L329" s="340"/>
      <c r="M329" s="1"/>
      <c r="N329" s="1"/>
      <c r="O329" s="1"/>
      <c r="P329" s="1"/>
      <c r="Q329" s="1"/>
      <c r="R329" s="1"/>
      <c r="S329" s="1"/>
      <c r="T329" s="4"/>
      <c r="U329" s="4"/>
      <c r="V329" s="1"/>
      <c r="W329" s="1"/>
      <c r="X329" s="1"/>
    </row>
    <row r="330" spans="1:40" x14ac:dyDescent="0.25">
      <c r="A330" s="3" t="s">
        <v>1098</v>
      </c>
      <c r="B330" s="3" t="s">
        <v>33</v>
      </c>
      <c r="C330" s="1"/>
      <c r="D330" s="3"/>
      <c r="E330" s="3"/>
      <c r="F330" s="3" t="s">
        <v>91</v>
      </c>
      <c r="G330" s="3"/>
      <c r="H330" s="3"/>
      <c r="I330" s="3"/>
      <c r="J330" s="337" t="s">
        <v>2024</v>
      </c>
      <c r="K330" s="337" t="s">
        <v>2025</v>
      </c>
      <c r="L330" s="340" t="s">
        <v>1416</v>
      </c>
      <c r="M330" s="1"/>
      <c r="N330" s="1" t="s">
        <v>2026</v>
      </c>
      <c r="O330" s="1"/>
      <c r="P330" s="1"/>
      <c r="Q330" s="1"/>
      <c r="R330" s="1"/>
      <c r="S330" s="1"/>
      <c r="T330" s="4"/>
      <c r="U330" s="4"/>
      <c r="V330" s="1"/>
      <c r="W330" s="1"/>
      <c r="X330" s="1"/>
    </row>
    <row r="331" spans="1:40" x14ac:dyDescent="0.25">
      <c r="A331" s="3" t="s">
        <v>1098</v>
      </c>
      <c r="B331" s="3" t="s">
        <v>33</v>
      </c>
      <c r="C331" s="1"/>
      <c r="D331" s="3"/>
      <c r="E331" s="3"/>
      <c r="F331" s="3" t="s">
        <v>91</v>
      </c>
      <c r="G331" s="3"/>
      <c r="H331" s="3"/>
      <c r="I331" s="3"/>
      <c r="J331" s="337" t="s">
        <v>2024</v>
      </c>
      <c r="K331" s="337" t="s">
        <v>2027</v>
      </c>
      <c r="L331" s="340" t="s">
        <v>2028</v>
      </c>
      <c r="M331" s="1"/>
      <c r="N331" s="1"/>
      <c r="O331" s="1"/>
      <c r="P331" s="1"/>
      <c r="Q331" s="1"/>
      <c r="R331" s="1"/>
      <c r="S331" s="1"/>
      <c r="T331" s="4"/>
      <c r="U331" s="4"/>
      <c r="V331" s="1"/>
      <c r="W331" s="1"/>
      <c r="X331" s="1"/>
    </row>
    <row r="332" spans="1:40" x14ac:dyDescent="0.25">
      <c r="A332" s="3"/>
      <c r="B332" s="3"/>
      <c r="C332" s="1"/>
      <c r="D332" s="3"/>
      <c r="E332" s="3" t="s">
        <v>91</v>
      </c>
      <c r="F332" s="3"/>
      <c r="G332" s="3"/>
      <c r="H332" s="3"/>
      <c r="I332" s="3"/>
      <c r="J332" s="845" t="s">
        <v>2029</v>
      </c>
      <c r="K332" s="337"/>
      <c r="L332" s="340"/>
      <c r="M332" s="1"/>
      <c r="N332" s="1" t="s">
        <v>2030</v>
      </c>
      <c r="O332" s="1"/>
      <c r="P332" s="1"/>
      <c r="Q332" s="1"/>
      <c r="R332" s="1"/>
      <c r="S332" s="1"/>
      <c r="T332" s="4"/>
      <c r="U332" s="4"/>
      <c r="V332" s="1"/>
      <c r="W332" s="1"/>
      <c r="X332" s="1"/>
    </row>
    <row r="333" spans="1:40" x14ac:dyDescent="0.25">
      <c r="A333" s="3" t="s">
        <v>1098</v>
      </c>
      <c r="B333" s="3" t="s">
        <v>33</v>
      </c>
      <c r="C333" s="1"/>
      <c r="D333" s="3"/>
      <c r="E333" s="3"/>
      <c r="F333" s="3" t="s">
        <v>91</v>
      </c>
      <c r="G333" s="3"/>
      <c r="H333" s="3"/>
      <c r="I333" s="3"/>
      <c r="J333" s="337" t="s">
        <v>2031</v>
      </c>
      <c r="K333" s="337" t="s">
        <v>2032</v>
      </c>
      <c r="L333" s="340" t="s">
        <v>2028</v>
      </c>
      <c r="M333" s="1"/>
      <c r="N333" s="1" t="s">
        <v>2026</v>
      </c>
      <c r="O333" s="1"/>
      <c r="P333" s="1"/>
      <c r="Q333" s="1"/>
      <c r="R333" s="1"/>
      <c r="S333" s="1"/>
      <c r="T333" s="4"/>
      <c r="U333" s="4"/>
      <c r="V333" s="1"/>
      <c r="W333" s="1"/>
      <c r="X333" s="1"/>
    </row>
    <row r="334" spans="1:40" x14ac:dyDescent="0.25">
      <c r="A334" s="3" t="s">
        <v>1106</v>
      </c>
      <c r="B334" s="3"/>
      <c r="C334" s="1"/>
      <c r="D334" s="3"/>
      <c r="E334" s="3"/>
      <c r="F334" s="3" t="s">
        <v>91</v>
      </c>
      <c r="G334" s="3"/>
      <c r="H334" s="3"/>
      <c r="I334" s="3"/>
      <c r="J334" s="337" t="s">
        <v>2033</v>
      </c>
      <c r="K334" s="337" t="s">
        <v>2034</v>
      </c>
      <c r="L334" s="340" t="s">
        <v>1416</v>
      </c>
      <c r="M334" s="1"/>
      <c r="N334" s="1"/>
      <c r="O334" s="1"/>
      <c r="P334" s="1"/>
      <c r="Q334" s="1"/>
      <c r="R334" s="1"/>
      <c r="S334" s="1"/>
      <c r="T334" s="4"/>
      <c r="U334" s="4"/>
      <c r="V334" s="1"/>
      <c r="W334" s="1"/>
      <c r="X334" s="1"/>
    </row>
    <row r="335" spans="1:40" x14ac:dyDescent="0.25">
      <c r="A335" s="3" t="s">
        <v>1098</v>
      </c>
      <c r="B335" s="3" t="s">
        <v>33</v>
      </c>
      <c r="C335" s="1"/>
      <c r="D335" s="3"/>
      <c r="E335" s="3"/>
      <c r="F335" s="3" t="s">
        <v>91</v>
      </c>
      <c r="G335" s="3"/>
      <c r="H335" s="3"/>
      <c r="I335" s="3"/>
      <c r="J335" s="337" t="s">
        <v>2035</v>
      </c>
      <c r="K335" s="337" t="s">
        <v>2036</v>
      </c>
      <c r="L335" s="340" t="s">
        <v>2028</v>
      </c>
      <c r="M335" s="1"/>
      <c r="N335" s="1" t="s">
        <v>2037</v>
      </c>
      <c r="O335" s="1"/>
      <c r="P335" s="1"/>
      <c r="Q335" s="1"/>
      <c r="R335" s="1"/>
      <c r="S335" s="1"/>
      <c r="T335" s="4"/>
      <c r="U335" s="4"/>
      <c r="V335" s="1"/>
      <c r="W335" s="1"/>
      <c r="X335" s="1"/>
    </row>
    <row r="336" spans="1:40" ht="20.25" customHeight="1" x14ac:dyDescent="0.25">
      <c r="A336" s="3"/>
      <c r="B336" s="3"/>
      <c r="C336" s="742"/>
      <c r="D336" s="847">
        <v>18</v>
      </c>
      <c r="E336" s="1154" t="s">
        <v>1381</v>
      </c>
      <c r="F336" s="1154"/>
      <c r="G336" s="1154"/>
      <c r="H336" s="1154"/>
      <c r="I336" s="1154"/>
      <c r="J336" s="1154"/>
      <c r="K336" s="1155"/>
      <c r="L336" s="1156"/>
      <c r="M336" s="1157"/>
      <c r="N336" s="1157"/>
      <c r="O336" s="1157"/>
      <c r="P336" s="1157"/>
      <c r="Q336" s="1157"/>
      <c r="R336" s="1157"/>
      <c r="S336" s="1157"/>
      <c r="T336" s="1157"/>
      <c r="U336" s="1157"/>
      <c r="V336" s="1157"/>
      <c r="W336" s="1157"/>
      <c r="X336" s="1158"/>
      <c r="Y336" s="2"/>
      <c r="Z336" s="2"/>
      <c r="AA336" s="2"/>
      <c r="AB336" s="2"/>
      <c r="AC336" s="2"/>
      <c r="AD336" s="2"/>
      <c r="AE336" s="2"/>
      <c r="AF336" s="2"/>
      <c r="AG336" s="2"/>
      <c r="AH336" s="2"/>
      <c r="AI336" s="2"/>
      <c r="AJ336" s="2"/>
      <c r="AK336" s="2"/>
      <c r="AL336" s="2"/>
      <c r="AM336" s="2"/>
      <c r="AN336" s="2"/>
    </row>
    <row r="337" spans="1:24" x14ac:dyDescent="0.25">
      <c r="A337" s="3"/>
      <c r="B337" s="3"/>
      <c r="C337" s="1"/>
      <c r="D337" s="3"/>
      <c r="E337" s="3" t="s">
        <v>91</v>
      </c>
      <c r="F337" s="3"/>
      <c r="G337" s="3"/>
      <c r="H337" s="3"/>
      <c r="I337" s="3"/>
      <c r="J337" s="351" t="s">
        <v>2038</v>
      </c>
      <c r="K337" s="1"/>
      <c r="L337" s="4"/>
      <c r="M337" s="1"/>
      <c r="N337" s="1" t="s">
        <v>2039</v>
      </c>
      <c r="O337" s="1"/>
      <c r="P337" s="1"/>
      <c r="Q337" s="1"/>
      <c r="R337" s="1"/>
      <c r="S337" s="1"/>
      <c r="T337" s="4"/>
      <c r="U337" s="4"/>
      <c r="V337" s="1"/>
      <c r="W337" s="1"/>
      <c r="X337" s="1"/>
    </row>
    <row r="338" spans="1:24" x14ac:dyDescent="0.25">
      <c r="A338" s="3" t="s">
        <v>1106</v>
      </c>
      <c r="B338" s="3"/>
      <c r="C338" s="1"/>
      <c r="D338" s="3"/>
      <c r="E338" s="3"/>
      <c r="F338" s="3" t="s">
        <v>91</v>
      </c>
      <c r="G338" s="3"/>
      <c r="H338" s="3"/>
      <c r="I338" s="3"/>
      <c r="J338" s="1" t="s">
        <v>2040</v>
      </c>
      <c r="K338" s="1" t="s">
        <v>2041</v>
      </c>
      <c r="L338" s="4" t="s">
        <v>1399</v>
      </c>
      <c r="M338" s="1"/>
      <c r="N338" s="1"/>
      <c r="O338" s="1"/>
      <c r="P338" s="1"/>
      <c r="Q338" s="1"/>
      <c r="R338" s="1"/>
      <c r="S338" s="1"/>
      <c r="T338" s="4"/>
      <c r="U338" s="4"/>
      <c r="V338" s="1"/>
      <c r="W338" s="1"/>
      <c r="X338" s="1"/>
    </row>
    <row r="339" spans="1:24" ht="15.75" customHeight="1" x14ac:dyDescent="0.25">
      <c r="A339" s="3" t="s">
        <v>1106</v>
      </c>
      <c r="B339" s="3"/>
      <c r="C339" s="1"/>
      <c r="D339" s="3"/>
      <c r="E339" s="3"/>
      <c r="F339" s="3" t="s">
        <v>91</v>
      </c>
      <c r="G339" s="3"/>
      <c r="H339" s="3"/>
      <c r="I339" s="3"/>
      <c r="J339" s="1" t="s">
        <v>2042</v>
      </c>
      <c r="K339" s="1" t="s">
        <v>2043</v>
      </c>
      <c r="L339" s="326" t="s">
        <v>1416</v>
      </c>
      <c r="M339" s="1"/>
      <c r="N339" s="1"/>
      <c r="O339" s="1"/>
      <c r="P339" s="1"/>
      <c r="Q339" s="1"/>
      <c r="R339" s="1"/>
      <c r="S339" s="1"/>
      <c r="T339" s="4"/>
      <c r="U339" s="4"/>
      <c r="V339" s="1"/>
      <c r="W339" s="1"/>
      <c r="X339" s="1"/>
    </row>
    <row r="340" spans="1:24" x14ac:dyDescent="0.25">
      <c r="A340" s="3"/>
      <c r="B340" s="3"/>
      <c r="C340" s="1"/>
      <c r="D340" s="3"/>
      <c r="E340" s="3" t="s">
        <v>91</v>
      </c>
      <c r="F340" s="3"/>
      <c r="G340" s="3"/>
      <c r="H340" s="3"/>
      <c r="I340" s="3"/>
      <c r="J340" s="351" t="s">
        <v>2044</v>
      </c>
      <c r="K340" s="1"/>
      <c r="L340" s="4"/>
      <c r="M340" s="1"/>
      <c r="N340" s="1" t="s">
        <v>2045</v>
      </c>
      <c r="O340" s="1"/>
      <c r="P340" s="1"/>
      <c r="Q340" s="1"/>
      <c r="R340" s="1"/>
      <c r="S340" s="1"/>
      <c r="T340" s="4"/>
      <c r="U340" s="4"/>
      <c r="V340" s="1"/>
      <c r="W340" s="1"/>
      <c r="X340" s="1"/>
    </row>
    <row r="341" spans="1:24" ht="15.75" customHeight="1" x14ac:dyDescent="0.25">
      <c r="A341" s="3" t="s">
        <v>1106</v>
      </c>
      <c r="B341" s="3"/>
      <c r="C341" s="1"/>
      <c r="D341" s="3"/>
      <c r="E341" s="3"/>
      <c r="F341" s="3" t="s">
        <v>91</v>
      </c>
      <c r="G341" s="3"/>
      <c r="H341" s="3"/>
      <c r="I341" s="3"/>
      <c r="J341" s="337" t="s">
        <v>2046</v>
      </c>
      <c r="K341" s="337" t="s">
        <v>2047</v>
      </c>
      <c r="L341" s="340" t="s">
        <v>2048</v>
      </c>
      <c r="M341" s="1"/>
      <c r="N341" s="1" t="s">
        <v>2049</v>
      </c>
      <c r="O341" s="1"/>
      <c r="P341" s="1"/>
      <c r="Q341" s="1"/>
      <c r="R341" s="1"/>
      <c r="S341" s="1"/>
      <c r="T341" s="4"/>
      <c r="U341" s="4"/>
      <c r="V341" s="1"/>
      <c r="W341" s="1"/>
      <c r="X341" s="1"/>
    </row>
    <row r="342" spans="1:24" ht="15.75" customHeight="1" x14ac:dyDescent="0.25">
      <c r="A342" s="3" t="s">
        <v>1106</v>
      </c>
      <c r="B342" s="3"/>
      <c r="C342" s="1"/>
      <c r="D342" s="3"/>
      <c r="E342" s="3"/>
      <c r="F342" s="3" t="s">
        <v>91</v>
      </c>
      <c r="G342" s="3"/>
      <c r="H342" s="3"/>
      <c r="I342" s="3"/>
      <c r="J342" s="1" t="s">
        <v>2050</v>
      </c>
      <c r="K342" s="1" t="s">
        <v>2051</v>
      </c>
      <c r="L342" s="326" t="s">
        <v>1416</v>
      </c>
      <c r="M342" s="1"/>
      <c r="N342" s="1"/>
      <c r="O342" s="1"/>
      <c r="P342" s="1"/>
      <c r="Q342" s="1"/>
      <c r="R342" s="1"/>
      <c r="S342" s="1"/>
      <c r="T342" s="4"/>
      <c r="U342" s="4"/>
      <c r="V342" s="1"/>
      <c r="W342" s="1"/>
      <c r="X342" s="1"/>
    </row>
    <row r="343" spans="1:24" x14ac:dyDescent="0.25">
      <c r="A343" s="3" t="s">
        <v>1106</v>
      </c>
      <c r="B343" s="3"/>
      <c r="C343" s="1"/>
      <c r="D343" s="3"/>
      <c r="E343" s="3"/>
      <c r="F343" s="3"/>
      <c r="G343" s="3" t="s">
        <v>91</v>
      </c>
      <c r="H343" s="3"/>
      <c r="I343" s="3"/>
      <c r="J343" s="1" t="s">
        <v>2052</v>
      </c>
      <c r="K343" s="1" t="s">
        <v>2053</v>
      </c>
      <c r="L343" s="326" t="s">
        <v>1416</v>
      </c>
      <c r="M343" s="1"/>
      <c r="N343" s="1" t="s">
        <v>2054</v>
      </c>
      <c r="O343" s="1"/>
      <c r="P343" s="1"/>
      <c r="Q343" s="1"/>
      <c r="R343" s="1"/>
      <c r="S343" s="1"/>
      <c r="T343" s="4"/>
      <c r="U343" s="4"/>
      <c r="V343" s="1"/>
      <c r="W343" s="1"/>
      <c r="X343" s="1"/>
    </row>
    <row r="344" spans="1:24" x14ac:dyDescent="0.25">
      <c r="A344" s="3" t="s">
        <v>1106</v>
      </c>
      <c r="B344" s="3"/>
      <c r="C344" s="1"/>
      <c r="D344" s="3"/>
      <c r="E344" s="3"/>
      <c r="F344" s="3"/>
      <c r="G344" s="3" t="s">
        <v>91</v>
      </c>
      <c r="H344" s="3"/>
      <c r="I344" s="3"/>
      <c r="J344" s="1" t="s">
        <v>2055</v>
      </c>
      <c r="K344" s="1" t="s">
        <v>2053</v>
      </c>
      <c r="L344" s="326" t="s">
        <v>1416</v>
      </c>
      <c r="M344" s="1"/>
      <c r="N344" s="1" t="s">
        <v>2056</v>
      </c>
      <c r="O344" s="1"/>
      <c r="P344" s="1"/>
      <c r="Q344" s="1"/>
      <c r="R344" s="1"/>
      <c r="S344" s="1"/>
      <c r="T344" s="4"/>
      <c r="U344" s="4"/>
      <c r="V344" s="1"/>
      <c r="W344" s="1"/>
      <c r="X344" s="1"/>
    </row>
    <row r="345" spans="1:24" x14ac:dyDescent="0.25">
      <c r="A345" s="3" t="s">
        <v>1106</v>
      </c>
      <c r="B345" s="3"/>
      <c r="C345" s="1"/>
      <c r="D345" s="3"/>
      <c r="E345" s="3"/>
      <c r="F345" s="3"/>
      <c r="G345" s="3" t="s">
        <v>91</v>
      </c>
      <c r="H345" s="3"/>
      <c r="I345" s="3"/>
      <c r="J345" s="1" t="s">
        <v>2057</v>
      </c>
      <c r="K345" s="1" t="s">
        <v>2058</v>
      </c>
      <c r="L345" s="326" t="s">
        <v>1416</v>
      </c>
      <c r="M345" s="1"/>
      <c r="N345" s="1" t="s">
        <v>2059</v>
      </c>
      <c r="O345" s="1"/>
      <c r="P345" s="1"/>
      <c r="Q345" s="1"/>
      <c r="R345" s="1"/>
      <c r="S345" s="1"/>
      <c r="T345" s="4"/>
      <c r="U345" s="4"/>
      <c r="V345" s="1"/>
      <c r="W345" s="1"/>
      <c r="X345" s="1"/>
    </row>
    <row r="346" spans="1:24" x14ac:dyDescent="0.25">
      <c r="A346" s="3" t="s">
        <v>1106</v>
      </c>
      <c r="B346" s="3"/>
      <c r="C346" s="1"/>
      <c r="D346" s="3"/>
      <c r="E346" s="3"/>
      <c r="F346" s="3"/>
      <c r="G346" s="3" t="s">
        <v>91</v>
      </c>
      <c r="H346" s="3"/>
      <c r="I346" s="3"/>
      <c r="J346" s="1" t="s">
        <v>2060</v>
      </c>
      <c r="K346" s="1" t="s">
        <v>2061</v>
      </c>
      <c r="L346" s="326" t="s">
        <v>1416</v>
      </c>
      <c r="M346" s="1"/>
      <c r="N346" s="1" t="s">
        <v>2062</v>
      </c>
      <c r="O346" s="1"/>
      <c r="P346" s="1"/>
      <c r="Q346" s="1"/>
      <c r="R346" s="1"/>
      <c r="S346" s="1"/>
      <c r="T346" s="4"/>
      <c r="U346" s="4"/>
      <c r="V346" s="1"/>
      <c r="W346" s="1"/>
      <c r="X346" s="1"/>
    </row>
    <row r="347" spans="1:24" x14ac:dyDescent="0.25">
      <c r="A347" s="3" t="s">
        <v>1106</v>
      </c>
      <c r="B347" s="3"/>
      <c r="C347" s="1"/>
      <c r="D347" s="3"/>
      <c r="E347" s="3"/>
      <c r="F347" s="3"/>
      <c r="G347" s="3" t="s">
        <v>91</v>
      </c>
      <c r="H347" s="3"/>
      <c r="I347" s="3"/>
      <c r="J347" s="1" t="s">
        <v>2063</v>
      </c>
      <c r="K347" s="1" t="s">
        <v>2064</v>
      </c>
      <c r="L347" s="326" t="s">
        <v>1416</v>
      </c>
      <c r="M347" s="1"/>
      <c r="N347" s="1"/>
      <c r="O347" s="1"/>
      <c r="P347" s="1"/>
      <c r="Q347" s="1"/>
      <c r="R347" s="1"/>
      <c r="S347" s="1"/>
      <c r="T347" s="4"/>
      <c r="U347" s="4"/>
      <c r="V347" s="1"/>
      <c r="W347" s="1"/>
      <c r="X347" s="1"/>
    </row>
    <row r="348" spans="1:24" x14ac:dyDescent="0.25">
      <c r="A348" s="3" t="s">
        <v>1106</v>
      </c>
      <c r="B348" s="3"/>
      <c r="C348" s="1"/>
      <c r="D348" s="3"/>
      <c r="E348" s="3"/>
      <c r="F348" s="3"/>
      <c r="G348" s="3" t="s">
        <v>91</v>
      </c>
      <c r="H348" s="3"/>
      <c r="I348" s="3"/>
      <c r="J348" s="337" t="s">
        <v>2065</v>
      </c>
      <c r="K348" s="337" t="s">
        <v>2066</v>
      </c>
      <c r="L348" s="340" t="s">
        <v>2067</v>
      </c>
      <c r="M348" s="1"/>
      <c r="N348" s="1" t="s">
        <v>2068</v>
      </c>
      <c r="O348" s="1"/>
      <c r="P348" s="1"/>
      <c r="Q348" s="1"/>
      <c r="R348" s="1"/>
      <c r="S348" s="1"/>
      <c r="T348" s="4"/>
      <c r="U348" s="4"/>
      <c r="V348" s="1"/>
      <c r="W348" s="1"/>
      <c r="X348" s="1"/>
    </row>
    <row r="349" spans="1:24" x14ac:dyDescent="0.25">
      <c r="A349" s="3"/>
      <c r="B349" s="3"/>
      <c r="C349" s="1"/>
      <c r="D349" s="3"/>
      <c r="E349" s="3" t="s">
        <v>91</v>
      </c>
      <c r="F349" s="3"/>
      <c r="G349" s="3"/>
      <c r="H349" s="3"/>
      <c r="I349" s="3"/>
      <c r="J349" s="351" t="s">
        <v>2069</v>
      </c>
      <c r="K349" s="1"/>
      <c r="L349" s="326"/>
      <c r="M349" s="1"/>
      <c r="N349" s="1"/>
      <c r="O349" s="1"/>
      <c r="P349" s="1"/>
      <c r="Q349" s="1"/>
      <c r="R349" s="1"/>
      <c r="S349" s="1"/>
      <c r="T349" s="4"/>
      <c r="U349" s="4"/>
      <c r="V349" s="1"/>
      <c r="W349" s="1"/>
      <c r="X349" s="1"/>
    </row>
    <row r="350" spans="1:24" x14ac:dyDescent="0.25">
      <c r="A350" s="3" t="s">
        <v>1106</v>
      </c>
      <c r="B350" s="3"/>
      <c r="C350" s="1"/>
      <c r="D350" s="3"/>
      <c r="E350" s="3"/>
      <c r="F350" s="3" t="s">
        <v>91</v>
      </c>
      <c r="G350" s="3"/>
      <c r="H350" s="3"/>
      <c r="I350" s="3"/>
      <c r="J350" s="1" t="s">
        <v>2070</v>
      </c>
      <c r="K350" s="1" t="s">
        <v>2071</v>
      </c>
      <c r="L350" s="326" t="s">
        <v>1416</v>
      </c>
      <c r="M350" s="1"/>
      <c r="N350" s="1" t="s">
        <v>2072</v>
      </c>
      <c r="O350" s="1"/>
      <c r="P350" s="1"/>
      <c r="Q350" s="1"/>
      <c r="R350" s="1"/>
      <c r="S350" s="1"/>
      <c r="T350" s="4"/>
      <c r="U350" s="4"/>
      <c r="V350" s="1"/>
      <c r="W350" s="1"/>
      <c r="X350" s="1"/>
    </row>
    <row r="351" spans="1:24" x14ac:dyDescent="0.25">
      <c r="A351" s="3" t="s">
        <v>1106</v>
      </c>
      <c r="B351" s="3"/>
      <c r="C351" s="1"/>
      <c r="D351" s="3"/>
      <c r="E351" s="3"/>
      <c r="F351" s="3" t="s">
        <v>91</v>
      </c>
      <c r="G351" s="3"/>
      <c r="H351" s="3"/>
      <c r="I351" s="3"/>
      <c r="J351" s="1" t="s">
        <v>2073</v>
      </c>
      <c r="K351" s="1" t="s">
        <v>2074</v>
      </c>
      <c r="L351" s="4" t="s">
        <v>1399</v>
      </c>
      <c r="M351" s="1"/>
      <c r="N351" s="1"/>
      <c r="O351" s="1"/>
      <c r="P351" s="1"/>
      <c r="Q351" s="1"/>
      <c r="R351" s="1"/>
      <c r="S351" s="1"/>
      <c r="T351" s="4"/>
      <c r="U351" s="4"/>
      <c r="V351" s="1"/>
      <c r="W351" s="1"/>
      <c r="X351" s="1"/>
    </row>
    <row r="352" spans="1:24" x14ac:dyDescent="0.25">
      <c r="A352" s="3"/>
      <c r="B352" s="3"/>
      <c r="C352" s="1"/>
      <c r="D352" s="3"/>
      <c r="E352" s="3" t="s">
        <v>91</v>
      </c>
      <c r="F352" s="3"/>
      <c r="G352" s="3"/>
      <c r="H352" s="3"/>
      <c r="I352" s="3"/>
      <c r="J352" s="845" t="s">
        <v>2075</v>
      </c>
      <c r="K352" s="337"/>
      <c r="L352" s="340"/>
      <c r="M352" s="1"/>
      <c r="N352" s="1"/>
      <c r="O352" s="1"/>
      <c r="P352" s="1"/>
      <c r="Q352" s="1"/>
      <c r="R352" s="1"/>
      <c r="S352" s="1"/>
      <c r="T352" s="4"/>
      <c r="U352" s="4"/>
      <c r="V352" s="1"/>
      <c r="W352" s="1"/>
      <c r="X352" s="1"/>
    </row>
    <row r="353" spans="1:40" x14ac:dyDescent="0.25">
      <c r="A353" s="3" t="s">
        <v>1106</v>
      </c>
      <c r="B353" s="3"/>
      <c r="C353" s="1"/>
      <c r="D353" s="3"/>
      <c r="E353" s="3"/>
      <c r="F353" s="3" t="s">
        <v>91</v>
      </c>
      <c r="G353" s="3"/>
      <c r="H353" s="3"/>
      <c r="I353" s="3"/>
      <c r="J353" s="337" t="s">
        <v>1383</v>
      </c>
      <c r="K353" s="337" t="s">
        <v>2076</v>
      </c>
      <c r="L353" s="340" t="s">
        <v>1433</v>
      </c>
      <c r="M353" s="1"/>
      <c r="N353" s="1"/>
      <c r="O353" s="1"/>
      <c r="P353" s="1"/>
      <c r="Q353" s="1"/>
      <c r="R353" s="1"/>
      <c r="S353" s="1"/>
      <c r="T353" s="4"/>
      <c r="U353" s="4"/>
      <c r="V353" s="1"/>
      <c r="W353" s="1"/>
      <c r="X353" s="1"/>
    </row>
    <row r="354" spans="1:40" x14ac:dyDescent="0.25">
      <c r="A354" s="3" t="s">
        <v>1106</v>
      </c>
      <c r="B354" s="3"/>
      <c r="C354" s="1"/>
      <c r="D354" s="3"/>
      <c r="E354" s="3"/>
      <c r="F354" s="3" t="s">
        <v>91</v>
      </c>
      <c r="G354" s="3"/>
      <c r="H354" s="3"/>
      <c r="I354" s="3"/>
      <c r="J354" s="1" t="s">
        <v>2077</v>
      </c>
      <c r="K354" s="1" t="s">
        <v>2078</v>
      </c>
      <c r="L354" s="326" t="s">
        <v>1416</v>
      </c>
      <c r="M354" s="1"/>
      <c r="N354" s="1" t="s">
        <v>2079</v>
      </c>
      <c r="O354" s="1"/>
      <c r="P354" s="1"/>
      <c r="Q354" s="1"/>
      <c r="R354" s="1"/>
      <c r="S354" s="1"/>
      <c r="T354" s="4"/>
      <c r="U354" s="4"/>
      <c r="V354" s="1"/>
      <c r="W354" s="1"/>
      <c r="X354" s="1"/>
    </row>
    <row r="355" spans="1:40" x14ac:dyDescent="0.25">
      <c r="A355" s="3"/>
      <c r="B355" s="3"/>
      <c r="C355" s="1"/>
      <c r="D355" s="3"/>
      <c r="E355" s="3"/>
      <c r="F355" s="3" t="s">
        <v>91</v>
      </c>
      <c r="G355" s="3"/>
      <c r="H355" s="3"/>
      <c r="I355" s="3"/>
      <c r="J355" s="337" t="s">
        <v>2080</v>
      </c>
      <c r="K355" s="337" t="s">
        <v>2081</v>
      </c>
      <c r="L355" s="340" t="s">
        <v>1433</v>
      </c>
      <c r="M355" s="1"/>
      <c r="N355" s="1"/>
      <c r="O355" s="1"/>
      <c r="P355" s="1"/>
      <c r="Q355" s="1"/>
      <c r="R355" s="1"/>
      <c r="S355" s="1"/>
      <c r="T355" s="4"/>
      <c r="U355" s="4"/>
      <c r="V355" s="1"/>
      <c r="W355" s="1"/>
      <c r="X355" s="1"/>
    </row>
    <row r="356" spans="1:40" x14ac:dyDescent="0.25">
      <c r="A356" s="3" t="s">
        <v>1106</v>
      </c>
      <c r="B356" s="3"/>
      <c r="C356" s="1"/>
      <c r="D356" s="3"/>
      <c r="E356" s="3"/>
      <c r="F356" s="3" t="s">
        <v>91</v>
      </c>
      <c r="G356" s="3"/>
      <c r="H356" s="3"/>
      <c r="I356" s="3"/>
      <c r="J356" s="334" t="s">
        <v>2082</v>
      </c>
      <c r="K356" s="1" t="s">
        <v>2083</v>
      </c>
      <c r="L356" s="336" t="s">
        <v>1416</v>
      </c>
      <c r="M356" s="1"/>
      <c r="N356" s="1" t="s">
        <v>2084</v>
      </c>
      <c r="O356" s="1"/>
      <c r="P356" s="1"/>
      <c r="Q356" s="1"/>
      <c r="R356" s="1"/>
      <c r="S356" s="1"/>
      <c r="T356" s="4"/>
      <c r="U356" s="4"/>
      <c r="V356" s="1"/>
      <c r="W356" s="1"/>
      <c r="X356" s="1"/>
    </row>
    <row r="357" spans="1:40" x14ac:dyDescent="0.25">
      <c r="A357" s="3" t="s">
        <v>1106</v>
      </c>
      <c r="B357" s="3"/>
      <c r="C357" s="1"/>
      <c r="D357" s="3"/>
      <c r="E357" s="3"/>
      <c r="F357" s="3" t="s">
        <v>91</v>
      </c>
      <c r="G357" s="3"/>
      <c r="H357" s="3"/>
      <c r="I357" s="3"/>
      <c r="J357" s="1" t="s">
        <v>2085</v>
      </c>
      <c r="K357" s="1" t="s">
        <v>2086</v>
      </c>
      <c r="L357" s="326" t="s">
        <v>1416</v>
      </c>
      <c r="M357" s="1"/>
      <c r="N357" s="1" t="s">
        <v>2087</v>
      </c>
      <c r="O357" s="1"/>
      <c r="P357" s="1"/>
      <c r="Q357" s="1"/>
      <c r="R357" s="1"/>
      <c r="S357" s="1"/>
      <c r="T357" s="4"/>
      <c r="U357" s="4"/>
      <c r="V357" s="1"/>
      <c r="W357" s="1"/>
      <c r="X357" s="1"/>
    </row>
    <row r="358" spans="1:40" x14ac:dyDescent="0.25">
      <c r="A358" s="3" t="s">
        <v>1106</v>
      </c>
      <c r="B358" s="3"/>
      <c r="C358" s="1"/>
      <c r="D358" s="3"/>
      <c r="E358" s="3"/>
      <c r="F358" s="3" t="s">
        <v>91</v>
      </c>
      <c r="G358" s="3"/>
      <c r="H358" s="3"/>
      <c r="I358" s="3"/>
      <c r="J358" s="1" t="s">
        <v>2088</v>
      </c>
      <c r="K358" s="1" t="s">
        <v>2089</v>
      </c>
      <c r="L358" s="4" t="s">
        <v>1399</v>
      </c>
      <c r="M358" s="1"/>
      <c r="N358" s="1" t="s">
        <v>2090</v>
      </c>
      <c r="O358" s="1"/>
      <c r="P358" s="1"/>
      <c r="Q358" s="1"/>
      <c r="R358" s="1"/>
      <c r="S358" s="1"/>
      <c r="T358" s="4"/>
      <c r="U358" s="4"/>
      <c r="V358" s="1"/>
      <c r="W358" s="1"/>
      <c r="X358" s="1"/>
    </row>
    <row r="359" spans="1:40" x14ac:dyDescent="0.25">
      <c r="A359" s="3" t="s">
        <v>1106</v>
      </c>
      <c r="B359" s="3"/>
      <c r="C359" s="1"/>
      <c r="D359" s="3"/>
      <c r="E359" s="3"/>
      <c r="F359" s="3" t="s">
        <v>91</v>
      </c>
      <c r="G359" s="3"/>
      <c r="H359" s="3"/>
      <c r="I359" s="3"/>
      <c r="J359" s="1" t="s">
        <v>2091</v>
      </c>
      <c r="K359" s="1" t="s">
        <v>2092</v>
      </c>
      <c r="L359" s="326" t="s">
        <v>1416</v>
      </c>
      <c r="M359" s="1"/>
      <c r="N359" s="1" t="s">
        <v>2093</v>
      </c>
      <c r="O359" s="1"/>
      <c r="P359" s="1"/>
      <c r="Q359" s="1"/>
      <c r="R359" s="1"/>
      <c r="S359" s="1"/>
      <c r="T359" s="4"/>
      <c r="U359" s="4"/>
      <c r="V359" s="1"/>
      <c r="W359" s="1"/>
      <c r="X359" s="1"/>
    </row>
    <row r="360" spans="1:40" ht="15.75" customHeight="1" x14ac:dyDescent="0.25">
      <c r="A360" s="3"/>
      <c r="B360" s="3"/>
      <c r="C360" s="1"/>
      <c r="D360" s="3"/>
      <c r="E360" s="3" t="s">
        <v>91</v>
      </c>
      <c r="F360" s="3"/>
      <c r="G360" s="3"/>
      <c r="H360" s="3"/>
      <c r="I360" s="3"/>
      <c r="J360" s="351" t="s">
        <v>2094</v>
      </c>
      <c r="K360" s="1"/>
      <c r="L360" s="4"/>
      <c r="M360" s="1"/>
      <c r="N360" s="1"/>
      <c r="O360" s="1"/>
      <c r="P360" s="1"/>
      <c r="Q360" s="1"/>
      <c r="R360" s="1"/>
      <c r="S360" s="1"/>
      <c r="T360" s="4"/>
      <c r="U360" s="4"/>
      <c r="V360" s="1"/>
      <c r="W360" s="1"/>
      <c r="X360" s="1"/>
    </row>
    <row r="361" spans="1:40" x14ac:dyDescent="0.25">
      <c r="A361" s="3" t="s">
        <v>1106</v>
      </c>
      <c r="B361" s="3"/>
      <c r="C361" s="1"/>
      <c r="D361" s="3"/>
      <c r="E361" s="3"/>
      <c r="F361" s="3" t="s">
        <v>91</v>
      </c>
      <c r="G361" s="3"/>
      <c r="H361" s="3"/>
      <c r="I361" s="3"/>
      <c r="J361" s="1" t="s">
        <v>2095</v>
      </c>
      <c r="K361" s="1" t="s">
        <v>2096</v>
      </c>
      <c r="L361" s="326" t="s">
        <v>1416</v>
      </c>
      <c r="M361" s="1"/>
      <c r="N361" s="1" t="s">
        <v>1496</v>
      </c>
      <c r="O361" s="1"/>
      <c r="P361" s="1"/>
      <c r="Q361" s="1"/>
      <c r="R361" s="1"/>
      <c r="S361" s="1"/>
      <c r="T361" s="4"/>
      <c r="U361" s="4"/>
      <c r="V361" s="1"/>
      <c r="W361" s="1"/>
      <c r="X361" s="1"/>
    </row>
    <row r="362" spans="1:40" ht="15.75" customHeight="1" x14ac:dyDescent="0.25">
      <c r="A362" s="3" t="s">
        <v>1106</v>
      </c>
      <c r="B362" s="3"/>
      <c r="C362" s="1"/>
      <c r="D362" s="3"/>
      <c r="E362" s="3"/>
      <c r="F362" s="3" t="s">
        <v>91</v>
      </c>
      <c r="G362" s="3"/>
      <c r="H362" s="3"/>
      <c r="I362" s="3"/>
      <c r="J362" s="1" t="s">
        <v>2097</v>
      </c>
      <c r="K362" s="1" t="s">
        <v>2098</v>
      </c>
      <c r="L362" s="4" t="s">
        <v>1399</v>
      </c>
      <c r="M362" s="1"/>
      <c r="N362" s="1"/>
      <c r="O362" s="1"/>
      <c r="P362" s="1"/>
      <c r="Q362" s="1"/>
      <c r="R362" s="1"/>
      <c r="S362" s="1"/>
      <c r="T362" s="4"/>
      <c r="U362" s="4"/>
      <c r="V362" s="1"/>
      <c r="W362" s="1"/>
      <c r="X362" s="1"/>
    </row>
    <row r="363" spans="1:40" ht="20.25" customHeight="1" x14ac:dyDescent="0.25">
      <c r="A363" s="3"/>
      <c r="B363" s="3"/>
      <c r="C363" s="742"/>
      <c r="D363" s="742">
        <v>19</v>
      </c>
      <c r="E363" s="1072" t="s">
        <v>2099</v>
      </c>
      <c r="F363" s="1072"/>
      <c r="G363" s="1072"/>
      <c r="H363" s="1072"/>
      <c r="I363" s="1072"/>
      <c r="J363" s="1072"/>
      <c r="K363" s="1073"/>
      <c r="L363" s="1074"/>
      <c r="M363" s="1075"/>
      <c r="N363" s="1075"/>
      <c r="O363" s="1075"/>
      <c r="P363" s="1075"/>
      <c r="Q363" s="1075"/>
      <c r="R363" s="1075"/>
      <c r="S363" s="1075"/>
      <c r="T363" s="1075"/>
      <c r="U363" s="1075"/>
      <c r="V363" s="1075"/>
      <c r="W363" s="1075"/>
      <c r="X363" s="1076"/>
      <c r="Y363" s="2"/>
      <c r="Z363" s="2"/>
      <c r="AA363" s="2"/>
      <c r="AB363" s="2"/>
      <c r="AC363" s="2"/>
      <c r="AD363" s="2"/>
      <c r="AE363" s="2"/>
      <c r="AF363" s="2"/>
      <c r="AG363" s="2"/>
      <c r="AH363" s="2"/>
      <c r="AI363" s="2"/>
      <c r="AJ363" s="2"/>
      <c r="AK363" s="2"/>
      <c r="AL363" s="2"/>
      <c r="AM363" s="2"/>
      <c r="AN363" s="2"/>
    </row>
    <row r="364" spans="1:40" ht="15.75" customHeight="1" x14ac:dyDescent="0.25">
      <c r="A364" s="3"/>
      <c r="B364" s="3"/>
      <c r="C364" s="1"/>
      <c r="D364" s="3"/>
      <c r="E364" s="3" t="s">
        <v>91</v>
      </c>
      <c r="F364" s="3"/>
      <c r="G364" s="3"/>
      <c r="H364" s="3"/>
      <c r="I364" s="3"/>
      <c r="J364" s="842" t="s">
        <v>2100</v>
      </c>
      <c r="K364" s="842" t="s">
        <v>2101</v>
      </c>
      <c r="L364" s="345" t="s">
        <v>1399</v>
      </c>
      <c r="M364" s="1"/>
      <c r="N364" s="1" t="s">
        <v>2102</v>
      </c>
      <c r="O364" s="1"/>
      <c r="P364" s="1"/>
      <c r="Q364" s="1"/>
      <c r="R364" s="1"/>
      <c r="S364" s="1"/>
      <c r="T364" s="4"/>
      <c r="U364" s="4"/>
      <c r="V364" s="1"/>
      <c r="W364" s="1"/>
      <c r="X364" s="1"/>
    </row>
    <row r="365" spans="1:40" ht="15.75" customHeight="1" x14ac:dyDescent="0.25">
      <c r="A365" s="3"/>
      <c r="B365" s="3"/>
      <c r="C365" s="1"/>
      <c r="D365" s="3"/>
      <c r="E365" s="3" t="s">
        <v>91</v>
      </c>
      <c r="F365" s="3"/>
      <c r="G365" s="3"/>
      <c r="H365" s="3"/>
      <c r="I365" s="3"/>
      <c r="J365" s="842" t="s">
        <v>2103</v>
      </c>
      <c r="K365" s="842" t="s">
        <v>2104</v>
      </c>
      <c r="L365" s="345" t="s">
        <v>1519</v>
      </c>
      <c r="M365" s="1"/>
      <c r="N365" s="1"/>
      <c r="O365" s="1"/>
      <c r="P365" s="1"/>
      <c r="Q365" s="1"/>
      <c r="R365" s="1"/>
      <c r="S365" s="1"/>
      <c r="T365" s="4"/>
      <c r="U365" s="4"/>
      <c r="V365" s="1"/>
      <c r="W365" s="1"/>
      <c r="X365" s="1"/>
    </row>
    <row r="366" spans="1:40" ht="15.75" customHeight="1" x14ac:dyDescent="0.25">
      <c r="A366" s="3"/>
      <c r="B366" s="3"/>
      <c r="C366" s="1"/>
      <c r="D366" s="3"/>
      <c r="E366" s="3" t="s">
        <v>91</v>
      </c>
      <c r="F366" s="3"/>
      <c r="G366" s="3"/>
      <c r="H366" s="3"/>
      <c r="I366" s="3"/>
      <c r="J366" s="842" t="s">
        <v>2105</v>
      </c>
      <c r="K366" s="842" t="s">
        <v>2106</v>
      </c>
      <c r="L366" s="345" t="s">
        <v>1519</v>
      </c>
      <c r="M366" s="1"/>
      <c r="N366" s="1" t="s">
        <v>2107</v>
      </c>
      <c r="O366" s="1"/>
      <c r="P366" s="1"/>
      <c r="Q366" s="1"/>
      <c r="R366" s="1"/>
      <c r="S366" s="1"/>
      <c r="T366" s="4"/>
      <c r="U366" s="4"/>
      <c r="V366" s="1"/>
      <c r="W366" s="1"/>
      <c r="X366" s="1"/>
    </row>
    <row r="367" spans="1:40" ht="20.25" customHeight="1" x14ac:dyDescent="0.25">
      <c r="A367" s="3"/>
      <c r="B367" s="3"/>
      <c r="C367" s="742"/>
      <c r="D367" s="742"/>
      <c r="E367" s="1072"/>
      <c r="F367" s="1072"/>
      <c r="G367" s="1072"/>
      <c r="H367" s="1072"/>
      <c r="I367" s="1072"/>
      <c r="J367" s="1072"/>
      <c r="K367" s="1073"/>
      <c r="L367" s="1074"/>
      <c r="M367" s="1075"/>
      <c r="N367" s="1075"/>
      <c r="O367" s="1075"/>
      <c r="P367" s="1075"/>
      <c r="Q367" s="1075"/>
      <c r="R367" s="1075"/>
      <c r="S367" s="1075"/>
      <c r="T367" s="1075"/>
      <c r="U367" s="1075"/>
      <c r="V367" s="1075"/>
      <c r="W367" s="1075"/>
      <c r="X367" s="1076"/>
      <c r="Y367" s="2"/>
      <c r="Z367" s="2"/>
      <c r="AA367" s="2"/>
      <c r="AB367" s="2"/>
      <c r="AC367" s="2"/>
      <c r="AD367" s="2"/>
      <c r="AE367" s="2"/>
      <c r="AF367" s="2"/>
      <c r="AG367" s="2"/>
      <c r="AH367" s="2"/>
      <c r="AI367" s="2"/>
      <c r="AJ367" s="2"/>
      <c r="AK367" s="2"/>
      <c r="AL367" s="2"/>
      <c r="AM367" s="2"/>
      <c r="AN367" s="2"/>
    </row>
    <row r="368" spans="1:40" ht="15.75" customHeight="1" x14ac:dyDescent="0.25">
      <c r="A368" s="3"/>
      <c r="B368" s="3"/>
      <c r="C368" s="1"/>
      <c r="D368" s="3"/>
      <c r="E368" s="3"/>
      <c r="F368" s="3"/>
      <c r="G368" s="3"/>
      <c r="H368" s="3"/>
      <c r="I368" s="3"/>
      <c r="J368" s="1"/>
      <c r="K368" s="1"/>
      <c r="L368" s="326"/>
      <c r="M368" s="1"/>
      <c r="N368" s="1"/>
      <c r="O368" s="1"/>
      <c r="P368" s="1"/>
      <c r="Q368" s="1"/>
      <c r="R368" s="1"/>
      <c r="S368" s="1"/>
      <c r="T368" s="4"/>
      <c r="U368" s="4"/>
      <c r="V368" s="1"/>
      <c r="W368" s="1"/>
      <c r="X368" s="1"/>
    </row>
    <row r="369" spans="1:24" ht="15.75" customHeight="1" x14ac:dyDescent="0.25">
      <c r="A369" s="3"/>
      <c r="B369" s="3"/>
      <c r="C369" s="1"/>
      <c r="D369" s="3"/>
      <c r="E369" s="3"/>
      <c r="F369" s="3"/>
      <c r="G369" s="3"/>
      <c r="H369" s="3"/>
      <c r="I369" s="3"/>
      <c r="J369" s="1"/>
      <c r="K369" s="1"/>
      <c r="L369" s="326"/>
      <c r="M369" s="1"/>
      <c r="N369" s="1"/>
      <c r="O369" s="1"/>
      <c r="P369" s="1"/>
      <c r="Q369" s="1"/>
      <c r="R369" s="1"/>
      <c r="S369" s="1"/>
      <c r="T369" s="4"/>
      <c r="U369" s="4"/>
      <c r="V369" s="1"/>
      <c r="W369" s="1"/>
      <c r="X369" s="1"/>
    </row>
    <row r="370" spans="1:24" ht="15.75" customHeight="1" x14ac:dyDescent="0.25">
      <c r="A370" s="3"/>
      <c r="B370" s="3"/>
      <c r="C370" s="1"/>
      <c r="D370" s="3"/>
      <c r="E370" s="3"/>
      <c r="F370" s="3"/>
      <c r="G370" s="3"/>
      <c r="H370" s="3"/>
      <c r="I370" s="3"/>
      <c r="J370" s="1"/>
      <c r="K370" s="1"/>
      <c r="L370" s="5"/>
      <c r="M370" s="1"/>
      <c r="N370" s="1"/>
      <c r="O370" s="1"/>
      <c r="P370" s="1"/>
      <c r="Q370" s="1"/>
      <c r="R370" s="1"/>
      <c r="S370" s="1"/>
      <c r="T370" s="4"/>
      <c r="U370" s="4"/>
      <c r="V370" s="1"/>
      <c r="W370" s="1"/>
      <c r="X370" s="1"/>
    </row>
    <row r="371" spans="1:24" ht="15.75" customHeight="1" x14ac:dyDescent="0.25">
      <c r="A371" s="3"/>
      <c r="B371" s="3"/>
      <c r="C371" s="1"/>
      <c r="D371" s="3"/>
      <c r="E371" s="3"/>
      <c r="F371" s="3"/>
      <c r="G371" s="3"/>
      <c r="H371" s="3"/>
      <c r="I371" s="3"/>
      <c r="J371" s="1"/>
      <c r="K371" s="1"/>
      <c r="L371" s="5"/>
      <c r="M371" s="1"/>
      <c r="N371" s="1"/>
      <c r="O371" s="1"/>
      <c r="P371" s="1"/>
      <c r="Q371" s="1"/>
      <c r="R371" s="1"/>
      <c r="S371" s="1"/>
      <c r="T371" s="4"/>
      <c r="U371" s="4"/>
      <c r="V371" s="1"/>
      <c r="W371" s="1"/>
      <c r="X371" s="1"/>
    </row>
    <row r="372" spans="1:24" ht="15.75" customHeight="1" x14ac:dyDescent="0.25">
      <c r="A372" s="3"/>
      <c r="B372" s="3"/>
      <c r="C372" s="1"/>
      <c r="D372" s="3"/>
      <c r="E372" s="3"/>
      <c r="F372" s="3"/>
      <c r="G372" s="3"/>
      <c r="H372" s="3"/>
      <c r="I372" s="3"/>
      <c r="J372" s="1"/>
      <c r="K372" s="1"/>
      <c r="L372" s="5"/>
      <c r="M372" s="1"/>
      <c r="N372" s="1"/>
      <c r="O372" s="1"/>
      <c r="P372" s="1"/>
      <c r="Q372" s="1"/>
      <c r="R372" s="1"/>
      <c r="S372" s="1"/>
      <c r="T372" s="4"/>
      <c r="U372" s="4"/>
      <c r="V372" s="1"/>
      <c r="W372" s="1"/>
      <c r="X372" s="1"/>
    </row>
    <row r="373" spans="1:24" ht="15.75" customHeight="1" x14ac:dyDescent="0.25">
      <c r="A373" s="3"/>
      <c r="B373" s="3"/>
      <c r="C373" s="1"/>
      <c r="D373" s="3"/>
      <c r="E373" s="3"/>
      <c r="F373" s="3"/>
      <c r="G373" s="3"/>
      <c r="H373" s="3"/>
      <c r="I373" s="3"/>
      <c r="J373" s="1"/>
      <c r="K373" s="1"/>
      <c r="L373" s="5"/>
      <c r="M373" s="1"/>
      <c r="N373" s="1"/>
      <c r="O373" s="1"/>
      <c r="P373" s="1"/>
      <c r="Q373" s="1"/>
      <c r="R373" s="1"/>
      <c r="S373" s="1"/>
      <c r="T373" s="4"/>
      <c r="U373" s="4"/>
      <c r="V373" s="1"/>
      <c r="W373" s="1"/>
      <c r="X373" s="1"/>
    </row>
    <row r="374" spans="1:24" ht="15.75" customHeight="1" x14ac:dyDescent="0.25">
      <c r="A374" s="3"/>
      <c r="B374" s="3"/>
      <c r="C374" s="1"/>
      <c r="D374" s="3"/>
      <c r="E374" s="3"/>
      <c r="F374" s="3"/>
      <c r="G374" s="3"/>
      <c r="H374" s="3"/>
      <c r="I374" s="3"/>
      <c r="J374" s="1"/>
      <c r="K374" s="1"/>
      <c r="L374" s="5"/>
      <c r="M374" s="1"/>
      <c r="N374" s="1"/>
      <c r="O374" s="1"/>
      <c r="P374" s="1"/>
      <c r="Q374" s="1"/>
      <c r="R374" s="1"/>
      <c r="S374" s="1"/>
      <c r="T374" s="4"/>
      <c r="U374" s="4"/>
      <c r="V374" s="1"/>
      <c r="W374" s="1"/>
      <c r="X374" s="1"/>
    </row>
    <row r="375" spans="1:24" ht="15.75" customHeight="1" x14ac:dyDescent="0.25">
      <c r="A375" s="3"/>
      <c r="B375" s="3"/>
      <c r="C375" s="1"/>
      <c r="D375" s="3"/>
      <c r="E375" s="3"/>
      <c r="F375" s="3"/>
      <c r="G375" s="3"/>
      <c r="H375" s="3"/>
      <c r="I375" s="3"/>
      <c r="J375" s="1"/>
      <c r="K375" s="1"/>
      <c r="L375" s="5"/>
      <c r="M375" s="1"/>
      <c r="N375" s="1"/>
      <c r="O375" s="1"/>
      <c r="P375" s="1"/>
      <c r="Q375" s="1"/>
      <c r="R375" s="1"/>
      <c r="S375" s="1"/>
      <c r="T375" s="4"/>
      <c r="U375" s="4"/>
      <c r="V375" s="1"/>
      <c r="W375" s="1"/>
      <c r="X375" s="1"/>
    </row>
    <row r="376" spans="1:24" ht="15.75" customHeight="1" x14ac:dyDescent="0.25">
      <c r="A376" s="3"/>
      <c r="B376" s="3"/>
      <c r="C376" s="1"/>
      <c r="D376" s="3"/>
      <c r="E376" s="3"/>
      <c r="F376" s="3"/>
      <c r="G376" s="3"/>
      <c r="H376" s="3"/>
      <c r="I376" s="3"/>
      <c r="J376" s="1"/>
      <c r="K376" s="1"/>
      <c r="L376" s="5"/>
      <c r="M376" s="1"/>
      <c r="N376" s="1"/>
      <c r="O376" s="1"/>
      <c r="P376" s="1"/>
      <c r="Q376" s="1"/>
      <c r="R376" s="1"/>
      <c r="S376" s="1"/>
      <c r="T376" s="4"/>
      <c r="U376" s="4"/>
      <c r="V376" s="1"/>
      <c r="W376" s="1"/>
      <c r="X376" s="1"/>
    </row>
    <row r="377" spans="1:24" ht="15.75" customHeight="1" x14ac:dyDescent="0.25">
      <c r="A377" s="3"/>
      <c r="B377" s="3"/>
      <c r="C377" s="1"/>
      <c r="D377" s="3"/>
      <c r="E377" s="3"/>
      <c r="F377" s="3"/>
      <c r="G377" s="3"/>
      <c r="H377" s="3"/>
      <c r="I377" s="3"/>
      <c r="J377" s="1"/>
      <c r="K377" s="1"/>
      <c r="L377" s="5"/>
      <c r="M377" s="1"/>
      <c r="N377" s="1"/>
      <c r="O377" s="1"/>
      <c r="P377" s="1"/>
      <c r="Q377" s="1"/>
      <c r="R377" s="1"/>
      <c r="S377" s="1"/>
      <c r="T377" s="4"/>
      <c r="U377" s="4"/>
      <c r="V377" s="1"/>
      <c r="W377" s="1"/>
      <c r="X377" s="1"/>
    </row>
    <row r="378" spans="1:24" ht="15.75" customHeight="1" x14ac:dyDescent="0.25">
      <c r="A378" s="3"/>
      <c r="B378" s="3"/>
      <c r="C378" s="1"/>
      <c r="D378" s="3"/>
      <c r="E378" s="3"/>
      <c r="F378" s="3"/>
      <c r="G378" s="3"/>
      <c r="H378" s="3"/>
      <c r="I378" s="3"/>
      <c r="J378" s="1"/>
      <c r="K378" s="1"/>
      <c r="L378" s="5"/>
      <c r="M378" s="1"/>
      <c r="N378" s="1"/>
      <c r="O378" s="1"/>
      <c r="P378" s="1"/>
      <c r="Q378" s="1"/>
      <c r="R378" s="1"/>
      <c r="S378" s="1"/>
      <c r="T378" s="4"/>
      <c r="U378" s="4"/>
      <c r="V378" s="1"/>
      <c r="W378" s="1"/>
      <c r="X378" s="1"/>
    </row>
    <row r="379" spans="1:24" ht="15.75" customHeight="1" x14ac:dyDescent="0.25">
      <c r="A379" s="3"/>
      <c r="B379" s="3"/>
      <c r="C379" s="1"/>
      <c r="D379" s="3"/>
      <c r="E379" s="3"/>
      <c r="F379" s="3"/>
      <c r="G379" s="3"/>
      <c r="H379" s="3"/>
      <c r="I379" s="3"/>
      <c r="J379" s="1"/>
      <c r="K379" s="1"/>
      <c r="L379" s="5"/>
      <c r="M379" s="1"/>
      <c r="N379" s="1"/>
      <c r="O379" s="1"/>
      <c r="P379" s="1"/>
      <c r="Q379" s="1"/>
      <c r="R379" s="1"/>
      <c r="S379" s="1"/>
      <c r="T379" s="4"/>
      <c r="U379" s="4"/>
      <c r="V379" s="1"/>
      <c r="W379" s="1"/>
      <c r="X379" s="1"/>
    </row>
    <row r="380" spans="1:24" x14ac:dyDescent="0.25">
      <c r="G380" s="2"/>
      <c r="J380" s="2"/>
    </row>
    <row r="382" spans="1:24" x14ac:dyDescent="0.25">
      <c r="G382" s="2"/>
      <c r="J382" s="2"/>
    </row>
    <row r="384" spans="1:24" x14ac:dyDescent="0.25">
      <c r="J384" s="2"/>
    </row>
    <row r="386" spans="10:10" x14ac:dyDescent="0.25">
      <c r="J386" s="2"/>
    </row>
    <row r="388" spans="10:10" x14ac:dyDescent="0.25">
      <c r="J388" s="2"/>
    </row>
    <row r="390" spans="10:10" x14ac:dyDescent="0.25">
      <c r="J390" s="2"/>
    </row>
    <row r="392" spans="10:10" x14ac:dyDescent="0.25">
      <c r="J392" s="2"/>
    </row>
    <row r="394" spans="10:10" x14ac:dyDescent="0.25">
      <c r="J394" s="2"/>
    </row>
    <row r="396" spans="10:10" x14ac:dyDescent="0.25">
      <c r="J396" s="2"/>
    </row>
    <row r="398" spans="10:10" x14ac:dyDescent="0.25">
      <c r="J398" s="2"/>
    </row>
    <row r="451" spans="1:25" s="2" customFormat="1" x14ac:dyDescent="0.25">
      <c r="A451"/>
      <c r="B451"/>
      <c r="C451"/>
      <c r="J451"/>
      <c r="K451"/>
      <c r="L451" s="323"/>
      <c r="M451"/>
      <c r="N451"/>
      <c r="O451"/>
      <c r="P451"/>
      <c r="Q451"/>
      <c r="R451"/>
      <c r="S451"/>
      <c r="T451"/>
      <c r="U451"/>
      <c r="V451"/>
      <c r="W451"/>
      <c r="X451"/>
      <c r="Y451"/>
    </row>
    <row r="459" spans="1:25" s="2" customFormat="1" x14ac:dyDescent="0.25">
      <c r="A459"/>
      <c r="B459"/>
      <c r="C459"/>
      <c r="J459"/>
      <c r="K459"/>
      <c r="L459" s="323"/>
      <c r="M459"/>
      <c r="N459"/>
      <c r="O459"/>
      <c r="P459"/>
      <c r="Q459"/>
      <c r="R459"/>
      <c r="S459"/>
      <c r="T459"/>
      <c r="U459"/>
      <c r="V459"/>
      <c r="W459"/>
      <c r="X459"/>
      <c r="Y459"/>
    </row>
    <row r="506" spans="1:25" s="2" customFormat="1" x14ac:dyDescent="0.25">
      <c r="A506"/>
      <c r="B506"/>
      <c r="C506"/>
      <c r="J506"/>
      <c r="K506"/>
      <c r="L506" s="323"/>
      <c r="M506"/>
      <c r="N506"/>
      <c r="O506"/>
      <c r="P506"/>
      <c r="Q506"/>
      <c r="R506"/>
      <c r="S506"/>
      <c r="T506"/>
      <c r="U506"/>
      <c r="V506"/>
      <c r="W506"/>
      <c r="X506"/>
      <c r="Y506"/>
    </row>
  </sheetData>
  <mergeCells count="19">
    <mergeCell ref="E328:X328"/>
    <mergeCell ref="E336:X336"/>
    <mergeCell ref="E363:X363"/>
    <mergeCell ref="E367:X367"/>
    <mergeCell ref="E277:X277"/>
    <mergeCell ref="E283:X283"/>
    <mergeCell ref="E302:X302"/>
    <mergeCell ref="E319:X319"/>
    <mergeCell ref="E325:X325"/>
    <mergeCell ref="E102:X102"/>
    <mergeCell ref="E107:X107"/>
    <mergeCell ref="E135:X135"/>
    <mergeCell ref="E222:X222"/>
    <mergeCell ref="E271:X271"/>
    <mergeCell ref="D8:I8"/>
    <mergeCell ref="E10:X10"/>
    <mergeCell ref="E62:X62"/>
    <mergeCell ref="E76:X76"/>
    <mergeCell ref="E94:X94"/>
  </mergeCells>
  <conditionalFormatting sqref="U1:X8 S9:X379 T380:X627">
    <cfRule type="containsText" dxfId="33" priority="1" operator="containsText" text="ja">
      <formula>NOT(ISERROR(SEARCH(("ja"),(U1))))</formula>
    </cfRule>
    <cfRule type="containsText" dxfId="32" priority="2" operator="containsText" text="nein">
      <formula>NOT(ISERROR(SEARCH(("nein"),(U1))))</formula>
    </cfRule>
  </conditionalFormatting>
  <dataValidations count="4">
    <dataValidation type="list" errorStyle="warning" showErrorMessage="1" sqref="A11:A13 A15:A379" xr:uid="{00000000-0002-0000-0500-000000000000}">
      <formula1>"ja,nein"</formula1>
    </dataValidation>
    <dataValidation type="list" errorStyle="warning" showErrorMessage="1" sqref="X11:X30" xr:uid="{00000000-0002-0000-0500-000001000000}">
      <formula1>",Ready, CICD"</formula1>
    </dataValidation>
    <dataValidation type="list" errorStyle="warning" showErrorMessage="1" sqref="T11:U61 T63:U75 T77:U93 T95:U101 T103:U106 T108:U134 T136:U221 T223:U270 T272:U276 T278:U279 T281:U282 T284:U301 T303:U318 T320:U324 T326:U327 T337:U362 T368:U379 T329:U335 T364:U366" xr:uid="{00000000-0002-0000-0500-000002000000}">
      <formula1>"unbestimmt, ja, nein"</formula1>
    </dataValidation>
    <dataValidation type="list" errorStyle="warning" showErrorMessage="1" sqref="B11:B379" xr:uid="{00000000-0002-0000-0500-000003000000}">
      <formula1>"ELA,Meistertask,Cleverreach,Synology,Miro,Google,WhatsApp,Canva,Adobe,Contao,Wiki,ecoDMS,Wiki,Facebook,Instagram,TikTok,LinkedIn,Youtube,Xing,X,SalesForce,Lexware,Volksbank,Articulate,Outlook,easy2book,Domainfactory,1&amp;1"</formula1>
    </dataValidation>
  </dataValidation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N185"/>
  <sheetViews>
    <sheetView workbookViewId="0">
      <pane ySplit="9" topLeftCell="A37" activePane="bottomLeft" state="frozen"/>
      <selection pane="bottomLeft" activeCell="G50" sqref="G50"/>
    </sheetView>
  </sheetViews>
  <sheetFormatPr baseColWidth="10" defaultColWidth="14.5703125" defaultRowHeight="15" x14ac:dyDescent="0.25"/>
  <cols>
    <col min="1" max="1" width="12.5703125" customWidth="1"/>
    <col min="2" max="2" width="10.5703125" customWidth="1"/>
    <col min="3" max="3" width="6.140625" customWidth="1"/>
    <col min="4" max="9" width="3.42578125" style="2" customWidth="1"/>
    <col min="10" max="10" width="42.7109375" customWidth="1"/>
    <col min="11" max="11" width="83" customWidth="1"/>
    <col min="12" max="12" width="23.140625" style="323" customWidth="1"/>
    <col min="13" max="13" width="17" customWidth="1"/>
    <col min="14" max="14" width="52.85546875" customWidth="1"/>
    <col min="15" max="17" width="17" customWidth="1"/>
    <col min="18" max="18" width="52" customWidth="1"/>
    <col min="20" max="20" width="14.42578125" customWidth="1"/>
    <col min="21" max="21" width="13.85546875" customWidth="1"/>
    <col min="22" max="23" width="31.85546875" customWidth="1"/>
    <col min="24" max="24" width="14.42578125" customWidth="1"/>
  </cols>
  <sheetData>
    <row r="2" spans="1:24" x14ac:dyDescent="0.25">
      <c r="I2" s="837"/>
      <c r="J2" t="s">
        <v>0</v>
      </c>
    </row>
    <row r="3" spans="1:24" x14ac:dyDescent="0.25">
      <c r="I3" s="67"/>
      <c r="J3" t="s">
        <v>1</v>
      </c>
    </row>
    <row r="4" spans="1:24" x14ac:dyDescent="0.25">
      <c r="I4" s="347"/>
      <c r="J4" t="s">
        <v>2</v>
      </c>
    </row>
    <row r="5" spans="1:24" x14ac:dyDescent="0.25">
      <c r="I5" s="348"/>
      <c r="J5" t="s">
        <v>3</v>
      </c>
    </row>
    <row r="6" spans="1:24" x14ac:dyDescent="0.25">
      <c r="I6" s="349"/>
      <c r="J6" t="s">
        <v>4</v>
      </c>
    </row>
    <row r="8" spans="1:24" x14ac:dyDescent="0.25">
      <c r="A8" s="122" t="s">
        <v>5</v>
      </c>
      <c r="B8" s="122" t="s">
        <v>6</v>
      </c>
      <c r="C8" s="838" t="s">
        <v>7</v>
      </c>
      <c r="D8" s="1151" t="s">
        <v>8</v>
      </c>
      <c r="E8" s="1152"/>
      <c r="F8" s="1152"/>
      <c r="G8" s="1152"/>
      <c r="H8" s="1152"/>
      <c r="I8" s="1153"/>
      <c r="J8" s="851" t="s">
        <v>2108</v>
      </c>
      <c r="K8" s="851"/>
      <c r="L8" s="852"/>
      <c r="M8" s="853"/>
    </row>
    <row r="9" spans="1:24" s="2" customFormat="1" ht="36.75" customHeight="1" x14ac:dyDescent="0.2">
      <c r="A9" s="7"/>
      <c r="B9" s="7"/>
      <c r="C9" s="7"/>
      <c r="D9" s="7" t="s">
        <v>9</v>
      </c>
      <c r="E9" s="32" t="s">
        <v>10</v>
      </c>
      <c r="F9" s="32" t="s">
        <v>11</v>
      </c>
      <c r="G9" s="32" t="s">
        <v>12</v>
      </c>
      <c r="H9" s="32" t="s">
        <v>13</v>
      </c>
      <c r="I9" s="32" t="s">
        <v>14</v>
      </c>
      <c r="J9" s="737" t="s">
        <v>15</v>
      </c>
      <c r="K9" s="738" t="s">
        <v>16</v>
      </c>
      <c r="L9" s="739" t="s">
        <v>17</v>
      </c>
      <c r="M9" s="740" t="s">
        <v>18</v>
      </c>
      <c r="N9" s="740" t="s">
        <v>19</v>
      </c>
      <c r="O9" s="33" t="s">
        <v>20</v>
      </c>
      <c r="P9" s="740" t="s">
        <v>21</v>
      </c>
      <c r="Q9" s="740" t="s">
        <v>22</v>
      </c>
      <c r="R9" s="740" t="s">
        <v>23</v>
      </c>
      <c r="S9" s="741" t="s">
        <v>24</v>
      </c>
      <c r="T9" s="34" t="s">
        <v>25</v>
      </c>
      <c r="U9" s="34" t="s">
        <v>26</v>
      </c>
      <c r="V9" s="35" t="s">
        <v>27</v>
      </c>
      <c r="W9" s="34" t="s">
        <v>28</v>
      </c>
      <c r="X9" s="34" t="s">
        <v>29</v>
      </c>
    </row>
    <row r="10" spans="1:24" s="2" customFormat="1" ht="20.25" customHeight="1" x14ac:dyDescent="0.2">
      <c r="A10" s="742"/>
      <c r="B10" s="742"/>
      <c r="C10" s="742"/>
      <c r="D10" s="742">
        <v>1</v>
      </c>
      <c r="E10" s="1072" t="s">
        <v>1158</v>
      </c>
      <c r="F10" s="1072"/>
      <c r="G10" s="1072"/>
      <c r="H10" s="1072"/>
      <c r="I10" s="1072"/>
      <c r="J10" s="1072"/>
      <c r="K10" s="1073"/>
      <c r="L10" s="1074"/>
      <c r="M10" s="1075"/>
      <c r="N10" s="1075"/>
      <c r="O10" s="1075"/>
      <c r="P10" s="1075"/>
      <c r="Q10" s="1075"/>
      <c r="R10" s="1075"/>
      <c r="S10" s="1075"/>
      <c r="T10" s="1075"/>
      <c r="U10" s="1075"/>
      <c r="V10" s="1075"/>
      <c r="W10" s="1075"/>
      <c r="X10" s="1076"/>
    </row>
    <row r="11" spans="1:24" x14ac:dyDescent="0.25">
      <c r="A11" s="3"/>
      <c r="B11" s="3"/>
      <c r="C11" s="1"/>
      <c r="D11" s="3"/>
      <c r="E11" s="3" t="s">
        <v>91</v>
      </c>
      <c r="F11" s="3"/>
      <c r="G11" s="3"/>
      <c r="H11" s="3"/>
      <c r="I11" s="3"/>
      <c r="J11" s="351" t="s">
        <v>2109</v>
      </c>
      <c r="K11" s="333" t="s">
        <v>2110</v>
      </c>
      <c r="L11" s="16"/>
      <c r="M11" s="1"/>
      <c r="N11" s="1"/>
      <c r="O11" s="1"/>
      <c r="P11" s="1"/>
      <c r="Q11" s="1"/>
      <c r="R11" s="1"/>
      <c r="S11" s="1"/>
      <c r="T11" s="4"/>
      <c r="U11" s="4"/>
      <c r="V11" s="1"/>
      <c r="W11" s="1"/>
      <c r="X11" s="1"/>
    </row>
    <row r="12" spans="1:24" x14ac:dyDescent="0.25">
      <c r="A12" s="3" t="s">
        <v>1106</v>
      </c>
      <c r="B12" s="3"/>
      <c r="C12" s="1"/>
      <c r="D12" s="3"/>
      <c r="E12" s="3"/>
      <c r="F12" s="3" t="s">
        <v>91</v>
      </c>
      <c r="G12" s="3"/>
      <c r="H12" s="3"/>
      <c r="I12" s="3"/>
      <c r="J12" s="334" t="s">
        <v>1596</v>
      </c>
      <c r="K12" s="1" t="s">
        <v>2111</v>
      </c>
      <c r="L12" s="16" t="s">
        <v>2112</v>
      </c>
      <c r="M12" s="1"/>
      <c r="N12" s="1" t="s">
        <v>1598</v>
      </c>
      <c r="O12" s="1"/>
      <c r="P12" s="1"/>
      <c r="Q12" s="1"/>
      <c r="R12" s="1"/>
      <c r="S12" s="1"/>
      <c r="T12" s="4"/>
      <c r="U12" s="4"/>
      <c r="V12" s="1"/>
      <c r="W12" s="1"/>
      <c r="X12" s="1"/>
    </row>
    <row r="13" spans="1:24" x14ac:dyDescent="0.25">
      <c r="A13" s="3"/>
      <c r="B13" s="3"/>
      <c r="C13" s="1"/>
      <c r="D13" s="3"/>
      <c r="E13" s="3" t="s">
        <v>91</v>
      </c>
      <c r="F13" s="3"/>
      <c r="G13" s="3"/>
      <c r="H13" s="3"/>
      <c r="I13" s="3"/>
      <c r="J13" s="351" t="s">
        <v>2113</v>
      </c>
      <c r="K13" s="333" t="s">
        <v>2114</v>
      </c>
      <c r="L13" s="16"/>
      <c r="M13" s="1"/>
      <c r="N13" s="1"/>
      <c r="O13" s="1"/>
      <c r="P13" s="1"/>
      <c r="Q13" s="1"/>
      <c r="R13" s="1"/>
      <c r="S13" s="1"/>
      <c r="T13" s="4"/>
      <c r="U13" s="4"/>
      <c r="V13" s="1"/>
      <c r="W13" s="1"/>
      <c r="X13" s="1"/>
    </row>
    <row r="14" spans="1:24" x14ac:dyDescent="0.25">
      <c r="A14" s="3" t="s">
        <v>1106</v>
      </c>
      <c r="B14" s="3"/>
      <c r="C14" s="1"/>
      <c r="D14" s="3"/>
      <c r="E14" s="3"/>
      <c r="F14" s="3" t="s">
        <v>91</v>
      </c>
      <c r="G14" s="3"/>
      <c r="H14" s="3"/>
      <c r="I14" s="3"/>
      <c r="J14" s="1" t="s">
        <v>1605</v>
      </c>
      <c r="K14" s="1" t="s">
        <v>2115</v>
      </c>
      <c r="L14" s="16" t="s">
        <v>2112</v>
      </c>
      <c r="M14" s="1"/>
      <c r="N14" s="1" t="s">
        <v>1607</v>
      </c>
      <c r="O14" s="1"/>
      <c r="P14" s="1"/>
      <c r="Q14" s="1"/>
      <c r="R14" s="1" t="s">
        <v>2116</v>
      </c>
      <c r="S14" s="1"/>
      <c r="T14" s="4"/>
      <c r="U14" s="4"/>
      <c r="V14" s="1"/>
      <c r="W14" s="1"/>
      <c r="X14" s="1"/>
    </row>
    <row r="15" spans="1:24" x14ac:dyDescent="0.25">
      <c r="A15" s="3" t="s">
        <v>1106</v>
      </c>
      <c r="B15" s="3"/>
      <c r="C15" s="1"/>
      <c r="D15" s="3"/>
      <c r="E15" s="3"/>
      <c r="F15" s="3" t="s">
        <v>91</v>
      </c>
      <c r="G15" s="3"/>
      <c r="H15" s="3"/>
      <c r="I15" s="3"/>
      <c r="J15" s="1" t="s">
        <v>1609</v>
      </c>
      <c r="K15" s="1" t="s">
        <v>2117</v>
      </c>
      <c r="L15" s="16" t="s">
        <v>2112</v>
      </c>
      <c r="M15" s="1"/>
      <c r="N15" s="1" t="s">
        <v>1611</v>
      </c>
      <c r="O15" s="1"/>
      <c r="P15" s="1"/>
      <c r="Q15" s="1"/>
      <c r="R15" s="1"/>
      <c r="S15" s="1"/>
      <c r="T15" s="4"/>
      <c r="U15" s="4"/>
      <c r="V15" s="1"/>
      <c r="W15" s="1"/>
      <c r="X15" s="1"/>
    </row>
    <row r="16" spans="1:24" x14ac:dyDescent="0.25">
      <c r="A16" s="3"/>
      <c r="B16" s="3"/>
      <c r="C16" s="1"/>
      <c r="D16" s="3"/>
      <c r="E16" s="3" t="s">
        <v>91</v>
      </c>
      <c r="F16" s="3"/>
      <c r="G16" s="3"/>
      <c r="H16" s="3"/>
      <c r="I16" s="3"/>
      <c r="J16" s="845" t="s">
        <v>2118</v>
      </c>
      <c r="K16" s="333" t="s">
        <v>2119</v>
      </c>
      <c r="L16" s="340"/>
      <c r="M16" s="1"/>
      <c r="N16" s="1"/>
      <c r="O16" s="1"/>
      <c r="P16" s="1"/>
      <c r="Q16" s="1"/>
      <c r="R16" s="1"/>
      <c r="S16" s="1"/>
      <c r="T16" s="4"/>
      <c r="U16" s="4"/>
      <c r="V16" s="1"/>
      <c r="W16" s="1"/>
      <c r="X16" s="1"/>
    </row>
    <row r="17" spans="1:40" x14ac:dyDescent="0.25">
      <c r="A17" s="3" t="s">
        <v>1106</v>
      </c>
      <c r="B17" s="3"/>
      <c r="C17" s="1"/>
      <c r="D17" s="3"/>
      <c r="E17" s="3"/>
      <c r="F17" s="3" t="s">
        <v>91</v>
      </c>
      <c r="G17" s="3"/>
      <c r="H17" s="3"/>
      <c r="I17" s="3"/>
      <c r="J17" s="337" t="s">
        <v>1634</v>
      </c>
      <c r="K17" s="337" t="s">
        <v>2120</v>
      </c>
      <c r="L17" s="340" t="s">
        <v>2121</v>
      </c>
      <c r="M17" s="1"/>
      <c r="N17" s="1"/>
      <c r="O17" s="1"/>
      <c r="P17" s="1"/>
      <c r="Q17" s="1"/>
      <c r="R17" s="1" t="s">
        <v>1637</v>
      </c>
      <c r="S17" s="1"/>
      <c r="T17" s="4"/>
      <c r="U17" s="4"/>
      <c r="V17" s="1"/>
      <c r="W17" s="1"/>
      <c r="X17" s="1"/>
    </row>
    <row r="18" spans="1:40" ht="20.25" customHeight="1" x14ac:dyDescent="0.25">
      <c r="A18" s="3"/>
      <c r="B18" s="3"/>
      <c r="C18" s="742"/>
      <c r="D18" s="742">
        <v>2</v>
      </c>
      <c r="E18" s="1072" t="s">
        <v>1192</v>
      </c>
      <c r="F18" s="1072"/>
      <c r="G18" s="1072"/>
      <c r="H18" s="1072"/>
      <c r="I18" s="1072"/>
      <c r="J18" s="1072"/>
      <c r="K18" s="1073"/>
      <c r="L18" s="1074"/>
      <c r="M18" s="1075"/>
      <c r="N18" s="1075"/>
      <c r="O18" s="1075"/>
      <c r="P18" s="1075"/>
      <c r="Q18" s="1075"/>
      <c r="R18" s="1075"/>
      <c r="S18" s="1075"/>
      <c r="T18" s="1075"/>
      <c r="U18" s="1075"/>
      <c r="V18" s="1075"/>
      <c r="W18" s="1075"/>
      <c r="X18" s="1076"/>
      <c r="Y18" s="2"/>
      <c r="Z18" s="2"/>
      <c r="AA18" s="2"/>
      <c r="AB18" s="2"/>
      <c r="AC18" s="2"/>
      <c r="AD18" s="2"/>
      <c r="AE18" s="2"/>
      <c r="AF18" s="2"/>
      <c r="AG18" s="2"/>
      <c r="AH18" s="2"/>
      <c r="AI18" s="2"/>
      <c r="AJ18" s="2"/>
      <c r="AK18" s="2"/>
      <c r="AL18" s="2"/>
      <c r="AM18" s="2"/>
      <c r="AN18" s="2"/>
    </row>
    <row r="19" spans="1:40" ht="15.75" customHeight="1" x14ac:dyDescent="0.25">
      <c r="A19" s="3"/>
      <c r="B19" s="3"/>
      <c r="C19" s="1"/>
      <c r="D19" s="3"/>
      <c r="E19" s="3" t="s">
        <v>91</v>
      </c>
      <c r="F19" s="3"/>
      <c r="G19" s="3"/>
      <c r="H19" s="3"/>
      <c r="I19" s="3"/>
      <c r="J19" s="351" t="s">
        <v>2122</v>
      </c>
      <c r="K19" s="333" t="s">
        <v>2123</v>
      </c>
      <c r="L19" s="326"/>
      <c r="M19" s="1"/>
      <c r="N19" s="1"/>
      <c r="O19" s="1"/>
      <c r="P19" s="1"/>
      <c r="Q19" s="1"/>
      <c r="R19" s="1"/>
      <c r="S19" s="1"/>
      <c r="T19" s="4"/>
      <c r="U19" s="4"/>
      <c r="V19" s="1"/>
      <c r="W19" s="1"/>
      <c r="X19" s="1"/>
    </row>
    <row r="20" spans="1:40" x14ac:dyDescent="0.25">
      <c r="A20" s="3" t="s">
        <v>1106</v>
      </c>
      <c r="B20" s="3"/>
      <c r="C20" s="1"/>
      <c r="D20" s="3"/>
      <c r="E20" s="3"/>
      <c r="F20" s="3" t="s">
        <v>91</v>
      </c>
      <c r="G20" s="3"/>
      <c r="H20" s="3"/>
      <c r="I20" s="3"/>
      <c r="J20" s="1" t="s">
        <v>1663</v>
      </c>
      <c r="K20" s="1" t="s">
        <v>2124</v>
      </c>
      <c r="L20" s="16" t="s">
        <v>2112</v>
      </c>
      <c r="M20" s="1"/>
      <c r="N20" s="1" t="s">
        <v>1665</v>
      </c>
      <c r="O20" s="1"/>
      <c r="P20" s="1"/>
      <c r="Q20" s="1"/>
      <c r="R20" s="1"/>
      <c r="S20" s="1"/>
      <c r="T20" s="4"/>
      <c r="U20" s="4"/>
      <c r="V20" s="1"/>
      <c r="W20" s="1"/>
      <c r="X20" s="1"/>
    </row>
    <row r="21" spans="1:40" ht="15.75" customHeight="1" x14ac:dyDescent="0.25">
      <c r="A21" s="3"/>
      <c r="B21" s="3"/>
      <c r="C21" s="1"/>
      <c r="D21" s="3"/>
      <c r="E21" s="3" t="s">
        <v>91</v>
      </c>
      <c r="F21" s="3"/>
      <c r="G21" s="3"/>
      <c r="H21" s="3"/>
      <c r="I21" s="3"/>
      <c r="J21" s="351" t="s">
        <v>2125</v>
      </c>
      <c r="K21" s="333" t="s">
        <v>2126</v>
      </c>
      <c r="L21" s="326"/>
      <c r="M21" s="1"/>
      <c r="N21" s="1"/>
      <c r="O21" s="1"/>
      <c r="P21" s="1"/>
      <c r="Q21" s="1"/>
      <c r="R21" s="1"/>
      <c r="S21" s="1"/>
      <c r="T21" s="4"/>
      <c r="U21" s="4"/>
      <c r="V21" s="1"/>
      <c r="W21" s="1"/>
      <c r="X21" s="1"/>
    </row>
    <row r="22" spans="1:40" x14ac:dyDescent="0.25">
      <c r="A22" s="3" t="s">
        <v>1106</v>
      </c>
      <c r="B22" s="3"/>
      <c r="C22" s="1"/>
      <c r="D22" s="3"/>
      <c r="E22" s="3"/>
      <c r="F22" s="3" t="s">
        <v>91</v>
      </c>
      <c r="G22" s="3"/>
      <c r="H22" s="3"/>
      <c r="I22" s="3"/>
      <c r="J22" s="1" t="s">
        <v>1674</v>
      </c>
      <c r="K22" s="1" t="s">
        <v>2127</v>
      </c>
      <c r="L22" s="16" t="s">
        <v>2112</v>
      </c>
      <c r="M22" s="1"/>
      <c r="N22" s="1" t="s">
        <v>1665</v>
      </c>
      <c r="O22" s="1"/>
      <c r="P22" s="1"/>
      <c r="Q22" s="1"/>
      <c r="R22" s="1"/>
      <c r="S22" s="1"/>
      <c r="T22" s="4"/>
      <c r="U22" s="4"/>
      <c r="V22" s="1"/>
      <c r="W22" s="1"/>
      <c r="X22" s="1"/>
    </row>
    <row r="23" spans="1:40" x14ac:dyDescent="0.25">
      <c r="A23" s="3"/>
      <c r="B23" s="3"/>
      <c r="C23" s="1"/>
      <c r="D23" s="3"/>
      <c r="E23" s="3" t="s">
        <v>91</v>
      </c>
      <c r="F23" s="3"/>
      <c r="G23" s="3"/>
      <c r="H23" s="3"/>
      <c r="I23" s="3"/>
      <c r="J23" s="351" t="s">
        <v>2128</v>
      </c>
      <c r="K23" s="333" t="s">
        <v>2129</v>
      </c>
      <c r="L23" s="326"/>
      <c r="M23" s="1"/>
      <c r="N23" s="1"/>
      <c r="O23" s="1"/>
      <c r="P23" s="1"/>
      <c r="Q23" s="1"/>
      <c r="R23" s="1"/>
      <c r="S23" s="1"/>
      <c r="T23" s="4"/>
      <c r="U23" s="4"/>
      <c r="V23" s="1"/>
      <c r="W23" s="1"/>
      <c r="X23" s="1"/>
    </row>
    <row r="24" spans="1:40" x14ac:dyDescent="0.25">
      <c r="A24" s="3" t="s">
        <v>1106</v>
      </c>
      <c r="B24" s="3"/>
      <c r="C24" s="1"/>
      <c r="D24" s="3"/>
      <c r="E24" s="3"/>
      <c r="F24" s="3" t="s">
        <v>91</v>
      </c>
      <c r="G24" s="3"/>
      <c r="H24" s="3"/>
      <c r="I24" s="3"/>
      <c r="J24" s="1" t="s">
        <v>1682</v>
      </c>
      <c r="K24" s="1" t="s">
        <v>2130</v>
      </c>
      <c r="L24" s="16" t="s">
        <v>2112</v>
      </c>
      <c r="M24" s="1"/>
      <c r="N24" s="1" t="s">
        <v>1665</v>
      </c>
      <c r="O24" s="1"/>
      <c r="P24" s="1"/>
      <c r="Q24" s="1"/>
      <c r="R24" s="1"/>
      <c r="S24" s="1"/>
      <c r="T24" s="4"/>
      <c r="U24" s="4"/>
      <c r="V24" s="1"/>
      <c r="W24" s="1"/>
      <c r="X24" s="1"/>
    </row>
    <row r="25" spans="1:40" x14ac:dyDescent="0.25">
      <c r="A25" s="3" t="s">
        <v>1106</v>
      </c>
      <c r="B25" s="3"/>
      <c r="C25" s="1"/>
      <c r="D25" s="3"/>
      <c r="E25" s="3"/>
      <c r="F25" s="3" t="s">
        <v>91</v>
      </c>
      <c r="G25" s="3"/>
      <c r="H25" s="3"/>
      <c r="I25" s="3"/>
      <c r="J25" s="1" t="s">
        <v>1697</v>
      </c>
      <c r="K25" s="1" t="s">
        <v>2131</v>
      </c>
      <c r="L25" s="16" t="s">
        <v>2112</v>
      </c>
      <c r="M25" s="1"/>
      <c r="N25" s="1" t="s">
        <v>1699</v>
      </c>
      <c r="O25" s="1"/>
      <c r="P25" s="1"/>
      <c r="Q25" s="1"/>
      <c r="R25" s="1"/>
      <c r="S25" s="1"/>
      <c r="T25" s="4"/>
      <c r="U25" s="4"/>
      <c r="V25" s="1"/>
      <c r="W25" s="1"/>
      <c r="X25" s="1"/>
    </row>
    <row r="26" spans="1:40" x14ac:dyDescent="0.25">
      <c r="A26" s="3" t="s">
        <v>1106</v>
      </c>
      <c r="B26" s="3"/>
      <c r="C26" s="1"/>
      <c r="D26" s="3"/>
      <c r="E26" s="3"/>
      <c r="F26" s="3" t="s">
        <v>91</v>
      </c>
      <c r="G26" s="3"/>
      <c r="H26" s="3"/>
      <c r="I26" s="3"/>
      <c r="J26" s="1" t="s">
        <v>1702</v>
      </c>
      <c r="K26" s="1" t="s">
        <v>2131</v>
      </c>
      <c r="L26" s="16" t="s">
        <v>2112</v>
      </c>
      <c r="M26" s="1"/>
      <c r="N26" s="1"/>
      <c r="O26" s="1"/>
      <c r="P26" s="1"/>
      <c r="Q26" s="1"/>
      <c r="R26" s="1"/>
      <c r="S26" s="1"/>
      <c r="T26" s="4"/>
      <c r="U26" s="4"/>
      <c r="V26" s="1"/>
      <c r="W26" s="1"/>
      <c r="X26" s="1"/>
    </row>
    <row r="27" spans="1:40" ht="15.75" customHeight="1" x14ac:dyDescent="0.25">
      <c r="A27" s="3"/>
      <c r="B27" s="3"/>
      <c r="C27" s="1"/>
      <c r="D27" s="3"/>
      <c r="E27" s="3" t="s">
        <v>91</v>
      </c>
      <c r="F27" s="3"/>
      <c r="G27" s="3"/>
      <c r="H27" s="3"/>
      <c r="I27" s="3"/>
      <c r="J27" s="351" t="s">
        <v>2132</v>
      </c>
      <c r="K27" s="333" t="s">
        <v>2133</v>
      </c>
      <c r="L27" s="326"/>
      <c r="M27" s="1"/>
      <c r="O27" s="1"/>
      <c r="P27" s="1"/>
      <c r="Q27" s="1"/>
      <c r="R27" s="1"/>
      <c r="S27" s="1"/>
      <c r="T27" s="4"/>
      <c r="U27" s="4"/>
      <c r="V27" s="1"/>
      <c r="W27" s="1"/>
      <c r="X27" s="1"/>
    </row>
    <row r="28" spans="1:40" x14ac:dyDescent="0.25">
      <c r="A28" s="3" t="s">
        <v>1106</v>
      </c>
      <c r="B28" s="3"/>
      <c r="C28" s="1"/>
      <c r="D28" s="3"/>
      <c r="E28" s="3"/>
      <c r="F28" s="3" t="s">
        <v>91</v>
      </c>
      <c r="G28" s="3"/>
      <c r="H28" s="3"/>
      <c r="I28" s="3"/>
      <c r="J28" s="1" t="s">
        <v>1706</v>
      </c>
      <c r="K28" s="1" t="s">
        <v>2134</v>
      </c>
      <c r="L28" s="16" t="s">
        <v>2112</v>
      </c>
      <c r="M28" s="1"/>
      <c r="N28" s="1" t="s">
        <v>1665</v>
      </c>
      <c r="O28" s="1"/>
      <c r="P28" s="1"/>
      <c r="Q28" s="1"/>
      <c r="R28" s="1"/>
      <c r="S28" s="1"/>
      <c r="T28" s="4"/>
      <c r="U28" s="4"/>
      <c r="V28" s="1"/>
      <c r="W28" s="1"/>
      <c r="X28" s="1"/>
    </row>
    <row r="29" spans="1:40" x14ac:dyDescent="0.25">
      <c r="A29" s="3" t="s">
        <v>1106</v>
      </c>
      <c r="B29" s="3"/>
      <c r="C29" s="1"/>
      <c r="D29" s="3"/>
      <c r="E29" s="3"/>
      <c r="F29" s="3" t="s">
        <v>91</v>
      </c>
      <c r="G29" s="3"/>
      <c r="H29" s="3"/>
      <c r="I29" s="3"/>
      <c r="J29" s="1" t="s">
        <v>1717</v>
      </c>
      <c r="K29" s="1" t="s">
        <v>2135</v>
      </c>
      <c r="L29" s="16" t="s">
        <v>2112</v>
      </c>
      <c r="M29" s="1"/>
      <c r="N29" s="1"/>
      <c r="O29" s="1"/>
      <c r="P29" s="1"/>
      <c r="Q29" s="1"/>
      <c r="R29" s="1"/>
      <c r="S29" s="1"/>
      <c r="T29" s="4"/>
      <c r="U29" s="4"/>
      <c r="V29" s="1"/>
      <c r="W29" s="1"/>
      <c r="X29" s="1"/>
    </row>
    <row r="30" spans="1:40" x14ac:dyDescent="0.25">
      <c r="A30" s="3" t="s">
        <v>1106</v>
      </c>
      <c r="B30" s="3"/>
      <c r="C30" s="1"/>
      <c r="D30" s="3"/>
      <c r="E30" s="3"/>
      <c r="F30" s="3" t="s">
        <v>91</v>
      </c>
      <c r="G30" s="3"/>
      <c r="H30" s="3"/>
      <c r="I30" s="3"/>
      <c r="J30" s="1" t="s">
        <v>1720</v>
      </c>
      <c r="K30" s="1" t="s">
        <v>2135</v>
      </c>
      <c r="L30" s="16" t="s">
        <v>2112</v>
      </c>
      <c r="M30" s="1"/>
      <c r="N30" s="1"/>
      <c r="O30" s="1"/>
      <c r="P30" s="1"/>
      <c r="Q30" s="1"/>
      <c r="R30" s="1"/>
      <c r="S30" s="1"/>
      <c r="T30" s="4"/>
      <c r="U30" s="4"/>
      <c r="V30" s="1"/>
      <c r="W30" s="1"/>
      <c r="X30" s="1"/>
    </row>
    <row r="31" spans="1:40" ht="15.75" customHeight="1" x14ac:dyDescent="0.25">
      <c r="A31" s="3"/>
      <c r="B31" s="3"/>
      <c r="C31" s="1"/>
      <c r="D31" s="3"/>
      <c r="E31" s="3" t="s">
        <v>91</v>
      </c>
      <c r="F31" s="3"/>
      <c r="G31" s="3"/>
      <c r="H31" s="3"/>
      <c r="I31" s="3"/>
      <c r="J31" s="351" t="s">
        <v>2136</v>
      </c>
      <c r="K31" s="333" t="s">
        <v>2137</v>
      </c>
      <c r="L31" s="326"/>
      <c r="M31" s="1"/>
      <c r="N31" s="1"/>
      <c r="O31" s="1"/>
      <c r="P31" s="1"/>
      <c r="Q31" s="1"/>
      <c r="R31" s="1"/>
      <c r="S31" s="1"/>
      <c r="T31" s="4"/>
      <c r="U31" s="4"/>
      <c r="V31" s="1"/>
      <c r="W31" s="1"/>
      <c r="X31" s="1"/>
    </row>
    <row r="32" spans="1:40" ht="15.75" customHeight="1" x14ac:dyDescent="0.25">
      <c r="A32" s="3"/>
      <c r="B32" s="3"/>
      <c r="C32" s="1"/>
      <c r="D32" s="3"/>
      <c r="E32" s="3"/>
      <c r="F32" s="3" t="s">
        <v>91</v>
      </c>
      <c r="G32" s="3"/>
      <c r="H32" s="3"/>
      <c r="I32" s="3"/>
      <c r="J32" s="351" t="s">
        <v>2138</v>
      </c>
      <c r="K32" s="1"/>
      <c r="L32" s="16"/>
      <c r="M32" s="1"/>
      <c r="N32" s="1"/>
      <c r="O32" s="1"/>
      <c r="P32" s="1"/>
      <c r="Q32" s="1"/>
      <c r="R32" s="1"/>
      <c r="S32" s="1"/>
      <c r="T32" s="4"/>
      <c r="U32" s="4"/>
      <c r="V32" s="1"/>
      <c r="W32" s="1"/>
      <c r="X32" s="1"/>
    </row>
    <row r="33" spans="1:40" ht="15.75" customHeight="1" x14ac:dyDescent="0.25">
      <c r="A33" s="3" t="s">
        <v>1244</v>
      </c>
      <c r="B33" s="3"/>
      <c r="C33" s="1"/>
      <c r="D33" s="3"/>
      <c r="E33" s="3"/>
      <c r="F33" s="3"/>
      <c r="G33" s="3" t="s">
        <v>91</v>
      </c>
      <c r="H33" s="3"/>
      <c r="I33" s="3"/>
      <c r="J33" s="1" t="s">
        <v>2139</v>
      </c>
      <c r="K33" s="1" t="s">
        <v>2140</v>
      </c>
      <c r="L33" s="16" t="s">
        <v>2112</v>
      </c>
      <c r="M33" s="1"/>
      <c r="N33" s="1"/>
      <c r="O33" s="1"/>
      <c r="P33" s="1"/>
      <c r="Q33" s="1"/>
      <c r="R33" s="1"/>
      <c r="S33" s="1"/>
      <c r="T33" s="4"/>
      <c r="U33" s="4"/>
      <c r="V33" s="1"/>
      <c r="W33" s="1"/>
      <c r="X33" s="1"/>
    </row>
    <row r="34" spans="1:40" x14ac:dyDescent="0.25">
      <c r="A34" s="3"/>
      <c r="B34" s="3"/>
      <c r="C34" s="1"/>
      <c r="D34" s="3"/>
      <c r="E34" s="3"/>
      <c r="F34" s="3" t="s">
        <v>91</v>
      </c>
      <c r="G34" s="3"/>
      <c r="H34" s="3"/>
      <c r="I34" s="3"/>
      <c r="J34" s="352" t="s">
        <v>2141</v>
      </c>
      <c r="K34" s="1"/>
      <c r="L34" s="16"/>
      <c r="M34" s="1"/>
      <c r="N34" s="1"/>
      <c r="O34" s="1"/>
      <c r="P34" s="1"/>
      <c r="Q34" s="1"/>
      <c r="R34" s="1"/>
      <c r="S34" s="1"/>
      <c r="T34" s="4"/>
      <c r="U34" s="4"/>
      <c r="V34" s="1"/>
      <c r="W34" s="1"/>
      <c r="X34" s="1"/>
    </row>
    <row r="35" spans="1:40" x14ac:dyDescent="0.25">
      <c r="A35" s="3" t="s">
        <v>1244</v>
      </c>
      <c r="B35" s="3"/>
      <c r="C35" s="1"/>
      <c r="D35" s="3"/>
      <c r="E35" s="3"/>
      <c r="F35" s="3"/>
      <c r="G35" s="3" t="s">
        <v>91</v>
      </c>
      <c r="H35" s="3"/>
      <c r="I35" s="3"/>
      <c r="J35" s="1" t="s">
        <v>1734</v>
      </c>
      <c r="K35" s="1" t="s">
        <v>2142</v>
      </c>
      <c r="L35" s="16" t="s">
        <v>2112</v>
      </c>
      <c r="M35" s="1"/>
      <c r="N35" s="1" t="s">
        <v>1736</v>
      </c>
      <c r="O35" s="1"/>
      <c r="P35" s="1"/>
      <c r="Q35" s="1"/>
      <c r="R35" s="1"/>
      <c r="S35" s="1"/>
      <c r="T35" s="4"/>
      <c r="U35" s="4"/>
      <c r="V35" s="1"/>
      <c r="W35" s="1"/>
      <c r="X35" s="1"/>
    </row>
    <row r="36" spans="1:40" x14ac:dyDescent="0.25">
      <c r="A36" s="3" t="s">
        <v>1244</v>
      </c>
      <c r="B36" s="3"/>
      <c r="C36" s="1"/>
      <c r="D36" s="3"/>
      <c r="E36" s="3"/>
      <c r="F36" s="3"/>
      <c r="G36" s="3" t="s">
        <v>91</v>
      </c>
      <c r="H36" s="3"/>
      <c r="I36" s="3"/>
      <c r="J36" s="1" t="s">
        <v>1737</v>
      </c>
      <c r="K36" s="1" t="s">
        <v>2143</v>
      </c>
      <c r="L36" s="16" t="s">
        <v>2112</v>
      </c>
      <c r="M36" s="1"/>
      <c r="N36" s="1" t="s">
        <v>1739</v>
      </c>
      <c r="O36" s="1"/>
      <c r="P36" s="1"/>
      <c r="Q36" s="1"/>
      <c r="R36" s="1"/>
      <c r="S36" s="1"/>
      <c r="T36" s="4"/>
      <c r="U36" s="4"/>
      <c r="V36" s="1"/>
      <c r="W36" s="1"/>
      <c r="X36" s="1"/>
    </row>
    <row r="37" spans="1:40" x14ac:dyDescent="0.25">
      <c r="A37" s="3"/>
      <c r="B37" s="3"/>
      <c r="C37" s="1"/>
      <c r="D37" s="3"/>
      <c r="E37" s="3"/>
      <c r="F37" s="3" t="s">
        <v>91</v>
      </c>
      <c r="G37" s="3"/>
      <c r="H37" s="3"/>
      <c r="I37" s="3"/>
      <c r="J37" s="351" t="s">
        <v>2144</v>
      </c>
      <c r="K37" s="1"/>
      <c r="L37" s="16"/>
      <c r="M37" s="1"/>
      <c r="N37" s="1"/>
      <c r="O37" s="1"/>
      <c r="P37" s="1"/>
      <c r="Q37" s="1"/>
      <c r="R37" s="1"/>
      <c r="S37" s="1"/>
      <c r="T37" s="4"/>
      <c r="U37" s="4"/>
      <c r="V37" s="1"/>
      <c r="W37" s="1"/>
      <c r="X37" s="1"/>
    </row>
    <row r="38" spans="1:40" x14ac:dyDescent="0.25">
      <c r="A38" s="3" t="s">
        <v>1106</v>
      </c>
      <c r="B38" s="3"/>
      <c r="C38" s="1"/>
      <c r="D38" s="3"/>
      <c r="E38" s="3"/>
      <c r="F38" s="3"/>
      <c r="G38" s="3" t="s">
        <v>91</v>
      </c>
      <c r="H38" s="3"/>
      <c r="I38" s="3"/>
      <c r="J38" s="1" t="s">
        <v>1741</v>
      </c>
      <c r="K38" s="1" t="s">
        <v>2145</v>
      </c>
      <c r="L38" s="16" t="s">
        <v>2146</v>
      </c>
      <c r="M38" s="1"/>
      <c r="N38" s="1" t="s">
        <v>1743</v>
      </c>
      <c r="O38" s="1"/>
      <c r="P38" s="1"/>
      <c r="Q38" s="1"/>
      <c r="R38" s="1"/>
      <c r="S38" s="1"/>
      <c r="T38" s="4"/>
      <c r="U38" s="4"/>
      <c r="V38" s="1"/>
      <c r="W38" s="1"/>
      <c r="X38" s="1"/>
    </row>
    <row r="39" spans="1:40" x14ac:dyDescent="0.25">
      <c r="A39" s="3" t="s">
        <v>1098</v>
      </c>
      <c r="B39" s="3" t="s">
        <v>1744</v>
      </c>
      <c r="C39" s="1"/>
      <c r="D39" s="3"/>
      <c r="E39" s="3"/>
      <c r="F39" s="3"/>
      <c r="G39" s="3" t="s">
        <v>91</v>
      </c>
      <c r="H39" s="3"/>
      <c r="I39" s="3"/>
      <c r="J39" s="842" t="s">
        <v>1745</v>
      </c>
      <c r="K39" s="842" t="s">
        <v>2147</v>
      </c>
      <c r="L39" s="16" t="s">
        <v>2112</v>
      </c>
      <c r="M39" s="1"/>
      <c r="N39" s="1" t="s">
        <v>1743</v>
      </c>
      <c r="O39" s="1"/>
      <c r="P39" s="1"/>
      <c r="Q39" s="1"/>
      <c r="R39" s="1"/>
      <c r="S39" s="1"/>
      <c r="T39" s="4"/>
      <c r="U39" s="4"/>
      <c r="V39" s="1"/>
      <c r="W39" s="1"/>
      <c r="X39" s="1"/>
    </row>
    <row r="40" spans="1:40" ht="15.75" customHeight="1" x14ac:dyDescent="0.25">
      <c r="A40" s="3"/>
      <c r="B40" s="3"/>
      <c r="C40" s="1"/>
      <c r="D40" s="3"/>
      <c r="E40" s="3" t="s">
        <v>91</v>
      </c>
      <c r="F40" s="3" t="s">
        <v>91</v>
      </c>
      <c r="G40" s="3"/>
      <c r="H40" s="3"/>
      <c r="I40" s="3"/>
      <c r="J40" s="351" t="s">
        <v>2148</v>
      </c>
      <c r="K40" s="333" t="s">
        <v>2149</v>
      </c>
      <c r="L40" s="326"/>
      <c r="M40" s="1"/>
      <c r="N40" s="1"/>
      <c r="O40" s="1"/>
      <c r="P40" s="1"/>
      <c r="Q40" s="1"/>
      <c r="R40" s="1"/>
      <c r="S40" s="1"/>
      <c r="T40" s="4"/>
      <c r="U40" s="4"/>
      <c r="V40" s="1"/>
      <c r="W40" s="1"/>
      <c r="X40" s="1"/>
    </row>
    <row r="41" spans="1:40" x14ac:dyDescent="0.25">
      <c r="A41" s="3" t="s">
        <v>1106</v>
      </c>
      <c r="B41" s="3"/>
      <c r="C41" s="1"/>
      <c r="D41" s="3"/>
      <c r="E41" s="3"/>
      <c r="F41" s="3" t="s">
        <v>91</v>
      </c>
      <c r="G41" s="3"/>
      <c r="H41" s="3"/>
      <c r="I41" s="3"/>
      <c r="J41" s="1" t="s">
        <v>1796</v>
      </c>
      <c r="K41" s="1" t="s">
        <v>2150</v>
      </c>
      <c r="L41" s="16" t="s">
        <v>2112</v>
      </c>
      <c r="M41" s="1"/>
      <c r="N41" s="1"/>
      <c r="O41" s="1"/>
      <c r="P41" s="1"/>
      <c r="Q41" s="1"/>
      <c r="R41" s="1"/>
      <c r="S41" s="1"/>
      <c r="T41" s="4"/>
      <c r="U41" s="4"/>
      <c r="V41" s="1"/>
      <c r="W41" s="1"/>
      <c r="X41" s="1"/>
    </row>
    <row r="42" spans="1:40" ht="20.25" customHeight="1" x14ac:dyDescent="0.25">
      <c r="A42" s="3"/>
      <c r="B42" s="3"/>
      <c r="C42" s="742"/>
      <c r="D42" s="742">
        <v>3</v>
      </c>
      <c r="E42" s="1072" t="s">
        <v>1316</v>
      </c>
      <c r="F42" s="1072"/>
      <c r="G42" s="1072"/>
      <c r="H42" s="1072"/>
      <c r="I42" s="1072"/>
      <c r="J42" s="1072"/>
      <c r="K42" s="1073"/>
      <c r="L42" s="1074"/>
      <c r="M42" s="1075"/>
      <c r="N42" s="1075"/>
      <c r="O42" s="1075"/>
      <c r="P42" s="1075"/>
      <c r="Q42" s="1075"/>
      <c r="R42" s="1075"/>
      <c r="S42" s="1075"/>
      <c r="T42" s="1075"/>
      <c r="U42" s="1075"/>
      <c r="V42" s="1075"/>
      <c r="W42" s="1075"/>
      <c r="X42" s="1076"/>
      <c r="Y42" s="2"/>
      <c r="Z42" s="2"/>
      <c r="AA42" s="2"/>
      <c r="AB42" s="2"/>
      <c r="AC42" s="2"/>
      <c r="AD42" s="2"/>
      <c r="AE42" s="2"/>
      <c r="AF42" s="2"/>
      <c r="AG42" s="2"/>
      <c r="AH42" s="2"/>
      <c r="AI42" s="2"/>
      <c r="AJ42" s="2"/>
      <c r="AK42" s="2"/>
      <c r="AL42" s="2"/>
      <c r="AM42" s="2"/>
      <c r="AN42" s="2"/>
    </row>
    <row r="43" spans="1:40" x14ac:dyDescent="0.25">
      <c r="A43" s="3" t="s">
        <v>1098</v>
      </c>
      <c r="B43" s="3" t="s">
        <v>40</v>
      </c>
      <c r="C43" s="1"/>
      <c r="D43" s="3"/>
      <c r="E43" s="3" t="s">
        <v>91</v>
      </c>
      <c r="F43" s="3"/>
      <c r="G43" s="3"/>
      <c r="H43" s="3"/>
      <c r="I43" s="3"/>
      <c r="J43" s="1" t="s">
        <v>2151</v>
      </c>
      <c r="K43" s="333" t="s">
        <v>2152</v>
      </c>
      <c r="L43" s="16" t="s">
        <v>2146</v>
      </c>
      <c r="M43" s="1"/>
      <c r="N43" s="1" t="s">
        <v>2153</v>
      </c>
      <c r="O43" s="1"/>
      <c r="P43" s="1"/>
      <c r="Q43" s="1"/>
      <c r="R43" s="1"/>
      <c r="S43" s="1"/>
      <c r="T43" s="4"/>
      <c r="U43" s="4"/>
      <c r="V43" s="1"/>
      <c r="W43" s="1"/>
      <c r="X43" s="1"/>
    </row>
    <row r="44" spans="1:40" ht="20.25" customHeight="1" x14ac:dyDescent="0.25">
      <c r="A44" s="3"/>
      <c r="B44" s="3"/>
      <c r="C44" s="742"/>
      <c r="D44" s="742">
        <v>4</v>
      </c>
      <c r="E44" s="1072" t="s">
        <v>1348</v>
      </c>
      <c r="F44" s="1072"/>
      <c r="G44" s="1072"/>
      <c r="H44" s="1072"/>
      <c r="I44" s="1072"/>
      <c r="J44" s="1072"/>
      <c r="K44" s="1073"/>
      <c r="L44" s="1074"/>
      <c r="M44" s="1075"/>
      <c r="N44" s="1075"/>
      <c r="O44" s="1075"/>
      <c r="P44" s="1075"/>
      <c r="Q44" s="1075"/>
      <c r="R44" s="1075"/>
      <c r="S44" s="1075"/>
      <c r="T44" s="1075"/>
      <c r="U44" s="1075"/>
      <c r="V44" s="1075"/>
      <c r="W44" s="1075"/>
      <c r="X44" s="1076"/>
      <c r="Y44" s="2"/>
      <c r="Z44" s="2"/>
      <c r="AA44" s="2"/>
      <c r="AB44" s="2"/>
      <c r="AC44" s="2"/>
      <c r="AD44" s="2"/>
      <c r="AE44" s="2"/>
      <c r="AF44" s="2"/>
      <c r="AG44" s="2"/>
      <c r="AH44" s="2"/>
      <c r="AI44" s="2"/>
      <c r="AJ44" s="2"/>
      <c r="AK44" s="2"/>
      <c r="AL44" s="2"/>
      <c r="AM44" s="2"/>
      <c r="AN44" s="2"/>
    </row>
    <row r="45" spans="1:40" x14ac:dyDescent="0.25">
      <c r="A45" s="3"/>
      <c r="B45" s="3"/>
      <c r="C45" s="1"/>
      <c r="D45" s="3"/>
      <c r="E45" s="3" t="s">
        <v>91</v>
      </c>
      <c r="F45" s="3"/>
      <c r="G45" s="3"/>
      <c r="H45" s="3"/>
      <c r="I45" s="3"/>
      <c r="J45" s="351" t="s">
        <v>2154</v>
      </c>
      <c r="K45" s="333" t="s">
        <v>2155</v>
      </c>
      <c r="L45" s="4"/>
      <c r="M45" s="1"/>
      <c r="N45" s="1" t="s">
        <v>1968</v>
      </c>
      <c r="O45" s="1"/>
      <c r="P45" s="1"/>
      <c r="Q45" s="1"/>
      <c r="R45" s="1"/>
      <c r="S45" s="1"/>
      <c r="T45" s="4"/>
      <c r="U45" s="4"/>
      <c r="V45" s="1"/>
      <c r="W45" s="1"/>
      <c r="X45" s="1"/>
    </row>
    <row r="46" spans="1:40" x14ac:dyDescent="0.25">
      <c r="A46" s="3" t="s">
        <v>1106</v>
      </c>
      <c r="B46" s="3"/>
      <c r="C46" s="1"/>
      <c r="D46" s="3"/>
      <c r="E46" s="3"/>
      <c r="F46" s="3" t="s">
        <v>91</v>
      </c>
      <c r="G46" s="3"/>
      <c r="H46" s="3"/>
      <c r="I46" s="3"/>
      <c r="J46" s="1" t="s">
        <v>1970</v>
      </c>
      <c r="K46" s="1" t="s">
        <v>2156</v>
      </c>
      <c r="L46" s="4" t="s">
        <v>2146</v>
      </c>
      <c r="M46" s="1"/>
      <c r="N46" s="1" t="s">
        <v>1972</v>
      </c>
      <c r="O46" s="1"/>
      <c r="P46" s="1"/>
      <c r="Q46" s="1"/>
      <c r="R46" s="1"/>
      <c r="S46" s="1"/>
      <c r="T46" s="4"/>
      <c r="U46" s="4"/>
      <c r="V46" s="1"/>
      <c r="W46" s="1"/>
      <c r="X46" s="1"/>
    </row>
    <row r="47" spans="1:40" x14ac:dyDescent="0.25">
      <c r="A47" s="3" t="s">
        <v>1106</v>
      </c>
      <c r="B47" s="3"/>
      <c r="C47" s="1"/>
      <c r="D47" s="3"/>
      <c r="E47" s="3"/>
      <c r="F47" s="3" t="s">
        <v>91</v>
      </c>
      <c r="G47" s="3"/>
      <c r="H47" s="3"/>
      <c r="I47" s="3"/>
      <c r="J47" s="1" t="s">
        <v>2157</v>
      </c>
      <c r="K47" s="1" t="s">
        <v>2158</v>
      </c>
      <c r="L47" s="4" t="s">
        <v>2146</v>
      </c>
      <c r="M47" s="1"/>
      <c r="N47" s="1" t="s">
        <v>1979</v>
      </c>
      <c r="O47" s="1"/>
      <c r="P47" s="1" t="s">
        <v>2159</v>
      </c>
      <c r="Q47" s="1"/>
      <c r="R47" s="1"/>
      <c r="S47" s="1"/>
      <c r="T47" s="4"/>
      <c r="U47" s="4"/>
      <c r="V47" s="1"/>
      <c r="W47" s="1"/>
      <c r="X47" s="1"/>
    </row>
    <row r="48" spans="1:40" x14ac:dyDescent="0.25">
      <c r="A48" s="3" t="s">
        <v>1106</v>
      </c>
      <c r="B48" s="3"/>
      <c r="C48" s="1"/>
      <c r="D48" s="3"/>
      <c r="E48" s="3"/>
      <c r="F48" s="3" t="s">
        <v>91</v>
      </c>
      <c r="G48" s="3"/>
      <c r="H48" s="3"/>
      <c r="I48" s="3"/>
      <c r="J48" s="1" t="s">
        <v>2160</v>
      </c>
      <c r="K48" s="1" t="s">
        <v>2161</v>
      </c>
      <c r="L48" s="4" t="s">
        <v>2146</v>
      </c>
      <c r="M48" s="1"/>
      <c r="N48" s="1" t="s">
        <v>1982</v>
      </c>
      <c r="O48" s="1"/>
      <c r="P48" s="1"/>
      <c r="Q48" s="1"/>
      <c r="R48" s="1"/>
      <c r="S48" s="1"/>
      <c r="T48" s="4"/>
      <c r="U48" s="4"/>
      <c r="V48" s="1"/>
      <c r="W48" s="1"/>
      <c r="X48" s="1"/>
    </row>
    <row r="49" spans="1:40" ht="15.75" customHeight="1" x14ac:dyDescent="0.25">
      <c r="A49" s="3"/>
      <c r="B49" s="3"/>
      <c r="C49" s="1"/>
      <c r="D49" s="3"/>
      <c r="E49" s="3" t="s">
        <v>91</v>
      </c>
      <c r="F49" s="3"/>
      <c r="G49" s="3"/>
      <c r="H49" s="3"/>
      <c r="I49" s="3"/>
      <c r="J49" s="351" t="s">
        <v>2162</v>
      </c>
      <c r="K49" s="333" t="s">
        <v>2163</v>
      </c>
      <c r="L49" s="340"/>
      <c r="M49" s="1"/>
      <c r="N49" s="1"/>
      <c r="O49" s="1"/>
      <c r="P49" s="1"/>
      <c r="Q49" s="1"/>
      <c r="R49" s="1"/>
      <c r="S49" s="1"/>
      <c r="T49" s="4"/>
      <c r="U49" s="4"/>
      <c r="V49" s="1"/>
      <c r="W49" s="1"/>
      <c r="X49" s="1"/>
    </row>
    <row r="50" spans="1:40" ht="15.75" customHeight="1" x14ac:dyDescent="0.25">
      <c r="A50" s="3" t="s">
        <v>1106</v>
      </c>
      <c r="B50" s="3"/>
      <c r="C50" s="1"/>
      <c r="D50" s="3"/>
      <c r="E50" s="3"/>
      <c r="F50" s="3" t="s">
        <v>91</v>
      </c>
      <c r="G50" s="3"/>
      <c r="H50" s="3"/>
      <c r="I50" s="3"/>
      <c r="J50" s="337" t="s">
        <v>2164</v>
      </c>
      <c r="K50" s="337" t="s">
        <v>2165</v>
      </c>
      <c r="L50" s="340" t="s">
        <v>2166</v>
      </c>
      <c r="M50" s="1"/>
      <c r="N50" s="1"/>
      <c r="O50" s="1"/>
      <c r="P50" s="1"/>
      <c r="Q50" s="1"/>
      <c r="R50" s="1"/>
      <c r="S50" s="1"/>
      <c r="T50" s="4"/>
      <c r="U50" s="4"/>
      <c r="V50" s="1"/>
      <c r="W50" s="1"/>
      <c r="X50" s="1"/>
    </row>
    <row r="51" spans="1:40" ht="20.25" customHeight="1" x14ac:dyDescent="0.25">
      <c r="A51" s="3"/>
      <c r="B51" s="3"/>
      <c r="C51" s="742"/>
      <c r="D51" s="742">
        <v>5</v>
      </c>
      <c r="E51" s="1072" t="s">
        <v>2099</v>
      </c>
      <c r="F51" s="1072"/>
      <c r="G51" s="1072"/>
      <c r="H51" s="1072"/>
      <c r="I51" s="1072"/>
      <c r="J51" s="1072"/>
      <c r="K51" s="1073"/>
      <c r="L51" s="1074"/>
      <c r="M51" s="1075"/>
      <c r="N51" s="1075"/>
      <c r="O51" s="1075"/>
      <c r="P51" s="1075"/>
      <c r="Q51" s="1075"/>
      <c r="R51" s="1075"/>
      <c r="S51" s="1075"/>
      <c r="T51" s="1075"/>
      <c r="U51" s="1075"/>
      <c r="V51" s="1075"/>
      <c r="W51" s="1075"/>
      <c r="X51" s="1076"/>
      <c r="Y51" s="2"/>
      <c r="Z51" s="2"/>
      <c r="AA51" s="2"/>
      <c r="AB51" s="2"/>
      <c r="AC51" s="2"/>
      <c r="AD51" s="2"/>
      <c r="AE51" s="2"/>
      <c r="AF51" s="2"/>
      <c r="AG51" s="2"/>
      <c r="AH51" s="2"/>
      <c r="AI51" s="2"/>
      <c r="AJ51" s="2"/>
      <c r="AK51" s="2"/>
      <c r="AL51" s="2"/>
      <c r="AM51" s="2"/>
      <c r="AN51" s="2"/>
    </row>
    <row r="52" spans="1:40" ht="15.75" customHeight="1" x14ac:dyDescent="0.25">
      <c r="A52" s="3" t="s">
        <v>1106</v>
      </c>
      <c r="B52" s="3"/>
      <c r="C52" s="1"/>
      <c r="D52" s="3"/>
      <c r="E52" s="3" t="s">
        <v>91</v>
      </c>
      <c r="F52" s="3"/>
      <c r="G52" s="3"/>
      <c r="H52" s="3"/>
      <c r="I52" s="3"/>
      <c r="J52" s="1" t="s">
        <v>2100</v>
      </c>
      <c r="K52" s="333" t="s">
        <v>2167</v>
      </c>
      <c r="L52" s="4" t="s">
        <v>2146</v>
      </c>
      <c r="M52" s="1"/>
      <c r="N52" s="1" t="s">
        <v>2102</v>
      </c>
      <c r="O52" s="1"/>
      <c r="P52" s="1"/>
      <c r="Q52" s="1"/>
      <c r="R52" s="1"/>
      <c r="S52" s="1"/>
      <c r="T52" s="4"/>
      <c r="U52" s="4"/>
      <c r="V52" s="1"/>
      <c r="W52" s="1"/>
      <c r="X52" s="1"/>
    </row>
    <row r="53" spans="1:40" x14ac:dyDescent="0.25">
      <c r="A53" s="3" t="s">
        <v>1106</v>
      </c>
      <c r="B53" s="3"/>
      <c r="C53" s="1"/>
      <c r="D53" s="3"/>
      <c r="E53" s="3" t="s">
        <v>91</v>
      </c>
      <c r="F53" s="3"/>
      <c r="G53" s="3"/>
      <c r="H53" s="3"/>
      <c r="I53" s="3"/>
      <c r="J53" s="1" t="s">
        <v>2168</v>
      </c>
      <c r="K53" s="333" t="s">
        <v>2167</v>
      </c>
      <c r="L53" s="4" t="s">
        <v>2146</v>
      </c>
      <c r="M53" s="1"/>
      <c r="N53" s="1" t="s">
        <v>2107</v>
      </c>
      <c r="O53" s="1"/>
      <c r="P53" s="1"/>
      <c r="Q53" s="1"/>
      <c r="R53" s="1"/>
      <c r="S53" s="1"/>
      <c r="T53" s="4"/>
      <c r="U53" s="4"/>
      <c r="V53" s="1"/>
      <c r="W53" s="1"/>
      <c r="X53" s="1"/>
    </row>
    <row r="54" spans="1:40" ht="20.25" customHeight="1" x14ac:dyDescent="0.25">
      <c r="A54" s="3"/>
      <c r="B54" s="3"/>
      <c r="C54" s="742"/>
      <c r="D54" s="742"/>
      <c r="E54" s="1072"/>
      <c r="F54" s="1072"/>
      <c r="G54" s="1072"/>
      <c r="H54" s="1072"/>
      <c r="I54" s="1072"/>
      <c r="J54" s="1072"/>
      <c r="K54" s="1073"/>
      <c r="L54" s="1074"/>
      <c r="M54" s="1075"/>
      <c r="N54" s="1075"/>
      <c r="O54" s="1075"/>
      <c r="P54" s="1075"/>
      <c r="Q54" s="1075"/>
      <c r="R54" s="1075"/>
      <c r="S54" s="1075"/>
      <c r="T54" s="1075"/>
      <c r="U54" s="1075"/>
      <c r="V54" s="1075"/>
      <c r="W54" s="1075"/>
      <c r="X54" s="1076"/>
      <c r="Y54" s="2"/>
      <c r="Z54" s="2"/>
      <c r="AA54" s="2"/>
      <c r="AB54" s="2"/>
      <c r="AC54" s="2"/>
      <c r="AD54" s="2"/>
      <c r="AE54" s="2"/>
      <c r="AF54" s="2"/>
      <c r="AG54" s="2"/>
      <c r="AH54" s="2"/>
      <c r="AI54" s="2"/>
      <c r="AJ54" s="2"/>
      <c r="AK54" s="2"/>
      <c r="AL54" s="2"/>
      <c r="AM54" s="2"/>
      <c r="AN54" s="2"/>
    </row>
    <row r="55" spans="1:40" ht="15.75" customHeight="1" x14ac:dyDescent="0.25">
      <c r="A55" s="3"/>
      <c r="B55" s="3"/>
      <c r="C55" s="1"/>
      <c r="D55" s="3"/>
      <c r="E55" s="3"/>
      <c r="F55" s="3"/>
      <c r="G55" s="3"/>
      <c r="H55" s="3"/>
      <c r="I55" s="3"/>
      <c r="J55" s="1"/>
      <c r="K55" s="1"/>
      <c r="L55" s="5"/>
      <c r="M55" s="1"/>
      <c r="N55" s="1"/>
      <c r="O55" s="1"/>
      <c r="P55" s="1"/>
      <c r="Q55" s="1"/>
      <c r="R55" s="1"/>
      <c r="S55" s="1"/>
      <c r="T55" s="4"/>
      <c r="U55" s="4"/>
      <c r="V55" s="1"/>
      <c r="W55" s="1"/>
      <c r="X55" s="1"/>
    </row>
    <row r="56" spans="1:40" ht="15.75" customHeight="1" x14ac:dyDescent="0.25">
      <c r="A56" s="3"/>
      <c r="B56" s="3"/>
      <c r="C56" s="1"/>
      <c r="D56" s="3"/>
      <c r="E56" s="3"/>
      <c r="F56" s="3"/>
      <c r="G56" s="3"/>
      <c r="H56" s="3"/>
      <c r="I56" s="3"/>
      <c r="J56" s="1"/>
      <c r="K56" s="1"/>
      <c r="L56" s="5"/>
      <c r="M56" s="1"/>
      <c r="N56" s="1"/>
      <c r="O56" s="1"/>
      <c r="P56" s="1"/>
      <c r="Q56" s="1"/>
      <c r="R56" s="1"/>
      <c r="S56" s="1"/>
      <c r="T56" s="4"/>
      <c r="U56" s="4"/>
      <c r="V56" s="1"/>
      <c r="W56" s="1"/>
      <c r="X56" s="1"/>
    </row>
    <row r="57" spans="1:40" ht="15.75" customHeight="1" x14ac:dyDescent="0.25">
      <c r="A57" s="3"/>
      <c r="B57" s="3"/>
      <c r="C57" s="1"/>
      <c r="D57" s="3"/>
      <c r="E57" s="3"/>
      <c r="F57" s="3"/>
      <c r="G57" s="3"/>
      <c r="H57" s="3"/>
      <c r="I57" s="3"/>
      <c r="J57" s="1"/>
      <c r="K57" s="1"/>
      <c r="L57" s="5"/>
      <c r="M57" s="1"/>
      <c r="N57" s="1"/>
      <c r="O57" s="1"/>
      <c r="P57" s="1"/>
      <c r="Q57" s="1"/>
      <c r="R57" s="1"/>
      <c r="S57" s="1"/>
      <c r="T57" s="4"/>
      <c r="U57" s="4"/>
      <c r="V57" s="1"/>
      <c r="W57" s="1"/>
      <c r="X57" s="1"/>
    </row>
    <row r="58" spans="1:40" x14ac:dyDescent="0.25">
      <c r="A58" s="3"/>
      <c r="B58" s="3"/>
      <c r="J58" s="2"/>
    </row>
    <row r="59" spans="1:40" x14ac:dyDescent="0.25">
      <c r="A59" s="3"/>
      <c r="B59" s="3"/>
    </row>
    <row r="60" spans="1:40" x14ac:dyDescent="0.25">
      <c r="A60" s="3"/>
      <c r="B60" s="3"/>
      <c r="J60" s="2"/>
    </row>
    <row r="61" spans="1:40" x14ac:dyDescent="0.25">
      <c r="A61" s="3"/>
      <c r="B61" s="3"/>
    </row>
    <row r="62" spans="1:40" x14ac:dyDescent="0.25">
      <c r="A62" s="3"/>
      <c r="B62" s="3"/>
      <c r="J62" s="2"/>
    </row>
    <row r="63" spans="1:40" x14ac:dyDescent="0.25">
      <c r="A63" s="3"/>
      <c r="B63" s="3"/>
    </row>
    <row r="64" spans="1:40" x14ac:dyDescent="0.25">
      <c r="A64" s="3"/>
      <c r="B64" s="3"/>
      <c r="J64" s="2"/>
    </row>
    <row r="65" spans="1:10" x14ac:dyDescent="0.25">
      <c r="A65" s="3"/>
      <c r="B65" s="3"/>
    </row>
    <row r="66" spans="1:10" x14ac:dyDescent="0.25">
      <c r="A66" s="3"/>
      <c r="B66" s="3"/>
      <c r="J66" s="2"/>
    </row>
    <row r="67" spans="1:10" x14ac:dyDescent="0.25">
      <c r="A67" s="3"/>
      <c r="B67" s="3"/>
    </row>
    <row r="68" spans="1:10" x14ac:dyDescent="0.25">
      <c r="A68" s="3"/>
      <c r="B68" s="3"/>
      <c r="J68" s="2"/>
    </row>
    <row r="69" spans="1:10" x14ac:dyDescent="0.25">
      <c r="A69" s="3"/>
      <c r="B69" s="3"/>
    </row>
    <row r="70" spans="1:10" x14ac:dyDescent="0.25">
      <c r="A70" s="3"/>
      <c r="B70" s="3"/>
      <c r="J70" s="2"/>
    </row>
    <row r="71" spans="1:10" x14ac:dyDescent="0.25">
      <c r="A71" s="3"/>
      <c r="B71" s="3"/>
    </row>
    <row r="72" spans="1:10" x14ac:dyDescent="0.25">
      <c r="A72" s="3"/>
      <c r="B72" s="3"/>
      <c r="J72" s="2"/>
    </row>
    <row r="73" spans="1:10" x14ac:dyDescent="0.25">
      <c r="A73" s="3"/>
      <c r="B73" s="3"/>
    </row>
    <row r="74" spans="1:10" x14ac:dyDescent="0.25">
      <c r="A74" s="3"/>
      <c r="B74" s="3"/>
      <c r="J74" s="2"/>
    </row>
    <row r="75" spans="1:10" x14ac:dyDescent="0.25">
      <c r="A75" s="3"/>
      <c r="B75" s="3"/>
    </row>
    <row r="76" spans="1:10" x14ac:dyDescent="0.25">
      <c r="A76" s="3"/>
      <c r="B76" s="3"/>
      <c r="J76" s="2"/>
    </row>
    <row r="77" spans="1:10" x14ac:dyDescent="0.25">
      <c r="A77" s="3"/>
      <c r="B77" s="3"/>
    </row>
    <row r="78" spans="1:10" x14ac:dyDescent="0.25">
      <c r="A78" s="3"/>
      <c r="B78" s="3"/>
    </row>
    <row r="79" spans="1:10" x14ac:dyDescent="0.25">
      <c r="A79" s="3"/>
      <c r="B79" s="3"/>
    </row>
    <row r="80" spans="1:10" x14ac:dyDescent="0.25">
      <c r="A80" s="3"/>
      <c r="B80" s="3"/>
    </row>
    <row r="81" spans="1:2" x14ac:dyDescent="0.25">
      <c r="A81" s="3"/>
      <c r="B81" s="3"/>
    </row>
    <row r="82" spans="1:2" x14ac:dyDescent="0.25">
      <c r="A82" s="3"/>
      <c r="B82" s="3"/>
    </row>
    <row r="83" spans="1:2" x14ac:dyDescent="0.25">
      <c r="A83" s="3"/>
      <c r="B83" s="3"/>
    </row>
    <row r="84" spans="1:2" x14ac:dyDescent="0.25">
      <c r="A84" s="3"/>
      <c r="B84" s="3"/>
    </row>
    <row r="85" spans="1:2" x14ac:dyDescent="0.25">
      <c r="A85" s="3"/>
      <c r="B85" s="3"/>
    </row>
    <row r="86" spans="1:2" x14ac:dyDescent="0.25">
      <c r="A86" s="3"/>
      <c r="B86" s="3"/>
    </row>
    <row r="87" spans="1:2" x14ac:dyDescent="0.25">
      <c r="A87" s="3"/>
      <c r="B87" s="3"/>
    </row>
    <row r="88" spans="1:2" x14ac:dyDescent="0.25">
      <c r="A88" s="3"/>
      <c r="B88" s="3"/>
    </row>
    <row r="89" spans="1:2" x14ac:dyDescent="0.25">
      <c r="A89" s="3"/>
      <c r="B89" s="3"/>
    </row>
    <row r="90" spans="1:2" x14ac:dyDescent="0.25">
      <c r="A90" s="3"/>
      <c r="B90" s="3"/>
    </row>
    <row r="91" spans="1:2" x14ac:dyDescent="0.25">
      <c r="A91" s="3"/>
      <c r="B91" s="3"/>
    </row>
    <row r="92" spans="1:2" x14ac:dyDescent="0.25">
      <c r="A92" s="3"/>
      <c r="B92" s="3"/>
    </row>
    <row r="93" spans="1:2" x14ac:dyDescent="0.25">
      <c r="A93" s="3"/>
      <c r="B93" s="3"/>
    </row>
    <row r="94" spans="1:2" x14ac:dyDescent="0.25">
      <c r="A94" s="3"/>
      <c r="B94" s="3"/>
    </row>
    <row r="95" spans="1:2" x14ac:dyDescent="0.25">
      <c r="A95" s="3"/>
      <c r="B95" s="3"/>
    </row>
    <row r="96" spans="1:2" x14ac:dyDescent="0.25">
      <c r="A96" s="3"/>
      <c r="B96" s="3"/>
    </row>
    <row r="97" spans="1:2" x14ac:dyDescent="0.25">
      <c r="A97" s="3"/>
      <c r="B97" s="3"/>
    </row>
    <row r="98" spans="1:2" x14ac:dyDescent="0.25">
      <c r="A98" s="3"/>
      <c r="B98" s="3"/>
    </row>
    <row r="99" spans="1:2" x14ac:dyDescent="0.25">
      <c r="A99" s="3"/>
      <c r="B99" s="3"/>
    </row>
    <row r="100" spans="1:2" x14ac:dyDescent="0.25">
      <c r="A100" s="3"/>
      <c r="B100" s="3"/>
    </row>
    <row r="101" spans="1:2" x14ac:dyDescent="0.25">
      <c r="A101" s="3"/>
      <c r="B101" s="3"/>
    </row>
    <row r="102" spans="1:2" x14ac:dyDescent="0.25">
      <c r="A102" s="3"/>
      <c r="B102" s="3"/>
    </row>
    <row r="103" spans="1:2" x14ac:dyDescent="0.25">
      <c r="A103" s="3"/>
      <c r="B103" s="3"/>
    </row>
    <row r="104" spans="1:2" x14ac:dyDescent="0.25">
      <c r="A104" s="3"/>
      <c r="B104" s="3"/>
    </row>
    <row r="105" spans="1:2" x14ac:dyDescent="0.25">
      <c r="A105" s="3"/>
      <c r="B105" s="3"/>
    </row>
    <row r="106" spans="1:2" x14ac:dyDescent="0.25">
      <c r="A106" s="3"/>
      <c r="B106" s="3"/>
    </row>
    <row r="107" spans="1:2" x14ac:dyDescent="0.25">
      <c r="A107" s="3"/>
      <c r="B107" s="3"/>
    </row>
    <row r="108" spans="1:2" x14ac:dyDescent="0.25">
      <c r="A108" s="3"/>
      <c r="B108" s="3"/>
    </row>
    <row r="109" spans="1:2" x14ac:dyDescent="0.25">
      <c r="A109" s="3"/>
      <c r="B109" s="3"/>
    </row>
    <row r="110" spans="1:2" x14ac:dyDescent="0.25">
      <c r="A110" s="3"/>
      <c r="B110" s="3"/>
    </row>
    <row r="111" spans="1:2" x14ac:dyDescent="0.25">
      <c r="A111" s="3"/>
      <c r="B111" s="3"/>
    </row>
    <row r="112" spans="1:2" x14ac:dyDescent="0.25">
      <c r="A112" s="3"/>
      <c r="B112" s="3"/>
    </row>
    <row r="113" spans="1:2" x14ac:dyDescent="0.25">
      <c r="A113" s="3"/>
      <c r="B113" s="3"/>
    </row>
    <row r="114" spans="1:2" x14ac:dyDescent="0.25">
      <c r="A114" s="3"/>
      <c r="B114" s="3"/>
    </row>
    <row r="115" spans="1:2" x14ac:dyDescent="0.25">
      <c r="A115" s="3"/>
      <c r="B115" s="3"/>
    </row>
    <row r="116" spans="1:2" x14ac:dyDescent="0.25">
      <c r="A116" s="3"/>
      <c r="B116" s="3"/>
    </row>
    <row r="117" spans="1:2" x14ac:dyDescent="0.25">
      <c r="A117" s="3"/>
      <c r="B117" s="3"/>
    </row>
    <row r="118" spans="1:2" x14ac:dyDescent="0.25">
      <c r="A118" s="3"/>
      <c r="B118" s="3"/>
    </row>
    <row r="119" spans="1:2" x14ac:dyDescent="0.25">
      <c r="A119" s="3"/>
      <c r="B119" s="3"/>
    </row>
    <row r="120" spans="1:2" x14ac:dyDescent="0.25">
      <c r="A120" s="3"/>
      <c r="B120" s="3"/>
    </row>
    <row r="121" spans="1:2" x14ac:dyDescent="0.25">
      <c r="A121" s="3"/>
      <c r="B121" s="3"/>
    </row>
    <row r="122" spans="1:2" x14ac:dyDescent="0.25">
      <c r="A122" s="3"/>
      <c r="B122" s="3"/>
    </row>
    <row r="123" spans="1:2" x14ac:dyDescent="0.25">
      <c r="A123" s="3"/>
      <c r="B123" s="3"/>
    </row>
    <row r="124" spans="1:2" x14ac:dyDescent="0.25">
      <c r="A124" s="3"/>
      <c r="B124" s="3"/>
    </row>
    <row r="125" spans="1:2" x14ac:dyDescent="0.25">
      <c r="A125" s="3"/>
      <c r="B125" s="3"/>
    </row>
    <row r="126" spans="1:2" x14ac:dyDescent="0.25">
      <c r="A126" s="3"/>
      <c r="B126" s="3"/>
    </row>
    <row r="127" spans="1:2" x14ac:dyDescent="0.25">
      <c r="A127" s="3"/>
      <c r="B127" s="3"/>
    </row>
    <row r="128" spans="1:2" x14ac:dyDescent="0.25">
      <c r="A128" s="3"/>
      <c r="B128" s="3"/>
    </row>
    <row r="129" spans="1:25" s="2" customFormat="1" x14ac:dyDescent="0.25">
      <c r="A129" s="3"/>
      <c r="B129" s="3"/>
      <c r="C129"/>
      <c r="J129"/>
      <c r="K129"/>
      <c r="L129" s="323"/>
      <c r="M129"/>
      <c r="N129"/>
      <c r="O129"/>
      <c r="P129"/>
      <c r="Q129"/>
      <c r="R129"/>
      <c r="S129"/>
      <c r="T129"/>
      <c r="U129"/>
      <c r="V129"/>
      <c r="W129"/>
      <c r="X129"/>
      <c r="Y129"/>
    </row>
    <row r="130" spans="1:25" x14ac:dyDescent="0.25">
      <c r="A130" s="3"/>
      <c r="B130" s="3"/>
    </row>
    <row r="131" spans="1:25" x14ac:dyDescent="0.25">
      <c r="A131" s="3"/>
      <c r="B131" s="3"/>
    </row>
    <row r="132" spans="1:25" x14ac:dyDescent="0.25">
      <c r="A132" s="3"/>
      <c r="B132" s="3"/>
    </row>
    <row r="133" spans="1:25" x14ac:dyDescent="0.25">
      <c r="A133" s="3"/>
      <c r="B133" s="3"/>
    </row>
    <row r="134" spans="1:25" x14ac:dyDescent="0.25">
      <c r="A134" s="3"/>
      <c r="B134" s="3"/>
    </row>
    <row r="135" spans="1:25" x14ac:dyDescent="0.25">
      <c r="A135" s="3"/>
      <c r="B135" s="3"/>
    </row>
    <row r="136" spans="1:25" x14ac:dyDescent="0.25">
      <c r="A136" s="3"/>
      <c r="B136" s="3"/>
    </row>
    <row r="137" spans="1:25" s="2" customFormat="1" x14ac:dyDescent="0.25">
      <c r="A137" s="3"/>
      <c r="B137" s="3"/>
      <c r="C137"/>
      <c r="J137"/>
      <c r="K137"/>
      <c r="L137" s="323"/>
      <c r="M137"/>
      <c r="N137"/>
      <c r="O137"/>
      <c r="P137"/>
      <c r="Q137"/>
      <c r="R137"/>
      <c r="S137"/>
      <c r="T137"/>
      <c r="U137"/>
      <c r="V137"/>
      <c r="W137"/>
      <c r="X137"/>
      <c r="Y137"/>
    </row>
    <row r="138" spans="1:25" x14ac:dyDescent="0.25">
      <c r="A138" s="3"/>
      <c r="B138" s="3"/>
    </row>
    <row r="139" spans="1:25" x14ac:dyDescent="0.25">
      <c r="A139" s="3"/>
      <c r="B139" s="3"/>
    </row>
    <row r="140" spans="1:25" x14ac:dyDescent="0.25">
      <c r="A140" s="3"/>
      <c r="B140" s="3"/>
    </row>
    <row r="141" spans="1:25" x14ac:dyDescent="0.25">
      <c r="A141" s="3"/>
      <c r="B141" s="3"/>
    </row>
    <row r="142" spans="1:25" x14ac:dyDescent="0.25">
      <c r="A142" s="3"/>
      <c r="B142" s="3"/>
    </row>
    <row r="143" spans="1:25" x14ac:dyDescent="0.25">
      <c r="A143" s="3"/>
      <c r="B143" s="3"/>
    </row>
    <row r="144" spans="1:25" x14ac:dyDescent="0.25">
      <c r="A144" s="3"/>
      <c r="B144" s="3"/>
    </row>
    <row r="145" spans="1:2" x14ac:dyDescent="0.25">
      <c r="A145" s="3"/>
      <c r="B145" s="3"/>
    </row>
    <row r="146" spans="1:2" x14ac:dyDescent="0.25">
      <c r="A146" s="3"/>
      <c r="B146" s="3"/>
    </row>
    <row r="147" spans="1:2" x14ac:dyDescent="0.25">
      <c r="A147" s="3"/>
      <c r="B147" s="3"/>
    </row>
    <row r="148" spans="1:2" x14ac:dyDescent="0.25">
      <c r="A148" s="3"/>
      <c r="B148" s="3"/>
    </row>
    <row r="149" spans="1:2" x14ac:dyDescent="0.25">
      <c r="A149" s="3"/>
      <c r="B149" s="3"/>
    </row>
    <row r="150" spans="1:2" x14ac:dyDescent="0.25">
      <c r="A150" s="3"/>
      <c r="B150" s="3"/>
    </row>
    <row r="151" spans="1:2" x14ac:dyDescent="0.25">
      <c r="A151" s="3"/>
      <c r="B151" s="3"/>
    </row>
    <row r="152" spans="1:2" x14ac:dyDescent="0.25">
      <c r="A152" s="3"/>
      <c r="B152" s="3"/>
    </row>
    <row r="153" spans="1:2" x14ac:dyDescent="0.25">
      <c r="A153" s="3"/>
      <c r="B153" s="3"/>
    </row>
    <row r="154" spans="1:2" x14ac:dyDescent="0.25">
      <c r="A154" s="3"/>
      <c r="B154" s="3"/>
    </row>
    <row r="155" spans="1:2" x14ac:dyDescent="0.25">
      <c r="A155" s="3"/>
      <c r="B155" s="3"/>
    </row>
    <row r="156" spans="1:2" x14ac:dyDescent="0.25">
      <c r="A156" s="3"/>
      <c r="B156" s="3"/>
    </row>
    <row r="157" spans="1:2" x14ac:dyDescent="0.25">
      <c r="A157" s="3"/>
      <c r="B157" s="3"/>
    </row>
    <row r="158" spans="1:2" x14ac:dyDescent="0.25">
      <c r="A158" s="3"/>
      <c r="B158" s="3"/>
    </row>
    <row r="159" spans="1:2" x14ac:dyDescent="0.25">
      <c r="A159" s="3"/>
      <c r="B159" s="3"/>
    </row>
    <row r="160" spans="1:2" x14ac:dyDescent="0.25">
      <c r="A160" s="3"/>
      <c r="B160" s="3"/>
    </row>
    <row r="161" spans="1:2" x14ac:dyDescent="0.25">
      <c r="A161" s="3"/>
      <c r="B161" s="3"/>
    </row>
    <row r="162" spans="1:2" x14ac:dyDescent="0.25">
      <c r="A162" s="3"/>
      <c r="B162" s="3"/>
    </row>
    <row r="163" spans="1:2" x14ac:dyDescent="0.25">
      <c r="A163" s="3"/>
      <c r="B163" s="3"/>
    </row>
    <row r="164" spans="1:2" x14ac:dyDescent="0.25">
      <c r="A164" s="3"/>
      <c r="B164" s="3"/>
    </row>
    <row r="165" spans="1:2" x14ac:dyDescent="0.25">
      <c r="A165" s="3"/>
      <c r="B165" s="3"/>
    </row>
    <row r="166" spans="1:2" x14ac:dyDescent="0.25">
      <c r="A166" s="3"/>
      <c r="B166" s="3"/>
    </row>
    <row r="167" spans="1:2" x14ac:dyDescent="0.25">
      <c r="A167" s="3"/>
      <c r="B167" s="3"/>
    </row>
    <row r="168" spans="1:2" x14ac:dyDescent="0.25">
      <c r="A168" s="3"/>
      <c r="B168" s="3"/>
    </row>
    <row r="169" spans="1:2" x14ac:dyDescent="0.25">
      <c r="A169" s="3"/>
      <c r="B169" s="3"/>
    </row>
    <row r="170" spans="1:2" x14ac:dyDescent="0.25">
      <c r="A170" s="3"/>
      <c r="B170" s="3"/>
    </row>
    <row r="171" spans="1:2" x14ac:dyDescent="0.25">
      <c r="A171" s="3"/>
      <c r="B171" s="3"/>
    </row>
    <row r="172" spans="1:2" x14ac:dyDescent="0.25">
      <c r="A172" s="3"/>
      <c r="B172" s="3"/>
    </row>
    <row r="173" spans="1:2" x14ac:dyDescent="0.25">
      <c r="A173" s="3"/>
      <c r="B173" s="3"/>
    </row>
    <row r="174" spans="1:2" x14ac:dyDescent="0.25">
      <c r="A174" s="3"/>
      <c r="B174" s="3"/>
    </row>
    <row r="175" spans="1:2" x14ac:dyDescent="0.25">
      <c r="A175" s="3"/>
      <c r="B175" s="3"/>
    </row>
    <row r="176" spans="1:2" x14ac:dyDescent="0.25">
      <c r="A176" s="3"/>
      <c r="B176" s="3"/>
    </row>
    <row r="177" spans="1:25" x14ac:dyDescent="0.25">
      <c r="A177" s="3"/>
      <c r="B177" s="3"/>
    </row>
    <row r="178" spans="1:25" x14ac:dyDescent="0.25">
      <c r="A178" s="3"/>
      <c r="B178" s="3"/>
    </row>
    <row r="179" spans="1:25" x14ac:dyDescent="0.25">
      <c r="A179" s="3"/>
      <c r="B179" s="3"/>
    </row>
    <row r="180" spans="1:25" x14ac:dyDescent="0.25">
      <c r="A180" s="3"/>
      <c r="B180" s="3"/>
    </row>
    <row r="181" spans="1:25" x14ac:dyDescent="0.25">
      <c r="A181" s="3"/>
      <c r="B181" s="3"/>
    </row>
    <row r="182" spans="1:25" x14ac:dyDescent="0.25">
      <c r="A182" s="3"/>
      <c r="B182" s="3"/>
    </row>
    <row r="183" spans="1:25" x14ac:dyDescent="0.25">
      <c r="A183" s="3"/>
      <c r="B183" s="3"/>
    </row>
    <row r="184" spans="1:25" s="2" customFormat="1" x14ac:dyDescent="0.25">
      <c r="A184" s="3"/>
      <c r="B184" s="3"/>
      <c r="C184"/>
      <c r="J184"/>
      <c r="K184"/>
      <c r="L184" s="323"/>
      <c r="M184"/>
      <c r="N184"/>
      <c r="O184"/>
      <c r="P184"/>
      <c r="Q184"/>
      <c r="R184"/>
      <c r="S184"/>
      <c r="T184"/>
      <c r="U184"/>
      <c r="V184"/>
      <c r="W184"/>
      <c r="X184"/>
      <c r="Y184"/>
    </row>
    <row r="185" spans="1:25" x14ac:dyDescent="0.25">
      <c r="A185" s="3"/>
      <c r="B185" s="3"/>
    </row>
  </sheetData>
  <mergeCells count="7">
    <mergeCell ref="E51:X51"/>
    <mergeCell ref="E54:X54"/>
    <mergeCell ref="D8:I8"/>
    <mergeCell ref="E10:X10"/>
    <mergeCell ref="E18:X18"/>
    <mergeCell ref="E42:X42"/>
    <mergeCell ref="E44:X44"/>
  </mergeCells>
  <conditionalFormatting sqref="U1:X8 S9:X57 T58:X305">
    <cfRule type="containsText" dxfId="31" priority="1" operator="containsText" text="ja">
      <formula>NOT(ISERROR(SEARCH(("ja"),(U1))))</formula>
    </cfRule>
    <cfRule type="containsText" dxfId="30" priority="2" operator="containsText" text="nein">
      <formula>NOT(ISERROR(SEARCH(("nein"),(U1))))</formula>
    </cfRule>
  </conditionalFormatting>
  <dataValidations count="3">
    <dataValidation type="list" errorStyle="warning" showErrorMessage="1" sqref="A11:A13 A15:A185" xr:uid="{00000000-0002-0000-0600-000000000000}">
      <formula1>"ja,nein"</formula1>
    </dataValidation>
    <dataValidation type="list" errorStyle="warning" showErrorMessage="1" sqref="U19:U41 U43 U45:U50 U52:U53 U55:U57 T19:T41 T43 T45:T50 T52:T53 T55:T57 T11:U17" xr:uid="{00000000-0002-0000-0600-000001000000}">
      <formula1>"unbestimmt, ja, nein"</formula1>
    </dataValidation>
    <dataValidation type="list" errorStyle="warning" showErrorMessage="1" sqref="B11:B185" xr:uid="{00000000-0002-0000-0600-000002000000}">
      <formula1>"ELA,Meistertask,Cleverreach,Synology,Miro,Google,WhatsApp,Canva,Adobe,Contao,Wiki,ecoDMS,Wiki,Facebook,Instagram,TikTok,LinkedIn,Youtube,Xing,X,SalesForce,Lexware,Volksbank,Articulate,Outlook,easy2book,Domainfactory,1&amp;1"</formula1>
    </dataValidation>
  </dataValidations>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AN322"/>
  <sheetViews>
    <sheetView workbookViewId="0">
      <pane ySplit="9" topLeftCell="A169" activePane="bottomLeft" state="frozen"/>
      <selection pane="bottomLeft" activeCell="G33" sqref="G33"/>
    </sheetView>
  </sheetViews>
  <sheetFormatPr baseColWidth="10" defaultColWidth="14.5703125" defaultRowHeight="15" x14ac:dyDescent="0.25"/>
  <cols>
    <col min="1" max="1" width="11.42578125" customWidth="1"/>
    <col min="2" max="2" width="11.28515625" customWidth="1"/>
    <col min="3" max="3" width="6.140625" customWidth="1"/>
    <col min="4" max="9" width="3.42578125" style="2" customWidth="1"/>
    <col min="10" max="10" width="46.7109375" customWidth="1"/>
    <col min="11" max="11" width="83" customWidth="1"/>
    <col min="12" max="12" width="24.5703125" style="323" customWidth="1"/>
    <col min="13" max="13" width="17" customWidth="1"/>
    <col min="14" max="14" width="35.28515625" customWidth="1"/>
    <col min="15" max="17" width="17" customWidth="1"/>
    <col min="18" max="18" width="52" customWidth="1"/>
    <col min="20" max="20" width="14.42578125" customWidth="1"/>
    <col min="21" max="21" width="13.85546875" customWidth="1"/>
    <col min="22" max="23" width="31.85546875" customWidth="1"/>
    <col min="24" max="24" width="14.42578125" customWidth="1"/>
  </cols>
  <sheetData>
    <row r="2" spans="1:24" x14ac:dyDescent="0.25">
      <c r="I2" s="837"/>
      <c r="J2" t="s">
        <v>0</v>
      </c>
    </row>
    <row r="3" spans="1:24" x14ac:dyDescent="0.25">
      <c r="I3" s="67"/>
      <c r="J3" t="s">
        <v>1</v>
      </c>
    </row>
    <row r="4" spans="1:24" x14ac:dyDescent="0.25">
      <c r="I4" s="347"/>
      <c r="J4" t="s">
        <v>2</v>
      </c>
    </row>
    <row r="5" spans="1:24" x14ac:dyDescent="0.25">
      <c r="I5" s="348"/>
      <c r="J5" t="s">
        <v>3</v>
      </c>
    </row>
    <row r="6" spans="1:24" x14ac:dyDescent="0.25">
      <c r="I6" s="349"/>
      <c r="J6" t="s">
        <v>4</v>
      </c>
    </row>
    <row r="8" spans="1:24" x14ac:dyDescent="0.25">
      <c r="A8" s="122" t="s">
        <v>5</v>
      </c>
      <c r="B8" s="122" t="s">
        <v>6</v>
      </c>
      <c r="C8" s="838" t="s">
        <v>7</v>
      </c>
      <c r="D8" s="1151" t="s">
        <v>8</v>
      </c>
      <c r="E8" s="1152"/>
      <c r="F8" s="1152"/>
      <c r="G8" s="1152"/>
      <c r="H8" s="1152"/>
      <c r="I8" s="1153"/>
    </row>
    <row r="9" spans="1:24" s="2" customFormat="1" ht="36.75" customHeight="1" x14ac:dyDescent="0.2">
      <c r="A9" s="7"/>
      <c r="B9" s="7"/>
      <c r="C9" s="7"/>
      <c r="D9" s="7" t="s">
        <v>9</v>
      </c>
      <c r="E9" s="32" t="s">
        <v>10</v>
      </c>
      <c r="F9" s="32" t="s">
        <v>11</v>
      </c>
      <c r="G9" s="32" t="s">
        <v>12</v>
      </c>
      <c r="H9" s="32" t="s">
        <v>13</v>
      </c>
      <c r="I9" s="32" t="s">
        <v>14</v>
      </c>
      <c r="J9" s="737" t="s">
        <v>15</v>
      </c>
      <c r="K9" s="738" t="s">
        <v>16</v>
      </c>
      <c r="L9" s="739" t="s">
        <v>17</v>
      </c>
      <c r="M9" s="740" t="s">
        <v>18</v>
      </c>
      <c r="N9" s="740" t="s">
        <v>19</v>
      </c>
      <c r="O9" s="33" t="s">
        <v>20</v>
      </c>
      <c r="P9" s="740" t="s">
        <v>21</v>
      </c>
      <c r="Q9" s="740" t="s">
        <v>22</v>
      </c>
      <c r="R9" s="740" t="s">
        <v>23</v>
      </c>
      <c r="S9" s="741" t="s">
        <v>24</v>
      </c>
      <c r="T9" s="34" t="s">
        <v>25</v>
      </c>
      <c r="U9" s="34" t="s">
        <v>26</v>
      </c>
      <c r="V9" s="35" t="s">
        <v>27</v>
      </c>
      <c r="W9" s="34" t="s">
        <v>28</v>
      </c>
      <c r="X9" s="34" t="s">
        <v>29</v>
      </c>
    </row>
    <row r="10" spans="1:24" s="2" customFormat="1" ht="20.25" customHeight="1" x14ac:dyDescent="0.2">
      <c r="A10" s="742"/>
      <c r="B10" s="742"/>
      <c r="C10" s="742"/>
      <c r="D10" s="742">
        <v>1</v>
      </c>
      <c r="E10" s="1072" t="s">
        <v>2169</v>
      </c>
      <c r="F10" s="1072"/>
      <c r="G10" s="1072"/>
      <c r="H10" s="1072"/>
      <c r="I10" s="1072"/>
      <c r="J10" s="1072"/>
      <c r="K10" s="1073"/>
      <c r="L10" s="1074"/>
      <c r="M10" s="1075"/>
      <c r="N10" s="1075"/>
      <c r="O10" s="1075"/>
      <c r="P10" s="1075"/>
      <c r="Q10" s="1075"/>
      <c r="R10" s="1075"/>
      <c r="S10" s="1075"/>
      <c r="T10" s="1075"/>
      <c r="U10" s="1075"/>
      <c r="V10" s="1075"/>
      <c r="W10" s="1075"/>
      <c r="X10" s="1076"/>
    </row>
    <row r="11" spans="1:24" s="2" customFormat="1" ht="60" x14ac:dyDescent="0.25">
      <c r="A11" s="3"/>
      <c r="B11" s="3"/>
      <c r="C11" s="3"/>
      <c r="D11" s="3"/>
      <c r="E11" s="3" t="s">
        <v>91</v>
      </c>
      <c r="F11" s="3"/>
      <c r="G11" s="3"/>
      <c r="H11" s="3"/>
      <c r="I11" s="3"/>
      <c r="J11" s="841" t="s">
        <v>1395</v>
      </c>
      <c r="K11" s="290"/>
      <c r="L11" s="332"/>
      <c r="M11" s="6"/>
      <c r="N11" s="6" t="s">
        <v>2170</v>
      </c>
      <c r="O11" s="10"/>
      <c r="P11" s="6"/>
      <c r="Q11" s="6"/>
      <c r="R11" s="10"/>
      <c r="S11" s="3"/>
      <c r="T11" s="4"/>
      <c r="U11" s="4"/>
      <c r="V11" s="3"/>
      <c r="W11" s="3"/>
      <c r="X11" s="3"/>
    </row>
    <row r="12" spans="1:24" s="2" customFormat="1" x14ac:dyDescent="0.25">
      <c r="A12" s="3"/>
      <c r="B12" s="3"/>
      <c r="C12" s="3"/>
      <c r="D12" s="3"/>
      <c r="E12" s="3"/>
      <c r="F12" s="3" t="s">
        <v>91</v>
      </c>
      <c r="G12" s="3"/>
      <c r="H12" s="3"/>
      <c r="I12" s="3"/>
      <c r="J12" s="6" t="s">
        <v>1397</v>
      </c>
      <c r="K12" s="6" t="s">
        <v>2171</v>
      </c>
      <c r="L12" s="760" t="s">
        <v>2172</v>
      </c>
      <c r="M12" s="6"/>
      <c r="N12" s="10"/>
      <c r="O12" s="10"/>
      <c r="P12" s="6"/>
      <c r="Q12" s="6"/>
      <c r="R12" s="10"/>
      <c r="S12" s="3"/>
      <c r="T12" s="4"/>
      <c r="U12" s="4"/>
      <c r="V12" s="3"/>
      <c r="W12" s="3"/>
      <c r="X12" s="3"/>
    </row>
    <row r="13" spans="1:24" s="2" customFormat="1" x14ac:dyDescent="0.25">
      <c r="A13" s="3"/>
      <c r="B13" s="3"/>
      <c r="C13" s="3"/>
      <c r="D13" s="3"/>
      <c r="E13" s="3"/>
      <c r="F13" s="3"/>
      <c r="G13" s="3" t="s">
        <v>91</v>
      </c>
      <c r="H13" s="3"/>
      <c r="I13" s="3"/>
      <c r="J13" s="290" t="s">
        <v>1401</v>
      </c>
      <c r="K13" s="290" t="s">
        <v>1402</v>
      </c>
      <c r="L13" s="16" t="s">
        <v>212</v>
      </c>
      <c r="M13" s="6"/>
      <c r="N13" s="10"/>
      <c r="O13" s="10"/>
      <c r="P13" s="6"/>
      <c r="Q13" s="6"/>
      <c r="R13" s="10"/>
      <c r="S13" s="3"/>
      <c r="T13" s="4"/>
      <c r="U13" s="4"/>
      <c r="V13" s="3"/>
      <c r="W13" s="3"/>
      <c r="X13" s="3"/>
    </row>
    <row r="14" spans="1:24" s="2" customFormat="1" x14ac:dyDescent="0.25">
      <c r="A14" s="3"/>
      <c r="B14" s="3"/>
      <c r="C14" s="3"/>
      <c r="D14" s="3"/>
      <c r="E14" s="3"/>
      <c r="F14" s="3"/>
      <c r="G14" s="3" t="s">
        <v>91</v>
      </c>
      <c r="H14" s="3"/>
      <c r="I14" s="3"/>
      <c r="J14" s="290" t="s">
        <v>1403</v>
      </c>
      <c r="K14" s="290" t="s">
        <v>2173</v>
      </c>
      <c r="L14" s="759" t="s">
        <v>2172</v>
      </c>
      <c r="M14" s="6"/>
      <c r="N14" s="10"/>
      <c r="O14" s="10"/>
      <c r="P14" s="6"/>
      <c r="Q14" s="6"/>
      <c r="R14" s="10"/>
      <c r="S14" s="3"/>
      <c r="T14" s="4"/>
      <c r="U14" s="4"/>
      <c r="V14" s="3"/>
      <c r="W14" s="3"/>
      <c r="X14" s="3"/>
    </row>
    <row r="15" spans="1:24" s="2" customFormat="1" x14ac:dyDescent="0.25">
      <c r="A15" s="3"/>
      <c r="B15" s="3"/>
      <c r="C15" s="3"/>
      <c r="D15" s="3"/>
      <c r="E15" s="3"/>
      <c r="F15" s="3" t="s">
        <v>91</v>
      </c>
      <c r="G15" s="3"/>
      <c r="H15" s="3"/>
      <c r="I15" s="3"/>
      <c r="J15" s="24" t="s">
        <v>1406</v>
      </c>
      <c r="K15" s="6" t="s">
        <v>2174</v>
      </c>
      <c r="L15" s="759" t="s">
        <v>2172</v>
      </c>
      <c r="M15" s="6"/>
      <c r="N15" s="10"/>
      <c r="O15" s="10"/>
      <c r="P15" s="6"/>
      <c r="Q15" s="6"/>
      <c r="R15" s="10"/>
      <c r="S15" s="3"/>
      <c r="T15" s="4"/>
      <c r="U15" s="4"/>
      <c r="V15" s="3"/>
      <c r="W15" s="3"/>
      <c r="X15" s="3"/>
    </row>
    <row r="16" spans="1:24" s="2" customFormat="1" x14ac:dyDescent="0.25">
      <c r="A16" s="3"/>
      <c r="B16" s="3"/>
      <c r="C16" s="3"/>
      <c r="D16" s="3"/>
      <c r="E16" s="3" t="s">
        <v>91</v>
      </c>
      <c r="F16" s="3"/>
      <c r="G16" s="3"/>
      <c r="H16" s="3"/>
      <c r="I16" s="3"/>
      <c r="J16" s="841" t="s">
        <v>2175</v>
      </c>
      <c r="K16" s="616" t="s">
        <v>2176</v>
      </c>
      <c r="L16" s="854"/>
      <c r="M16" s="6"/>
      <c r="N16" s="10"/>
      <c r="O16" s="10"/>
      <c r="P16" s="6"/>
      <c r="Q16" s="6"/>
      <c r="R16" s="10"/>
      <c r="S16" s="3"/>
      <c r="T16" s="4"/>
      <c r="U16" s="4"/>
      <c r="V16" s="3"/>
      <c r="W16" s="3"/>
      <c r="X16" s="3"/>
    </row>
    <row r="17" spans="1:40" s="2" customFormat="1" x14ac:dyDescent="0.25">
      <c r="A17" s="3"/>
      <c r="B17" s="3"/>
      <c r="C17" s="3"/>
      <c r="D17" s="3"/>
      <c r="E17" s="3" t="s">
        <v>91</v>
      </c>
      <c r="F17" s="3"/>
      <c r="G17" s="3"/>
      <c r="H17" s="3"/>
      <c r="I17" s="3"/>
      <c r="J17" s="841" t="s">
        <v>1420</v>
      </c>
      <c r="K17" s="616" t="s">
        <v>2177</v>
      </c>
      <c r="L17" s="327"/>
      <c r="M17" s="6"/>
      <c r="N17" s="10"/>
      <c r="O17" s="10"/>
      <c r="P17" s="6"/>
      <c r="Q17" s="6"/>
      <c r="R17" s="10"/>
      <c r="S17" s="3"/>
      <c r="T17" s="4"/>
      <c r="U17" s="4"/>
      <c r="V17" s="3"/>
      <c r="W17" s="3"/>
      <c r="X17" s="3"/>
    </row>
    <row r="18" spans="1:40" s="2" customFormat="1" x14ac:dyDescent="0.25">
      <c r="A18" s="3"/>
      <c r="B18" s="3"/>
      <c r="C18" s="3"/>
      <c r="D18" s="3"/>
      <c r="E18" s="3" t="s">
        <v>91</v>
      </c>
      <c r="F18" s="3"/>
      <c r="G18" s="3"/>
      <c r="H18" s="3"/>
      <c r="I18" s="3"/>
      <c r="J18" s="841" t="s">
        <v>1424</v>
      </c>
      <c r="K18" s="616"/>
      <c r="L18" s="327"/>
      <c r="M18" s="6"/>
      <c r="N18" s="10"/>
      <c r="O18" s="10"/>
      <c r="P18" s="6"/>
      <c r="Q18" s="6"/>
      <c r="R18" s="10"/>
      <c r="S18" s="3"/>
      <c r="T18" s="4"/>
      <c r="U18" s="4"/>
      <c r="V18" s="3"/>
      <c r="W18" s="3"/>
      <c r="X18" s="3"/>
    </row>
    <row r="19" spans="1:40" s="2" customFormat="1" x14ac:dyDescent="0.25">
      <c r="A19" s="3"/>
      <c r="B19" s="3"/>
      <c r="C19" s="3"/>
      <c r="D19" s="3"/>
      <c r="E19" s="3"/>
      <c r="F19" s="3" t="s">
        <v>91</v>
      </c>
      <c r="G19" s="3"/>
      <c r="H19" s="3"/>
      <c r="I19" s="3"/>
      <c r="J19" s="6" t="s">
        <v>2178</v>
      </c>
      <c r="K19" s="6" t="s">
        <v>2179</v>
      </c>
      <c r="L19" s="151" t="s">
        <v>358</v>
      </c>
      <c r="M19" s="6"/>
      <c r="N19" s="10"/>
      <c r="O19" s="10"/>
      <c r="P19" s="6"/>
      <c r="Q19" s="6"/>
      <c r="R19" s="10"/>
      <c r="S19" s="3"/>
      <c r="T19" s="4"/>
      <c r="U19" s="4"/>
      <c r="V19" s="3"/>
      <c r="W19" s="3"/>
      <c r="X19" s="3"/>
    </row>
    <row r="20" spans="1:40" s="2" customFormat="1" x14ac:dyDescent="0.25">
      <c r="A20" s="3"/>
      <c r="B20" s="3"/>
      <c r="C20" s="3"/>
      <c r="D20" s="3"/>
      <c r="E20" s="3"/>
      <c r="F20" s="3" t="s">
        <v>91</v>
      </c>
      <c r="G20" s="3"/>
      <c r="H20" s="3"/>
      <c r="I20" s="3"/>
      <c r="J20" s="1" t="s">
        <v>1489</v>
      </c>
      <c r="K20" s="6" t="s">
        <v>2180</v>
      </c>
      <c r="L20" s="151" t="s">
        <v>358</v>
      </c>
      <c r="M20" s="6"/>
      <c r="N20" s="10"/>
      <c r="O20" s="10"/>
      <c r="P20" s="6"/>
      <c r="Q20" s="6"/>
      <c r="R20" s="10"/>
      <c r="S20" s="3"/>
      <c r="T20" s="4"/>
      <c r="U20" s="4"/>
      <c r="V20" s="3"/>
      <c r="W20" s="3"/>
      <c r="X20" s="3"/>
    </row>
    <row r="21" spans="1:40" s="2" customFormat="1" x14ac:dyDescent="0.25">
      <c r="A21" s="3"/>
      <c r="B21" s="3"/>
      <c r="C21" s="3"/>
      <c r="D21" s="3"/>
      <c r="E21" s="3" t="s">
        <v>91</v>
      </c>
      <c r="F21" s="3"/>
      <c r="G21" s="3"/>
      <c r="H21" s="3"/>
      <c r="I21" s="3"/>
      <c r="J21" s="841" t="s">
        <v>2181</v>
      </c>
      <c r="K21" s="6"/>
      <c r="L21" s="327"/>
      <c r="M21" s="6"/>
      <c r="N21" s="10"/>
      <c r="O21" s="10"/>
      <c r="P21" s="6"/>
      <c r="Q21" s="6"/>
      <c r="R21" s="10"/>
      <c r="S21" s="3"/>
      <c r="T21" s="4"/>
      <c r="U21" s="4"/>
      <c r="V21" s="3"/>
      <c r="W21" s="3"/>
      <c r="X21" s="3"/>
    </row>
    <row r="22" spans="1:40" s="2" customFormat="1" x14ac:dyDescent="0.25">
      <c r="A22" s="3"/>
      <c r="B22" s="3"/>
      <c r="C22" s="3"/>
      <c r="D22" s="3"/>
      <c r="E22" s="3"/>
      <c r="F22" s="3" t="s">
        <v>91</v>
      </c>
      <c r="G22" s="3"/>
      <c r="H22" s="3"/>
      <c r="I22" s="3"/>
      <c r="J22" s="6" t="s">
        <v>2182</v>
      </c>
      <c r="K22" s="6" t="s">
        <v>2183</v>
      </c>
      <c r="L22" s="760" t="s">
        <v>2172</v>
      </c>
      <c r="M22" s="6"/>
      <c r="N22" s="10"/>
      <c r="O22" s="10"/>
      <c r="P22" s="6"/>
      <c r="Q22" s="6"/>
      <c r="R22" s="10"/>
      <c r="S22" s="3"/>
      <c r="T22" s="4"/>
      <c r="U22" s="4"/>
      <c r="V22" s="3"/>
      <c r="W22" s="3"/>
      <c r="X22" s="3"/>
    </row>
    <row r="23" spans="1:40" s="2" customFormat="1" x14ac:dyDescent="0.25">
      <c r="A23" s="3"/>
      <c r="B23" s="3"/>
      <c r="C23" s="335"/>
      <c r="D23" s="335"/>
      <c r="E23" s="335"/>
      <c r="F23" s="335" t="s">
        <v>91</v>
      </c>
      <c r="G23" s="335"/>
      <c r="H23" s="335"/>
      <c r="I23" s="335"/>
      <c r="J23" s="6" t="s">
        <v>2184</v>
      </c>
      <c r="K23" s="6" t="s">
        <v>2185</v>
      </c>
      <c r="L23" s="760" t="s">
        <v>2172</v>
      </c>
      <c r="M23" s="24"/>
      <c r="N23" s="24"/>
      <c r="O23" s="24"/>
      <c r="P23" s="24"/>
      <c r="Q23" s="24"/>
      <c r="R23" s="24"/>
      <c r="S23" s="335"/>
      <c r="T23" s="336"/>
      <c r="U23" s="336"/>
      <c r="V23" s="335"/>
      <c r="W23" s="335"/>
      <c r="X23" s="335"/>
      <c r="Y23" s="320"/>
      <c r="Z23" s="320"/>
      <c r="AA23" s="320"/>
      <c r="AB23" s="320"/>
      <c r="AC23" s="320"/>
      <c r="AD23" s="320"/>
      <c r="AE23" s="320"/>
      <c r="AF23" s="320"/>
      <c r="AG23" s="320"/>
      <c r="AH23" s="320"/>
      <c r="AI23" s="320"/>
      <c r="AJ23" s="320"/>
      <c r="AK23" s="320"/>
      <c r="AL23" s="320"/>
      <c r="AM23" s="320"/>
      <c r="AN23" s="320"/>
    </row>
    <row r="24" spans="1:40" s="2" customFormat="1" ht="60" x14ac:dyDescent="0.25">
      <c r="A24" s="3"/>
      <c r="B24" s="3"/>
      <c r="C24" s="335"/>
      <c r="D24" s="335"/>
      <c r="E24" s="335"/>
      <c r="F24" s="335" t="s">
        <v>91</v>
      </c>
      <c r="G24" s="335"/>
      <c r="H24" s="335"/>
      <c r="I24" s="335"/>
      <c r="J24" s="6" t="s">
        <v>2186</v>
      </c>
      <c r="K24" s="6" t="s">
        <v>2187</v>
      </c>
      <c r="L24" s="760" t="s">
        <v>2172</v>
      </c>
      <c r="M24" s="24"/>
      <c r="N24" s="6" t="s">
        <v>2188</v>
      </c>
      <c r="O24" s="24"/>
      <c r="P24" s="24"/>
      <c r="Q24" s="24"/>
      <c r="R24" s="24"/>
      <c r="S24" s="335"/>
      <c r="T24" s="336"/>
      <c r="U24" s="336"/>
      <c r="V24" s="335"/>
      <c r="W24" s="335"/>
      <c r="X24" s="335"/>
      <c r="Y24" s="320"/>
      <c r="Z24" s="320"/>
      <c r="AA24" s="320"/>
      <c r="AB24" s="320"/>
      <c r="AC24" s="320"/>
      <c r="AD24" s="320"/>
      <c r="AE24" s="320"/>
      <c r="AF24" s="320"/>
      <c r="AG24" s="320"/>
      <c r="AH24" s="320"/>
      <c r="AI24" s="320"/>
      <c r="AJ24" s="320"/>
      <c r="AK24" s="320"/>
      <c r="AL24" s="320"/>
      <c r="AM24" s="320"/>
      <c r="AN24" s="320"/>
    </row>
    <row r="25" spans="1:40" s="2" customFormat="1" x14ac:dyDescent="0.25">
      <c r="A25" s="3"/>
      <c r="B25" s="3"/>
      <c r="C25" s="3"/>
      <c r="D25" s="3"/>
      <c r="E25" s="3" t="s">
        <v>91</v>
      </c>
      <c r="F25" s="3"/>
      <c r="G25" s="3"/>
      <c r="H25" s="3"/>
      <c r="I25" s="3"/>
      <c r="J25" s="841" t="s">
        <v>2189</v>
      </c>
      <c r="K25" s="6"/>
      <c r="L25" s="326"/>
      <c r="M25" s="6"/>
      <c r="N25" s="10"/>
      <c r="O25" s="10"/>
      <c r="P25" s="6"/>
      <c r="Q25" s="6"/>
      <c r="R25" s="10"/>
      <c r="S25" s="3"/>
      <c r="T25" s="4"/>
      <c r="U25" s="4"/>
      <c r="V25" s="3"/>
      <c r="W25" s="3"/>
      <c r="X25" s="3"/>
    </row>
    <row r="26" spans="1:40" s="2" customFormat="1" ht="45" x14ac:dyDescent="0.25">
      <c r="A26" s="3"/>
      <c r="B26" s="3"/>
      <c r="C26" s="3"/>
      <c r="D26" s="3"/>
      <c r="E26" s="3"/>
      <c r="F26" s="3" t="s">
        <v>91</v>
      </c>
      <c r="G26" s="3"/>
      <c r="H26" s="3"/>
      <c r="I26" s="3"/>
      <c r="J26" s="6" t="s">
        <v>2190</v>
      </c>
      <c r="K26" s="6" t="s">
        <v>2191</v>
      </c>
      <c r="L26" s="356" t="s">
        <v>2192</v>
      </c>
      <c r="M26" s="6"/>
      <c r="N26" s="10"/>
      <c r="O26" s="10"/>
      <c r="P26" s="6"/>
      <c r="Q26" s="6"/>
      <c r="R26" s="10"/>
      <c r="S26" s="3"/>
      <c r="T26" s="4"/>
      <c r="U26" s="4"/>
      <c r="V26" s="3"/>
      <c r="W26" s="3"/>
      <c r="X26" s="3"/>
    </row>
    <row r="27" spans="1:40" ht="60" x14ac:dyDescent="0.25">
      <c r="A27" s="3"/>
      <c r="B27" s="3"/>
      <c r="C27" s="3"/>
      <c r="D27" s="3"/>
      <c r="E27" s="3"/>
      <c r="F27" s="3" t="s">
        <v>91</v>
      </c>
      <c r="G27" s="3"/>
      <c r="H27" s="3"/>
      <c r="I27" s="3"/>
      <c r="J27" s="6" t="s">
        <v>2193</v>
      </c>
      <c r="K27" s="6" t="s">
        <v>2194</v>
      </c>
      <c r="L27" s="356" t="s">
        <v>2195</v>
      </c>
      <c r="M27" s="6"/>
      <c r="N27" s="6" t="s">
        <v>2196</v>
      </c>
      <c r="O27" s="10"/>
      <c r="P27" s="6"/>
      <c r="Q27" s="6"/>
      <c r="R27" s="10"/>
      <c r="S27" s="3"/>
      <c r="T27" s="4"/>
      <c r="U27" s="4"/>
      <c r="V27" s="3"/>
      <c r="W27" s="3"/>
      <c r="X27" s="3"/>
      <c r="Y27" s="2"/>
      <c r="Z27" s="2"/>
      <c r="AA27" s="2"/>
      <c r="AB27" s="2"/>
      <c r="AC27" s="2"/>
      <c r="AD27" s="2"/>
      <c r="AE27" s="2"/>
      <c r="AF27" s="2"/>
      <c r="AG27" s="2"/>
      <c r="AH27" s="2"/>
      <c r="AI27" s="2"/>
      <c r="AJ27" s="2"/>
      <c r="AK27" s="2"/>
      <c r="AL27" s="2"/>
      <c r="AM27" s="2"/>
      <c r="AN27" s="2"/>
    </row>
    <row r="28" spans="1:40" x14ac:dyDescent="0.25">
      <c r="A28" s="3"/>
      <c r="B28" s="3"/>
      <c r="C28" s="1"/>
      <c r="D28" s="3"/>
      <c r="E28" s="3" t="s">
        <v>91</v>
      </c>
      <c r="F28" s="3"/>
      <c r="G28" s="3"/>
      <c r="H28" s="3"/>
      <c r="I28" s="3"/>
      <c r="J28" s="841" t="s">
        <v>2197</v>
      </c>
      <c r="K28" s="6"/>
      <c r="L28" s="326"/>
      <c r="M28" s="6"/>
      <c r="N28" s="6"/>
      <c r="O28" s="6"/>
      <c r="P28" s="6"/>
      <c r="Q28" s="6"/>
      <c r="R28" s="6"/>
      <c r="S28" s="1"/>
      <c r="T28" s="4"/>
      <c r="U28" s="4"/>
      <c r="V28" s="1"/>
      <c r="W28" s="1"/>
      <c r="X28" s="1"/>
    </row>
    <row r="29" spans="1:40" ht="26.25" x14ac:dyDescent="0.25">
      <c r="A29" s="3"/>
      <c r="B29" s="3"/>
      <c r="C29" s="1"/>
      <c r="D29" s="3"/>
      <c r="E29" s="3"/>
      <c r="F29" s="3" t="s">
        <v>91</v>
      </c>
      <c r="G29" s="3"/>
      <c r="H29" s="3"/>
      <c r="I29" s="3"/>
      <c r="J29" s="341" t="s">
        <v>2198</v>
      </c>
      <c r="K29" s="341" t="s">
        <v>2199</v>
      </c>
      <c r="L29" s="385" t="s">
        <v>2200</v>
      </c>
      <c r="M29" s="6"/>
      <c r="N29" s="6"/>
      <c r="O29" s="6"/>
      <c r="P29" s="6"/>
      <c r="Q29" s="6"/>
      <c r="R29" s="6"/>
      <c r="S29" s="1"/>
      <c r="T29" s="4"/>
      <c r="U29" s="4"/>
      <c r="V29" s="1"/>
      <c r="W29" s="1"/>
      <c r="X29" s="1"/>
    </row>
    <row r="30" spans="1:40" ht="26.25" x14ac:dyDescent="0.25">
      <c r="A30" s="3"/>
      <c r="B30" s="3"/>
      <c r="C30" s="1"/>
      <c r="D30" s="3"/>
      <c r="E30" s="3"/>
      <c r="F30" s="3" t="s">
        <v>91</v>
      </c>
      <c r="G30" s="3"/>
      <c r="H30" s="3"/>
      <c r="I30" s="3"/>
      <c r="J30" s="341" t="s">
        <v>2201</v>
      </c>
      <c r="K30" s="341" t="s">
        <v>2202</v>
      </c>
      <c r="L30" s="340" t="s">
        <v>2203</v>
      </c>
      <c r="M30" s="6"/>
      <c r="N30" s="6"/>
      <c r="O30" s="6"/>
      <c r="P30" s="6"/>
      <c r="Q30" s="6"/>
      <c r="R30" s="6"/>
      <c r="S30" s="1"/>
      <c r="T30" s="4"/>
      <c r="U30" s="4"/>
      <c r="V30" s="1"/>
      <c r="W30" s="1"/>
      <c r="X30" s="1"/>
    </row>
    <row r="31" spans="1:40" ht="75" x14ac:dyDescent="0.25">
      <c r="A31" s="3"/>
      <c r="B31" s="3"/>
      <c r="C31" s="1"/>
      <c r="D31" s="3"/>
      <c r="E31" s="3" t="s">
        <v>91</v>
      </c>
      <c r="F31" s="3"/>
      <c r="G31" s="3"/>
      <c r="H31" s="3"/>
      <c r="I31" s="3"/>
      <c r="J31" s="841" t="s">
        <v>1452</v>
      </c>
      <c r="K31" s="6"/>
      <c r="L31" s="326"/>
      <c r="M31" s="6"/>
      <c r="N31" s="6" t="s">
        <v>2204</v>
      </c>
      <c r="O31" s="6"/>
      <c r="P31" s="6"/>
      <c r="Q31" s="6"/>
      <c r="R31" s="6"/>
      <c r="S31" s="1"/>
      <c r="T31" s="4"/>
      <c r="U31" s="4"/>
      <c r="V31" s="1"/>
      <c r="W31" s="1"/>
      <c r="X31" s="1"/>
    </row>
    <row r="32" spans="1:40" ht="75" x14ac:dyDescent="0.25">
      <c r="A32" s="3"/>
      <c r="B32" s="3"/>
      <c r="C32" s="1"/>
      <c r="D32" s="3"/>
      <c r="E32" s="3"/>
      <c r="F32" s="3"/>
      <c r="G32" s="3" t="s">
        <v>91</v>
      </c>
      <c r="H32" s="3"/>
      <c r="I32" s="3"/>
      <c r="J32" s="6" t="s">
        <v>2205</v>
      </c>
      <c r="K32" s="6" t="s">
        <v>2206</v>
      </c>
      <c r="L32" s="151" t="s">
        <v>358</v>
      </c>
      <c r="M32" s="6"/>
      <c r="N32" s="6" t="s">
        <v>2207</v>
      </c>
      <c r="O32" s="6"/>
      <c r="P32" s="6"/>
      <c r="Q32" s="6"/>
      <c r="R32" s="6"/>
      <c r="S32" s="1"/>
      <c r="T32" s="4"/>
      <c r="U32" s="4"/>
      <c r="V32" s="1"/>
      <c r="W32" s="1"/>
      <c r="X32" s="1"/>
    </row>
    <row r="33" spans="1:40" ht="60" x14ac:dyDescent="0.25">
      <c r="A33" s="3"/>
      <c r="B33" s="3"/>
      <c r="C33" s="1"/>
      <c r="D33" s="3"/>
      <c r="E33" s="3"/>
      <c r="F33" s="3"/>
      <c r="G33" s="3" t="s">
        <v>91</v>
      </c>
      <c r="H33" s="3"/>
      <c r="I33" s="3"/>
      <c r="J33" s="6" t="s">
        <v>2208</v>
      </c>
      <c r="K33" s="6" t="s">
        <v>2209</v>
      </c>
      <c r="L33" s="151" t="s">
        <v>358</v>
      </c>
      <c r="M33" s="6"/>
      <c r="N33" s="6" t="s">
        <v>2210</v>
      </c>
      <c r="O33" s="6"/>
      <c r="P33" s="6"/>
      <c r="Q33" s="6"/>
      <c r="R33" s="6"/>
      <c r="S33" s="1"/>
      <c r="T33" s="4"/>
      <c r="U33" s="4"/>
      <c r="V33" s="1"/>
      <c r="W33" s="1"/>
      <c r="X33" s="1"/>
    </row>
    <row r="34" spans="1:40" x14ac:dyDescent="0.25">
      <c r="A34" s="3"/>
      <c r="B34" s="3"/>
      <c r="C34" s="1"/>
      <c r="D34" s="3"/>
      <c r="E34" s="3"/>
      <c r="F34" s="3"/>
      <c r="G34" s="3" t="s">
        <v>91</v>
      </c>
      <c r="H34" s="3"/>
      <c r="I34" s="3"/>
      <c r="J34" s="841" t="s">
        <v>1460</v>
      </c>
      <c r="K34" s="6"/>
      <c r="L34" s="4"/>
      <c r="M34" s="6"/>
      <c r="N34" s="6"/>
      <c r="O34" s="6"/>
      <c r="P34" s="6"/>
      <c r="Q34" s="6"/>
      <c r="R34" s="6"/>
      <c r="S34" s="1"/>
      <c r="T34" s="4"/>
      <c r="U34" s="4"/>
      <c r="V34" s="1"/>
      <c r="W34" s="1"/>
      <c r="X34" s="1"/>
    </row>
    <row r="35" spans="1:40" x14ac:dyDescent="0.25">
      <c r="A35" s="3"/>
      <c r="B35" s="3"/>
      <c r="C35" s="1"/>
      <c r="D35" s="3"/>
      <c r="E35" s="3"/>
      <c r="F35" s="3"/>
      <c r="G35" s="3" t="s">
        <v>91</v>
      </c>
      <c r="H35" s="3"/>
      <c r="I35" s="3"/>
      <c r="J35" s="341" t="s">
        <v>2211</v>
      </c>
      <c r="K35" s="341" t="s">
        <v>2212</v>
      </c>
      <c r="L35" s="151" t="s">
        <v>358</v>
      </c>
      <c r="M35" s="6"/>
      <c r="N35" s="6"/>
      <c r="O35" s="6"/>
      <c r="P35" s="6"/>
      <c r="Q35" s="6"/>
      <c r="R35" s="6"/>
      <c r="S35" s="1"/>
      <c r="T35" s="4"/>
      <c r="U35" s="4"/>
      <c r="V35" s="1"/>
      <c r="W35" s="1"/>
      <c r="X35" s="1"/>
    </row>
    <row r="36" spans="1:40" ht="26.25" x14ac:dyDescent="0.25">
      <c r="A36" s="3"/>
      <c r="B36" s="3"/>
      <c r="C36" s="1"/>
      <c r="D36" s="3"/>
      <c r="E36" s="3"/>
      <c r="F36" s="3"/>
      <c r="G36" s="3" t="s">
        <v>91</v>
      </c>
      <c r="H36" s="3"/>
      <c r="I36" s="3"/>
      <c r="J36" s="341" t="s">
        <v>2213</v>
      </c>
      <c r="K36" s="341" t="s">
        <v>2214</v>
      </c>
      <c r="L36" s="385" t="s">
        <v>2200</v>
      </c>
      <c r="M36" s="6"/>
      <c r="N36" s="6"/>
      <c r="O36" s="6"/>
      <c r="P36" s="6"/>
      <c r="Q36" s="6"/>
      <c r="R36" s="6"/>
      <c r="S36" s="1"/>
      <c r="T36" s="4"/>
      <c r="U36" s="4"/>
      <c r="V36" s="1"/>
      <c r="W36" s="1"/>
      <c r="X36" s="1"/>
    </row>
    <row r="37" spans="1:40" x14ac:dyDescent="0.25">
      <c r="A37" s="3"/>
      <c r="B37" s="3"/>
      <c r="C37" s="1"/>
      <c r="D37" s="3"/>
      <c r="E37" s="3"/>
      <c r="F37" s="3"/>
      <c r="G37" s="3" t="s">
        <v>91</v>
      </c>
      <c r="H37" s="3"/>
      <c r="I37" s="3"/>
      <c r="J37" s="341" t="s">
        <v>2215</v>
      </c>
      <c r="K37" s="341" t="s">
        <v>2216</v>
      </c>
      <c r="L37" s="340" t="s">
        <v>2217</v>
      </c>
      <c r="M37" s="6"/>
      <c r="N37" s="6"/>
      <c r="O37" s="6"/>
      <c r="P37" s="6"/>
      <c r="Q37" s="6"/>
      <c r="R37" s="6"/>
      <c r="S37" s="1"/>
      <c r="T37" s="4"/>
      <c r="U37" s="4"/>
      <c r="V37" s="1"/>
      <c r="W37" s="1"/>
      <c r="X37" s="1"/>
    </row>
    <row r="38" spans="1:40" ht="75" x14ac:dyDescent="0.25">
      <c r="A38" s="3"/>
      <c r="B38" s="3"/>
      <c r="C38" s="1"/>
      <c r="D38" s="3"/>
      <c r="E38" s="3"/>
      <c r="F38" s="3"/>
      <c r="G38" s="3" t="s">
        <v>91</v>
      </c>
      <c r="H38" s="3"/>
      <c r="I38" s="3"/>
      <c r="J38" s="846" t="s">
        <v>2218</v>
      </c>
      <c r="K38" s="341"/>
      <c r="L38" s="340"/>
      <c r="M38" s="6"/>
      <c r="N38" s="6" t="s">
        <v>2219</v>
      </c>
      <c r="O38" s="6"/>
      <c r="P38" s="6"/>
      <c r="Q38" s="6"/>
      <c r="R38" s="6"/>
      <c r="S38" s="1"/>
      <c r="T38" s="4"/>
      <c r="U38" s="4"/>
      <c r="V38" s="1"/>
      <c r="W38" s="1"/>
      <c r="X38" s="1"/>
    </row>
    <row r="39" spans="1:40" ht="90" x14ac:dyDescent="0.25">
      <c r="A39" s="3"/>
      <c r="B39" s="3"/>
      <c r="C39" s="1"/>
      <c r="D39" s="3"/>
      <c r="E39" s="3"/>
      <c r="F39" s="3"/>
      <c r="G39" s="3" t="s">
        <v>91</v>
      </c>
      <c r="H39" s="3"/>
      <c r="I39" s="3"/>
      <c r="J39" s="341" t="s">
        <v>2220</v>
      </c>
      <c r="K39" s="341" t="s">
        <v>2221</v>
      </c>
      <c r="L39" s="385" t="s">
        <v>2222</v>
      </c>
      <c r="M39" s="6"/>
      <c r="N39" s="6" t="s">
        <v>2223</v>
      </c>
      <c r="O39" s="6"/>
      <c r="P39" s="6"/>
      <c r="Q39" s="6"/>
      <c r="R39" s="6"/>
      <c r="S39" s="1"/>
      <c r="T39" s="4"/>
      <c r="U39" s="4"/>
      <c r="V39" s="1"/>
      <c r="W39" s="1"/>
      <c r="X39" s="1"/>
    </row>
    <row r="40" spans="1:40" ht="26.25" x14ac:dyDescent="0.25">
      <c r="A40" s="3"/>
      <c r="B40" s="3"/>
      <c r="C40" s="1"/>
      <c r="D40" s="3"/>
      <c r="E40" s="3"/>
      <c r="F40" s="3"/>
      <c r="G40" s="3" t="s">
        <v>91</v>
      </c>
      <c r="H40" s="3"/>
      <c r="I40" s="3"/>
      <c r="J40" s="341" t="s">
        <v>2224</v>
      </c>
      <c r="K40" s="341" t="s">
        <v>2225</v>
      </c>
      <c r="L40" s="340" t="s">
        <v>2226</v>
      </c>
      <c r="M40" s="6"/>
      <c r="N40" s="6"/>
      <c r="O40" s="6"/>
      <c r="P40" s="6"/>
      <c r="Q40" s="6"/>
      <c r="R40" s="6"/>
      <c r="S40" s="1"/>
      <c r="T40" s="4"/>
      <c r="U40" s="4"/>
      <c r="V40" s="1"/>
      <c r="W40" s="1"/>
      <c r="X40" s="1"/>
    </row>
    <row r="41" spans="1:40" ht="60" x14ac:dyDescent="0.25">
      <c r="A41" s="3"/>
      <c r="B41" s="3"/>
      <c r="C41" s="1"/>
      <c r="D41" s="3"/>
      <c r="E41" s="3"/>
      <c r="F41" s="3"/>
      <c r="G41" s="3" t="s">
        <v>91</v>
      </c>
      <c r="H41" s="3"/>
      <c r="I41" s="3"/>
      <c r="J41" s="846" t="s">
        <v>2227</v>
      </c>
      <c r="K41" s="341"/>
      <c r="L41" s="343"/>
      <c r="M41" s="6"/>
      <c r="N41" s="6" t="s">
        <v>2228</v>
      </c>
      <c r="O41" s="6"/>
      <c r="P41" s="6"/>
      <c r="Q41" s="6"/>
      <c r="R41" s="6"/>
      <c r="S41" s="1"/>
      <c r="T41" s="4"/>
      <c r="U41" s="4"/>
      <c r="V41" s="1"/>
      <c r="W41" s="1"/>
      <c r="X41" s="1"/>
    </row>
    <row r="42" spans="1:40" ht="60" x14ac:dyDescent="0.25">
      <c r="A42" s="3"/>
      <c r="B42" s="3"/>
      <c r="C42" s="1"/>
      <c r="D42" s="3"/>
      <c r="E42" s="3"/>
      <c r="F42" s="3"/>
      <c r="G42" s="3" t="s">
        <v>91</v>
      </c>
      <c r="H42" s="3"/>
      <c r="I42" s="3"/>
      <c r="J42" s="341" t="s">
        <v>2229</v>
      </c>
      <c r="K42" s="341" t="s">
        <v>2230</v>
      </c>
      <c r="L42" s="385" t="s">
        <v>2200</v>
      </c>
      <c r="M42" s="6"/>
      <c r="N42" s="6" t="s">
        <v>2231</v>
      </c>
      <c r="O42" s="6"/>
      <c r="P42" s="6"/>
      <c r="Q42" s="6"/>
      <c r="R42" s="6"/>
      <c r="S42" s="1"/>
      <c r="T42" s="4"/>
      <c r="U42" s="4"/>
      <c r="V42" s="1"/>
      <c r="W42" s="1"/>
      <c r="X42" s="1"/>
    </row>
    <row r="43" spans="1:40" ht="45" x14ac:dyDescent="0.25">
      <c r="A43" s="3"/>
      <c r="B43" s="3"/>
      <c r="C43" s="1"/>
      <c r="D43" s="3"/>
      <c r="E43" s="3"/>
      <c r="F43" s="3"/>
      <c r="G43" s="3" t="s">
        <v>91</v>
      </c>
      <c r="H43" s="3"/>
      <c r="I43" s="3"/>
      <c r="J43" s="341" t="s">
        <v>2232</v>
      </c>
      <c r="K43" s="341" t="s">
        <v>2233</v>
      </c>
      <c r="L43" s="340" t="s">
        <v>2217</v>
      </c>
      <c r="M43" s="6"/>
      <c r="N43" s="6" t="s">
        <v>2234</v>
      </c>
      <c r="O43" s="6"/>
      <c r="P43" s="6"/>
      <c r="Q43" s="6"/>
      <c r="R43" s="6"/>
      <c r="S43" s="1"/>
      <c r="T43" s="4"/>
      <c r="U43" s="4"/>
      <c r="V43" s="1"/>
      <c r="W43" s="1"/>
      <c r="X43" s="1"/>
    </row>
    <row r="44" spans="1:40" ht="20.25" customHeight="1" x14ac:dyDescent="0.25">
      <c r="A44" s="3"/>
      <c r="B44" s="3"/>
      <c r="C44" s="742"/>
      <c r="D44" s="742">
        <v>2</v>
      </c>
      <c r="E44" s="1072" t="s">
        <v>1124</v>
      </c>
      <c r="F44" s="1072"/>
      <c r="G44" s="1072"/>
      <c r="H44" s="1072"/>
      <c r="I44" s="1072"/>
      <c r="J44" s="1072"/>
      <c r="K44" s="1073"/>
      <c r="L44" s="1074"/>
      <c r="M44" s="1075"/>
      <c r="N44" s="1075"/>
      <c r="O44" s="1075"/>
      <c r="P44" s="1075"/>
      <c r="Q44" s="1075"/>
      <c r="R44" s="1075"/>
      <c r="S44" s="1075"/>
      <c r="T44" s="1075"/>
      <c r="U44" s="1075"/>
      <c r="V44" s="1075"/>
      <c r="W44" s="1075"/>
      <c r="X44" s="1076"/>
      <c r="Y44" s="2"/>
      <c r="Z44" s="2"/>
      <c r="AA44" s="2"/>
      <c r="AB44" s="2"/>
      <c r="AC44" s="2"/>
      <c r="AD44" s="2"/>
      <c r="AE44" s="2"/>
      <c r="AF44" s="2"/>
      <c r="AG44" s="2"/>
      <c r="AH44" s="2"/>
      <c r="AI44" s="2"/>
      <c r="AJ44" s="2"/>
      <c r="AK44" s="2"/>
      <c r="AL44" s="2"/>
      <c r="AM44" s="2"/>
      <c r="AN44" s="2"/>
    </row>
    <row r="45" spans="1:40" x14ac:dyDescent="0.25">
      <c r="A45" s="3"/>
      <c r="B45" s="3"/>
      <c r="C45" s="1"/>
      <c r="D45" s="3"/>
      <c r="E45" s="3" t="s">
        <v>91</v>
      </c>
      <c r="F45" s="3"/>
      <c r="G45" s="3"/>
      <c r="H45" s="3"/>
      <c r="I45" s="3"/>
      <c r="J45" s="351" t="s">
        <v>1125</v>
      </c>
      <c r="K45" s="616" t="s">
        <v>2235</v>
      </c>
      <c r="L45" s="326"/>
      <c r="M45" s="1"/>
      <c r="N45" s="1"/>
      <c r="O45" s="1"/>
      <c r="P45" s="1"/>
      <c r="Q45" s="1"/>
      <c r="R45" s="1"/>
      <c r="S45" s="1"/>
      <c r="T45" s="4"/>
      <c r="U45" s="4"/>
      <c r="V45" s="1"/>
      <c r="W45" s="1"/>
      <c r="X45" s="1"/>
    </row>
    <row r="46" spans="1:40" x14ac:dyDescent="0.25">
      <c r="A46" s="3"/>
      <c r="B46" s="3"/>
      <c r="C46" s="1"/>
      <c r="D46" s="3"/>
      <c r="E46" s="3" t="s">
        <v>91</v>
      </c>
      <c r="F46" s="3"/>
      <c r="G46" s="3"/>
      <c r="H46" s="3"/>
      <c r="I46" s="3"/>
      <c r="J46" s="351" t="s">
        <v>1510</v>
      </c>
      <c r="K46" s="616" t="s">
        <v>2236</v>
      </c>
      <c r="L46" s="326"/>
      <c r="M46" s="1"/>
      <c r="N46" s="1"/>
      <c r="O46" s="1"/>
      <c r="P46" s="1"/>
      <c r="Q46" s="1"/>
      <c r="R46" s="1"/>
      <c r="S46" s="1"/>
      <c r="T46" s="4"/>
      <c r="U46" s="4"/>
      <c r="V46" s="1"/>
      <c r="W46" s="1"/>
      <c r="X46" s="1"/>
    </row>
    <row r="47" spans="1:40" x14ac:dyDescent="0.25">
      <c r="A47" s="3"/>
      <c r="B47" s="3"/>
      <c r="C47" s="1"/>
      <c r="D47" s="3"/>
      <c r="E47" s="3" t="s">
        <v>91</v>
      </c>
      <c r="F47" s="3"/>
      <c r="G47" s="3"/>
      <c r="H47" s="3"/>
      <c r="I47" s="3"/>
      <c r="J47" s="351" t="s">
        <v>1513</v>
      </c>
      <c r="K47" s="333" t="s">
        <v>2237</v>
      </c>
      <c r="L47" s="326"/>
      <c r="M47" s="1"/>
      <c r="N47" s="1"/>
      <c r="O47" s="1"/>
      <c r="P47" s="1"/>
      <c r="Q47" s="1"/>
      <c r="R47" s="1"/>
      <c r="S47" s="1"/>
      <c r="T47" s="4"/>
      <c r="U47" s="4"/>
      <c r="V47" s="1"/>
      <c r="W47" s="1"/>
      <c r="X47" s="1"/>
    </row>
    <row r="48" spans="1:40" x14ac:dyDescent="0.25">
      <c r="A48" s="3"/>
      <c r="B48" s="3"/>
      <c r="C48" s="1"/>
      <c r="D48" s="3"/>
      <c r="E48" s="3" t="s">
        <v>91</v>
      </c>
      <c r="F48" s="3"/>
      <c r="G48" s="3"/>
      <c r="H48" s="3"/>
      <c r="I48" s="3"/>
      <c r="J48" s="351" t="s">
        <v>1516</v>
      </c>
      <c r="K48" s="333" t="s">
        <v>2238</v>
      </c>
      <c r="L48" s="326"/>
      <c r="M48" s="1"/>
      <c r="N48" s="1"/>
      <c r="O48" s="1"/>
      <c r="P48" s="1"/>
      <c r="Q48" s="1"/>
      <c r="R48" s="1"/>
      <c r="S48" s="1"/>
      <c r="T48" s="4"/>
      <c r="U48" s="4"/>
      <c r="V48" s="1"/>
      <c r="W48" s="1"/>
      <c r="X48" s="1"/>
    </row>
    <row r="49" spans="1:40" x14ac:dyDescent="0.25">
      <c r="A49" s="3"/>
      <c r="B49" s="3"/>
      <c r="C49" s="1"/>
      <c r="D49" s="3"/>
      <c r="E49" s="3" t="s">
        <v>91</v>
      </c>
      <c r="F49" s="3"/>
      <c r="G49" s="3"/>
      <c r="H49" s="3"/>
      <c r="I49" s="3"/>
      <c r="J49" s="351" t="s">
        <v>1149</v>
      </c>
      <c r="K49" s="333" t="s">
        <v>2239</v>
      </c>
      <c r="L49" s="326"/>
      <c r="M49" s="1"/>
      <c r="N49" s="1"/>
      <c r="O49" s="1"/>
      <c r="P49" s="1"/>
      <c r="Q49" s="1"/>
      <c r="R49" s="1"/>
      <c r="S49" s="1"/>
      <c r="T49" s="4"/>
      <c r="U49" s="4"/>
      <c r="V49" s="1"/>
      <c r="W49" s="1"/>
      <c r="X49" s="1"/>
    </row>
    <row r="50" spans="1:40" ht="20.25" customHeight="1" x14ac:dyDescent="0.25">
      <c r="A50" s="3"/>
      <c r="B50" s="3"/>
      <c r="C50" s="742"/>
      <c r="D50" s="742">
        <v>3</v>
      </c>
      <c r="E50" s="1072" t="s">
        <v>2240</v>
      </c>
      <c r="F50" s="1072"/>
      <c r="G50" s="1072"/>
      <c r="H50" s="1072"/>
      <c r="I50" s="1072"/>
      <c r="J50" s="1072"/>
      <c r="K50" s="1073"/>
      <c r="L50" s="1074"/>
      <c r="M50" s="1075"/>
      <c r="N50" s="1075"/>
      <c r="O50" s="1075"/>
      <c r="P50" s="1075"/>
      <c r="Q50" s="1075"/>
      <c r="R50" s="1075"/>
      <c r="S50" s="1075"/>
      <c r="T50" s="1075"/>
      <c r="U50" s="1075"/>
      <c r="V50" s="1075"/>
      <c r="W50" s="1075"/>
      <c r="X50" s="1076"/>
      <c r="Y50" s="2"/>
      <c r="Z50" s="2"/>
      <c r="AA50" s="2"/>
      <c r="AB50" s="2"/>
      <c r="AC50" s="2"/>
      <c r="AD50" s="2"/>
      <c r="AE50" s="2"/>
      <c r="AF50" s="2"/>
      <c r="AG50" s="2"/>
      <c r="AH50" s="2"/>
      <c r="AI50" s="2"/>
      <c r="AJ50" s="2"/>
      <c r="AK50" s="2"/>
      <c r="AL50" s="2"/>
      <c r="AM50" s="2"/>
      <c r="AN50" s="2"/>
    </row>
    <row r="51" spans="1:40" x14ac:dyDescent="0.25">
      <c r="A51" s="3"/>
      <c r="B51" s="3"/>
      <c r="C51" s="1"/>
      <c r="D51" s="3"/>
      <c r="E51" s="3" t="s">
        <v>91</v>
      </c>
      <c r="F51" s="3"/>
      <c r="G51" s="3"/>
      <c r="H51" s="3"/>
      <c r="I51" s="3"/>
      <c r="J51" s="351" t="s">
        <v>1528</v>
      </c>
      <c r="K51" s="1"/>
      <c r="L51" s="326"/>
      <c r="M51" s="1"/>
      <c r="N51" s="1" t="s">
        <v>2241</v>
      </c>
      <c r="O51" s="1"/>
      <c r="P51" s="1"/>
      <c r="Q51" s="1"/>
      <c r="R51" s="1"/>
      <c r="S51" s="1"/>
      <c r="T51" s="4"/>
      <c r="U51" s="4"/>
      <c r="V51" s="1"/>
      <c r="W51" s="1"/>
      <c r="X51" s="1"/>
    </row>
    <row r="52" spans="1:40" x14ac:dyDescent="0.25">
      <c r="A52" s="3"/>
      <c r="B52" s="3"/>
      <c r="C52" s="1"/>
      <c r="D52" s="3"/>
      <c r="E52" s="3" t="s">
        <v>91</v>
      </c>
      <c r="F52" s="3"/>
      <c r="G52" s="3"/>
      <c r="H52" s="3"/>
      <c r="I52" s="3"/>
      <c r="J52" s="1" t="s">
        <v>2242</v>
      </c>
      <c r="K52" s="1" t="s">
        <v>2243</v>
      </c>
      <c r="L52" s="4" t="s">
        <v>2192</v>
      </c>
      <c r="M52" s="1"/>
      <c r="N52" s="1"/>
      <c r="O52" s="1"/>
      <c r="P52" s="1"/>
      <c r="Q52" s="1"/>
      <c r="R52" s="1"/>
      <c r="S52" s="1"/>
      <c r="T52" s="4"/>
      <c r="U52" s="4"/>
      <c r="V52" s="1"/>
      <c r="W52" s="1"/>
      <c r="X52" s="1"/>
    </row>
    <row r="53" spans="1:40" x14ac:dyDescent="0.25">
      <c r="A53" s="3"/>
      <c r="B53" s="3"/>
      <c r="C53" s="1"/>
      <c r="D53" s="3"/>
      <c r="E53" s="3" t="s">
        <v>91</v>
      </c>
      <c r="F53" s="3"/>
      <c r="G53" s="3"/>
      <c r="H53" s="3"/>
      <c r="I53" s="3"/>
      <c r="J53" s="1" t="s">
        <v>2244</v>
      </c>
      <c r="K53" s="1" t="s">
        <v>2245</v>
      </c>
      <c r="L53" s="4" t="s">
        <v>2192</v>
      </c>
      <c r="M53" s="1"/>
      <c r="N53" s="1" t="s">
        <v>2246</v>
      </c>
      <c r="O53" s="1"/>
      <c r="P53" s="1"/>
      <c r="Q53" s="1"/>
      <c r="R53" s="1"/>
      <c r="S53" s="1"/>
      <c r="T53" s="4"/>
      <c r="U53" s="4"/>
      <c r="V53" s="1"/>
      <c r="W53" s="1"/>
      <c r="X53" s="1"/>
    </row>
    <row r="54" spans="1:40" x14ac:dyDescent="0.25">
      <c r="A54" s="3"/>
      <c r="B54" s="3"/>
      <c r="C54" s="1"/>
      <c r="D54" s="3"/>
      <c r="E54" s="3"/>
      <c r="F54" s="3" t="s">
        <v>91</v>
      </c>
      <c r="G54" s="3"/>
      <c r="H54" s="3"/>
      <c r="I54" s="3"/>
      <c r="J54" s="1" t="s">
        <v>2247</v>
      </c>
      <c r="K54" s="1" t="s">
        <v>2248</v>
      </c>
      <c r="L54" s="4" t="s">
        <v>2192</v>
      </c>
      <c r="M54" s="1"/>
      <c r="N54" s="1" t="s">
        <v>2249</v>
      </c>
      <c r="O54" s="1"/>
      <c r="P54" s="1"/>
      <c r="Q54" s="1"/>
      <c r="R54" s="1"/>
      <c r="S54" s="1"/>
      <c r="T54" s="4"/>
      <c r="U54" s="4"/>
      <c r="V54" s="1"/>
      <c r="W54" s="1"/>
      <c r="X54" s="1"/>
    </row>
    <row r="55" spans="1:40" x14ac:dyDescent="0.25">
      <c r="A55" s="3"/>
      <c r="B55" s="3"/>
      <c r="C55" s="1"/>
      <c r="D55" s="3"/>
      <c r="E55" s="3"/>
      <c r="F55" s="3" t="s">
        <v>91</v>
      </c>
      <c r="G55" s="3"/>
      <c r="H55" s="3"/>
      <c r="I55" s="3"/>
      <c r="J55" s="1" t="s">
        <v>2250</v>
      </c>
      <c r="K55" s="1" t="s">
        <v>2251</v>
      </c>
      <c r="L55" s="4" t="s">
        <v>2192</v>
      </c>
      <c r="M55" s="1"/>
      <c r="N55" s="1" t="s">
        <v>2252</v>
      </c>
      <c r="O55" s="1"/>
      <c r="P55" s="1"/>
      <c r="Q55" s="1"/>
      <c r="R55" s="1"/>
      <c r="S55" s="1"/>
      <c r="T55" s="4"/>
      <c r="U55" s="4"/>
      <c r="V55" s="1"/>
      <c r="W55" s="1"/>
      <c r="X55" s="1"/>
    </row>
    <row r="56" spans="1:40" x14ac:dyDescent="0.25">
      <c r="A56" s="3"/>
      <c r="B56" s="3"/>
      <c r="C56" s="1"/>
      <c r="D56" s="3"/>
      <c r="E56" s="3"/>
      <c r="F56" s="3"/>
      <c r="G56" s="3" t="s">
        <v>91</v>
      </c>
      <c r="H56" s="3"/>
      <c r="I56" s="3"/>
      <c r="J56" s="337" t="s">
        <v>2253</v>
      </c>
      <c r="K56" s="337" t="s">
        <v>2254</v>
      </c>
      <c r="L56" s="340" t="s">
        <v>2217</v>
      </c>
      <c r="M56" s="1"/>
      <c r="N56" s="1"/>
      <c r="O56" s="1"/>
      <c r="P56" s="1"/>
      <c r="Q56" s="1"/>
      <c r="R56" s="1"/>
      <c r="S56" s="1"/>
      <c r="T56" s="4"/>
      <c r="U56" s="4"/>
      <c r="V56" s="1"/>
      <c r="W56" s="1"/>
      <c r="X56" s="1"/>
    </row>
    <row r="57" spans="1:40" x14ac:dyDescent="0.25">
      <c r="A57" s="3"/>
      <c r="B57" s="3"/>
      <c r="C57" s="1"/>
      <c r="D57" s="3"/>
      <c r="E57" s="3"/>
      <c r="F57" s="3" t="s">
        <v>91</v>
      </c>
      <c r="G57" s="3"/>
      <c r="H57" s="3"/>
      <c r="I57" s="3"/>
      <c r="J57" s="1" t="s">
        <v>2255</v>
      </c>
      <c r="K57" s="1" t="s">
        <v>2256</v>
      </c>
      <c r="L57" s="4" t="s">
        <v>2192</v>
      </c>
      <c r="M57" s="1"/>
      <c r="N57" s="1" t="s">
        <v>2257</v>
      </c>
      <c r="O57" s="1"/>
      <c r="P57" s="1"/>
      <c r="Q57" s="1"/>
      <c r="R57" s="1"/>
      <c r="S57" s="1"/>
      <c r="T57" s="4"/>
      <c r="U57" s="4"/>
      <c r="V57" s="1"/>
      <c r="W57" s="1"/>
      <c r="X57" s="1"/>
    </row>
    <row r="58" spans="1:40" x14ac:dyDescent="0.25">
      <c r="A58" s="3"/>
      <c r="B58" s="3"/>
      <c r="C58" s="1"/>
      <c r="D58" s="3"/>
      <c r="E58" s="3"/>
      <c r="F58" s="3" t="s">
        <v>91</v>
      </c>
      <c r="G58" s="3"/>
      <c r="H58" s="3"/>
      <c r="I58" s="3"/>
      <c r="J58" s="1" t="s">
        <v>2258</v>
      </c>
      <c r="K58" s="1" t="s">
        <v>2251</v>
      </c>
      <c r="L58" s="4" t="s">
        <v>2192</v>
      </c>
      <c r="M58" s="1"/>
      <c r="N58" s="1" t="s">
        <v>2259</v>
      </c>
      <c r="O58" s="1"/>
      <c r="P58" s="1"/>
      <c r="Q58" s="1"/>
      <c r="R58" s="1"/>
      <c r="S58" s="1"/>
      <c r="T58" s="4"/>
      <c r="U58" s="4"/>
      <c r="V58" s="1"/>
      <c r="W58" s="1"/>
      <c r="X58" s="1"/>
    </row>
    <row r="59" spans="1:40" x14ac:dyDescent="0.25">
      <c r="A59" s="3"/>
      <c r="B59" s="3"/>
      <c r="C59" s="1"/>
      <c r="D59" s="3"/>
      <c r="E59" s="3"/>
      <c r="F59" s="3"/>
      <c r="G59" s="3" t="s">
        <v>91</v>
      </c>
      <c r="H59" s="3"/>
      <c r="I59" s="3"/>
      <c r="J59" s="337" t="s">
        <v>2260</v>
      </c>
      <c r="K59" s="337" t="s">
        <v>2254</v>
      </c>
      <c r="L59" s="340" t="s">
        <v>2217</v>
      </c>
      <c r="M59" s="1"/>
      <c r="N59" s="1"/>
      <c r="O59" s="1"/>
      <c r="P59" s="1"/>
      <c r="Q59" s="1"/>
      <c r="R59" s="1"/>
      <c r="S59" s="1"/>
      <c r="T59" s="4"/>
      <c r="U59" s="4"/>
      <c r="V59" s="1"/>
      <c r="W59" s="1"/>
      <c r="X59" s="1"/>
    </row>
    <row r="60" spans="1:40" x14ac:dyDescent="0.25">
      <c r="A60" s="3"/>
      <c r="B60" s="3"/>
      <c r="C60" s="1"/>
      <c r="D60" s="3"/>
      <c r="E60" s="3"/>
      <c r="F60" s="3"/>
      <c r="G60" s="3" t="s">
        <v>91</v>
      </c>
      <c r="H60" s="3"/>
      <c r="I60" s="3"/>
      <c r="J60" s="1" t="s">
        <v>2261</v>
      </c>
      <c r="K60" s="1" t="s">
        <v>2262</v>
      </c>
      <c r="L60" s="4" t="s">
        <v>2192</v>
      </c>
      <c r="M60" s="1"/>
      <c r="N60" s="1"/>
      <c r="O60" s="1"/>
      <c r="P60" s="1"/>
      <c r="Q60" s="1"/>
      <c r="R60" s="1"/>
      <c r="S60" s="1"/>
      <c r="T60" s="4"/>
      <c r="U60" s="4"/>
      <c r="V60" s="1"/>
      <c r="W60" s="1"/>
      <c r="X60" s="1"/>
    </row>
    <row r="61" spans="1:40" x14ac:dyDescent="0.25">
      <c r="A61" s="3"/>
      <c r="B61" s="3"/>
      <c r="C61" s="1"/>
      <c r="D61" s="3"/>
      <c r="E61" s="3"/>
      <c r="F61" s="3"/>
      <c r="G61" s="3"/>
      <c r="H61" s="3" t="s">
        <v>91</v>
      </c>
      <c r="I61" s="3"/>
      <c r="J61" s="351" t="s">
        <v>1546</v>
      </c>
      <c r="K61" s="1"/>
      <c r="L61" s="326"/>
      <c r="M61" s="1"/>
      <c r="N61" s="1"/>
      <c r="O61" s="1"/>
      <c r="P61" s="1"/>
      <c r="Q61" s="1"/>
      <c r="R61" s="1"/>
      <c r="S61" s="1"/>
      <c r="T61" s="4"/>
      <c r="U61" s="4"/>
      <c r="V61" s="1"/>
      <c r="W61" s="1"/>
      <c r="X61" s="1"/>
    </row>
    <row r="62" spans="1:40" x14ac:dyDescent="0.25">
      <c r="A62" s="3"/>
      <c r="B62" s="3"/>
      <c r="C62" s="1"/>
      <c r="D62" s="3"/>
      <c r="E62" s="3"/>
      <c r="F62" s="3"/>
      <c r="G62" s="3"/>
      <c r="H62" s="3" t="s">
        <v>91</v>
      </c>
      <c r="I62" s="3"/>
      <c r="J62" s="1" t="s">
        <v>2263</v>
      </c>
      <c r="K62" s="1" t="s">
        <v>2264</v>
      </c>
      <c r="L62" s="4" t="s">
        <v>2192</v>
      </c>
      <c r="M62" s="1"/>
      <c r="N62" s="1" t="s">
        <v>2265</v>
      </c>
      <c r="O62" s="1"/>
      <c r="P62" s="1"/>
      <c r="Q62" s="1"/>
      <c r="R62" s="1"/>
      <c r="S62" s="1"/>
      <c r="T62" s="4"/>
      <c r="U62" s="4"/>
      <c r="V62" s="1"/>
      <c r="W62" s="1"/>
      <c r="X62" s="1"/>
    </row>
    <row r="63" spans="1:40" x14ac:dyDescent="0.25">
      <c r="A63" s="3"/>
      <c r="B63" s="3"/>
      <c r="C63" s="1"/>
      <c r="D63" s="3"/>
      <c r="E63" s="3"/>
      <c r="F63" s="3"/>
      <c r="G63" s="3"/>
      <c r="H63" s="3" t="s">
        <v>91</v>
      </c>
      <c r="I63" s="3"/>
      <c r="J63" s="1" t="s">
        <v>1547</v>
      </c>
      <c r="K63" s="1" t="s">
        <v>2266</v>
      </c>
      <c r="L63" s="4" t="s">
        <v>2192</v>
      </c>
      <c r="M63" s="1"/>
      <c r="N63" s="1"/>
      <c r="O63" s="1"/>
      <c r="P63" s="1"/>
      <c r="Q63" s="1"/>
      <c r="R63" s="1"/>
      <c r="S63" s="1"/>
      <c r="T63" s="4"/>
      <c r="U63" s="4"/>
      <c r="V63" s="1"/>
      <c r="W63" s="1"/>
      <c r="X63" s="1"/>
    </row>
    <row r="64" spans="1:40" x14ac:dyDescent="0.25">
      <c r="A64" s="3"/>
      <c r="B64" s="3"/>
      <c r="C64" s="1"/>
      <c r="D64" s="3"/>
      <c r="E64" s="3"/>
      <c r="F64" s="3"/>
      <c r="G64" s="3"/>
      <c r="H64" s="3"/>
      <c r="I64" s="3" t="s">
        <v>91</v>
      </c>
      <c r="J64" s="1" t="s">
        <v>2267</v>
      </c>
      <c r="K64" s="1" t="s">
        <v>2268</v>
      </c>
      <c r="L64" s="4" t="s">
        <v>2192</v>
      </c>
      <c r="M64" s="1"/>
      <c r="N64" s="1"/>
      <c r="O64" s="1"/>
      <c r="P64" s="1"/>
      <c r="Q64" s="1"/>
      <c r="R64" s="1"/>
      <c r="S64" s="1"/>
      <c r="T64" s="4"/>
      <c r="U64" s="4"/>
      <c r="V64" s="1"/>
      <c r="W64" s="1"/>
      <c r="X64" s="1"/>
    </row>
    <row r="65" spans="1:40" x14ac:dyDescent="0.25">
      <c r="A65" s="3"/>
      <c r="B65" s="3"/>
      <c r="C65" s="1"/>
      <c r="D65" s="3"/>
      <c r="E65" s="3"/>
      <c r="F65" s="3"/>
      <c r="G65" s="3"/>
      <c r="H65" s="3"/>
      <c r="I65" s="3" t="s">
        <v>91</v>
      </c>
      <c r="J65" s="337" t="s">
        <v>2269</v>
      </c>
      <c r="K65" s="337" t="s">
        <v>2270</v>
      </c>
      <c r="L65" s="340" t="s">
        <v>2217</v>
      </c>
      <c r="M65" s="1"/>
      <c r="N65" s="1"/>
      <c r="O65" s="1"/>
      <c r="P65" s="1"/>
      <c r="Q65" s="1"/>
      <c r="R65" s="1"/>
      <c r="S65" s="1"/>
      <c r="T65" s="4"/>
      <c r="U65" s="4"/>
      <c r="V65" s="1"/>
      <c r="W65" s="1"/>
      <c r="X65" s="1"/>
    </row>
    <row r="66" spans="1:40" x14ac:dyDescent="0.25">
      <c r="A66" s="3"/>
      <c r="B66" s="3"/>
      <c r="C66" s="1"/>
      <c r="D66" s="3"/>
      <c r="E66" s="3"/>
      <c r="F66" s="3"/>
      <c r="G66" s="3"/>
      <c r="H66" s="3"/>
      <c r="I66" s="3" t="s">
        <v>91</v>
      </c>
      <c r="J66" s="1" t="s">
        <v>2271</v>
      </c>
      <c r="K66" s="1" t="s">
        <v>2272</v>
      </c>
      <c r="L66" s="4" t="s">
        <v>2192</v>
      </c>
      <c r="M66" s="1"/>
      <c r="N66" s="1"/>
      <c r="O66" s="1"/>
      <c r="P66" s="1"/>
      <c r="Q66" s="1"/>
      <c r="R66" s="1"/>
      <c r="S66" s="1"/>
      <c r="T66" s="4"/>
      <c r="U66" s="4"/>
      <c r="V66" s="1"/>
      <c r="W66" s="1"/>
      <c r="X66" s="1"/>
    </row>
    <row r="67" spans="1:40" x14ac:dyDescent="0.25">
      <c r="A67" s="3"/>
      <c r="B67" s="3"/>
      <c r="C67" s="1"/>
      <c r="D67" s="3"/>
      <c r="E67" s="3"/>
      <c r="F67" s="3"/>
      <c r="G67" s="3"/>
      <c r="H67" s="3" t="s">
        <v>91</v>
      </c>
      <c r="I67" s="3"/>
      <c r="J67" s="1" t="s">
        <v>1552</v>
      </c>
      <c r="K67" s="1" t="s">
        <v>2266</v>
      </c>
      <c r="L67" s="4" t="s">
        <v>2192</v>
      </c>
      <c r="M67" s="1"/>
      <c r="N67" s="1"/>
      <c r="O67" s="1"/>
      <c r="P67" s="1"/>
      <c r="Q67" s="1"/>
      <c r="R67" s="1"/>
      <c r="S67" s="1"/>
      <c r="T67" s="4"/>
      <c r="U67" s="4"/>
      <c r="V67" s="1"/>
      <c r="W67" s="1"/>
      <c r="X67" s="1"/>
    </row>
    <row r="68" spans="1:40" x14ac:dyDescent="0.25">
      <c r="A68" s="3"/>
      <c r="B68" s="3"/>
      <c r="C68" s="1"/>
      <c r="D68" s="3"/>
      <c r="E68" s="3"/>
      <c r="F68" s="3"/>
      <c r="G68" s="3"/>
      <c r="H68" s="3"/>
      <c r="I68" s="3" t="s">
        <v>91</v>
      </c>
      <c r="J68" s="1" t="s">
        <v>2273</v>
      </c>
      <c r="K68" s="1" t="s">
        <v>2274</v>
      </c>
      <c r="L68" s="4" t="s">
        <v>2192</v>
      </c>
      <c r="M68" s="1"/>
      <c r="N68" s="1"/>
      <c r="O68" s="1"/>
      <c r="P68" s="1"/>
      <c r="Q68" s="1"/>
      <c r="R68" s="1"/>
      <c r="S68" s="1"/>
      <c r="T68" s="4"/>
      <c r="U68" s="4"/>
      <c r="V68" s="1"/>
      <c r="W68" s="1"/>
      <c r="X68" s="1"/>
    </row>
    <row r="69" spans="1:40" x14ac:dyDescent="0.25">
      <c r="A69" s="3"/>
      <c r="B69" s="3"/>
      <c r="C69" s="1"/>
      <c r="D69" s="3"/>
      <c r="E69" s="3"/>
      <c r="F69" s="3"/>
      <c r="G69" s="3"/>
      <c r="H69" s="3"/>
      <c r="I69" s="3" t="s">
        <v>91</v>
      </c>
      <c r="J69" s="337" t="s">
        <v>2275</v>
      </c>
      <c r="K69" s="337" t="s">
        <v>2276</v>
      </c>
      <c r="L69" s="340" t="s">
        <v>2217</v>
      </c>
      <c r="M69" s="1"/>
      <c r="N69" s="1"/>
      <c r="O69" s="1"/>
      <c r="P69" s="1"/>
      <c r="Q69" s="1"/>
      <c r="R69" s="1"/>
      <c r="S69" s="1"/>
      <c r="T69" s="4"/>
      <c r="U69" s="4"/>
      <c r="V69" s="1"/>
      <c r="W69" s="1"/>
      <c r="X69" s="1"/>
    </row>
    <row r="70" spans="1:40" x14ac:dyDescent="0.25">
      <c r="A70" s="3"/>
      <c r="B70" s="3"/>
      <c r="C70" s="1"/>
      <c r="D70" s="3"/>
      <c r="E70" s="3"/>
      <c r="F70" s="3"/>
      <c r="G70" s="3"/>
      <c r="H70" s="3"/>
      <c r="I70" s="3" t="s">
        <v>91</v>
      </c>
      <c r="J70" s="1" t="s">
        <v>2277</v>
      </c>
      <c r="K70" s="1" t="s">
        <v>2278</v>
      </c>
      <c r="L70" s="4" t="s">
        <v>2192</v>
      </c>
      <c r="M70" s="1"/>
      <c r="N70" s="1"/>
      <c r="O70" s="1"/>
      <c r="P70" s="1"/>
      <c r="Q70" s="1"/>
      <c r="R70" s="1"/>
      <c r="S70" s="1"/>
      <c r="T70" s="4"/>
      <c r="U70" s="4"/>
      <c r="V70" s="1"/>
      <c r="W70" s="1"/>
      <c r="X70" s="1"/>
    </row>
    <row r="71" spans="1:40" x14ac:dyDescent="0.25">
      <c r="A71" s="3"/>
      <c r="B71" s="3"/>
      <c r="C71" s="1"/>
      <c r="D71" s="3"/>
      <c r="E71" s="3"/>
      <c r="F71" s="3"/>
      <c r="G71" s="3"/>
      <c r="H71" s="3"/>
      <c r="I71" s="3" t="s">
        <v>91</v>
      </c>
      <c r="J71" s="1" t="s">
        <v>2279</v>
      </c>
      <c r="K71" s="1" t="s">
        <v>2280</v>
      </c>
      <c r="L71" s="4" t="s">
        <v>2192</v>
      </c>
      <c r="M71" s="1"/>
      <c r="N71" s="1"/>
      <c r="O71" s="1"/>
      <c r="P71" s="1"/>
      <c r="Q71" s="1"/>
      <c r="R71" s="1"/>
      <c r="S71" s="1"/>
      <c r="T71" s="4"/>
      <c r="U71" s="4"/>
      <c r="V71" s="1"/>
      <c r="W71" s="1"/>
      <c r="X71" s="1"/>
    </row>
    <row r="72" spans="1:40" x14ac:dyDescent="0.25">
      <c r="A72" s="3"/>
      <c r="B72" s="3"/>
      <c r="C72" s="1"/>
      <c r="D72" s="3"/>
      <c r="E72" s="3"/>
      <c r="F72" s="3"/>
      <c r="G72" s="3"/>
      <c r="H72" s="3"/>
      <c r="I72" s="3" t="s">
        <v>91</v>
      </c>
      <c r="J72" s="1" t="s">
        <v>2281</v>
      </c>
      <c r="K72" s="1" t="s">
        <v>2282</v>
      </c>
      <c r="L72" s="4" t="s">
        <v>2192</v>
      </c>
      <c r="M72" s="1"/>
      <c r="N72" s="1"/>
      <c r="O72" s="1"/>
      <c r="P72" s="1"/>
      <c r="Q72" s="1"/>
      <c r="R72" s="1"/>
      <c r="S72" s="1"/>
      <c r="T72" s="4"/>
      <c r="U72" s="4"/>
      <c r="V72" s="1"/>
      <c r="W72" s="1"/>
      <c r="X72" s="1"/>
    </row>
    <row r="73" spans="1:40" x14ac:dyDescent="0.25">
      <c r="A73" s="3"/>
      <c r="B73" s="3"/>
      <c r="C73" s="1"/>
      <c r="D73" s="3"/>
      <c r="E73" s="3"/>
      <c r="F73" s="3"/>
      <c r="G73" s="3"/>
      <c r="H73" s="3"/>
      <c r="I73" s="3" t="s">
        <v>91</v>
      </c>
      <c r="J73" s="1" t="s">
        <v>2283</v>
      </c>
      <c r="K73" s="1" t="s">
        <v>2284</v>
      </c>
      <c r="L73" s="4" t="s">
        <v>2192</v>
      </c>
      <c r="M73" s="1"/>
      <c r="N73" s="1" t="s">
        <v>2285</v>
      </c>
      <c r="O73" s="1"/>
      <c r="P73" s="1"/>
      <c r="Q73" s="1"/>
      <c r="R73" s="1"/>
      <c r="S73" s="1"/>
      <c r="T73" s="4"/>
      <c r="U73" s="4"/>
      <c r="V73" s="1"/>
      <c r="W73" s="1"/>
      <c r="X73" s="1"/>
    </row>
    <row r="74" spans="1:40" x14ac:dyDescent="0.25">
      <c r="A74" s="3"/>
      <c r="B74" s="3"/>
      <c r="C74" s="1"/>
      <c r="D74" s="3"/>
      <c r="E74" s="3"/>
      <c r="F74" s="3"/>
      <c r="G74" s="3"/>
      <c r="H74" s="3"/>
      <c r="I74" s="3" t="s">
        <v>91</v>
      </c>
      <c r="J74" s="1" t="s">
        <v>2286</v>
      </c>
      <c r="K74" s="1" t="s">
        <v>2287</v>
      </c>
      <c r="L74" s="16" t="s">
        <v>358</v>
      </c>
      <c r="M74" s="1"/>
      <c r="N74" s="1"/>
      <c r="O74" s="1"/>
      <c r="P74" s="1"/>
      <c r="Q74" s="1"/>
      <c r="R74" s="1"/>
      <c r="S74" s="1"/>
      <c r="T74" s="4"/>
      <c r="U74" s="4"/>
      <c r="V74" s="1"/>
      <c r="W74" s="1"/>
      <c r="X74" s="1"/>
    </row>
    <row r="75" spans="1:40" x14ac:dyDescent="0.25">
      <c r="A75" s="3"/>
      <c r="B75" s="3"/>
      <c r="C75" s="1"/>
      <c r="D75" s="3"/>
      <c r="E75" s="3"/>
      <c r="F75" s="3"/>
      <c r="G75" s="3"/>
      <c r="H75" s="3"/>
      <c r="I75" s="3" t="s">
        <v>91</v>
      </c>
      <c r="J75" s="1" t="s">
        <v>2288</v>
      </c>
      <c r="K75" s="1" t="s">
        <v>2289</v>
      </c>
      <c r="L75" s="4" t="s">
        <v>2192</v>
      </c>
      <c r="M75" s="1"/>
      <c r="N75" s="1"/>
      <c r="O75" s="1"/>
      <c r="P75" s="1"/>
      <c r="Q75" s="1"/>
      <c r="R75" s="1"/>
      <c r="S75" s="1"/>
      <c r="T75" s="4"/>
      <c r="U75" s="4"/>
      <c r="V75" s="1"/>
      <c r="W75" s="1"/>
      <c r="X75" s="1"/>
    </row>
    <row r="76" spans="1:40" x14ac:dyDescent="0.25">
      <c r="A76" s="3"/>
      <c r="B76" s="3"/>
      <c r="C76" s="1"/>
      <c r="D76" s="3"/>
      <c r="E76" s="3"/>
      <c r="F76" s="3"/>
      <c r="G76" s="3"/>
      <c r="H76" s="3"/>
      <c r="I76" s="3" t="s">
        <v>91</v>
      </c>
      <c r="J76" s="1" t="s">
        <v>2290</v>
      </c>
      <c r="K76" s="1" t="s">
        <v>2291</v>
      </c>
      <c r="L76" s="4" t="s">
        <v>2195</v>
      </c>
      <c r="M76" s="1"/>
      <c r="N76" s="1" t="s">
        <v>2292</v>
      </c>
      <c r="O76" s="1"/>
      <c r="P76" s="1"/>
      <c r="Q76" s="1"/>
      <c r="R76" s="1"/>
      <c r="S76" s="1"/>
      <c r="T76" s="4"/>
      <c r="U76" s="4"/>
      <c r="V76" s="1"/>
      <c r="W76" s="1"/>
      <c r="X76" s="1"/>
    </row>
    <row r="77" spans="1:40" x14ac:dyDescent="0.25">
      <c r="A77" s="3"/>
      <c r="B77" s="3"/>
      <c r="C77" s="1"/>
      <c r="D77" s="3"/>
      <c r="E77" s="3"/>
      <c r="F77" s="3"/>
      <c r="G77" s="3"/>
      <c r="H77" s="3"/>
      <c r="I77" s="3" t="s">
        <v>91</v>
      </c>
      <c r="J77" s="351" t="s">
        <v>2293</v>
      </c>
      <c r="K77" s="1"/>
      <c r="L77" s="4"/>
      <c r="M77" s="1"/>
      <c r="N77" s="1"/>
      <c r="O77" s="1"/>
      <c r="P77" s="1"/>
      <c r="Q77" s="1"/>
      <c r="R77" s="1"/>
      <c r="S77" s="1"/>
      <c r="T77" s="4"/>
      <c r="U77" s="4"/>
      <c r="V77" s="1"/>
      <c r="W77" s="1"/>
      <c r="X77" s="1"/>
    </row>
    <row r="78" spans="1:40" x14ac:dyDescent="0.25">
      <c r="A78" s="3"/>
      <c r="B78" s="3"/>
      <c r="C78" s="1"/>
      <c r="D78" s="3"/>
      <c r="E78" s="3"/>
      <c r="F78" s="3"/>
      <c r="G78" s="3"/>
      <c r="H78" s="3"/>
      <c r="I78" s="3" t="s">
        <v>91</v>
      </c>
      <c r="J78" s="1" t="s">
        <v>2294</v>
      </c>
      <c r="K78" s="1" t="s">
        <v>2295</v>
      </c>
      <c r="L78" s="4" t="s">
        <v>2195</v>
      </c>
      <c r="M78" s="1"/>
      <c r="N78" s="1" t="s">
        <v>2296</v>
      </c>
      <c r="O78" s="1"/>
      <c r="P78" s="1"/>
      <c r="Q78" s="1"/>
      <c r="R78" s="1"/>
      <c r="S78" s="1"/>
      <c r="T78" s="4"/>
      <c r="U78" s="4"/>
      <c r="V78" s="1"/>
      <c r="W78" s="1"/>
      <c r="X78" s="1"/>
    </row>
    <row r="79" spans="1:40" ht="20.25" customHeight="1" x14ac:dyDescent="0.25">
      <c r="A79" s="3"/>
      <c r="B79" s="3"/>
      <c r="C79" s="742"/>
      <c r="D79" s="742">
        <v>4</v>
      </c>
      <c r="E79" s="1072" t="s">
        <v>1152</v>
      </c>
      <c r="F79" s="1072"/>
      <c r="G79" s="1072"/>
      <c r="H79" s="1072"/>
      <c r="I79" s="1072"/>
      <c r="J79" s="1072"/>
      <c r="K79" s="1073"/>
      <c r="L79" s="1074"/>
      <c r="M79" s="1075"/>
      <c r="N79" s="1075"/>
      <c r="O79" s="1075"/>
      <c r="P79" s="1075"/>
      <c r="Q79" s="1075"/>
      <c r="R79" s="1075"/>
      <c r="S79" s="1075"/>
      <c r="T79" s="1075"/>
      <c r="U79" s="1075"/>
      <c r="V79" s="1075"/>
      <c r="W79" s="1075"/>
      <c r="X79" s="1076"/>
      <c r="Y79" s="2"/>
      <c r="Z79" s="2"/>
      <c r="AA79" s="2"/>
      <c r="AB79" s="2"/>
      <c r="AC79" s="2"/>
      <c r="AD79" s="2"/>
      <c r="AE79" s="2"/>
      <c r="AF79" s="2"/>
      <c r="AG79" s="2"/>
      <c r="AH79" s="2"/>
      <c r="AI79" s="2"/>
      <c r="AJ79" s="2"/>
      <c r="AK79" s="2"/>
      <c r="AL79" s="2"/>
      <c r="AM79" s="2"/>
      <c r="AN79" s="2"/>
    </row>
    <row r="80" spans="1:40" x14ac:dyDescent="0.25">
      <c r="A80" s="3"/>
      <c r="B80" s="3"/>
      <c r="C80" s="1"/>
      <c r="D80" s="3"/>
      <c r="E80" s="3" t="s">
        <v>91</v>
      </c>
      <c r="F80" s="3"/>
      <c r="G80" s="3"/>
      <c r="H80" s="3"/>
      <c r="I80" s="3"/>
      <c r="J80" s="351" t="s">
        <v>2297</v>
      </c>
      <c r="K80" s="333" t="s">
        <v>2298</v>
      </c>
      <c r="L80" s="326"/>
      <c r="M80" s="1"/>
      <c r="N80" s="1"/>
      <c r="O80" s="1"/>
      <c r="P80" s="1"/>
      <c r="Q80" s="1"/>
      <c r="R80" s="1"/>
      <c r="S80" s="1"/>
      <c r="T80" s="4"/>
      <c r="U80" s="4"/>
      <c r="V80" s="1"/>
      <c r="W80" s="1"/>
      <c r="X80" s="1"/>
    </row>
    <row r="81" spans="1:40" ht="20.25" customHeight="1" x14ac:dyDescent="0.25">
      <c r="A81" s="3"/>
      <c r="B81" s="3"/>
      <c r="C81" s="742"/>
      <c r="D81" s="742">
        <v>5</v>
      </c>
      <c r="E81" s="1072" t="s">
        <v>1158</v>
      </c>
      <c r="F81" s="1072"/>
      <c r="G81" s="1072"/>
      <c r="H81" s="1072"/>
      <c r="I81" s="1072"/>
      <c r="J81" s="1072"/>
      <c r="K81" s="1073"/>
      <c r="L81" s="1074"/>
      <c r="M81" s="1075"/>
      <c r="N81" s="1075"/>
      <c r="O81" s="1075"/>
      <c r="P81" s="1075"/>
      <c r="Q81" s="1075"/>
      <c r="R81" s="1075"/>
      <c r="S81" s="1075"/>
      <c r="T81" s="1075"/>
      <c r="U81" s="1075"/>
      <c r="V81" s="1075"/>
      <c r="W81" s="1075"/>
      <c r="X81" s="1076"/>
      <c r="Y81" s="2"/>
      <c r="Z81" s="2"/>
      <c r="AA81" s="2"/>
      <c r="AB81" s="2"/>
      <c r="AC81" s="2"/>
      <c r="AD81" s="2"/>
      <c r="AE81" s="2"/>
      <c r="AF81" s="2"/>
      <c r="AG81" s="2"/>
      <c r="AH81" s="2"/>
      <c r="AI81" s="2"/>
      <c r="AJ81" s="2"/>
      <c r="AK81" s="2"/>
      <c r="AL81" s="2"/>
      <c r="AM81" s="2"/>
      <c r="AN81" s="2"/>
    </row>
    <row r="82" spans="1:40" x14ac:dyDescent="0.25">
      <c r="A82" s="3"/>
      <c r="B82" s="3"/>
      <c r="C82" s="1"/>
      <c r="D82" s="3"/>
      <c r="E82" s="3" t="s">
        <v>91</v>
      </c>
      <c r="F82" s="3"/>
      <c r="G82" s="3"/>
      <c r="H82" s="3"/>
      <c r="I82" s="3"/>
      <c r="J82" s="351" t="s">
        <v>2299</v>
      </c>
      <c r="K82" s="333" t="s">
        <v>2300</v>
      </c>
      <c r="L82" s="326"/>
      <c r="M82" s="1"/>
      <c r="N82" s="1"/>
      <c r="O82" s="1"/>
      <c r="P82" s="1"/>
      <c r="Q82" s="1"/>
      <c r="R82" s="1"/>
      <c r="S82" s="1"/>
      <c r="T82" s="4"/>
      <c r="U82" s="4"/>
      <c r="V82" s="1"/>
      <c r="W82" s="1"/>
      <c r="X82" s="1"/>
    </row>
    <row r="83" spans="1:40" x14ac:dyDescent="0.25">
      <c r="A83" s="3"/>
      <c r="B83" s="3"/>
      <c r="C83" s="1"/>
      <c r="D83" s="3"/>
      <c r="E83" s="3"/>
      <c r="F83" s="3" t="s">
        <v>91</v>
      </c>
      <c r="G83" s="3"/>
      <c r="H83" s="3"/>
      <c r="I83" s="3"/>
      <c r="J83" s="351" t="s">
        <v>2301</v>
      </c>
      <c r="K83" s="333" t="s">
        <v>2302</v>
      </c>
      <c r="L83" s="326"/>
      <c r="M83" s="1"/>
      <c r="N83" s="1"/>
      <c r="O83" s="1"/>
      <c r="P83" s="1"/>
      <c r="Q83" s="1"/>
      <c r="R83" s="1"/>
      <c r="S83" s="1"/>
      <c r="T83" s="4"/>
      <c r="U83" s="4"/>
      <c r="V83" s="1"/>
      <c r="W83" s="1"/>
      <c r="X83" s="1"/>
    </row>
    <row r="84" spans="1:40" x14ac:dyDescent="0.25">
      <c r="A84" s="3"/>
      <c r="B84" s="3"/>
      <c r="C84" s="1"/>
      <c r="D84" s="3"/>
      <c r="E84" s="3"/>
      <c r="F84" s="3"/>
      <c r="G84" s="3" t="s">
        <v>91</v>
      </c>
      <c r="H84" s="3"/>
      <c r="I84" s="3"/>
      <c r="J84" s="351" t="s">
        <v>2303</v>
      </c>
      <c r="K84" s="1"/>
      <c r="L84" s="326"/>
      <c r="M84" s="1"/>
      <c r="N84" s="1"/>
      <c r="O84" s="1"/>
      <c r="P84" s="1"/>
      <c r="Q84" s="1"/>
      <c r="R84" s="1"/>
      <c r="S84" s="1"/>
      <c r="T84" s="4"/>
      <c r="U84" s="4"/>
      <c r="V84" s="1"/>
      <c r="W84" s="1"/>
      <c r="X84" s="1"/>
    </row>
    <row r="85" spans="1:40" x14ac:dyDescent="0.25">
      <c r="A85" s="3"/>
      <c r="B85" s="3"/>
      <c r="C85" s="1"/>
      <c r="D85" s="3"/>
      <c r="E85" s="3"/>
      <c r="F85" s="3"/>
      <c r="G85" s="3" t="s">
        <v>91</v>
      </c>
      <c r="H85" s="3"/>
      <c r="I85" s="3"/>
      <c r="J85" s="1" t="s">
        <v>1613</v>
      </c>
      <c r="K85" s="333" t="s">
        <v>2304</v>
      </c>
      <c r="L85" s="326"/>
      <c r="M85" s="1"/>
      <c r="N85" s="1"/>
      <c r="O85" s="1"/>
      <c r="P85" s="1"/>
      <c r="Q85" s="1"/>
      <c r="R85" s="1" t="s">
        <v>2305</v>
      </c>
      <c r="S85" s="1"/>
      <c r="T85" s="4"/>
      <c r="U85" s="4"/>
      <c r="V85" s="1"/>
      <c r="W85" s="1"/>
      <c r="X85" s="1"/>
    </row>
    <row r="86" spans="1:40" x14ac:dyDescent="0.25">
      <c r="A86" s="3"/>
      <c r="B86" s="3"/>
      <c r="C86" s="1"/>
      <c r="D86" s="3"/>
      <c r="E86" s="3"/>
      <c r="F86" s="3"/>
      <c r="G86" s="3" t="s">
        <v>91</v>
      </c>
      <c r="H86" s="3"/>
      <c r="I86" s="3"/>
      <c r="J86" s="1" t="s">
        <v>2306</v>
      </c>
      <c r="K86" s="1" t="s">
        <v>2307</v>
      </c>
      <c r="L86" s="4" t="s">
        <v>2192</v>
      </c>
      <c r="M86" s="1"/>
      <c r="N86" s="1"/>
      <c r="O86" s="1"/>
      <c r="P86" s="1"/>
      <c r="Q86" s="1"/>
      <c r="R86" s="1"/>
      <c r="S86" s="1"/>
      <c r="T86" s="4"/>
      <c r="U86" s="4"/>
      <c r="V86" s="1"/>
      <c r="W86" s="1"/>
      <c r="X86" s="1"/>
    </row>
    <row r="87" spans="1:40" x14ac:dyDescent="0.25">
      <c r="A87" s="3"/>
      <c r="B87" s="3"/>
      <c r="C87" s="1"/>
      <c r="D87" s="3"/>
      <c r="E87" s="3"/>
      <c r="F87" s="3"/>
      <c r="G87" s="3" t="s">
        <v>91</v>
      </c>
      <c r="H87" s="3"/>
      <c r="I87" s="3"/>
      <c r="J87" s="351" t="s">
        <v>2308</v>
      </c>
      <c r="K87" s="1"/>
      <c r="L87" s="326"/>
      <c r="M87" s="1"/>
      <c r="N87" s="1"/>
      <c r="O87" s="1"/>
      <c r="P87" s="1"/>
      <c r="Q87" s="1"/>
      <c r="R87" s="1"/>
      <c r="S87" s="1"/>
      <c r="T87" s="4"/>
      <c r="U87" s="4"/>
      <c r="V87" s="1"/>
      <c r="W87" s="1"/>
      <c r="X87" s="1"/>
    </row>
    <row r="88" spans="1:40" x14ac:dyDescent="0.25">
      <c r="A88" s="3"/>
      <c r="B88" s="3"/>
      <c r="C88" s="1"/>
      <c r="D88" s="3"/>
      <c r="E88" s="3"/>
      <c r="F88" s="3"/>
      <c r="G88" s="3" t="s">
        <v>91</v>
      </c>
      <c r="H88" s="3"/>
      <c r="I88" s="3"/>
      <c r="J88" s="1" t="s">
        <v>1624</v>
      </c>
      <c r="K88" s="1" t="s">
        <v>2309</v>
      </c>
      <c r="L88" s="4" t="s">
        <v>2192</v>
      </c>
      <c r="M88" s="1"/>
      <c r="N88" s="1"/>
      <c r="O88" s="1"/>
      <c r="P88" s="1"/>
      <c r="Q88" s="1"/>
      <c r="R88" s="1" t="s">
        <v>1627</v>
      </c>
      <c r="S88" s="1"/>
      <c r="T88" s="4"/>
      <c r="U88" s="4"/>
      <c r="V88" s="1"/>
      <c r="W88" s="1"/>
      <c r="X88" s="1"/>
    </row>
    <row r="89" spans="1:40" x14ac:dyDescent="0.25">
      <c r="A89" s="3"/>
      <c r="B89" s="3"/>
      <c r="C89" s="1"/>
      <c r="D89" s="3"/>
      <c r="E89" s="3"/>
      <c r="F89" s="3"/>
      <c r="G89" s="3" t="s">
        <v>91</v>
      </c>
      <c r="H89" s="3"/>
      <c r="I89" s="3"/>
      <c r="J89" s="1" t="s">
        <v>2310</v>
      </c>
      <c r="K89" s="1" t="s">
        <v>2311</v>
      </c>
      <c r="L89" s="4" t="s">
        <v>2192</v>
      </c>
      <c r="M89" s="1"/>
      <c r="N89" s="1"/>
      <c r="O89" s="1"/>
      <c r="P89" s="1"/>
      <c r="Q89" s="1"/>
      <c r="R89" s="1"/>
      <c r="S89" s="1"/>
      <c r="T89" s="4"/>
      <c r="U89" s="4"/>
      <c r="V89" s="1"/>
      <c r="W89" s="1"/>
      <c r="X89" s="1"/>
    </row>
    <row r="90" spans="1:40" x14ac:dyDescent="0.25">
      <c r="A90" s="3"/>
      <c r="B90" s="3"/>
      <c r="C90" s="1"/>
      <c r="D90" s="3"/>
      <c r="E90" s="3"/>
      <c r="F90" s="3"/>
      <c r="G90" s="3"/>
      <c r="H90" s="3" t="s">
        <v>91</v>
      </c>
      <c r="I90" s="3"/>
      <c r="J90" s="351" t="s">
        <v>2312</v>
      </c>
      <c r="K90" s="1"/>
      <c r="L90" s="4"/>
      <c r="M90" s="1"/>
      <c r="N90" s="1"/>
      <c r="O90" s="1"/>
      <c r="P90" s="1"/>
      <c r="Q90" s="1"/>
      <c r="R90" s="1"/>
      <c r="S90" s="1"/>
      <c r="T90" s="4"/>
      <c r="U90" s="4"/>
      <c r="V90" s="1"/>
      <c r="W90" s="1"/>
      <c r="X90" s="1"/>
    </row>
    <row r="91" spans="1:40" x14ac:dyDescent="0.25">
      <c r="A91" s="3"/>
      <c r="B91" s="3"/>
      <c r="C91" s="1"/>
      <c r="D91" s="3"/>
      <c r="E91" s="3"/>
      <c r="F91" s="3"/>
      <c r="G91" s="3"/>
      <c r="H91" s="3" t="s">
        <v>91</v>
      </c>
      <c r="I91" s="3"/>
      <c r="J91" s="337" t="s">
        <v>1634</v>
      </c>
      <c r="K91" s="333" t="s">
        <v>2313</v>
      </c>
      <c r="L91" s="340"/>
      <c r="M91" s="1"/>
      <c r="N91" s="1"/>
      <c r="O91" s="1"/>
      <c r="P91" s="1"/>
      <c r="Q91" s="1"/>
      <c r="R91" s="1"/>
      <c r="S91" s="1"/>
      <c r="T91" s="4"/>
      <c r="U91" s="4"/>
      <c r="V91" s="1"/>
      <c r="W91" s="1"/>
      <c r="X91" s="1"/>
    </row>
    <row r="92" spans="1:40" ht="30" x14ac:dyDescent="0.25">
      <c r="A92" s="3"/>
      <c r="B92" s="3"/>
      <c r="C92" s="1"/>
      <c r="D92" s="3"/>
      <c r="E92" s="3"/>
      <c r="F92" s="3"/>
      <c r="G92" s="3"/>
      <c r="H92" s="3" t="s">
        <v>91</v>
      </c>
      <c r="I92" s="3"/>
      <c r="J92" s="1" t="s">
        <v>1638</v>
      </c>
      <c r="K92" s="848" t="s">
        <v>2314</v>
      </c>
      <c r="L92" s="4" t="s">
        <v>2192</v>
      </c>
      <c r="M92" s="1"/>
      <c r="N92" s="1"/>
      <c r="O92" s="1"/>
      <c r="P92" s="1"/>
      <c r="Q92" s="1"/>
      <c r="R92" s="1"/>
      <c r="S92" s="1"/>
      <c r="T92" s="4"/>
      <c r="U92" s="4"/>
      <c r="V92" s="1"/>
      <c r="W92" s="1"/>
      <c r="X92" s="1"/>
    </row>
    <row r="93" spans="1:40" x14ac:dyDescent="0.25">
      <c r="A93" s="3"/>
      <c r="B93" s="3"/>
      <c r="C93" s="1"/>
      <c r="D93" s="3"/>
      <c r="E93" s="3"/>
      <c r="F93" s="3"/>
      <c r="G93" s="3"/>
      <c r="H93" s="3" t="s">
        <v>91</v>
      </c>
      <c r="I93" s="3"/>
      <c r="J93" s="351" t="s">
        <v>2315</v>
      </c>
      <c r="K93" s="333" t="s">
        <v>2316</v>
      </c>
      <c r="L93" s="326"/>
      <c r="M93" s="1"/>
      <c r="N93" s="1"/>
      <c r="O93" s="1"/>
      <c r="P93" s="1"/>
      <c r="Q93" s="1"/>
      <c r="R93" s="1"/>
      <c r="S93" s="1"/>
      <c r="T93" s="4"/>
      <c r="U93" s="4"/>
      <c r="V93" s="1"/>
      <c r="W93" s="1"/>
      <c r="X93" s="1"/>
    </row>
    <row r="94" spans="1:40" ht="20.25" customHeight="1" x14ac:dyDescent="0.25">
      <c r="A94" s="3"/>
      <c r="B94" s="3"/>
      <c r="C94" s="742"/>
      <c r="D94" s="742">
        <v>6</v>
      </c>
      <c r="E94" s="1072" t="s">
        <v>1192</v>
      </c>
      <c r="F94" s="1072"/>
      <c r="G94" s="1072"/>
      <c r="H94" s="1072"/>
      <c r="I94" s="1072"/>
      <c r="J94" s="1072"/>
      <c r="K94" s="1073"/>
      <c r="L94" s="1074"/>
      <c r="M94" s="1075"/>
      <c r="N94" s="1075"/>
      <c r="O94" s="1075"/>
      <c r="P94" s="1075"/>
      <c r="Q94" s="1075"/>
      <c r="R94" s="1075"/>
      <c r="S94" s="1075"/>
      <c r="T94" s="1075"/>
      <c r="U94" s="1075"/>
      <c r="V94" s="1075"/>
      <c r="W94" s="1075"/>
      <c r="X94" s="1076"/>
      <c r="Y94" s="2"/>
      <c r="Z94" s="2"/>
      <c r="AA94" s="2"/>
      <c r="AB94" s="2"/>
      <c r="AC94" s="2"/>
      <c r="AD94" s="2"/>
      <c r="AE94" s="2"/>
      <c r="AF94" s="2"/>
      <c r="AG94" s="2"/>
      <c r="AH94" s="2"/>
      <c r="AI94" s="2"/>
      <c r="AJ94" s="2"/>
      <c r="AK94" s="2"/>
      <c r="AL94" s="2"/>
      <c r="AM94" s="2"/>
      <c r="AN94" s="2"/>
    </row>
    <row r="95" spans="1:40" x14ac:dyDescent="0.25">
      <c r="A95" s="3"/>
      <c r="B95" s="3"/>
      <c r="C95" s="1"/>
      <c r="D95" s="3"/>
      <c r="E95" s="3" t="s">
        <v>91</v>
      </c>
      <c r="F95" s="3"/>
      <c r="G95" s="3"/>
      <c r="H95" s="3"/>
      <c r="I95" s="3"/>
      <c r="J95" s="351" t="s">
        <v>2317</v>
      </c>
      <c r="K95" s="333" t="s">
        <v>2318</v>
      </c>
      <c r="L95" s="5"/>
      <c r="M95" s="1"/>
      <c r="N95" s="1"/>
      <c r="O95" s="1"/>
      <c r="P95" s="1"/>
      <c r="Q95" s="1"/>
      <c r="R95" s="1"/>
      <c r="S95" s="1"/>
      <c r="T95" s="4"/>
      <c r="U95" s="4"/>
      <c r="V95" s="1"/>
      <c r="W95" s="1"/>
      <c r="X95" s="1"/>
    </row>
    <row r="96" spans="1:40" ht="15.75" customHeight="1" x14ac:dyDescent="0.25">
      <c r="A96" s="3"/>
      <c r="B96" s="3"/>
      <c r="C96" s="1"/>
      <c r="D96" s="3"/>
      <c r="E96" s="3" t="s">
        <v>91</v>
      </c>
      <c r="F96" s="3"/>
      <c r="G96" s="3"/>
      <c r="H96" s="3"/>
      <c r="I96" s="3"/>
      <c r="J96" s="351" t="s">
        <v>2319</v>
      </c>
      <c r="K96" s="333" t="s">
        <v>2123</v>
      </c>
      <c r="L96" s="326"/>
      <c r="M96" s="1"/>
      <c r="N96" s="1"/>
      <c r="O96" s="1"/>
      <c r="P96" s="1"/>
      <c r="Q96" s="1"/>
      <c r="R96" s="1"/>
      <c r="S96" s="1"/>
      <c r="T96" s="4"/>
      <c r="U96" s="4"/>
      <c r="V96" s="1"/>
      <c r="W96" s="1"/>
      <c r="X96" s="1"/>
    </row>
    <row r="97" spans="1:24" ht="15.75" customHeight="1" x14ac:dyDescent="0.25">
      <c r="A97" s="3"/>
      <c r="B97" s="3"/>
      <c r="C97" s="1"/>
      <c r="D97" s="3"/>
      <c r="E97" s="3" t="s">
        <v>91</v>
      </c>
      <c r="F97" s="3"/>
      <c r="G97" s="3"/>
      <c r="H97" s="3"/>
      <c r="I97" s="3"/>
      <c r="J97" s="351" t="s">
        <v>2320</v>
      </c>
      <c r="K97" s="333" t="s">
        <v>2126</v>
      </c>
      <c r="L97" s="326"/>
      <c r="M97" s="1"/>
      <c r="N97" s="1"/>
      <c r="O97" s="1"/>
      <c r="P97" s="1"/>
      <c r="Q97" s="1"/>
      <c r="R97" s="1"/>
      <c r="S97" s="1"/>
      <c r="T97" s="4"/>
      <c r="U97" s="4"/>
      <c r="V97" s="1"/>
      <c r="W97" s="1"/>
      <c r="X97" s="1"/>
    </row>
    <row r="98" spans="1:24" ht="15.75" customHeight="1" x14ac:dyDescent="0.25">
      <c r="A98" s="3"/>
      <c r="B98" s="3"/>
      <c r="C98" s="1"/>
      <c r="D98" s="3"/>
      <c r="E98" s="3"/>
      <c r="F98" s="3" t="s">
        <v>91</v>
      </c>
      <c r="G98" s="3"/>
      <c r="H98" s="3"/>
      <c r="I98" s="3"/>
      <c r="J98" s="351" t="s">
        <v>2321</v>
      </c>
      <c r="K98" s="333" t="s">
        <v>2129</v>
      </c>
      <c r="L98" s="326"/>
      <c r="M98" s="1"/>
      <c r="N98" s="1"/>
      <c r="O98" s="1"/>
      <c r="P98" s="1"/>
      <c r="Q98" s="1"/>
      <c r="R98" s="1"/>
      <c r="S98" s="1"/>
      <c r="T98" s="4"/>
      <c r="U98" s="4"/>
      <c r="V98" s="1"/>
      <c r="W98" s="1"/>
      <c r="X98" s="1"/>
    </row>
    <row r="99" spans="1:24" x14ac:dyDescent="0.25">
      <c r="A99" s="3"/>
      <c r="B99" s="3"/>
      <c r="C99" s="1"/>
      <c r="D99" s="3"/>
      <c r="E99" s="3"/>
      <c r="F99" s="3" t="s">
        <v>91</v>
      </c>
      <c r="G99" s="3"/>
      <c r="H99" s="3"/>
      <c r="I99" s="3"/>
      <c r="J99" s="1" t="s">
        <v>1693</v>
      </c>
      <c r="K99" s="1" t="s">
        <v>2322</v>
      </c>
      <c r="L99" s="4" t="s">
        <v>2192</v>
      </c>
      <c r="M99" s="1"/>
      <c r="N99" s="1"/>
      <c r="O99" s="1"/>
      <c r="P99" s="1"/>
      <c r="Q99" s="1"/>
      <c r="R99" s="1" t="s">
        <v>1696</v>
      </c>
      <c r="S99" s="1"/>
      <c r="T99" s="4"/>
      <c r="U99" s="4"/>
      <c r="V99" s="1"/>
      <c r="W99" s="1"/>
      <c r="X99" s="1"/>
    </row>
    <row r="100" spans="1:24" x14ac:dyDescent="0.25">
      <c r="A100" s="3"/>
      <c r="B100" s="3"/>
      <c r="C100" s="1"/>
      <c r="D100" s="3"/>
      <c r="E100" s="3"/>
      <c r="F100" s="3"/>
      <c r="G100" s="3" t="s">
        <v>91</v>
      </c>
      <c r="H100" s="3"/>
      <c r="I100" s="3"/>
      <c r="J100" s="1" t="s">
        <v>2323</v>
      </c>
      <c r="K100" s="1" t="s">
        <v>2324</v>
      </c>
      <c r="L100" s="4" t="s">
        <v>212</v>
      </c>
      <c r="M100" s="1"/>
      <c r="N100" s="1"/>
      <c r="O100" s="1"/>
      <c r="P100" s="1"/>
      <c r="Q100" s="1"/>
      <c r="R100" s="1"/>
      <c r="S100" s="1"/>
      <c r="T100" s="4"/>
      <c r="U100" s="4"/>
      <c r="V100" s="1"/>
      <c r="W100" s="1"/>
      <c r="X100" s="1"/>
    </row>
    <row r="101" spans="1:24" x14ac:dyDescent="0.25">
      <c r="A101" s="3"/>
      <c r="B101" s="3"/>
      <c r="C101" s="1"/>
      <c r="D101" s="3"/>
      <c r="E101" s="3"/>
      <c r="F101" s="3"/>
      <c r="G101" s="3" t="s">
        <v>91</v>
      </c>
      <c r="H101" s="3"/>
      <c r="I101" s="3"/>
      <c r="J101" s="1" t="s">
        <v>2325</v>
      </c>
      <c r="K101" s="1" t="s">
        <v>2324</v>
      </c>
      <c r="L101" s="4" t="s">
        <v>212</v>
      </c>
      <c r="M101" s="1"/>
      <c r="N101" s="1"/>
      <c r="O101" s="1"/>
      <c r="P101" s="1"/>
      <c r="Q101" s="1"/>
      <c r="R101" s="1"/>
      <c r="S101" s="1"/>
      <c r="T101" s="4"/>
      <c r="U101" s="4"/>
      <c r="V101" s="1"/>
      <c r="W101" s="1"/>
      <c r="X101" s="1"/>
    </row>
    <row r="102" spans="1:24" ht="15.75" customHeight="1" x14ac:dyDescent="0.25">
      <c r="A102" s="3"/>
      <c r="B102" s="3"/>
      <c r="C102" s="1"/>
      <c r="D102" s="3"/>
      <c r="E102" s="3"/>
      <c r="F102" s="3" t="s">
        <v>91</v>
      </c>
      <c r="G102" s="3"/>
      <c r="H102" s="3"/>
      <c r="I102" s="3"/>
      <c r="J102" s="351" t="s">
        <v>2326</v>
      </c>
      <c r="K102" s="333" t="s">
        <v>2133</v>
      </c>
      <c r="L102" s="326"/>
      <c r="M102" s="1"/>
      <c r="N102" s="1"/>
      <c r="O102" s="1"/>
      <c r="P102" s="1"/>
      <c r="Q102" s="1"/>
      <c r="R102" s="1"/>
      <c r="S102" s="1"/>
      <c r="T102" s="4"/>
      <c r="U102" s="4"/>
      <c r="V102" s="1"/>
      <c r="W102" s="1"/>
      <c r="X102" s="1"/>
    </row>
    <row r="103" spans="1:24" x14ac:dyDescent="0.25">
      <c r="A103" s="3"/>
      <c r="B103" s="3"/>
      <c r="C103" s="1"/>
      <c r="D103" s="3"/>
      <c r="E103" s="3"/>
      <c r="F103" s="3" t="s">
        <v>91</v>
      </c>
      <c r="G103" s="3"/>
      <c r="H103" s="3"/>
      <c r="I103" s="3"/>
      <c r="J103" s="1" t="s">
        <v>1715</v>
      </c>
      <c r="K103" s="1" t="s">
        <v>2327</v>
      </c>
      <c r="L103" s="4" t="s">
        <v>2192</v>
      </c>
      <c r="M103" s="1"/>
      <c r="N103" s="1"/>
      <c r="O103" s="1"/>
      <c r="P103" s="1"/>
      <c r="Q103" s="1"/>
      <c r="R103" s="1"/>
      <c r="S103" s="1"/>
      <c r="T103" s="4"/>
      <c r="U103" s="4"/>
      <c r="V103" s="1"/>
      <c r="W103" s="1"/>
      <c r="X103" s="1"/>
    </row>
    <row r="104" spans="1:24" x14ac:dyDescent="0.25">
      <c r="A104" s="3"/>
      <c r="B104" s="3"/>
      <c r="C104" s="1"/>
      <c r="D104" s="3"/>
      <c r="E104" s="3"/>
      <c r="F104" s="3"/>
      <c r="G104" s="3" t="s">
        <v>91</v>
      </c>
      <c r="H104" s="3"/>
      <c r="I104" s="3"/>
      <c r="J104" s="1" t="s">
        <v>2328</v>
      </c>
      <c r="K104" s="1" t="s">
        <v>2324</v>
      </c>
      <c r="L104" s="4" t="s">
        <v>212</v>
      </c>
      <c r="M104" s="1"/>
      <c r="N104" s="1"/>
      <c r="O104" s="1"/>
      <c r="P104" s="1"/>
      <c r="Q104" s="1"/>
      <c r="R104" s="1"/>
      <c r="S104" s="1"/>
      <c r="T104" s="4"/>
      <c r="U104" s="4"/>
      <c r="V104" s="1"/>
      <c r="W104" s="1"/>
      <c r="X104" s="1"/>
    </row>
    <row r="105" spans="1:24" x14ac:dyDescent="0.25">
      <c r="A105" s="3"/>
      <c r="B105" s="3"/>
      <c r="C105" s="1"/>
      <c r="D105" s="3"/>
      <c r="E105" s="3"/>
      <c r="F105" s="3"/>
      <c r="G105" s="3" t="s">
        <v>91</v>
      </c>
      <c r="H105" s="3"/>
      <c r="I105" s="3"/>
      <c r="J105" s="1" t="s">
        <v>2329</v>
      </c>
      <c r="K105" s="1" t="s">
        <v>2324</v>
      </c>
      <c r="L105" s="4" t="s">
        <v>212</v>
      </c>
      <c r="M105" s="1"/>
      <c r="N105" s="1"/>
      <c r="O105" s="1"/>
      <c r="P105" s="1"/>
      <c r="Q105" s="1"/>
      <c r="R105" s="1"/>
      <c r="S105" s="1"/>
      <c r="T105" s="4"/>
      <c r="U105" s="4"/>
      <c r="V105" s="1"/>
      <c r="W105" s="1"/>
      <c r="X105" s="1"/>
    </row>
    <row r="106" spans="1:24" ht="15.75" customHeight="1" x14ac:dyDescent="0.25">
      <c r="A106" s="3"/>
      <c r="B106" s="3"/>
      <c r="C106" s="1"/>
      <c r="D106" s="3"/>
      <c r="E106" s="3"/>
      <c r="F106" s="3" t="s">
        <v>91</v>
      </c>
      <c r="G106" s="3"/>
      <c r="H106" s="3"/>
      <c r="I106" s="3"/>
      <c r="J106" s="351" t="s">
        <v>2330</v>
      </c>
      <c r="K106" s="1"/>
      <c r="L106" s="326"/>
      <c r="M106" s="1"/>
      <c r="N106" s="1"/>
      <c r="O106" s="1"/>
      <c r="P106" s="1"/>
      <c r="Q106" s="1"/>
      <c r="R106" s="1"/>
      <c r="S106" s="1"/>
      <c r="T106" s="4"/>
      <c r="U106" s="4"/>
      <c r="V106" s="1"/>
      <c r="W106" s="1"/>
      <c r="X106" s="1"/>
    </row>
    <row r="107" spans="1:24" ht="15.75" customHeight="1" x14ac:dyDescent="0.25">
      <c r="A107" s="3"/>
      <c r="B107" s="3"/>
      <c r="C107" s="1"/>
      <c r="D107" s="3"/>
      <c r="E107" s="3"/>
      <c r="F107" s="3" t="s">
        <v>91</v>
      </c>
      <c r="G107" s="3"/>
      <c r="H107" s="3"/>
      <c r="I107" s="3"/>
      <c r="J107" s="351" t="s">
        <v>2331</v>
      </c>
      <c r="K107" s="333" t="s">
        <v>2300</v>
      </c>
      <c r="L107" s="4"/>
      <c r="M107" s="1"/>
      <c r="N107" s="1"/>
      <c r="O107" s="1"/>
      <c r="P107" s="1"/>
      <c r="Q107" s="1"/>
      <c r="R107" s="1"/>
      <c r="S107" s="1"/>
      <c r="T107" s="4"/>
      <c r="U107" s="4"/>
      <c r="V107" s="1"/>
      <c r="W107" s="1"/>
      <c r="X107" s="1"/>
    </row>
    <row r="108" spans="1:24" x14ac:dyDescent="0.25">
      <c r="A108" s="3"/>
      <c r="B108" s="3"/>
      <c r="C108" s="1"/>
      <c r="D108" s="3"/>
      <c r="E108" s="3"/>
      <c r="F108" s="3"/>
      <c r="G108" s="3" t="s">
        <v>91</v>
      </c>
      <c r="H108" s="3"/>
      <c r="I108" s="3"/>
      <c r="J108" s="1" t="s">
        <v>1726</v>
      </c>
      <c r="K108" s="1" t="s">
        <v>2332</v>
      </c>
      <c r="L108" s="4" t="s">
        <v>2192</v>
      </c>
      <c r="M108" s="1"/>
      <c r="N108" s="1"/>
      <c r="O108" s="1"/>
      <c r="P108" s="1"/>
      <c r="Q108" s="1"/>
      <c r="R108" s="1"/>
      <c r="S108" s="1"/>
      <c r="T108" s="4"/>
      <c r="U108" s="4"/>
      <c r="V108" s="1"/>
      <c r="W108" s="1"/>
      <c r="X108" s="1"/>
    </row>
    <row r="109" spans="1:24" x14ac:dyDescent="0.25">
      <c r="A109" s="3"/>
      <c r="B109" s="3"/>
      <c r="C109" s="1"/>
      <c r="D109" s="3"/>
      <c r="E109" s="3"/>
      <c r="F109" s="3"/>
      <c r="G109" s="3" t="s">
        <v>91</v>
      </c>
      <c r="H109" s="3"/>
      <c r="I109" s="3"/>
      <c r="J109" s="1" t="s">
        <v>1730</v>
      </c>
      <c r="K109" s="1" t="s">
        <v>2333</v>
      </c>
      <c r="L109" s="4" t="s">
        <v>2192</v>
      </c>
      <c r="M109" s="1"/>
      <c r="N109" s="1"/>
      <c r="O109" s="1"/>
      <c r="P109" s="1"/>
      <c r="Q109" s="1"/>
      <c r="R109" s="1"/>
      <c r="S109" s="1"/>
      <c r="T109" s="4"/>
      <c r="U109" s="4"/>
      <c r="V109" s="1"/>
      <c r="W109" s="1"/>
      <c r="X109" s="1"/>
    </row>
    <row r="110" spans="1:24" x14ac:dyDescent="0.25">
      <c r="A110" s="3"/>
      <c r="B110" s="3"/>
      <c r="C110" s="1"/>
      <c r="D110" s="3"/>
      <c r="E110" s="3"/>
      <c r="F110" s="3"/>
      <c r="G110" s="3"/>
      <c r="H110" s="3" t="s">
        <v>91</v>
      </c>
      <c r="I110" s="3"/>
      <c r="J110" s="351" t="s">
        <v>2334</v>
      </c>
      <c r="K110" s="333" t="s">
        <v>2335</v>
      </c>
      <c r="L110" s="4"/>
      <c r="M110" s="1"/>
      <c r="N110" s="1"/>
      <c r="O110" s="1"/>
      <c r="P110" s="1"/>
      <c r="Q110" s="1"/>
      <c r="R110" s="1"/>
      <c r="S110" s="1"/>
      <c r="T110" s="4"/>
      <c r="U110" s="4"/>
      <c r="V110" s="1"/>
      <c r="W110" s="1"/>
      <c r="X110" s="1"/>
    </row>
    <row r="111" spans="1:24" x14ac:dyDescent="0.25">
      <c r="A111" s="3"/>
      <c r="B111" s="3"/>
      <c r="C111" s="1"/>
      <c r="D111" s="3"/>
      <c r="E111" s="3"/>
      <c r="F111" s="3"/>
      <c r="G111" s="3"/>
      <c r="H111" s="3"/>
      <c r="I111" s="3" t="s">
        <v>91</v>
      </c>
      <c r="J111" s="351" t="s">
        <v>2336</v>
      </c>
      <c r="K111" s="333" t="s">
        <v>2337</v>
      </c>
      <c r="L111" s="4"/>
      <c r="M111" s="1"/>
      <c r="N111" s="1"/>
      <c r="O111" s="1"/>
      <c r="P111" s="1"/>
      <c r="Q111" s="1"/>
      <c r="R111" s="1"/>
      <c r="S111" s="1"/>
      <c r="T111" s="4"/>
      <c r="U111" s="4"/>
      <c r="V111" s="1"/>
      <c r="W111" s="1"/>
      <c r="X111" s="1"/>
    </row>
    <row r="112" spans="1:24" ht="15.75" customHeight="1" x14ac:dyDescent="0.25">
      <c r="A112" s="3"/>
      <c r="B112" s="3"/>
      <c r="C112" s="1"/>
      <c r="D112" s="3"/>
      <c r="E112" s="3"/>
      <c r="F112" s="3"/>
      <c r="G112" s="3"/>
      <c r="H112" s="3"/>
      <c r="I112" s="3" t="s">
        <v>91</v>
      </c>
      <c r="J112" s="351" t="s">
        <v>2338</v>
      </c>
      <c r="K112" s="333" t="s">
        <v>2339</v>
      </c>
      <c r="L112" s="4"/>
      <c r="M112" s="1"/>
      <c r="N112" s="1"/>
      <c r="O112" s="1"/>
      <c r="P112" s="1"/>
      <c r="Q112" s="1"/>
      <c r="R112" s="1"/>
      <c r="S112" s="1"/>
      <c r="T112" s="4"/>
      <c r="U112" s="4"/>
      <c r="V112" s="1"/>
      <c r="W112" s="1"/>
      <c r="X112" s="1"/>
    </row>
    <row r="113" spans="1:40" x14ac:dyDescent="0.25">
      <c r="A113" s="3"/>
      <c r="B113" s="3"/>
      <c r="C113" s="1"/>
      <c r="D113" s="3"/>
      <c r="E113" s="3"/>
      <c r="F113" s="3"/>
      <c r="G113" s="3"/>
      <c r="H113" s="3"/>
      <c r="I113" s="3" t="s">
        <v>91</v>
      </c>
      <c r="J113" s="1" t="s">
        <v>1754</v>
      </c>
      <c r="K113" s="1" t="s">
        <v>2340</v>
      </c>
      <c r="L113" s="4" t="s">
        <v>2192</v>
      </c>
      <c r="M113" s="1"/>
      <c r="N113" s="1"/>
      <c r="O113" s="1"/>
      <c r="P113" s="1"/>
      <c r="Q113" s="1"/>
      <c r="R113" s="1"/>
      <c r="S113" s="1"/>
      <c r="T113" s="4"/>
      <c r="U113" s="4"/>
      <c r="V113" s="1"/>
      <c r="W113" s="1"/>
      <c r="X113" s="1"/>
    </row>
    <row r="114" spans="1:40" x14ac:dyDescent="0.25">
      <c r="A114" s="3"/>
      <c r="B114" s="3"/>
      <c r="C114" s="1"/>
      <c r="D114" s="3"/>
      <c r="E114" s="3"/>
      <c r="F114" s="3"/>
      <c r="G114" s="3"/>
      <c r="H114" s="3"/>
      <c r="I114" s="3" t="s">
        <v>91</v>
      </c>
      <c r="J114" s="351" t="s">
        <v>2341</v>
      </c>
      <c r="K114" s="1"/>
      <c r="L114" s="4"/>
      <c r="M114" s="1"/>
      <c r="N114" s="1"/>
      <c r="O114" s="1"/>
      <c r="P114" s="1"/>
      <c r="Q114" s="1"/>
      <c r="R114" s="1"/>
      <c r="S114" s="1"/>
      <c r="T114" s="4"/>
      <c r="U114" s="4"/>
      <c r="V114" s="1"/>
      <c r="W114" s="1"/>
      <c r="X114" s="1"/>
    </row>
    <row r="115" spans="1:40" x14ac:dyDescent="0.25">
      <c r="A115" s="3"/>
      <c r="B115" s="3"/>
      <c r="C115" s="1"/>
      <c r="D115" s="3"/>
      <c r="E115" s="3"/>
      <c r="F115" s="3"/>
      <c r="G115" s="3"/>
      <c r="H115" s="3"/>
      <c r="I115" s="3" t="s">
        <v>91</v>
      </c>
      <c r="J115" s="1" t="s">
        <v>1757</v>
      </c>
      <c r="K115" s="1" t="s">
        <v>2342</v>
      </c>
      <c r="L115" s="4" t="s">
        <v>2192</v>
      </c>
      <c r="M115" s="1"/>
      <c r="N115" s="1"/>
      <c r="O115" s="1"/>
      <c r="P115" s="1"/>
      <c r="Q115" s="1"/>
      <c r="R115" s="1"/>
      <c r="S115" s="1"/>
      <c r="T115" s="4"/>
      <c r="U115" s="4"/>
      <c r="V115" s="1"/>
      <c r="W115" s="1"/>
      <c r="X115" s="1"/>
    </row>
    <row r="116" spans="1:40" x14ac:dyDescent="0.25">
      <c r="A116" s="3"/>
      <c r="B116" s="3"/>
      <c r="C116" s="1"/>
      <c r="D116" s="3"/>
      <c r="E116" s="3"/>
      <c r="F116" s="3"/>
      <c r="G116" s="3"/>
      <c r="H116" s="3"/>
      <c r="I116" s="3" t="s">
        <v>91</v>
      </c>
      <c r="J116" s="1" t="s">
        <v>1761</v>
      </c>
      <c r="K116" s="1" t="s">
        <v>2343</v>
      </c>
      <c r="L116" s="4" t="s">
        <v>2192</v>
      </c>
      <c r="M116" s="1"/>
      <c r="N116" s="1"/>
      <c r="O116" s="1"/>
      <c r="P116" s="1"/>
      <c r="Q116" s="1"/>
      <c r="R116" s="1"/>
      <c r="S116" s="1"/>
      <c r="T116" s="4"/>
      <c r="U116" s="4"/>
      <c r="V116" s="1"/>
      <c r="W116" s="1"/>
      <c r="X116" s="1"/>
    </row>
    <row r="117" spans="1:40" x14ac:dyDescent="0.25">
      <c r="A117" s="3"/>
      <c r="B117" s="3"/>
      <c r="C117" s="1"/>
      <c r="D117" s="3"/>
      <c r="E117" s="3"/>
      <c r="F117" s="3"/>
      <c r="G117" s="3"/>
      <c r="H117" s="3"/>
      <c r="I117" s="3" t="s">
        <v>91</v>
      </c>
      <c r="J117" s="351" t="s">
        <v>2344</v>
      </c>
      <c r="K117" s="333" t="s">
        <v>2345</v>
      </c>
      <c r="L117" s="4"/>
      <c r="M117" s="1"/>
      <c r="N117" s="1"/>
      <c r="O117" s="1"/>
      <c r="P117" s="1"/>
      <c r="Q117" s="1"/>
      <c r="R117" s="1"/>
      <c r="S117" s="1"/>
      <c r="T117" s="4"/>
      <c r="U117" s="4"/>
      <c r="V117" s="1"/>
      <c r="W117" s="1"/>
      <c r="X117" s="1"/>
    </row>
    <row r="118" spans="1:40" x14ac:dyDescent="0.25">
      <c r="A118" s="3"/>
      <c r="B118" s="3"/>
      <c r="C118" s="1"/>
      <c r="D118" s="3"/>
      <c r="E118" s="3"/>
      <c r="F118" s="3"/>
      <c r="G118" s="3"/>
      <c r="H118" s="3"/>
      <c r="I118" s="3" t="s">
        <v>91</v>
      </c>
      <c r="J118" s="351" t="s">
        <v>2346</v>
      </c>
      <c r="K118" s="1"/>
      <c r="L118" s="4"/>
      <c r="M118" s="1"/>
      <c r="N118" s="1"/>
      <c r="O118" s="1"/>
      <c r="P118" s="1"/>
      <c r="Q118" s="1"/>
      <c r="R118" s="1"/>
      <c r="S118" s="1"/>
      <c r="T118" s="4"/>
      <c r="U118" s="4"/>
      <c r="V118" s="1"/>
      <c r="W118" s="1"/>
      <c r="X118" s="1"/>
    </row>
    <row r="119" spans="1:40" x14ac:dyDescent="0.25">
      <c r="A119" s="3"/>
      <c r="B119" s="3"/>
      <c r="C119" s="1"/>
      <c r="D119" s="3"/>
      <c r="E119" s="3"/>
      <c r="F119" s="3"/>
      <c r="G119" s="3"/>
      <c r="H119" s="3"/>
      <c r="I119" s="3" t="s">
        <v>91</v>
      </c>
      <c r="J119" s="1" t="s">
        <v>1783</v>
      </c>
      <c r="K119" s="1" t="s">
        <v>2324</v>
      </c>
      <c r="L119" s="4" t="s">
        <v>212</v>
      </c>
      <c r="M119" s="1"/>
      <c r="N119" s="1"/>
      <c r="O119" s="1"/>
      <c r="P119" s="1"/>
      <c r="Q119" s="1"/>
      <c r="R119" s="1"/>
      <c r="S119" s="1"/>
      <c r="T119" s="4"/>
      <c r="U119" s="4"/>
      <c r="V119" s="1"/>
      <c r="W119" s="1"/>
      <c r="X119" s="1"/>
    </row>
    <row r="120" spans="1:40" ht="15.75" customHeight="1" x14ac:dyDescent="0.25">
      <c r="A120" s="3"/>
      <c r="B120" s="3"/>
      <c r="C120" s="1"/>
      <c r="D120" s="3"/>
      <c r="E120" s="3"/>
      <c r="F120" s="3" t="s">
        <v>91</v>
      </c>
      <c r="G120" s="3"/>
      <c r="H120" s="3"/>
      <c r="I120" s="3"/>
      <c r="J120" s="351" t="s">
        <v>2347</v>
      </c>
      <c r="K120" s="333" t="s">
        <v>2149</v>
      </c>
      <c r="L120" s="326"/>
      <c r="M120" s="1"/>
      <c r="N120" s="1"/>
      <c r="O120" s="1"/>
      <c r="P120" s="1"/>
      <c r="Q120" s="1"/>
      <c r="R120" s="1"/>
      <c r="S120" s="1"/>
      <c r="T120" s="4"/>
      <c r="U120" s="4"/>
      <c r="V120" s="1"/>
      <c r="W120" s="1"/>
      <c r="X120" s="1"/>
    </row>
    <row r="121" spans="1:40" x14ac:dyDescent="0.25">
      <c r="A121" s="3"/>
      <c r="B121" s="3"/>
      <c r="C121" s="1"/>
      <c r="D121" s="3"/>
      <c r="E121" s="3"/>
      <c r="F121" s="3"/>
      <c r="G121" s="3" t="s">
        <v>91</v>
      </c>
      <c r="H121" s="3"/>
      <c r="I121" s="3"/>
      <c r="J121" s="1" t="s">
        <v>1798</v>
      </c>
      <c r="K121" s="1" t="s">
        <v>2348</v>
      </c>
      <c r="L121" s="4" t="s">
        <v>2192</v>
      </c>
      <c r="M121" s="1"/>
      <c r="N121" s="1"/>
      <c r="O121" s="1"/>
      <c r="P121" s="1"/>
      <c r="Q121" s="1"/>
      <c r="R121" s="1"/>
      <c r="S121" s="1"/>
      <c r="T121" s="4"/>
      <c r="U121" s="4"/>
      <c r="V121" s="1"/>
      <c r="W121" s="1"/>
      <c r="X121" s="1"/>
    </row>
    <row r="122" spans="1:40" x14ac:dyDescent="0.25">
      <c r="A122" s="3"/>
      <c r="B122" s="3"/>
      <c r="C122" s="1"/>
      <c r="D122" s="3"/>
      <c r="E122" s="3"/>
      <c r="F122" s="3"/>
      <c r="G122" s="3" t="s">
        <v>91</v>
      </c>
      <c r="H122" s="3"/>
      <c r="I122" s="3"/>
      <c r="J122" s="1" t="s">
        <v>1801</v>
      </c>
      <c r="K122" s="1" t="s">
        <v>2349</v>
      </c>
      <c r="L122" s="4" t="s">
        <v>2192</v>
      </c>
      <c r="M122" s="1"/>
      <c r="N122" s="1"/>
      <c r="O122" s="1"/>
      <c r="P122" s="1"/>
      <c r="Q122" s="1"/>
      <c r="R122" s="1"/>
      <c r="S122" s="1"/>
      <c r="T122" s="4"/>
      <c r="U122" s="4"/>
      <c r="V122" s="1"/>
      <c r="W122" s="1"/>
      <c r="X122" s="1"/>
    </row>
    <row r="123" spans="1:40" x14ac:dyDescent="0.25">
      <c r="A123" s="3"/>
      <c r="B123" s="3"/>
      <c r="C123" s="1"/>
      <c r="D123" s="3"/>
      <c r="E123" s="3"/>
      <c r="F123" s="3"/>
      <c r="G123" s="3"/>
      <c r="H123" s="3" t="s">
        <v>91</v>
      </c>
      <c r="I123" s="3"/>
      <c r="J123" s="1" t="s">
        <v>1808</v>
      </c>
      <c r="K123" s="1" t="s">
        <v>2350</v>
      </c>
      <c r="L123" s="4" t="s">
        <v>2192</v>
      </c>
      <c r="M123" s="1"/>
      <c r="N123" s="1"/>
      <c r="O123" s="1"/>
      <c r="P123" s="1"/>
      <c r="Q123" s="1"/>
      <c r="R123" s="1"/>
      <c r="S123" s="1"/>
      <c r="T123" s="4"/>
      <c r="U123" s="4"/>
      <c r="V123" s="1"/>
      <c r="W123" s="1"/>
      <c r="X123" s="1"/>
    </row>
    <row r="124" spans="1:40" x14ac:dyDescent="0.25">
      <c r="A124" s="3"/>
      <c r="B124" s="3"/>
      <c r="C124" s="1"/>
      <c r="D124" s="3"/>
      <c r="E124" s="3"/>
      <c r="F124" s="3" t="s">
        <v>91</v>
      </c>
      <c r="G124" s="3"/>
      <c r="H124" s="3"/>
      <c r="I124" s="3"/>
      <c r="J124" s="844" t="s">
        <v>2351</v>
      </c>
      <c r="K124" s="333" t="s">
        <v>2352</v>
      </c>
      <c r="L124" s="4"/>
      <c r="M124" s="1"/>
      <c r="N124" s="1"/>
      <c r="O124" s="1"/>
      <c r="P124" s="1"/>
      <c r="Q124" s="1"/>
      <c r="R124" s="1"/>
      <c r="S124" s="1"/>
      <c r="T124" s="4"/>
      <c r="U124" s="4"/>
      <c r="V124" s="1"/>
      <c r="W124" s="1"/>
      <c r="X124" s="1"/>
    </row>
    <row r="125" spans="1:40" ht="20.25" customHeight="1" x14ac:dyDescent="0.25">
      <c r="A125" s="3"/>
      <c r="B125" s="3"/>
      <c r="C125" s="742"/>
      <c r="D125" s="742">
        <v>7</v>
      </c>
      <c r="E125" s="1072" t="s">
        <v>2353</v>
      </c>
      <c r="F125" s="1072"/>
      <c r="G125" s="1072"/>
      <c r="H125" s="1072"/>
      <c r="I125" s="1072"/>
      <c r="J125" s="1072"/>
      <c r="K125" s="1073"/>
      <c r="L125" s="1074"/>
      <c r="M125" s="1075"/>
      <c r="N125" s="1075"/>
      <c r="O125" s="1075"/>
      <c r="P125" s="1075"/>
      <c r="Q125" s="1075"/>
      <c r="R125" s="1075"/>
      <c r="S125" s="1075"/>
      <c r="T125" s="1075"/>
      <c r="U125" s="1075"/>
      <c r="V125" s="1075"/>
      <c r="W125" s="1075"/>
      <c r="X125" s="1076"/>
      <c r="Y125" s="2"/>
      <c r="Z125" s="2"/>
      <c r="AA125" s="2"/>
      <c r="AB125" s="2"/>
      <c r="AC125" s="2"/>
      <c r="AD125" s="2"/>
      <c r="AE125" s="2"/>
      <c r="AF125" s="2"/>
      <c r="AG125" s="2"/>
      <c r="AH125" s="2"/>
      <c r="AI125" s="2"/>
      <c r="AJ125" s="2"/>
      <c r="AK125" s="2"/>
      <c r="AL125" s="2"/>
      <c r="AM125" s="2"/>
      <c r="AN125" s="2"/>
    </row>
    <row r="126" spans="1:40" x14ac:dyDescent="0.25">
      <c r="A126" s="3"/>
      <c r="B126" s="3"/>
      <c r="C126" s="1"/>
      <c r="D126" s="3"/>
      <c r="E126" s="3" t="s">
        <v>91</v>
      </c>
      <c r="F126" s="3"/>
      <c r="G126" s="3"/>
      <c r="H126" s="3"/>
      <c r="I126" s="3"/>
      <c r="J126" s="351" t="s">
        <v>2354</v>
      </c>
      <c r="K126" s="1"/>
      <c r="L126" s="5"/>
      <c r="M126" s="1"/>
      <c r="N126" s="1"/>
      <c r="O126" s="1"/>
      <c r="P126" s="1"/>
      <c r="Q126" s="1"/>
      <c r="R126" s="1"/>
      <c r="S126" s="1"/>
      <c r="T126" s="4"/>
      <c r="U126" s="4"/>
      <c r="V126" s="1"/>
      <c r="W126" s="1"/>
      <c r="X126" s="1"/>
    </row>
    <row r="127" spans="1:40" x14ac:dyDescent="0.25">
      <c r="A127" s="3"/>
      <c r="B127" s="3"/>
      <c r="C127" s="1"/>
      <c r="D127" s="3"/>
      <c r="E127" s="3" t="s">
        <v>91</v>
      </c>
      <c r="F127" s="3"/>
      <c r="G127" s="3"/>
      <c r="H127" s="3"/>
      <c r="I127" s="3"/>
      <c r="J127" s="1" t="s">
        <v>2355</v>
      </c>
      <c r="K127" s="1" t="s">
        <v>2356</v>
      </c>
      <c r="L127" s="4" t="s">
        <v>2357</v>
      </c>
      <c r="M127" s="1"/>
      <c r="N127" s="1" t="s">
        <v>2358</v>
      </c>
      <c r="O127" s="1"/>
      <c r="P127" s="1"/>
      <c r="Q127" s="1"/>
      <c r="R127" s="1"/>
      <c r="S127" s="1"/>
      <c r="T127" s="4"/>
      <c r="U127" s="4"/>
      <c r="V127" s="1"/>
      <c r="W127" s="1"/>
      <c r="X127" s="1"/>
    </row>
    <row r="128" spans="1:40" ht="25.5" customHeight="1" x14ac:dyDescent="0.25">
      <c r="A128" s="3"/>
      <c r="B128" s="3"/>
      <c r="C128" s="1"/>
      <c r="D128" s="3"/>
      <c r="E128" s="3"/>
      <c r="F128" s="3" t="s">
        <v>91</v>
      </c>
      <c r="G128" s="3"/>
      <c r="H128" s="3"/>
      <c r="I128" s="3"/>
      <c r="J128" s="1" t="s">
        <v>2359</v>
      </c>
      <c r="K128" s="1" t="s">
        <v>2360</v>
      </c>
      <c r="L128" s="16" t="s">
        <v>358</v>
      </c>
      <c r="M128" s="1"/>
      <c r="N128" s="1"/>
      <c r="O128" s="1"/>
      <c r="P128" s="1"/>
      <c r="Q128" s="1"/>
      <c r="R128" s="1"/>
      <c r="S128" s="1"/>
      <c r="T128" s="4"/>
      <c r="U128" s="4"/>
      <c r="V128" s="1"/>
      <c r="W128" s="1"/>
      <c r="X128" s="1"/>
    </row>
    <row r="129" spans="1:24" ht="25.5" customHeight="1" x14ac:dyDescent="0.25">
      <c r="A129" s="3"/>
      <c r="B129" s="3"/>
      <c r="C129" s="1"/>
      <c r="D129" s="3"/>
      <c r="E129" s="3"/>
      <c r="F129" s="3" t="s">
        <v>91</v>
      </c>
      <c r="G129" s="3"/>
      <c r="H129" s="3"/>
      <c r="I129" s="3"/>
      <c r="J129" s="1" t="s">
        <v>2361</v>
      </c>
      <c r="K129" s="1" t="s">
        <v>2362</v>
      </c>
      <c r="L129" s="16" t="s">
        <v>358</v>
      </c>
      <c r="M129" s="1"/>
      <c r="N129" s="1"/>
      <c r="O129" s="1"/>
      <c r="P129" s="1"/>
      <c r="Q129" s="1"/>
      <c r="R129" s="1"/>
      <c r="S129" s="1"/>
      <c r="T129" s="4"/>
      <c r="U129" s="4"/>
      <c r="V129" s="1"/>
      <c r="W129" s="1"/>
      <c r="X129" s="1"/>
    </row>
    <row r="130" spans="1:24" ht="25.5" customHeight="1" x14ac:dyDescent="0.25">
      <c r="A130" s="3"/>
      <c r="B130" s="3"/>
      <c r="C130" s="1"/>
      <c r="D130" s="3"/>
      <c r="E130" s="3"/>
      <c r="F130" s="3"/>
      <c r="G130" s="3" t="s">
        <v>91</v>
      </c>
      <c r="H130" s="3"/>
      <c r="I130" s="3"/>
      <c r="J130" s="1" t="s">
        <v>2363</v>
      </c>
      <c r="K130" s="1" t="s">
        <v>2364</v>
      </c>
      <c r="L130" s="4" t="s">
        <v>2192</v>
      </c>
      <c r="M130" s="1"/>
      <c r="N130" s="1" t="s">
        <v>2365</v>
      </c>
      <c r="O130" s="1"/>
      <c r="P130" s="1"/>
      <c r="Q130" s="1"/>
      <c r="R130" s="1"/>
      <c r="S130" s="1"/>
      <c r="T130" s="4"/>
      <c r="U130" s="4"/>
      <c r="V130" s="1"/>
      <c r="W130" s="1"/>
      <c r="X130" s="1"/>
    </row>
    <row r="131" spans="1:24" ht="25.5" customHeight="1" x14ac:dyDescent="0.25">
      <c r="A131" s="3"/>
      <c r="B131" s="3"/>
      <c r="C131" s="1"/>
      <c r="D131" s="3"/>
      <c r="E131" s="3"/>
      <c r="F131" s="3"/>
      <c r="G131" s="3"/>
      <c r="H131" s="3" t="s">
        <v>91</v>
      </c>
      <c r="I131" s="3"/>
      <c r="J131" s="337" t="s">
        <v>2366</v>
      </c>
      <c r="K131" s="337" t="s">
        <v>2367</v>
      </c>
      <c r="L131" s="340" t="s">
        <v>2217</v>
      </c>
      <c r="M131" s="1"/>
      <c r="N131" s="1"/>
      <c r="O131" s="1"/>
      <c r="P131" s="1"/>
      <c r="Q131" s="1"/>
      <c r="R131" s="1"/>
      <c r="S131" s="1"/>
      <c r="T131" s="4"/>
      <c r="U131" s="4"/>
      <c r="V131" s="1"/>
      <c r="W131" s="1"/>
      <c r="X131" s="1"/>
    </row>
    <row r="132" spans="1:24" ht="25.5" customHeight="1" x14ac:dyDescent="0.25">
      <c r="A132" s="3"/>
      <c r="B132" s="3"/>
      <c r="C132" s="1"/>
      <c r="D132" s="3"/>
      <c r="E132" s="3"/>
      <c r="F132" s="3"/>
      <c r="G132" s="3"/>
      <c r="H132" s="3"/>
      <c r="I132" s="3" t="s">
        <v>91</v>
      </c>
      <c r="J132" s="337" t="s">
        <v>2368</v>
      </c>
      <c r="K132" s="337" t="s">
        <v>2369</v>
      </c>
      <c r="L132" s="340" t="s">
        <v>2370</v>
      </c>
      <c r="M132" s="1"/>
      <c r="N132" s="1"/>
      <c r="O132" s="1"/>
      <c r="P132" s="1"/>
      <c r="Q132" s="1"/>
      <c r="R132" s="1"/>
      <c r="S132" s="1"/>
      <c r="T132" s="4"/>
      <c r="U132" s="4"/>
      <c r="V132" s="1"/>
      <c r="W132" s="1"/>
      <c r="X132" s="1"/>
    </row>
    <row r="133" spans="1:24" ht="25.5" customHeight="1" x14ac:dyDescent="0.25">
      <c r="A133" s="3"/>
      <c r="B133" s="3"/>
      <c r="C133" s="1"/>
      <c r="D133" s="3"/>
      <c r="E133" s="3"/>
      <c r="F133" s="3"/>
      <c r="G133" s="3"/>
      <c r="H133" s="3"/>
      <c r="I133" s="3" t="s">
        <v>91</v>
      </c>
      <c r="J133" s="1" t="s">
        <v>2371</v>
      </c>
      <c r="K133" s="334" t="s">
        <v>2372</v>
      </c>
      <c r="L133" s="4" t="s">
        <v>2192</v>
      </c>
      <c r="M133" s="1"/>
      <c r="N133" s="1" t="s">
        <v>2373</v>
      </c>
      <c r="O133" s="1"/>
      <c r="P133" s="1"/>
      <c r="Q133" s="1"/>
      <c r="R133" s="1"/>
      <c r="S133" s="1"/>
      <c r="T133" s="4"/>
      <c r="U133" s="4"/>
      <c r="V133" s="1"/>
      <c r="W133" s="1"/>
      <c r="X133" s="1"/>
    </row>
    <row r="134" spans="1:24" ht="25.5" customHeight="1" x14ac:dyDescent="0.25">
      <c r="A134" s="3"/>
      <c r="B134" s="3"/>
      <c r="C134" s="1"/>
      <c r="D134" s="3"/>
      <c r="E134" s="3"/>
      <c r="F134" s="3"/>
      <c r="G134" s="3"/>
      <c r="H134" s="3"/>
      <c r="I134" s="3" t="s">
        <v>91</v>
      </c>
      <c r="J134" s="1" t="s">
        <v>2374</v>
      </c>
      <c r="K134" s="1" t="s">
        <v>2375</v>
      </c>
      <c r="L134" s="336" t="s">
        <v>1399</v>
      </c>
      <c r="M134" s="1"/>
      <c r="N134" s="1"/>
      <c r="O134" s="1"/>
      <c r="P134" s="1"/>
      <c r="Q134" s="1"/>
      <c r="R134" s="1"/>
      <c r="S134" s="1"/>
      <c r="T134" s="4"/>
      <c r="U134" s="4"/>
      <c r="V134" s="1"/>
      <c r="W134" s="1"/>
      <c r="X134" s="1"/>
    </row>
    <row r="135" spans="1:24" ht="25.5" customHeight="1" x14ac:dyDescent="0.25">
      <c r="A135" s="3"/>
      <c r="B135" s="3"/>
      <c r="C135" s="1"/>
      <c r="D135" s="3"/>
      <c r="E135" s="3"/>
      <c r="F135" s="3"/>
      <c r="G135" s="3"/>
      <c r="H135" s="3"/>
      <c r="I135" s="3" t="s">
        <v>91</v>
      </c>
      <c r="J135" s="1" t="s">
        <v>2376</v>
      </c>
      <c r="K135" s="1" t="s">
        <v>2377</v>
      </c>
      <c r="L135" s="4" t="s">
        <v>2192</v>
      </c>
      <c r="M135" s="1"/>
      <c r="N135" s="1" t="s">
        <v>2378</v>
      </c>
      <c r="O135" s="1"/>
      <c r="P135" s="1"/>
      <c r="Q135" s="1"/>
      <c r="R135" s="1"/>
      <c r="S135" s="1"/>
      <c r="T135" s="4"/>
      <c r="U135" s="4"/>
      <c r="V135" s="1"/>
      <c r="W135" s="1"/>
      <c r="X135" s="1"/>
    </row>
    <row r="136" spans="1:24" ht="25.5" customHeight="1" x14ac:dyDescent="0.25">
      <c r="A136" s="3"/>
      <c r="B136" s="3"/>
      <c r="C136" s="1"/>
      <c r="D136" s="3"/>
      <c r="E136" s="3"/>
      <c r="F136" s="3"/>
      <c r="G136" s="3"/>
      <c r="H136" s="3"/>
      <c r="I136" s="3" t="s">
        <v>91</v>
      </c>
      <c r="J136" s="337" t="s">
        <v>2379</v>
      </c>
      <c r="K136" s="337" t="s">
        <v>2380</v>
      </c>
      <c r="L136" s="340" t="s">
        <v>1467</v>
      </c>
      <c r="M136" s="1"/>
      <c r="N136" s="1"/>
      <c r="O136" s="1"/>
      <c r="P136" s="1"/>
      <c r="Q136" s="1"/>
      <c r="R136" s="1"/>
      <c r="S136" s="1"/>
      <c r="T136" s="4"/>
      <c r="U136" s="4"/>
      <c r="V136" s="1"/>
      <c r="W136" s="1"/>
      <c r="X136" s="1"/>
    </row>
    <row r="137" spans="1:24" ht="25.5" customHeight="1" x14ac:dyDescent="0.25">
      <c r="A137" s="3"/>
      <c r="B137" s="3"/>
      <c r="C137" s="1"/>
      <c r="D137" s="3"/>
      <c r="E137" s="3"/>
      <c r="F137" s="3"/>
      <c r="G137" s="3"/>
      <c r="H137" s="3"/>
      <c r="I137" s="3" t="s">
        <v>91</v>
      </c>
      <c r="J137" s="334" t="s">
        <v>2381</v>
      </c>
      <c r="K137" s="1" t="s">
        <v>2382</v>
      </c>
      <c r="L137" s="336" t="s">
        <v>1399</v>
      </c>
      <c r="M137" s="1"/>
      <c r="N137" s="1"/>
      <c r="O137" s="1"/>
      <c r="P137" s="1"/>
      <c r="Q137" s="1"/>
      <c r="R137" s="1"/>
      <c r="S137" s="1"/>
      <c r="T137" s="4"/>
      <c r="U137" s="4"/>
      <c r="V137" s="1"/>
      <c r="W137" s="1"/>
      <c r="X137" s="1"/>
    </row>
    <row r="138" spans="1:24" ht="25.5" customHeight="1" x14ac:dyDescent="0.25">
      <c r="A138" s="3"/>
      <c r="B138" s="3"/>
      <c r="C138" s="1"/>
      <c r="D138" s="3"/>
      <c r="E138" s="3"/>
      <c r="F138" s="3"/>
      <c r="G138" s="3"/>
      <c r="H138" s="3"/>
      <c r="I138" s="3" t="s">
        <v>91</v>
      </c>
      <c r="J138" s="1" t="s">
        <v>2383</v>
      </c>
      <c r="K138" s="334" t="s">
        <v>2384</v>
      </c>
      <c r="L138" s="336" t="s">
        <v>1399</v>
      </c>
      <c r="M138" s="1"/>
      <c r="N138" s="1"/>
      <c r="O138" s="1"/>
      <c r="P138" s="1"/>
      <c r="Q138" s="1"/>
      <c r="R138" s="1"/>
      <c r="S138" s="1"/>
      <c r="T138" s="4"/>
      <c r="U138" s="4"/>
      <c r="V138" s="1"/>
      <c r="W138" s="1"/>
      <c r="X138" s="1"/>
    </row>
    <row r="139" spans="1:24" x14ac:dyDescent="0.25">
      <c r="A139" s="3"/>
      <c r="B139" s="3"/>
      <c r="C139" s="1"/>
      <c r="D139" s="3"/>
      <c r="E139" s="3" t="s">
        <v>91</v>
      </c>
      <c r="F139" s="3"/>
      <c r="G139" s="3"/>
      <c r="H139" s="3"/>
      <c r="I139" s="3"/>
      <c r="J139" s="351" t="s">
        <v>2385</v>
      </c>
      <c r="K139" s="1"/>
      <c r="L139" s="326"/>
      <c r="M139" s="1"/>
      <c r="N139" s="1" t="s">
        <v>2386</v>
      </c>
      <c r="O139" s="1"/>
      <c r="P139" s="1"/>
      <c r="Q139" s="1"/>
      <c r="R139" s="1"/>
      <c r="S139" s="1"/>
      <c r="T139" s="4"/>
      <c r="U139" s="4"/>
      <c r="V139" s="1"/>
      <c r="W139" s="1"/>
      <c r="X139" s="1"/>
    </row>
    <row r="140" spans="1:24" x14ac:dyDescent="0.25">
      <c r="A140" s="3"/>
      <c r="B140" s="3"/>
      <c r="C140" s="1"/>
      <c r="D140" s="3"/>
      <c r="E140" s="3" t="s">
        <v>91</v>
      </c>
      <c r="F140" s="3"/>
      <c r="G140" s="3"/>
      <c r="H140" s="3"/>
      <c r="I140" s="3"/>
      <c r="J140" s="1" t="s">
        <v>2387</v>
      </c>
      <c r="K140" s="1" t="s">
        <v>2388</v>
      </c>
      <c r="L140" s="4" t="s">
        <v>2192</v>
      </c>
      <c r="M140" s="1"/>
      <c r="N140" s="1"/>
      <c r="O140" s="1"/>
      <c r="P140" s="1"/>
      <c r="Q140" s="1"/>
      <c r="R140" s="1"/>
      <c r="S140" s="1"/>
      <c r="T140" s="4"/>
      <c r="U140" s="4"/>
      <c r="V140" s="1"/>
      <c r="W140" s="1"/>
      <c r="X140" s="1"/>
    </row>
    <row r="141" spans="1:24" x14ac:dyDescent="0.25">
      <c r="A141" s="3"/>
      <c r="B141" s="3"/>
      <c r="C141" s="1"/>
      <c r="D141" s="3"/>
      <c r="E141" s="3"/>
      <c r="F141" s="3" t="s">
        <v>91</v>
      </c>
      <c r="G141" s="3"/>
      <c r="H141" s="3"/>
      <c r="I141" s="3"/>
      <c r="J141" s="1" t="s">
        <v>2389</v>
      </c>
      <c r="K141" s="1" t="s">
        <v>2390</v>
      </c>
      <c r="L141" s="4" t="s">
        <v>2192</v>
      </c>
      <c r="M141" s="1"/>
      <c r="N141" s="1"/>
      <c r="O141" s="1"/>
      <c r="P141" s="1"/>
      <c r="Q141" s="1"/>
      <c r="R141" s="1"/>
      <c r="S141" s="1"/>
      <c r="T141" s="4"/>
      <c r="U141" s="4"/>
      <c r="V141" s="1"/>
      <c r="W141" s="1"/>
      <c r="X141" s="1"/>
    </row>
    <row r="142" spans="1:24" x14ac:dyDescent="0.25">
      <c r="A142" s="3"/>
      <c r="B142" s="3"/>
      <c r="C142" s="1"/>
      <c r="D142" s="3"/>
      <c r="E142" s="3"/>
      <c r="F142" s="3" t="s">
        <v>91</v>
      </c>
      <c r="G142" s="3"/>
      <c r="H142" s="3"/>
      <c r="I142" s="3"/>
      <c r="J142" s="1" t="s">
        <v>2391</v>
      </c>
      <c r="K142" s="1" t="s">
        <v>2392</v>
      </c>
      <c r="L142" s="4" t="s">
        <v>2195</v>
      </c>
      <c r="M142" s="1"/>
      <c r="N142" s="1" t="s">
        <v>2393</v>
      </c>
      <c r="O142" s="1"/>
      <c r="P142" s="1"/>
      <c r="Q142" s="1"/>
      <c r="R142" s="1"/>
      <c r="S142" s="1"/>
      <c r="T142" s="4"/>
      <c r="U142" s="4"/>
      <c r="V142" s="1"/>
      <c r="W142" s="1"/>
      <c r="X142" s="1"/>
    </row>
    <row r="143" spans="1:24" x14ac:dyDescent="0.25">
      <c r="A143" s="3"/>
      <c r="B143" s="3"/>
      <c r="C143" s="1"/>
      <c r="D143" s="3"/>
      <c r="E143" s="3"/>
      <c r="F143" s="3" t="s">
        <v>91</v>
      </c>
      <c r="G143" s="3"/>
      <c r="H143" s="3"/>
      <c r="I143" s="3"/>
      <c r="J143" s="1" t="s">
        <v>2394</v>
      </c>
      <c r="K143" s="1" t="s">
        <v>2395</v>
      </c>
      <c r="L143" s="4" t="s">
        <v>2192</v>
      </c>
      <c r="M143" s="1"/>
      <c r="N143" s="1" t="s">
        <v>2396</v>
      </c>
      <c r="O143" s="1"/>
      <c r="P143" s="1"/>
      <c r="Q143" s="1"/>
      <c r="R143" s="1"/>
      <c r="S143" s="1"/>
      <c r="T143" s="4"/>
      <c r="U143" s="4"/>
      <c r="V143" s="1"/>
      <c r="W143" s="1"/>
      <c r="X143" s="1"/>
    </row>
    <row r="144" spans="1:24" x14ac:dyDescent="0.25">
      <c r="A144" s="3"/>
      <c r="B144" s="3"/>
      <c r="C144" s="1"/>
      <c r="D144" s="3"/>
      <c r="E144" s="3"/>
      <c r="F144" s="3"/>
      <c r="G144" s="3" t="s">
        <v>91</v>
      </c>
      <c r="H144" s="3"/>
      <c r="I144" s="3"/>
      <c r="J144" s="1" t="s">
        <v>2397</v>
      </c>
      <c r="K144" s="1" t="s">
        <v>2398</v>
      </c>
      <c r="L144" s="16" t="s">
        <v>358</v>
      </c>
      <c r="M144" s="1"/>
      <c r="N144" s="1"/>
      <c r="O144" s="1"/>
      <c r="P144" s="1"/>
      <c r="Q144" s="1"/>
      <c r="R144" s="1"/>
      <c r="S144" s="1"/>
      <c r="T144" s="4"/>
      <c r="U144" s="4"/>
      <c r="V144" s="1"/>
      <c r="W144" s="1"/>
      <c r="X144" s="1"/>
    </row>
    <row r="145" spans="1:40" x14ac:dyDescent="0.25">
      <c r="A145" s="3"/>
      <c r="B145" s="3"/>
      <c r="C145" s="1"/>
      <c r="D145" s="3"/>
      <c r="E145" s="3"/>
      <c r="F145" s="3"/>
      <c r="G145" s="3" t="s">
        <v>91</v>
      </c>
      <c r="H145" s="3"/>
      <c r="I145" s="3"/>
      <c r="J145" s="1" t="s">
        <v>2361</v>
      </c>
      <c r="K145" s="1" t="s">
        <v>2399</v>
      </c>
      <c r="L145" s="16" t="s">
        <v>358</v>
      </c>
      <c r="M145" s="1"/>
      <c r="N145" s="1"/>
      <c r="O145" s="1"/>
      <c r="P145" s="1"/>
      <c r="Q145" s="1"/>
      <c r="R145" s="1"/>
      <c r="S145" s="1"/>
      <c r="T145" s="4"/>
      <c r="U145" s="4"/>
      <c r="V145" s="1"/>
      <c r="W145" s="1"/>
      <c r="X145" s="1"/>
    </row>
    <row r="146" spans="1:40" x14ac:dyDescent="0.25">
      <c r="A146" s="3"/>
      <c r="B146" s="3"/>
      <c r="C146" s="1"/>
      <c r="D146" s="3"/>
      <c r="E146" s="3"/>
      <c r="F146" s="3"/>
      <c r="G146" s="3"/>
      <c r="H146" s="3" t="s">
        <v>91</v>
      </c>
      <c r="I146" s="3"/>
      <c r="J146" s="1" t="s">
        <v>2400</v>
      </c>
      <c r="K146" s="1" t="s">
        <v>2401</v>
      </c>
      <c r="L146" s="4" t="s">
        <v>2192</v>
      </c>
      <c r="M146" s="1"/>
      <c r="N146" s="1"/>
      <c r="O146" s="1"/>
      <c r="P146" s="1"/>
      <c r="Q146" s="1"/>
      <c r="R146" s="1"/>
      <c r="S146" s="1"/>
      <c r="T146" s="4"/>
      <c r="U146" s="4"/>
      <c r="V146" s="1"/>
      <c r="W146" s="1"/>
      <c r="X146" s="1"/>
    </row>
    <row r="147" spans="1:40" x14ac:dyDescent="0.25">
      <c r="A147" s="3"/>
      <c r="B147" s="3"/>
      <c r="C147" s="1"/>
      <c r="D147" s="3"/>
      <c r="E147" s="3"/>
      <c r="F147" s="3"/>
      <c r="G147" s="3"/>
      <c r="H147" s="3"/>
      <c r="I147" s="3" t="s">
        <v>91</v>
      </c>
      <c r="J147" s="337" t="s">
        <v>2366</v>
      </c>
      <c r="K147" s="337" t="s">
        <v>2367</v>
      </c>
      <c r="L147" s="340" t="s">
        <v>2217</v>
      </c>
      <c r="M147" s="1"/>
      <c r="N147" s="1" t="s">
        <v>2402</v>
      </c>
      <c r="O147" s="1"/>
      <c r="P147" s="1"/>
      <c r="Q147" s="1"/>
      <c r="R147" s="1"/>
      <c r="S147" s="1"/>
      <c r="T147" s="4"/>
      <c r="U147" s="4"/>
      <c r="V147" s="1"/>
      <c r="W147" s="1"/>
      <c r="X147" s="1"/>
    </row>
    <row r="148" spans="1:40" x14ac:dyDescent="0.25">
      <c r="A148" s="3"/>
      <c r="B148" s="3"/>
      <c r="C148" s="1"/>
      <c r="D148" s="3"/>
      <c r="E148" s="3"/>
      <c r="F148" s="3"/>
      <c r="G148" s="3"/>
      <c r="H148" s="3"/>
      <c r="I148" s="3" t="s">
        <v>91</v>
      </c>
      <c r="J148" s="337" t="s">
        <v>2368</v>
      </c>
      <c r="K148" s="333" t="s">
        <v>2403</v>
      </c>
      <c r="L148" s="336" t="s">
        <v>212</v>
      </c>
      <c r="M148" s="1"/>
      <c r="N148" s="1"/>
      <c r="O148" s="1"/>
      <c r="P148" s="1"/>
      <c r="Q148" s="1"/>
      <c r="R148" s="1"/>
      <c r="S148" s="1"/>
      <c r="T148" s="4"/>
      <c r="U148" s="4"/>
      <c r="V148" s="1"/>
      <c r="W148" s="1"/>
      <c r="X148" s="1"/>
    </row>
    <row r="149" spans="1:40" x14ac:dyDescent="0.25">
      <c r="A149" s="3"/>
      <c r="B149" s="3"/>
      <c r="C149" s="1"/>
      <c r="D149" s="3"/>
      <c r="E149" s="3"/>
      <c r="F149" s="3"/>
      <c r="G149" s="3"/>
      <c r="H149" s="3"/>
      <c r="I149" s="3" t="s">
        <v>91</v>
      </c>
      <c r="J149" s="1" t="s">
        <v>2371</v>
      </c>
      <c r="K149" s="333" t="s">
        <v>2403</v>
      </c>
      <c r="L149" s="5" t="s">
        <v>212</v>
      </c>
      <c r="M149" s="1"/>
      <c r="N149" s="1"/>
      <c r="O149" s="1"/>
      <c r="P149" s="1"/>
      <c r="Q149" s="1"/>
      <c r="R149" s="1"/>
      <c r="S149" s="1"/>
      <c r="T149" s="4"/>
      <c r="U149" s="4"/>
      <c r="V149" s="1"/>
      <c r="W149" s="1"/>
      <c r="X149" s="1"/>
    </row>
    <row r="150" spans="1:40" x14ac:dyDescent="0.25">
      <c r="A150" s="3"/>
      <c r="B150" s="3"/>
      <c r="C150" s="1"/>
      <c r="D150" s="3"/>
      <c r="E150" s="3"/>
      <c r="F150" s="3"/>
      <c r="G150" s="3"/>
      <c r="H150" s="3"/>
      <c r="I150" s="3" t="s">
        <v>91</v>
      </c>
      <c r="J150" s="1" t="s">
        <v>2404</v>
      </c>
      <c r="K150" s="333" t="s">
        <v>2403</v>
      </c>
      <c r="L150" s="5" t="s">
        <v>212</v>
      </c>
      <c r="M150" s="1"/>
      <c r="N150" s="1"/>
      <c r="O150" s="1"/>
      <c r="P150" s="1"/>
      <c r="Q150" s="1"/>
      <c r="R150" s="1"/>
      <c r="S150" s="1"/>
      <c r="T150" s="4"/>
      <c r="U150" s="4"/>
      <c r="V150" s="1"/>
      <c r="W150" s="1"/>
      <c r="X150" s="1"/>
    </row>
    <row r="151" spans="1:40" ht="20.25" customHeight="1" x14ac:dyDescent="0.25">
      <c r="A151" s="3"/>
      <c r="B151" s="3"/>
      <c r="C151" s="742"/>
      <c r="D151" s="742">
        <v>8</v>
      </c>
      <c r="E151" s="1072" t="s">
        <v>1348</v>
      </c>
      <c r="F151" s="1072"/>
      <c r="G151" s="1072"/>
      <c r="H151" s="1072"/>
      <c r="I151" s="1072"/>
      <c r="J151" s="1072"/>
      <c r="K151" s="1073"/>
      <c r="L151" s="1074"/>
      <c r="M151" s="1075"/>
      <c r="N151" s="1075"/>
      <c r="O151" s="1075"/>
      <c r="P151" s="1075"/>
      <c r="Q151" s="1075"/>
      <c r="R151" s="1075"/>
      <c r="S151" s="1075"/>
      <c r="T151" s="1075"/>
      <c r="U151" s="1075"/>
      <c r="V151" s="1075"/>
      <c r="W151" s="1075"/>
      <c r="X151" s="1076"/>
      <c r="Y151" s="2"/>
      <c r="Z151" s="2"/>
      <c r="AA151" s="2"/>
      <c r="AB151" s="2"/>
      <c r="AC151" s="2"/>
      <c r="AD151" s="2"/>
      <c r="AE151" s="2"/>
      <c r="AF151" s="2"/>
      <c r="AG151" s="2"/>
      <c r="AH151" s="2"/>
      <c r="AI151" s="2"/>
      <c r="AJ151" s="2"/>
      <c r="AK151" s="2"/>
      <c r="AL151" s="2"/>
      <c r="AM151" s="2"/>
      <c r="AN151" s="2"/>
    </row>
    <row r="152" spans="1:40" x14ac:dyDescent="0.25">
      <c r="A152" s="3"/>
      <c r="B152" s="3"/>
      <c r="C152" s="1"/>
      <c r="D152" s="3"/>
      <c r="E152" s="3" t="s">
        <v>91</v>
      </c>
      <c r="F152" s="3"/>
      <c r="G152" s="3"/>
      <c r="H152" s="3"/>
      <c r="I152" s="3"/>
      <c r="J152" s="351" t="s">
        <v>2405</v>
      </c>
      <c r="K152" s="333" t="s">
        <v>2155</v>
      </c>
      <c r="L152" s="16"/>
      <c r="M152" s="1"/>
      <c r="N152" s="1"/>
      <c r="O152" s="1"/>
      <c r="P152" s="1"/>
      <c r="Q152" s="1"/>
      <c r="R152" s="1"/>
      <c r="S152" s="1"/>
      <c r="T152" s="4"/>
      <c r="U152" s="4"/>
      <c r="V152" s="1"/>
      <c r="W152" s="1"/>
      <c r="X152" s="1"/>
    </row>
    <row r="153" spans="1:40" x14ac:dyDescent="0.25">
      <c r="A153" s="3"/>
      <c r="B153" s="3"/>
      <c r="C153" s="1"/>
      <c r="D153" s="3"/>
      <c r="E153" s="3"/>
      <c r="F153" s="3" t="s">
        <v>91</v>
      </c>
      <c r="G153" s="3"/>
      <c r="H153" s="3"/>
      <c r="I153" s="3"/>
      <c r="J153" s="1" t="s">
        <v>2157</v>
      </c>
      <c r="K153" s="1" t="s">
        <v>2406</v>
      </c>
      <c r="L153" s="4" t="s">
        <v>2192</v>
      </c>
      <c r="M153" s="1"/>
      <c r="N153" s="1"/>
      <c r="O153" s="1"/>
      <c r="P153" s="1"/>
      <c r="Q153" s="1"/>
      <c r="R153" s="1"/>
      <c r="S153" s="1"/>
      <c r="T153" s="4"/>
      <c r="U153" s="4"/>
      <c r="V153" s="1"/>
      <c r="W153" s="1"/>
      <c r="X153" s="1"/>
    </row>
    <row r="154" spans="1:40" ht="26.25" x14ac:dyDescent="0.25">
      <c r="A154" s="3"/>
      <c r="B154" s="3"/>
      <c r="C154" s="1"/>
      <c r="D154" s="3"/>
      <c r="E154" s="3"/>
      <c r="F154" s="3" t="s">
        <v>91</v>
      </c>
      <c r="G154" s="3"/>
      <c r="H154" s="3"/>
      <c r="I154" s="3"/>
      <c r="J154" s="1" t="s">
        <v>2160</v>
      </c>
      <c r="K154" s="1" t="s">
        <v>2407</v>
      </c>
      <c r="L154" s="4" t="s">
        <v>2192</v>
      </c>
      <c r="M154" s="1"/>
      <c r="N154" s="855" t="s">
        <v>2408</v>
      </c>
      <c r="O154" s="1"/>
      <c r="P154" s="1"/>
      <c r="Q154" s="1"/>
      <c r="R154" s="1"/>
      <c r="S154" s="1"/>
      <c r="T154" s="4"/>
      <c r="U154" s="4"/>
      <c r="V154" s="1"/>
      <c r="W154" s="1"/>
      <c r="X154" s="1"/>
    </row>
    <row r="155" spans="1:40" ht="15.75" customHeight="1" x14ac:dyDescent="0.25">
      <c r="A155" s="3"/>
      <c r="B155" s="3"/>
      <c r="C155" s="1"/>
      <c r="D155" s="3"/>
      <c r="E155" s="3" t="s">
        <v>91</v>
      </c>
      <c r="F155" s="3"/>
      <c r="G155" s="3"/>
      <c r="H155" s="3"/>
      <c r="I155" s="3"/>
      <c r="J155" s="351" t="s">
        <v>2409</v>
      </c>
      <c r="K155" s="1"/>
      <c r="L155" s="4"/>
      <c r="M155" s="1"/>
      <c r="N155" s="1"/>
      <c r="O155" s="1"/>
      <c r="P155" s="1"/>
      <c r="Q155" s="1"/>
      <c r="R155" s="1"/>
      <c r="S155" s="1"/>
      <c r="T155" s="4"/>
      <c r="U155" s="4"/>
      <c r="V155" s="1"/>
      <c r="W155" s="1"/>
      <c r="X155" s="1"/>
    </row>
    <row r="156" spans="1:40" ht="15.75" customHeight="1" x14ac:dyDescent="0.25">
      <c r="A156" s="3"/>
      <c r="B156" s="3"/>
      <c r="C156" s="1"/>
      <c r="D156" s="3"/>
      <c r="E156" s="3" t="s">
        <v>91</v>
      </c>
      <c r="F156" s="3"/>
      <c r="G156" s="3"/>
      <c r="H156" s="3"/>
      <c r="I156" s="3"/>
      <c r="J156" s="337" t="s">
        <v>2164</v>
      </c>
      <c r="K156" s="337" t="s">
        <v>2410</v>
      </c>
      <c r="L156" s="340" t="s">
        <v>2217</v>
      </c>
      <c r="M156" s="1"/>
      <c r="N156" s="1"/>
      <c r="O156" s="1"/>
      <c r="P156" s="1"/>
      <c r="Q156" s="1"/>
      <c r="R156" s="1"/>
      <c r="S156" s="1"/>
      <c r="T156" s="4"/>
      <c r="U156" s="4"/>
      <c r="V156" s="1"/>
      <c r="W156" s="1"/>
      <c r="X156" s="1"/>
    </row>
    <row r="157" spans="1:40" x14ac:dyDescent="0.25">
      <c r="A157" s="3"/>
      <c r="B157" s="3"/>
      <c r="C157" s="1"/>
      <c r="D157" s="3"/>
      <c r="E157" s="3"/>
      <c r="F157" s="3" t="s">
        <v>91</v>
      </c>
      <c r="G157" s="3"/>
      <c r="H157" s="3"/>
      <c r="I157" s="3"/>
      <c r="J157" s="351" t="s">
        <v>2411</v>
      </c>
      <c r="K157" s="1"/>
      <c r="L157" s="4"/>
      <c r="M157" s="1"/>
      <c r="N157" s="1"/>
      <c r="O157" s="1"/>
      <c r="P157" s="1"/>
      <c r="Q157" s="1"/>
      <c r="R157" s="1"/>
      <c r="S157" s="1"/>
      <c r="T157" s="4"/>
      <c r="U157" s="4"/>
      <c r="V157" s="1"/>
      <c r="W157" s="1"/>
      <c r="X157" s="1"/>
    </row>
    <row r="158" spans="1:40" x14ac:dyDescent="0.25">
      <c r="A158" s="3"/>
      <c r="B158" s="3"/>
      <c r="C158" s="1"/>
      <c r="D158" s="3"/>
      <c r="E158" s="3"/>
      <c r="F158" s="3" t="s">
        <v>91</v>
      </c>
      <c r="G158" s="3"/>
      <c r="H158" s="3"/>
      <c r="I158" s="3"/>
      <c r="J158" s="1" t="s">
        <v>1353</v>
      </c>
      <c r="K158" s="1" t="s">
        <v>2412</v>
      </c>
      <c r="L158" s="4" t="s">
        <v>2192</v>
      </c>
      <c r="M158" s="1"/>
      <c r="N158" s="1"/>
      <c r="O158" s="1"/>
      <c r="P158" s="1"/>
      <c r="Q158" s="1"/>
      <c r="R158" s="1"/>
      <c r="S158" s="1"/>
      <c r="T158" s="4"/>
      <c r="U158" s="4"/>
      <c r="V158" s="1"/>
      <c r="W158" s="1"/>
      <c r="X158" s="1"/>
    </row>
    <row r="159" spans="1:40" x14ac:dyDescent="0.25">
      <c r="A159" s="3"/>
      <c r="B159" s="3"/>
      <c r="C159" s="1"/>
      <c r="D159" s="3"/>
      <c r="E159" s="3"/>
      <c r="F159" s="3"/>
      <c r="G159" s="3" t="s">
        <v>91</v>
      </c>
      <c r="H159" s="3"/>
      <c r="I159" s="3"/>
      <c r="J159" s="845" t="s">
        <v>2413</v>
      </c>
      <c r="K159" s="333" t="s">
        <v>2414</v>
      </c>
      <c r="L159" s="4"/>
      <c r="M159" s="1"/>
      <c r="N159" s="1"/>
      <c r="O159" s="1"/>
      <c r="P159" s="1"/>
      <c r="Q159" s="1"/>
      <c r="R159" s="1"/>
      <c r="S159" s="1"/>
      <c r="T159" s="4"/>
      <c r="U159" s="4"/>
      <c r="V159" s="1"/>
      <c r="W159" s="1"/>
      <c r="X159" s="1"/>
    </row>
    <row r="160" spans="1:40" x14ac:dyDescent="0.25">
      <c r="A160" s="3"/>
      <c r="B160" s="3"/>
      <c r="C160" s="1"/>
      <c r="D160" s="3"/>
      <c r="E160" s="3"/>
      <c r="F160" s="3"/>
      <c r="G160" s="3"/>
      <c r="H160" s="3" t="s">
        <v>91</v>
      </c>
      <c r="I160" s="3"/>
      <c r="J160" s="351" t="s">
        <v>2415</v>
      </c>
      <c r="K160" s="1"/>
      <c r="L160" s="4"/>
      <c r="M160" s="1"/>
      <c r="N160" s="1"/>
      <c r="O160" s="1"/>
      <c r="P160" s="1"/>
      <c r="Q160" s="1"/>
      <c r="R160" s="1"/>
      <c r="S160" s="1"/>
      <c r="T160" s="4"/>
      <c r="U160" s="4"/>
      <c r="V160" s="1"/>
      <c r="W160" s="1"/>
      <c r="X160" s="1"/>
    </row>
    <row r="161" spans="1:40" x14ac:dyDescent="0.25">
      <c r="A161" s="3"/>
      <c r="B161" s="3"/>
      <c r="C161" s="1"/>
      <c r="D161" s="3"/>
      <c r="E161" s="3"/>
      <c r="F161" s="3"/>
      <c r="G161" s="3"/>
      <c r="H161" s="3" t="s">
        <v>91</v>
      </c>
      <c r="I161" s="3"/>
      <c r="J161" s="1" t="s">
        <v>2400</v>
      </c>
      <c r="K161" s="1" t="s">
        <v>2416</v>
      </c>
      <c r="L161" s="4" t="s">
        <v>2192</v>
      </c>
      <c r="M161" s="1"/>
      <c r="N161" s="1" t="s">
        <v>2417</v>
      </c>
      <c r="O161" s="1"/>
      <c r="P161" s="1"/>
      <c r="Q161" s="1"/>
      <c r="R161" s="1"/>
      <c r="S161" s="1"/>
      <c r="T161" s="4"/>
      <c r="U161" s="4"/>
      <c r="V161" s="1"/>
      <c r="W161" s="1"/>
      <c r="X161" s="1"/>
    </row>
    <row r="162" spans="1:40" x14ac:dyDescent="0.25">
      <c r="A162" s="3"/>
      <c r="B162" s="3"/>
      <c r="C162" s="1"/>
      <c r="D162" s="3"/>
      <c r="E162" s="3"/>
      <c r="F162" s="3"/>
      <c r="G162" s="3"/>
      <c r="H162" s="3" t="s">
        <v>91</v>
      </c>
      <c r="I162" s="3"/>
      <c r="J162" s="337" t="s">
        <v>2366</v>
      </c>
      <c r="K162" s="337" t="s">
        <v>2418</v>
      </c>
      <c r="L162" s="340" t="s">
        <v>2419</v>
      </c>
      <c r="M162" s="1"/>
      <c r="N162" s="1"/>
      <c r="O162" s="1"/>
      <c r="P162" s="1"/>
      <c r="Q162" s="1"/>
      <c r="R162" s="1"/>
      <c r="S162" s="1"/>
      <c r="T162" s="4"/>
      <c r="U162" s="4"/>
      <c r="V162" s="1"/>
      <c r="W162" s="1"/>
      <c r="X162" s="1"/>
    </row>
    <row r="163" spans="1:40" x14ac:dyDescent="0.25">
      <c r="A163" s="3"/>
      <c r="B163" s="3"/>
      <c r="C163" s="1"/>
      <c r="D163" s="3"/>
      <c r="E163" s="3"/>
      <c r="F163" s="3"/>
      <c r="G163" s="3"/>
      <c r="H163" s="3"/>
      <c r="I163" s="3" t="s">
        <v>91</v>
      </c>
      <c r="J163" s="337" t="s">
        <v>2368</v>
      </c>
      <c r="K163" s="333" t="s">
        <v>2403</v>
      </c>
      <c r="L163" s="4" t="s">
        <v>212</v>
      </c>
      <c r="M163" s="1"/>
      <c r="N163" s="1"/>
      <c r="O163" s="1"/>
      <c r="P163" s="1"/>
      <c r="Q163" s="1"/>
      <c r="R163" s="1"/>
      <c r="S163" s="1"/>
      <c r="T163" s="4"/>
      <c r="U163" s="4"/>
      <c r="V163" s="1"/>
      <c r="W163" s="1"/>
      <c r="X163" s="1"/>
    </row>
    <row r="164" spans="1:40" x14ac:dyDescent="0.25">
      <c r="A164" s="3"/>
      <c r="B164" s="3"/>
      <c r="C164" s="1"/>
      <c r="D164" s="3"/>
      <c r="E164" s="3"/>
      <c r="F164" s="3"/>
      <c r="G164" s="3"/>
      <c r="H164" s="3"/>
      <c r="I164" s="3" t="s">
        <v>91</v>
      </c>
      <c r="J164" s="1" t="s">
        <v>2371</v>
      </c>
      <c r="K164" s="333" t="s">
        <v>2403</v>
      </c>
      <c r="L164" s="5" t="s">
        <v>212</v>
      </c>
      <c r="M164" s="1"/>
      <c r="N164" s="1"/>
      <c r="O164" s="1"/>
      <c r="P164" s="1"/>
      <c r="Q164" s="1"/>
      <c r="R164" s="1"/>
      <c r="S164" s="1"/>
      <c r="T164" s="4"/>
      <c r="U164" s="4"/>
      <c r="V164" s="1"/>
      <c r="W164" s="1"/>
      <c r="X164" s="1"/>
    </row>
    <row r="165" spans="1:40" x14ac:dyDescent="0.25">
      <c r="A165" s="3"/>
      <c r="B165" s="3"/>
      <c r="C165" s="1"/>
      <c r="D165" s="3"/>
      <c r="E165" s="3"/>
      <c r="F165" s="3"/>
      <c r="G165" s="3"/>
      <c r="H165" s="3"/>
      <c r="I165" s="3" t="s">
        <v>91</v>
      </c>
      <c r="J165" s="1" t="s">
        <v>2404</v>
      </c>
      <c r="K165" s="333" t="s">
        <v>2403</v>
      </c>
      <c r="L165" s="5" t="s">
        <v>212</v>
      </c>
      <c r="M165" s="1"/>
      <c r="N165" s="1"/>
      <c r="O165" s="1"/>
      <c r="P165" s="1"/>
      <c r="Q165" s="1"/>
      <c r="R165" s="1"/>
      <c r="S165" s="1"/>
      <c r="T165" s="4"/>
      <c r="U165" s="4"/>
      <c r="V165" s="1"/>
      <c r="W165" s="1"/>
      <c r="X165" s="1"/>
    </row>
    <row r="166" spans="1:40" ht="20.25" customHeight="1" x14ac:dyDescent="0.25">
      <c r="A166" s="3"/>
      <c r="B166" s="3"/>
      <c r="C166" s="742"/>
      <c r="D166" s="742">
        <v>9</v>
      </c>
      <c r="E166" s="1072" t="s">
        <v>2420</v>
      </c>
      <c r="F166" s="1072"/>
      <c r="G166" s="1072"/>
      <c r="H166" s="1072"/>
      <c r="I166" s="1072"/>
      <c r="J166" s="1072"/>
      <c r="K166" s="1073"/>
      <c r="L166" s="1074"/>
      <c r="M166" s="1075"/>
      <c r="N166" s="1075"/>
      <c r="O166" s="1075"/>
      <c r="P166" s="1075"/>
      <c r="Q166" s="1075"/>
      <c r="R166" s="1075"/>
      <c r="S166" s="1075"/>
      <c r="T166" s="1075"/>
      <c r="U166" s="1075"/>
      <c r="V166" s="1075"/>
      <c r="W166" s="1075"/>
      <c r="X166" s="1076"/>
      <c r="Y166" s="2"/>
      <c r="Z166" s="2"/>
      <c r="AA166" s="2"/>
      <c r="AB166" s="2"/>
      <c r="AC166" s="2"/>
      <c r="AD166" s="2"/>
      <c r="AE166" s="2"/>
      <c r="AF166" s="2"/>
      <c r="AG166" s="2"/>
      <c r="AH166" s="2"/>
      <c r="AI166" s="2"/>
      <c r="AJ166" s="2"/>
      <c r="AK166" s="2"/>
      <c r="AL166" s="2"/>
      <c r="AM166" s="2"/>
      <c r="AN166" s="2"/>
    </row>
    <row r="167" spans="1:40" x14ac:dyDescent="0.25">
      <c r="A167" s="3"/>
      <c r="B167" s="3"/>
      <c r="C167" s="1"/>
      <c r="D167" s="3"/>
      <c r="E167" s="3" t="s">
        <v>91</v>
      </c>
      <c r="F167" s="3"/>
      <c r="G167" s="3"/>
      <c r="H167" s="3"/>
      <c r="I167" s="3"/>
      <c r="J167" s="351" t="s">
        <v>2421</v>
      </c>
      <c r="K167" s="45"/>
      <c r="L167" s="4"/>
      <c r="M167" s="1"/>
      <c r="N167" s="1"/>
      <c r="O167" s="1"/>
      <c r="P167" s="1"/>
      <c r="Q167" s="1"/>
      <c r="R167" s="1"/>
      <c r="S167" s="1"/>
      <c r="T167" s="4"/>
      <c r="U167" s="4"/>
      <c r="V167" s="1"/>
      <c r="W167" s="1"/>
      <c r="X167" s="1"/>
    </row>
    <row r="168" spans="1:40" x14ac:dyDescent="0.25">
      <c r="A168" s="3"/>
      <c r="B168" s="3"/>
      <c r="C168" s="1"/>
      <c r="D168" s="3"/>
      <c r="E168" s="3" t="s">
        <v>91</v>
      </c>
      <c r="F168" s="3"/>
      <c r="G168" s="3"/>
      <c r="H168" s="3"/>
      <c r="I168" s="3"/>
      <c r="J168" s="1" t="s">
        <v>2422</v>
      </c>
      <c r="K168" s="333" t="s">
        <v>2423</v>
      </c>
      <c r="L168" s="4" t="s">
        <v>212</v>
      </c>
      <c r="M168" s="1"/>
      <c r="N168" s="1"/>
      <c r="O168" s="1"/>
      <c r="P168" s="1"/>
      <c r="Q168" s="1"/>
      <c r="R168" s="1"/>
      <c r="S168" s="1"/>
      <c r="T168" s="4"/>
      <c r="U168" s="4"/>
      <c r="V168" s="1"/>
      <c r="W168" s="1"/>
      <c r="X168" s="1"/>
    </row>
    <row r="169" spans="1:40" x14ac:dyDescent="0.25">
      <c r="A169" s="3"/>
      <c r="B169" s="3"/>
      <c r="C169" s="1"/>
      <c r="D169" s="3"/>
      <c r="E169" s="3"/>
      <c r="F169" s="3" t="s">
        <v>91</v>
      </c>
      <c r="G169" s="3"/>
      <c r="H169" s="3"/>
      <c r="I169" s="3"/>
      <c r="J169" s="1" t="s">
        <v>2424</v>
      </c>
      <c r="K169" s="1" t="s">
        <v>2425</v>
      </c>
      <c r="L169" s="4" t="s">
        <v>2192</v>
      </c>
      <c r="M169" s="1"/>
      <c r="N169" s="1"/>
      <c r="O169" s="1"/>
      <c r="P169" s="1"/>
      <c r="Q169" s="1"/>
      <c r="R169" s="1"/>
      <c r="S169" s="1"/>
      <c r="T169" s="4"/>
      <c r="U169" s="4"/>
      <c r="V169" s="1"/>
      <c r="W169" s="1"/>
      <c r="X169" s="1"/>
    </row>
    <row r="170" spans="1:40" x14ac:dyDescent="0.25">
      <c r="A170" s="3"/>
      <c r="B170" s="3"/>
      <c r="C170" s="1"/>
      <c r="D170" s="3"/>
      <c r="E170" s="3"/>
      <c r="F170" s="3"/>
      <c r="G170" s="3" t="s">
        <v>91</v>
      </c>
      <c r="H170" s="3"/>
      <c r="I170" s="3"/>
      <c r="J170" s="351" t="s">
        <v>2426</v>
      </c>
      <c r="K170" s="1"/>
      <c r="L170" s="4"/>
      <c r="M170" s="1"/>
      <c r="N170" s="1"/>
      <c r="O170" s="1"/>
      <c r="P170" s="1"/>
      <c r="Q170" s="1"/>
      <c r="R170" s="1"/>
      <c r="S170" s="1"/>
      <c r="T170" s="4"/>
      <c r="U170" s="4"/>
      <c r="V170" s="1"/>
      <c r="W170" s="1"/>
      <c r="X170" s="1"/>
    </row>
    <row r="171" spans="1:40" x14ac:dyDescent="0.25">
      <c r="A171" s="3"/>
      <c r="B171" s="3"/>
      <c r="C171" s="1"/>
      <c r="D171" s="3"/>
      <c r="E171" s="3"/>
      <c r="F171" s="3"/>
      <c r="G171" s="3" t="s">
        <v>91</v>
      </c>
      <c r="H171" s="3"/>
      <c r="I171" s="3"/>
      <c r="J171" s="1" t="s">
        <v>2427</v>
      </c>
      <c r="K171" s="1" t="s">
        <v>2428</v>
      </c>
      <c r="L171" s="4" t="s">
        <v>2192</v>
      </c>
      <c r="M171" s="1"/>
      <c r="N171" s="1"/>
      <c r="O171" s="1"/>
      <c r="P171" s="1"/>
      <c r="Q171" s="1"/>
      <c r="R171" s="1"/>
      <c r="S171" s="1"/>
      <c r="T171" s="4"/>
      <c r="U171" s="4"/>
      <c r="V171" s="1"/>
      <c r="W171" s="1"/>
      <c r="X171" s="1"/>
    </row>
    <row r="172" spans="1:40" ht="30" x14ac:dyDescent="0.25">
      <c r="A172" s="3"/>
      <c r="B172" s="3"/>
      <c r="C172" s="1"/>
      <c r="D172" s="3"/>
      <c r="E172" s="3"/>
      <c r="F172" s="3"/>
      <c r="G172" s="3" t="s">
        <v>91</v>
      </c>
      <c r="H172" s="3"/>
      <c r="I172" s="3"/>
      <c r="J172" s="1" t="s">
        <v>2429</v>
      </c>
      <c r="K172" s="848" t="s">
        <v>2430</v>
      </c>
      <c r="L172" s="4" t="s">
        <v>2192</v>
      </c>
      <c r="M172" s="1"/>
      <c r="N172" s="1" t="s">
        <v>2431</v>
      </c>
      <c r="O172" s="1"/>
      <c r="P172" s="1"/>
      <c r="Q172" s="1"/>
      <c r="R172" s="1"/>
      <c r="S172" s="1"/>
      <c r="T172" s="4"/>
      <c r="U172" s="4"/>
      <c r="V172" s="1"/>
      <c r="W172" s="1"/>
      <c r="X172" s="1"/>
    </row>
    <row r="173" spans="1:40" ht="20.25" customHeight="1" x14ac:dyDescent="0.25">
      <c r="A173" s="3"/>
      <c r="B173" s="3"/>
      <c r="C173" s="742"/>
      <c r="D173" s="742">
        <v>10</v>
      </c>
      <c r="E173" s="1072" t="s">
        <v>1358</v>
      </c>
      <c r="F173" s="1072"/>
      <c r="G173" s="1072"/>
      <c r="H173" s="1072"/>
      <c r="I173" s="1072"/>
      <c r="J173" s="1072"/>
      <c r="K173" s="1073"/>
      <c r="L173" s="1074"/>
      <c r="M173" s="1075"/>
      <c r="N173" s="1075"/>
      <c r="O173" s="1075"/>
      <c r="P173" s="1075"/>
      <c r="Q173" s="1075"/>
      <c r="R173" s="1075"/>
      <c r="S173" s="1075"/>
      <c r="T173" s="1075"/>
      <c r="U173" s="1075"/>
      <c r="V173" s="1075"/>
      <c r="W173" s="1075"/>
      <c r="X173" s="1076"/>
      <c r="Y173" s="2"/>
      <c r="Z173" s="2"/>
      <c r="AA173" s="2"/>
      <c r="AB173" s="2"/>
      <c r="AC173" s="2"/>
      <c r="AD173" s="2"/>
      <c r="AE173" s="2"/>
      <c r="AF173" s="2"/>
      <c r="AG173" s="2"/>
      <c r="AH173" s="2"/>
      <c r="AI173" s="2"/>
      <c r="AJ173" s="2"/>
      <c r="AK173" s="2"/>
      <c r="AL173" s="2"/>
      <c r="AM173" s="2"/>
      <c r="AN173" s="2"/>
    </row>
    <row r="174" spans="1:40" ht="15.75" customHeight="1" x14ac:dyDescent="0.25">
      <c r="A174" s="3"/>
      <c r="B174" s="3"/>
      <c r="C174" s="1"/>
      <c r="D174" s="3"/>
      <c r="E174" s="3" t="s">
        <v>91</v>
      </c>
      <c r="F174" s="3"/>
      <c r="G174" s="3"/>
      <c r="H174" s="3"/>
      <c r="I174" s="3"/>
      <c r="J174" s="1" t="s">
        <v>2432</v>
      </c>
      <c r="K174" s="333" t="s">
        <v>2433</v>
      </c>
      <c r="L174" s="4" t="s">
        <v>212</v>
      </c>
      <c r="M174" s="1"/>
      <c r="N174" s="1"/>
      <c r="O174" s="1"/>
      <c r="P174" s="1"/>
      <c r="Q174" s="1"/>
      <c r="R174" s="1"/>
      <c r="S174" s="1"/>
      <c r="T174" s="4"/>
      <c r="U174" s="4"/>
      <c r="V174" s="1"/>
      <c r="W174" s="1"/>
      <c r="X174" s="1"/>
    </row>
    <row r="175" spans="1:40" ht="20.25" customHeight="1" x14ac:dyDescent="0.25">
      <c r="A175" s="3"/>
      <c r="B175" s="3"/>
      <c r="C175" s="742"/>
      <c r="D175" s="742">
        <v>11</v>
      </c>
      <c r="E175" s="1072" t="s">
        <v>1377</v>
      </c>
      <c r="F175" s="1072"/>
      <c r="G175" s="1072"/>
      <c r="H175" s="1072"/>
      <c r="I175" s="1072"/>
      <c r="J175" s="1072"/>
      <c r="K175" s="1073"/>
      <c r="L175" s="1074"/>
      <c r="M175" s="1075"/>
      <c r="N175" s="1075"/>
      <c r="O175" s="1075"/>
      <c r="P175" s="1075"/>
      <c r="Q175" s="1075"/>
      <c r="R175" s="1075"/>
      <c r="S175" s="1075"/>
      <c r="T175" s="1075"/>
      <c r="U175" s="1075"/>
      <c r="V175" s="1075"/>
      <c r="W175" s="1075"/>
      <c r="X175" s="1076"/>
      <c r="Y175" s="2"/>
      <c r="Z175" s="2"/>
      <c r="AA175" s="2"/>
      <c r="AB175" s="2"/>
      <c r="AC175" s="2"/>
      <c r="AD175" s="2"/>
      <c r="AE175" s="2"/>
      <c r="AF175" s="2"/>
      <c r="AG175" s="2"/>
      <c r="AH175" s="2"/>
      <c r="AI175" s="2"/>
      <c r="AJ175" s="2"/>
      <c r="AK175" s="2"/>
      <c r="AL175" s="2"/>
      <c r="AM175" s="2"/>
      <c r="AN175" s="2"/>
    </row>
    <row r="176" spans="1:40" ht="15.75" customHeight="1" x14ac:dyDescent="0.25">
      <c r="A176" s="3"/>
      <c r="B176" s="3"/>
      <c r="C176" s="1"/>
      <c r="D176" s="3"/>
      <c r="E176" s="3" t="s">
        <v>91</v>
      </c>
      <c r="F176" s="3"/>
      <c r="G176" s="3"/>
      <c r="H176" s="3"/>
      <c r="I176" s="3"/>
      <c r="J176" s="845" t="s">
        <v>2434</v>
      </c>
      <c r="K176" s="333" t="s">
        <v>2435</v>
      </c>
      <c r="L176" s="4" t="s">
        <v>212</v>
      </c>
      <c r="M176" s="1"/>
      <c r="N176" s="1"/>
      <c r="O176" s="1"/>
      <c r="P176" s="1"/>
      <c r="Q176" s="1"/>
      <c r="R176" s="1"/>
      <c r="S176" s="1"/>
      <c r="T176" s="4"/>
      <c r="U176" s="4"/>
      <c r="V176" s="1"/>
      <c r="W176" s="1"/>
      <c r="X176" s="1"/>
    </row>
    <row r="177" spans="1:40" ht="15.75" customHeight="1" x14ac:dyDescent="0.25">
      <c r="A177" s="3"/>
      <c r="B177" s="3"/>
      <c r="C177" s="1"/>
      <c r="D177" s="3"/>
      <c r="E177" s="3" t="s">
        <v>91</v>
      </c>
      <c r="F177" s="3"/>
      <c r="G177" s="3"/>
      <c r="H177" s="3"/>
      <c r="I177" s="3"/>
      <c r="J177" s="845" t="s">
        <v>2436</v>
      </c>
      <c r="K177" s="333" t="s">
        <v>2437</v>
      </c>
      <c r="L177" s="4" t="s">
        <v>212</v>
      </c>
      <c r="M177" s="1"/>
      <c r="N177" s="1"/>
      <c r="O177" s="1"/>
      <c r="P177" s="1"/>
      <c r="Q177" s="1"/>
      <c r="R177" s="1"/>
      <c r="S177" s="1"/>
      <c r="T177" s="4"/>
      <c r="U177" s="4"/>
      <c r="V177" s="1"/>
      <c r="W177" s="1"/>
      <c r="X177" s="1"/>
    </row>
    <row r="178" spans="1:40" ht="20.25" customHeight="1" x14ac:dyDescent="0.25">
      <c r="A178" s="3"/>
      <c r="B178" s="3"/>
      <c r="C178" s="742"/>
      <c r="D178" s="742">
        <v>12</v>
      </c>
      <c r="E178" s="1072" t="s">
        <v>2438</v>
      </c>
      <c r="F178" s="1072"/>
      <c r="G178" s="1072"/>
      <c r="H178" s="1072"/>
      <c r="I178" s="1072"/>
      <c r="J178" s="1072"/>
      <c r="K178" s="1073"/>
      <c r="L178" s="1074"/>
      <c r="M178" s="1075"/>
      <c r="N178" s="1075"/>
      <c r="O178" s="1075"/>
      <c r="P178" s="1075"/>
      <c r="Q178" s="1075"/>
      <c r="R178" s="1075"/>
      <c r="S178" s="1075"/>
      <c r="T178" s="1075"/>
      <c r="U178" s="1075"/>
      <c r="V178" s="1075"/>
      <c r="W178" s="1075"/>
      <c r="X178" s="1076"/>
      <c r="Y178" s="2"/>
      <c r="Z178" s="2"/>
      <c r="AA178" s="2"/>
      <c r="AB178" s="2"/>
      <c r="AC178" s="2"/>
      <c r="AD178" s="2"/>
      <c r="AE178" s="2"/>
      <c r="AF178" s="2"/>
      <c r="AG178" s="2"/>
      <c r="AH178" s="2"/>
      <c r="AI178" s="2"/>
      <c r="AJ178" s="2"/>
      <c r="AK178" s="2"/>
      <c r="AL178" s="2"/>
      <c r="AM178" s="2"/>
      <c r="AN178" s="2"/>
    </row>
    <row r="179" spans="1:40" x14ac:dyDescent="0.25">
      <c r="A179" s="3"/>
      <c r="B179" s="3"/>
      <c r="C179" s="1"/>
      <c r="D179" s="3"/>
      <c r="E179" s="3" t="s">
        <v>91</v>
      </c>
      <c r="F179" s="3"/>
      <c r="G179" s="3"/>
      <c r="H179" s="3"/>
      <c r="I179" s="3"/>
      <c r="J179" s="1" t="s">
        <v>2439</v>
      </c>
      <c r="K179" s="1" t="s">
        <v>2440</v>
      </c>
      <c r="L179" s="4" t="s">
        <v>2192</v>
      </c>
      <c r="M179" s="1"/>
      <c r="N179" s="1" t="s">
        <v>2441</v>
      </c>
      <c r="O179" s="1"/>
      <c r="P179" s="1"/>
      <c r="Q179" s="1"/>
      <c r="R179" s="1"/>
      <c r="S179" s="1"/>
      <c r="T179" s="4"/>
      <c r="U179" s="4"/>
      <c r="V179" s="1"/>
      <c r="W179" s="1"/>
      <c r="X179" s="1"/>
    </row>
    <row r="180" spans="1:40" x14ac:dyDescent="0.25">
      <c r="A180" s="3"/>
      <c r="B180" s="3"/>
      <c r="C180" s="1"/>
      <c r="D180" s="3"/>
      <c r="E180" s="3"/>
      <c r="F180" s="3" t="s">
        <v>91</v>
      </c>
      <c r="G180" s="3"/>
      <c r="H180" s="3"/>
      <c r="I180" s="3"/>
      <c r="J180" s="337" t="s">
        <v>2442</v>
      </c>
      <c r="K180" s="337" t="s">
        <v>2443</v>
      </c>
      <c r="L180" s="340" t="s">
        <v>2444</v>
      </c>
      <c r="M180" s="1"/>
      <c r="N180" s="1"/>
      <c r="O180" s="1"/>
      <c r="P180" s="1"/>
      <c r="Q180" s="1"/>
      <c r="R180" s="1"/>
      <c r="S180" s="1"/>
      <c r="T180" s="4"/>
      <c r="U180" s="4"/>
      <c r="V180" s="1"/>
      <c r="W180" s="1"/>
      <c r="X180" s="1"/>
    </row>
    <row r="181" spans="1:40" x14ac:dyDescent="0.25">
      <c r="A181" s="3"/>
      <c r="B181" s="3"/>
      <c r="C181" s="1"/>
      <c r="D181" s="3"/>
      <c r="E181" s="3" t="s">
        <v>91</v>
      </c>
      <c r="F181" s="3"/>
      <c r="G181" s="3"/>
      <c r="H181" s="3"/>
      <c r="I181" s="3"/>
      <c r="J181" s="1" t="s">
        <v>2445</v>
      </c>
      <c r="K181" s="1" t="s">
        <v>2446</v>
      </c>
      <c r="L181" s="4" t="s">
        <v>2195</v>
      </c>
      <c r="M181" s="1"/>
      <c r="N181" s="1" t="s">
        <v>2447</v>
      </c>
      <c r="O181" s="1"/>
      <c r="P181" s="1"/>
      <c r="Q181" s="1"/>
      <c r="R181" s="1"/>
      <c r="S181" s="1"/>
      <c r="T181" s="4"/>
      <c r="U181" s="4"/>
      <c r="V181" s="1"/>
      <c r="W181" s="1"/>
      <c r="X181" s="1"/>
    </row>
    <row r="182" spans="1:40" x14ac:dyDescent="0.25">
      <c r="A182" s="3"/>
      <c r="B182" s="3"/>
      <c r="C182" s="1"/>
      <c r="D182" s="3"/>
      <c r="E182" s="3" t="s">
        <v>91</v>
      </c>
      <c r="F182" s="3"/>
      <c r="G182" s="3"/>
      <c r="H182" s="3"/>
      <c r="I182" s="3"/>
      <c r="J182" s="1" t="s">
        <v>2448</v>
      </c>
      <c r="K182" s="1" t="s">
        <v>2449</v>
      </c>
      <c r="L182" s="4" t="s">
        <v>2192</v>
      </c>
      <c r="M182" s="1"/>
      <c r="N182" s="1"/>
      <c r="O182" s="1"/>
      <c r="P182" s="1"/>
      <c r="Q182" s="1"/>
      <c r="R182" s="1"/>
      <c r="S182" s="1"/>
      <c r="T182" s="4"/>
      <c r="U182" s="4"/>
      <c r="V182" s="1"/>
      <c r="W182" s="1"/>
      <c r="X182" s="1"/>
    </row>
    <row r="183" spans="1:40" ht="20.25" customHeight="1" x14ac:dyDescent="0.25">
      <c r="A183" s="3"/>
      <c r="B183" s="3"/>
      <c r="C183" s="742"/>
      <c r="D183" s="856">
        <v>13</v>
      </c>
      <c r="E183" s="1159" t="s">
        <v>2450</v>
      </c>
      <c r="F183" s="1159"/>
      <c r="G183" s="1159"/>
      <c r="H183" s="1159"/>
      <c r="I183" s="1159"/>
      <c r="J183" s="1159"/>
      <c r="K183" s="1160"/>
      <c r="L183" s="1161"/>
      <c r="M183" s="1162"/>
      <c r="N183" s="1162"/>
      <c r="O183" s="1162"/>
      <c r="P183" s="1162"/>
      <c r="Q183" s="1162"/>
      <c r="R183" s="1162"/>
      <c r="S183" s="1162"/>
      <c r="T183" s="1162"/>
      <c r="U183" s="1162"/>
      <c r="V183" s="1162"/>
      <c r="W183" s="1162"/>
      <c r="X183" s="1163"/>
      <c r="Y183" s="2"/>
      <c r="Z183" s="2"/>
      <c r="AA183" s="2"/>
      <c r="AB183" s="2"/>
      <c r="AC183" s="2"/>
      <c r="AD183" s="2"/>
      <c r="AE183" s="2"/>
      <c r="AF183" s="2"/>
      <c r="AG183" s="2"/>
      <c r="AH183" s="2"/>
      <c r="AI183" s="2"/>
      <c r="AJ183" s="2"/>
      <c r="AK183" s="2"/>
      <c r="AL183" s="2"/>
      <c r="AM183" s="2"/>
      <c r="AN183" s="2"/>
    </row>
    <row r="184" spans="1:40" x14ac:dyDescent="0.25">
      <c r="A184" s="3"/>
      <c r="B184" s="3"/>
      <c r="C184" s="1"/>
      <c r="D184" s="373"/>
      <c r="E184" s="373" t="s">
        <v>91</v>
      </c>
      <c r="F184" s="373"/>
      <c r="G184" s="373"/>
      <c r="H184" s="373"/>
      <c r="I184" s="373"/>
      <c r="J184" s="842" t="s">
        <v>2451</v>
      </c>
      <c r="K184" s="842" t="s">
        <v>2452</v>
      </c>
      <c r="L184" s="332"/>
      <c r="M184" s="842"/>
      <c r="N184" s="842" t="s">
        <v>2453</v>
      </c>
      <c r="O184" s="842"/>
      <c r="P184" s="842"/>
      <c r="Q184" s="842"/>
      <c r="R184" s="842"/>
      <c r="S184" s="842"/>
      <c r="T184" s="332"/>
      <c r="U184" s="332"/>
      <c r="V184" s="842"/>
      <c r="W184" s="842"/>
      <c r="X184" s="842"/>
    </row>
    <row r="185" spans="1:40" ht="20.25" customHeight="1" x14ac:dyDescent="0.25">
      <c r="A185" s="3"/>
      <c r="B185" s="3"/>
      <c r="C185" s="742"/>
      <c r="D185" s="856">
        <v>14</v>
      </c>
      <c r="E185" s="1159" t="s">
        <v>2454</v>
      </c>
      <c r="F185" s="1159"/>
      <c r="G185" s="1159"/>
      <c r="H185" s="1159"/>
      <c r="I185" s="1159"/>
      <c r="J185" s="1159"/>
      <c r="K185" s="1160"/>
      <c r="L185" s="1161"/>
      <c r="M185" s="1162"/>
      <c r="N185" s="1162"/>
      <c r="O185" s="1162"/>
      <c r="P185" s="1162"/>
      <c r="Q185" s="1162"/>
      <c r="R185" s="1162"/>
      <c r="S185" s="1162"/>
      <c r="T185" s="1162"/>
      <c r="U185" s="1162"/>
      <c r="V185" s="1162"/>
      <c r="W185" s="1162"/>
      <c r="X185" s="1163"/>
      <c r="Y185" s="2"/>
      <c r="Z185" s="2"/>
      <c r="AA185" s="2"/>
      <c r="AB185" s="2"/>
      <c r="AC185" s="2"/>
      <c r="AD185" s="2"/>
      <c r="AE185" s="2"/>
      <c r="AF185" s="2"/>
      <c r="AG185" s="2"/>
      <c r="AH185" s="2"/>
      <c r="AI185" s="2"/>
      <c r="AJ185" s="2"/>
      <c r="AK185" s="2"/>
      <c r="AL185" s="2"/>
      <c r="AM185" s="2"/>
      <c r="AN185" s="2"/>
    </row>
    <row r="186" spans="1:40" x14ac:dyDescent="0.25">
      <c r="A186" s="3"/>
      <c r="B186" s="3"/>
      <c r="C186" s="1"/>
      <c r="D186" s="3"/>
      <c r="E186" s="373" t="s">
        <v>91</v>
      </c>
      <c r="F186" s="373"/>
      <c r="G186" s="373"/>
      <c r="H186" s="373"/>
      <c r="I186" s="373"/>
      <c r="J186" s="842" t="s">
        <v>2455</v>
      </c>
      <c r="K186" s="842" t="s">
        <v>2456</v>
      </c>
      <c r="L186" s="5"/>
      <c r="M186" s="1"/>
      <c r="N186" s="1"/>
      <c r="O186" s="1"/>
      <c r="P186" s="1"/>
      <c r="Q186" s="1"/>
      <c r="R186" s="1"/>
      <c r="S186" s="1"/>
      <c r="T186" s="4"/>
      <c r="U186" s="4"/>
      <c r="V186" s="1"/>
      <c r="W186" s="1"/>
      <c r="X186" s="1"/>
    </row>
    <row r="187" spans="1:40" ht="15.75" customHeight="1" x14ac:dyDescent="0.25">
      <c r="A187" s="3"/>
      <c r="B187" s="3"/>
      <c r="C187" s="1"/>
      <c r="D187" s="3"/>
      <c r="E187" s="3"/>
      <c r="F187" s="3"/>
      <c r="G187" s="3"/>
      <c r="H187" s="3"/>
      <c r="I187" s="3"/>
      <c r="J187" s="1"/>
      <c r="K187" s="1"/>
      <c r="L187" s="5"/>
      <c r="M187" s="1"/>
      <c r="N187" s="1"/>
      <c r="O187" s="1"/>
      <c r="P187" s="1"/>
      <c r="Q187" s="1"/>
      <c r="R187" s="1"/>
      <c r="S187" s="1"/>
      <c r="T187" s="4"/>
      <c r="U187" s="4"/>
      <c r="V187" s="1"/>
      <c r="W187" s="1"/>
      <c r="X187" s="1"/>
    </row>
    <row r="188" spans="1:40" ht="15.75" customHeight="1" x14ac:dyDescent="0.25">
      <c r="A188" s="3"/>
      <c r="B188" s="3"/>
      <c r="C188" s="1"/>
      <c r="D188" s="3"/>
      <c r="E188" s="3"/>
      <c r="F188" s="3"/>
      <c r="G188" s="3"/>
      <c r="H188" s="3"/>
      <c r="I188" s="3"/>
      <c r="J188" s="1"/>
      <c r="K188" s="1"/>
      <c r="L188" s="5"/>
      <c r="M188" s="1"/>
      <c r="N188" s="1"/>
      <c r="O188" s="1"/>
      <c r="P188" s="1"/>
      <c r="Q188" s="1"/>
      <c r="R188" s="1"/>
      <c r="S188" s="1"/>
      <c r="T188" s="4"/>
      <c r="U188" s="4"/>
      <c r="V188" s="1"/>
      <c r="W188" s="1"/>
      <c r="X188" s="1"/>
    </row>
    <row r="189" spans="1:40" ht="15.75" customHeight="1" x14ac:dyDescent="0.25">
      <c r="A189" s="3"/>
      <c r="B189" s="3"/>
      <c r="C189" s="1"/>
      <c r="D189" s="3"/>
      <c r="E189" s="3"/>
      <c r="F189" s="3"/>
      <c r="G189" s="3"/>
      <c r="H189" s="3"/>
      <c r="I189" s="3"/>
      <c r="J189" s="1"/>
      <c r="K189" s="1"/>
      <c r="L189" s="5"/>
      <c r="M189" s="1"/>
      <c r="N189" s="1"/>
      <c r="O189" s="1"/>
      <c r="P189" s="1"/>
      <c r="Q189" s="1"/>
      <c r="R189" s="1"/>
      <c r="S189" s="1"/>
      <c r="T189" s="4"/>
      <c r="U189" s="4"/>
      <c r="V189" s="1"/>
      <c r="W189" s="1"/>
      <c r="X189" s="1"/>
    </row>
    <row r="190" spans="1:40" ht="15.75" customHeight="1" x14ac:dyDescent="0.25">
      <c r="A190" s="3"/>
      <c r="B190" s="3"/>
      <c r="C190" s="1"/>
      <c r="D190" s="3"/>
      <c r="E190" s="3"/>
      <c r="F190" s="3"/>
      <c r="G190" s="3"/>
      <c r="H190" s="3"/>
      <c r="I190" s="3"/>
      <c r="J190" s="1"/>
      <c r="K190" s="1"/>
      <c r="L190" s="5"/>
      <c r="M190" s="1"/>
      <c r="N190" s="1"/>
      <c r="O190" s="1"/>
      <c r="P190" s="1"/>
      <c r="Q190" s="1"/>
      <c r="R190" s="1"/>
      <c r="S190" s="1"/>
      <c r="T190" s="4"/>
      <c r="U190" s="4"/>
      <c r="V190" s="1"/>
      <c r="W190" s="1"/>
      <c r="X190" s="1"/>
    </row>
    <row r="191" spans="1:40" ht="15.75" customHeight="1" x14ac:dyDescent="0.25">
      <c r="A191" s="3"/>
      <c r="B191" s="3"/>
      <c r="C191" s="1"/>
      <c r="D191" s="3"/>
      <c r="E191" s="3"/>
      <c r="F191" s="3"/>
      <c r="G191" s="3"/>
      <c r="H191" s="3"/>
      <c r="I191" s="3"/>
      <c r="J191" s="1"/>
      <c r="K191" s="1"/>
      <c r="L191" s="5"/>
      <c r="M191" s="1"/>
      <c r="N191" s="1"/>
      <c r="O191" s="1"/>
      <c r="P191" s="1"/>
      <c r="Q191" s="1"/>
      <c r="R191" s="1"/>
      <c r="S191" s="1"/>
      <c r="T191" s="4"/>
      <c r="U191" s="4"/>
      <c r="V191" s="1"/>
      <c r="W191" s="1"/>
      <c r="X191" s="1"/>
    </row>
    <row r="192" spans="1:40" ht="15.75" customHeight="1" x14ac:dyDescent="0.25">
      <c r="A192" s="3"/>
      <c r="B192" s="3"/>
      <c r="C192" s="1"/>
      <c r="D192" s="3"/>
      <c r="E192" s="3"/>
      <c r="F192" s="3"/>
      <c r="G192" s="3"/>
      <c r="H192" s="3"/>
      <c r="I192" s="3"/>
      <c r="J192" s="1"/>
      <c r="K192" s="1"/>
      <c r="L192" s="5"/>
      <c r="M192" s="1"/>
      <c r="N192" s="1"/>
      <c r="O192" s="1"/>
      <c r="P192" s="1"/>
      <c r="Q192" s="1"/>
      <c r="R192" s="1"/>
      <c r="S192" s="1"/>
      <c r="T192" s="4"/>
      <c r="U192" s="4"/>
      <c r="V192" s="1"/>
      <c r="W192" s="1"/>
      <c r="X192" s="1"/>
    </row>
    <row r="193" spans="1:24" ht="15.75" customHeight="1" x14ac:dyDescent="0.25">
      <c r="A193" s="3"/>
      <c r="B193" s="3"/>
      <c r="C193" s="1"/>
      <c r="D193" s="3"/>
      <c r="E193" s="3"/>
      <c r="F193" s="3"/>
      <c r="G193" s="3"/>
      <c r="H193" s="3"/>
      <c r="I193" s="3"/>
      <c r="J193" s="1"/>
      <c r="K193" s="1"/>
      <c r="L193" s="5"/>
      <c r="M193" s="1"/>
      <c r="N193" s="1"/>
      <c r="O193" s="1"/>
      <c r="P193" s="1"/>
      <c r="Q193" s="1"/>
      <c r="R193" s="1"/>
      <c r="S193" s="1"/>
      <c r="T193" s="4"/>
      <c r="U193" s="4"/>
      <c r="V193" s="1"/>
      <c r="W193" s="1"/>
      <c r="X193" s="1"/>
    </row>
    <row r="194" spans="1:24" ht="15.75" customHeight="1" x14ac:dyDescent="0.25">
      <c r="A194" s="3"/>
      <c r="B194" s="3"/>
      <c r="C194" s="1"/>
      <c r="D194" s="3"/>
      <c r="E194" s="3"/>
      <c r="F194" s="3"/>
      <c r="G194" s="3"/>
      <c r="H194" s="3"/>
      <c r="I194" s="3"/>
      <c r="J194" s="1"/>
      <c r="K194" s="1"/>
      <c r="L194" s="5"/>
      <c r="M194" s="1"/>
      <c r="N194" s="1"/>
      <c r="O194" s="1"/>
      <c r="P194" s="1"/>
      <c r="Q194" s="1"/>
      <c r="R194" s="1"/>
      <c r="S194" s="1"/>
      <c r="T194" s="4"/>
      <c r="U194" s="4"/>
      <c r="V194" s="1"/>
      <c r="W194" s="1"/>
      <c r="X194" s="1"/>
    </row>
    <row r="195" spans="1:24" ht="15.75" customHeight="1" x14ac:dyDescent="0.25">
      <c r="A195" s="3"/>
      <c r="B195" s="3"/>
      <c r="C195" s="1"/>
      <c r="D195" s="3"/>
      <c r="E195" s="3"/>
      <c r="F195" s="3"/>
      <c r="G195" s="3"/>
      <c r="H195" s="3"/>
      <c r="I195" s="3"/>
      <c r="J195" s="1"/>
      <c r="K195" s="1"/>
      <c r="L195" s="5"/>
      <c r="M195" s="1"/>
      <c r="N195" s="1"/>
      <c r="O195" s="1"/>
      <c r="P195" s="1"/>
      <c r="Q195" s="1"/>
      <c r="R195" s="1"/>
      <c r="S195" s="1"/>
      <c r="T195" s="4"/>
      <c r="U195" s="4"/>
      <c r="V195" s="1"/>
      <c r="W195" s="1"/>
      <c r="X195" s="1"/>
    </row>
    <row r="196" spans="1:24" x14ac:dyDescent="0.25">
      <c r="J196" s="2"/>
    </row>
    <row r="198" spans="1:24" x14ac:dyDescent="0.25">
      <c r="J198" s="2"/>
    </row>
    <row r="200" spans="1:24" x14ac:dyDescent="0.25">
      <c r="J200" s="2"/>
    </row>
    <row r="202" spans="1:24" x14ac:dyDescent="0.25">
      <c r="J202" s="2"/>
    </row>
    <row r="204" spans="1:24" x14ac:dyDescent="0.25">
      <c r="J204" s="2"/>
    </row>
    <row r="206" spans="1:24" x14ac:dyDescent="0.25">
      <c r="J206" s="2"/>
    </row>
    <row r="208" spans="1:24" x14ac:dyDescent="0.25">
      <c r="J208" s="2"/>
    </row>
    <row r="210" spans="10:10" x14ac:dyDescent="0.25">
      <c r="J210" s="2"/>
    </row>
    <row r="212" spans="10:10" x14ac:dyDescent="0.25">
      <c r="J212" s="2"/>
    </row>
    <row r="214" spans="10:10" x14ac:dyDescent="0.25">
      <c r="J214" s="2"/>
    </row>
    <row r="267" spans="1:25" s="2" customFormat="1" x14ac:dyDescent="0.25">
      <c r="A267"/>
      <c r="B267"/>
      <c r="C267"/>
      <c r="J267"/>
      <c r="K267"/>
      <c r="L267" s="323"/>
      <c r="M267"/>
      <c r="N267"/>
      <c r="O267"/>
      <c r="P267"/>
      <c r="Q267"/>
      <c r="R267"/>
      <c r="S267"/>
      <c r="T267"/>
      <c r="U267"/>
      <c r="V267"/>
      <c r="W267"/>
      <c r="X267"/>
      <c r="Y267"/>
    </row>
    <row r="275" spans="1:25" s="2" customFormat="1" x14ac:dyDescent="0.25">
      <c r="A275"/>
      <c r="B275"/>
      <c r="C275"/>
      <c r="J275"/>
      <c r="K275"/>
      <c r="L275" s="323"/>
      <c r="M275"/>
      <c r="N275"/>
      <c r="O275"/>
      <c r="P275"/>
      <c r="Q275"/>
      <c r="R275"/>
      <c r="S275"/>
      <c r="T275"/>
      <c r="U275"/>
      <c r="V275"/>
      <c r="W275"/>
      <c r="X275"/>
      <c r="Y275"/>
    </row>
    <row r="322" spans="1:25" s="2" customFormat="1" x14ac:dyDescent="0.25">
      <c r="A322"/>
      <c r="B322"/>
      <c r="C322"/>
      <c r="J322"/>
      <c r="K322"/>
      <c r="L322" s="323"/>
      <c r="M322"/>
      <c r="N322"/>
      <c r="O322"/>
      <c r="P322"/>
      <c r="Q322"/>
      <c r="R322"/>
      <c r="S322"/>
      <c r="T322"/>
      <c r="U322"/>
      <c r="V322"/>
      <c r="W322"/>
      <c r="X322"/>
      <c r="Y322"/>
    </row>
  </sheetData>
  <mergeCells count="15">
    <mergeCell ref="E173:X173"/>
    <mergeCell ref="E175:X175"/>
    <mergeCell ref="E178:X178"/>
    <mergeCell ref="E183:X183"/>
    <mergeCell ref="E185:X185"/>
    <mergeCell ref="E81:X81"/>
    <mergeCell ref="E94:X94"/>
    <mergeCell ref="E125:X125"/>
    <mergeCell ref="E151:X151"/>
    <mergeCell ref="E166:X166"/>
    <mergeCell ref="D8:I8"/>
    <mergeCell ref="E10:X10"/>
    <mergeCell ref="E44:X44"/>
    <mergeCell ref="E50:X50"/>
    <mergeCell ref="E79:X79"/>
  </mergeCells>
  <conditionalFormatting sqref="U1:X8 S9:X195 T196:X443">
    <cfRule type="containsText" dxfId="29" priority="1" operator="containsText" text="ja">
      <formula>NOT(ISERROR(SEARCH(("ja"),(U1))))</formula>
    </cfRule>
    <cfRule type="containsText" dxfId="28" priority="2" operator="containsText" text="nein">
      <formula>NOT(ISERROR(SEARCH(("nein"),(U1))))</formula>
    </cfRule>
  </conditionalFormatting>
  <dataValidations count="4">
    <dataValidation type="list" errorStyle="warning" showErrorMessage="1" sqref="A11:A13 A15:A195" xr:uid="{00000000-0002-0000-0700-000000000000}">
      <formula1>"ja,nein"</formula1>
    </dataValidation>
    <dataValidation type="list" errorStyle="warning" showErrorMessage="1" sqref="X11:X17 X18:X24 X25:X27" xr:uid="{00000000-0002-0000-0700-000001000000}">
      <formula1>",Ready, CICD"</formula1>
    </dataValidation>
    <dataValidation type="list" errorStyle="warning" showErrorMessage="1" sqref="U51:U52 U54:U56 U60:U67 U71:U78 U80 U82:U89 U95:U124 U126:U145 U146:U150 U152:U155 U156:U165 U167:U172 U174 U184 U186:U195 T51:T52 T54:T56 T60:T67 T71:T78 T80 T82:T89 T95:T124 T126:T145 T146:T150 T152:T155 T156:T165 T167:T172 T174 T184 T186:T195 T11:U17 T18:U32 T33:U43 T90:U93 T176:U177 T53:U53 T57:U59 T68:U70 T179:U182 T45:U49" xr:uid="{00000000-0002-0000-0700-000002000000}">
      <formula1>"unbestimmt, ja, nein"</formula1>
    </dataValidation>
    <dataValidation type="list" errorStyle="warning" showErrorMessage="1" sqref="B11:B195" xr:uid="{00000000-0002-0000-0700-000003000000}">
      <formula1>"ELA,Meistertask,Cleverreach,Synology,Miro,Google,WhatsApp,Canva,Adobe,Contao,Wiki,ecoDMS,Wiki,Facebook,Instagram,TikTok,LinkedIn,Youtube,Xing,X,SalesForce,Lexware,Volksbank,Articulate,Outlook,easy2book,Domainfactory,1&amp;1"</formula1>
    </dataValidation>
  </dataValidation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N352"/>
  <sheetViews>
    <sheetView topLeftCell="A17" workbookViewId="0"/>
  </sheetViews>
  <sheetFormatPr baseColWidth="10" defaultColWidth="14.5703125" defaultRowHeight="15" x14ac:dyDescent="0.25"/>
  <cols>
    <col min="1" max="1" width="11.28515625" style="25" customWidth="1"/>
    <col min="2" max="2" width="10.28515625" style="25" customWidth="1"/>
    <col min="3" max="3" width="3.28515625" style="25" customWidth="1"/>
    <col min="4" max="9" width="3.85546875" style="25" customWidth="1"/>
    <col min="10" max="10" width="42.7109375" style="68" customWidth="1"/>
    <col min="11" max="11" width="97.28515625" style="306" customWidth="1"/>
    <col min="12" max="12" width="55.140625" style="306" customWidth="1"/>
    <col min="13" max="13" width="55.85546875" style="306" customWidth="1"/>
    <col min="14" max="14" width="54" style="187" customWidth="1"/>
    <col min="15" max="15" width="30.28515625" style="212" hidden="1" customWidth="1"/>
    <col min="16" max="16" width="25.5703125" style="25" customWidth="1"/>
    <col min="17" max="17" width="19.5703125" style="25" customWidth="1"/>
    <col min="18" max="18" width="76.42578125" style="25" customWidth="1"/>
    <col min="19" max="19" width="26.42578125" style="25" customWidth="1"/>
    <col min="20" max="20" width="21" style="25" customWidth="1"/>
    <col min="21" max="21" width="13.5703125" style="25" customWidth="1"/>
    <col min="22" max="22" width="14.42578125" style="25" customWidth="1"/>
    <col min="23" max="23" width="20.85546875" style="25" customWidth="1"/>
    <col min="24" max="25" width="31.85546875" style="25" customWidth="1"/>
    <col min="26" max="40" width="14.42578125" style="25" customWidth="1"/>
    <col min="41" max="41" width="14.5703125" style="25" customWidth="1"/>
    <col min="42" max="16384" width="14.5703125" style="25"/>
  </cols>
  <sheetData>
    <row r="1" spans="1:40" x14ac:dyDescent="0.25">
      <c r="K1" s="68"/>
      <c r="L1" s="68"/>
      <c r="M1" s="68"/>
      <c r="N1" s="68"/>
      <c r="O1" s="211"/>
    </row>
    <row r="2" spans="1:40" x14ac:dyDescent="0.25">
      <c r="I2" s="736"/>
      <c r="J2" t="s">
        <v>0</v>
      </c>
      <c r="K2" s="68"/>
      <c r="L2" s="68"/>
      <c r="M2" s="68"/>
      <c r="N2" s="68"/>
      <c r="O2" s="211"/>
    </row>
    <row r="3" spans="1:40" x14ac:dyDescent="0.25">
      <c r="I3" s="43"/>
      <c r="J3" t="s">
        <v>1</v>
      </c>
      <c r="K3" s="68"/>
      <c r="L3" s="68"/>
      <c r="M3" s="68"/>
      <c r="N3" s="68"/>
      <c r="O3" s="211"/>
    </row>
    <row r="4" spans="1:40" x14ac:dyDescent="0.25">
      <c r="I4" s="42"/>
      <c r="J4" t="s">
        <v>2</v>
      </c>
      <c r="K4" s="68"/>
      <c r="L4" s="68"/>
      <c r="M4" s="68"/>
      <c r="N4" s="68"/>
      <c r="O4" s="211"/>
    </row>
    <row r="5" spans="1:40" x14ac:dyDescent="0.25">
      <c r="A5" s="857"/>
      <c r="B5" s="1164"/>
      <c r="C5" s="1165"/>
      <c r="D5" s="1165"/>
      <c r="E5" s="1165"/>
      <c r="F5" s="1165"/>
      <c r="G5" s="1165"/>
      <c r="H5" s="1165"/>
      <c r="I5" s="597"/>
      <c r="J5" s="1166" t="s">
        <v>3</v>
      </c>
      <c r="K5" s="1166"/>
      <c r="L5" s="1166"/>
      <c r="M5" s="68"/>
      <c r="N5" s="68"/>
      <c r="O5" s="211"/>
    </row>
    <row r="6" spans="1:40" x14ac:dyDescent="0.25">
      <c r="I6" s="121"/>
      <c r="J6" t="s">
        <v>4</v>
      </c>
      <c r="K6" s="68"/>
      <c r="L6" s="68"/>
      <c r="M6" s="68"/>
      <c r="N6" s="68"/>
      <c r="O6" s="211"/>
    </row>
    <row r="7" spans="1:40" x14ac:dyDescent="0.25">
      <c r="K7" s="187"/>
      <c r="L7" s="187"/>
      <c r="M7" s="187"/>
    </row>
    <row r="8" spans="1:40" s="212" customFormat="1" x14ac:dyDescent="0.25">
      <c r="A8" s="122" t="s">
        <v>5</v>
      </c>
      <c r="B8" s="122" t="s">
        <v>6</v>
      </c>
      <c r="C8" s="7" t="s">
        <v>7</v>
      </c>
      <c r="D8" s="1167" t="s">
        <v>8</v>
      </c>
      <c r="E8" s="1167"/>
      <c r="F8" s="1167"/>
      <c r="G8" s="1167"/>
      <c r="H8" s="1167"/>
      <c r="I8" s="1167"/>
      <c r="J8" s="1167"/>
      <c r="K8" s="1167"/>
      <c r="L8" s="1167"/>
      <c r="M8" s="1167"/>
      <c r="N8" s="1167"/>
      <c r="O8" s="1167"/>
      <c r="P8" s="1167"/>
      <c r="Q8" s="1167"/>
      <c r="R8" s="1167"/>
      <c r="S8" s="1167"/>
      <c r="T8" s="1167"/>
      <c r="U8" s="1167"/>
      <c r="V8" s="1167"/>
      <c r="W8" s="1167"/>
      <c r="X8" s="1167"/>
      <c r="Y8" s="1167"/>
      <c r="Z8" s="1167"/>
      <c r="AA8" s="7"/>
      <c r="AB8" s="7"/>
      <c r="AC8" s="7"/>
      <c r="AD8" s="7"/>
      <c r="AE8" s="7"/>
      <c r="AF8" s="7"/>
      <c r="AG8" s="7"/>
      <c r="AH8" s="7"/>
      <c r="AI8" s="7"/>
      <c r="AJ8" s="7"/>
      <c r="AK8" s="7"/>
      <c r="AL8" s="7"/>
      <c r="AM8" s="7"/>
      <c r="AN8" s="7"/>
    </row>
    <row r="9" spans="1:40" s="224" customFormat="1" ht="25.5" x14ac:dyDescent="0.25">
      <c r="A9" s="7"/>
      <c r="B9" s="7"/>
      <c r="C9" s="7"/>
      <c r="D9" s="858" t="s">
        <v>9</v>
      </c>
      <c r="E9" s="858" t="s">
        <v>10</v>
      </c>
      <c r="F9" s="858" t="s">
        <v>11</v>
      </c>
      <c r="G9" s="858" t="s">
        <v>12</v>
      </c>
      <c r="H9" s="858" t="s">
        <v>13</v>
      </c>
      <c r="I9" s="858" t="s">
        <v>14</v>
      </c>
      <c r="J9" s="828" t="s">
        <v>15</v>
      </c>
      <c r="K9" s="828" t="s">
        <v>2457</v>
      </c>
      <c r="L9" s="828" t="s">
        <v>17</v>
      </c>
      <c r="M9" s="828" t="s">
        <v>18</v>
      </c>
      <c r="N9" s="859" t="str">
        <f>HYPERLINK("https://360.articulate.com/review/content/7a4811a3-0e69-4945-b15c-a156edf8a325/review", "Überbegriff bisherige Themenbereich im QMH")</f>
        <v>Überbegriff bisherige Themenbereich im QMH</v>
      </c>
      <c r="O9" s="423" t="s">
        <v>207</v>
      </c>
      <c r="P9" s="828" t="s">
        <v>19</v>
      </c>
      <c r="Q9" s="38" t="s">
        <v>20</v>
      </c>
      <c r="R9" s="828" t="s">
        <v>2458</v>
      </c>
      <c r="S9" s="828" t="s">
        <v>2459</v>
      </c>
      <c r="T9" s="828" t="s">
        <v>23</v>
      </c>
      <c r="U9" s="828" t="s">
        <v>24</v>
      </c>
      <c r="V9" s="38" t="s">
        <v>25</v>
      </c>
      <c r="W9" s="38" t="s">
        <v>26</v>
      </c>
      <c r="X9" s="38" t="s">
        <v>27</v>
      </c>
      <c r="Y9" s="38" t="s">
        <v>28</v>
      </c>
      <c r="Z9" s="38" t="s">
        <v>29</v>
      </c>
      <c r="AA9" s="38"/>
      <c r="AB9" s="38"/>
      <c r="AC9" s="38"/>
      <c r="AD9" s="38"/>
      <c r="AE9" s="38"/>
      <c r="AF9" s="38"/>
      <c r="AG9" s="38"/>
      <c r="AH9" s="38"/>
      <c r="AI9" s="38"/>
      <c r="AJ9" s="38"/>
      <c r="AK9" s="38"/>
      <c r="AL9" s="38"/>
      <c r="AM9" s="38"/>
      <c r="AN9" s="38"/>
    </row>
    <row r="10" spans="1:40" s="68" customFormat="1" ht="12.75" x14ac:dyDescent="0.25">
      <c r="A10" s="742"/>
      <c r="B10" s="742"/>
      <c r="C10" s="89"/>
      <c r="D10" s="860">
        <v>1</v>
      </c>
      <c r="E10" s="1168" t="s">
        <v>210</v>
      </c>
      <c r="F10" s="1169"/>
      <c r="G10" s="1169"/>
      <c r="H10" s="1169"/>
      <c r="I10" s="1169"/>
      <c r="J10" s="1169"/>
      <c r="K10" s="1169"/>
      <c r="L10" s="1169"/>
      <c r="M10" s="1169"/>
      <c r="N10" s="1169"/>
      <c r="O10" s="1169"/>
      <c r="P10" s="1169"/>
      <c r="Q10" s="1169"/>
      <c r="R10" s="1169"/>
      <c r="S10" s="1169"/>
      <c r="T10" s="1169"/>
      <c r="U10" s="1169"/>
      <c r="V10" s="1169"/>
      <c r="W10" s="1169"/>
      <c r="X10" s="1169"/>
      <c r="Y10" s="1169"/>
      <c r="Z10" s="1170"/>
      <c r="AA10" s="861"/>
      <c r="AB10" s="861"/>
      <c r="AC10" s="861"/>
      <c r="AD10" s="861"/>
      <c r="AE10" s="861"/>
      <c r="AF10" s="861"/>
      <c r="AG10" s="861"/>
      <c r="AH10" s="861"/>
      <c r="AI10" s="861"/>
      <c r="AJ10" s="861"/>
      <c r="AK10" s="861"/>
      <c r="AL10" s="861"/>
      <c r="AM10" s="861"/>
      <c r="AN10" s="861"/>
    </row>
    <row r="11" spans="1:40" s="162" customFormat="1" x14ac:dyDescent="0.2">
      <c r="A11" s="3"/>
      <c r="B11" s="3"/>
      <c r="C11" s="63"/>
      <c r="D11" s="190"/>
      <c r="E11" s="862">
        <v>2</v>
      </c>
      <c r="F11" s="1171" t="s">
        <v>215</v>
      </c>
      <c r="G11" s="1171"/>
      <c r="H11" s="1171"/>
      <c r="I11" s="1171"/>
      <c r="J11" s="1171"/>
      <c r="K11" s="1172"/>
      <c r="L11" s="1172"/>
      <c r="M11" s="1172"/>
      <c r="N11" s="1172"/>
      <c r="O11" s="1172"/>
      <c r="P11" s="1172"/>
      <c r="Q11" s="1172"/>
      <c r="R11" s="1172"/>
      <c r="S11" s="1172"/>
      <c r="T11" s="1172"/>
      <c r="U11" s="1172"/>
      <c r="V11" s="1172"/>
      <c r="W11" s="1172"/>
      <c r="X11" s="1172"/>
      <c r="Y11" s="1172"/>
      <c r="Z11" s="1173"/>
      <c r="AA11" s="863"/>
      <c r="AB11" s="863"/>
      <c r="AC11" s="863"/>
      <c r="AD11" s="863"/>
      <c r="AE11" s="863"/>
      <c r="AF11" s="863"/>
      <c r="AG11" s="863"/>
      <c r="AH11" s="863"/>
      <c r="AI11" s="863"/>
      <c r="AJ11" s="863"/>
      <c r="AK11" s="863"/>
      <c r="AL11" s="863"/>
      <c r="AM11" s="863"/>
      <c r="AN11" s="863"/>
    </row>
    <row r="12" spans="1:40" s="68" customFormat="1" ht="60" x14ac:dyDescent="0.2">
      <c r="A12" s="3" t="s">
        <v>1098</v>
      </c>
      <c r="B12" s="3"/>
      <c r="C12" s="12"/>
      <c r="D12" s="375"/>
      <c r="E12" s="188"/>
      <c r="F12" s="72">
        <v>3</v>
      </c>
      <c r="G12" s="188"/>
      <c r="H12" s="188"/>
      <c r="I12" s="72"/>
      <c r="J12" s="192" t="s">
        <v>216</v>
      </c>
      <c r="K12" s="204" t="s">
        <v>217</v>
      </c>
      <c r="L12" s="128" t="s">
        <v>214</v>
      </c>
      <c r="M12" s="204" t="s">
        <v>218</v>
      </c>
      <c r="N12" s="140" t="s">
        <v>2460</v>
      </c>
      <c r="O12" s="72" t="s">
        <v>214</v>
      </c>
      <c r="P12" s="69"/>
      <c r="Q12" s="69"/>
      <c r="R12" s="12"/>
      <c r="S12" s="12"/>
      <c r="T12" s="70"/>
      <c r="U12" s="69"/>
      <c r="V12" s="26"/>
      <c r="W12" s="26"/>
      <c r="X12" s="70"/>
      <c r="Y12" s="70"/>
      <c r="Z12" s="70"/>
      <c r="AA12" s="70"/>
      <c r="AB12" s="70"/>
      <c r="AC12" s="70"/>
      <c r="AD12" s="70"/>
      <c r="AE12" s="70"/>
      <c r="AF12" s="70"/>
      <c r="AG12" s="70"/>
      <c r="AH12" s="70"/>
      <c r="AI12" s="70"/>
      <c r="AJ12" s="70"/>
      <c r="AK12" s="70"/>
      <c r="AL12" s="70"/>
      <c r="AM12" s="70"/>
      <c r="AN12" s="70"/>
    </row>
    <row r="13" spans="1:40" s="68" customFormat="1" ht="60" x14ac:dyDescent="0.2">
      <c r="A13" s="3" t="s">
        <v>1098</v>
      </c>
      <c r="B13" s="3"/>
      <c r="C13" s="12"/>
      <c r="D13" s="188"/>
      <c r="E13" s="376"/>
      <c r="F13" s="379">
        <v>3</v>
      </c>
      <c r="G13" s="376"/>
      <c r="H13" s="376"/>
      <c r="I13" s="377"/>
      <c r="J13" s="219" t="s">
        <v>219</v>
      </c>
      <c r="K13" s="378" t="s">
        <v>220</v>
      </c>
      <c r="L13" s="185" t="s">
        <v>214</v>
      </c>
      <c r="M13" s="378" t="s">
        <v>221</v>
      </c>
      <c r="N13" s="140" t="s">
        <v>2460</v>
      </c>
      <c r="O13" s="379" t="s">
        <v>214</v>
      </c>
      <c r="P13" s="186"/>
      <c r="Q13" s="186"/>
      <c r="R13" s="184"/>
      <c r="S13" s="184"/>
      <c r="T13" s="182"/>
      <c r="U13" s="186"/>
      <c r="V13" s="311"/>
      <c r="W13" s="311"/>
      <c r="X13" s="182"/>
      <c r="Y13" s="182"/>
      <c r="Z13" s="182"/>
      <c r="AA13" s="182"/>
      <c r="AB13" s="182"/>
      <c r="AC13" s="182"/>
      <c r="AD13" s="182"/>
      <c r="AE13" s="182"/>
      <c r="AF13" s="182"/>
      <c r="AG13" s="182"/>
      <c r="AH13" s="182"/>
      <c r="AI13" s="182"/>
      <c r="AJ13" s="182"/>
      <c r="AK13" s="182"/>
      <c r="AL13" s="182"/>
      <c r="AM13" s="182"/>
      <c r="AN13" s="182"/>
    </row>
    <row r="14" spans="1:40" s="68" customFormat="1" ht="39.75" x14ac:dyDescent="0.2">
      <c r="A14" s="3" t="s">
        <v>1098</v>
      </c>
      <c r="B14" s="3"/>
      <c r="C14" s="12"/>
      <c r="D14" s="188"/>
      <c r="E14" s="188"/>
      <c r="F14" s="397">
        <v>3</v>
      </c>
      <c r="G14" s="398"/>
      <c r="H14" s="398"/>
      <c r="I14" s="399"/>
      <c r="J14" s="197" t="s">
        <v>222</v>
      </c>
      <c r="K14" s="864" t="s">
        <v>223</v>
      </c>
      <c r="L14" s="496" t="s">
        <v>214</v>
      </c>
      <c r="M14" s="310" t="s">
        <v>224</v>
      </c>
      <c r="N14" s="310" t="s">
        <v>2461</v>
      </c>
      <c r="O14" s="397" t="s">
        <v>214</v>
      </c>
      <c r="P14" s="400"/>
      <c r="Q14" s="400"/>
      <c r="R14" s="401"/>
      <c r="S14" s="401"/>
      <c r="T14" s="402"/>
      <c r="U14" s="400"/>
      <c r="V14" s="403"/>
      <c r="W14" s="403"/>
      <c r="X14" s="402"/>
      <c r="Y14" s="402"/>
      <c r="Z14" s="402"/>
      <c r="AA14" s="402"/>
      <c r="AB14" s="402"/>
      <c r="AC14" s="402"/>
      <c r="AD14" s="402"/>
      <c r="AE14" s="402"/>
      <c r="AF14" s="402"/>
      <c r="AG14" s="402"/>
      <c r="AH14" s="402"/>
      <c r="AI14" s="402"/>
      <c r="AJ14" s="402"/>
      <c r="AK14" s="402"/>
      <c r="AL14" s="402"/>
      <c r="AM14" s="402"/>
      <c r="AN14" s="402"/>
    </row>
    <row r="15" spans="1:40" s="162" customFormat="1" x14ac:dyDescent="0.2">
      <c r="A15" s="3"/>
      <c r="B15" s="3"/>
      <c r="C15" s="12"/>
      <c r="D15" s="375"/>
      <c r="E15" s="865">
        <v>2</v>
      </c>
      <c r="F15" s="1168" t="s">
        <v>226</v>
      </c>
      <c r="G15" s="1169"/>
      <c r="H15" s="1169"/>
      <c r="I15" s="1169"/>
      <c r="J15" s="1169"/>
      <c r="K15" s="1169"/>
      <c r="L15" s="1169"/>
      <c r="M15" s="1169"/>
      <c r="N15" s="1169"/>
      <c r="O15" s="1169"/>
      <c r="P15" s="1169"/>
      <c r="Q15" s="1169"/>
      <c r="R15" s="1169"/>
      <c r="S15" s="1169"/>
      <c r="T15" s="1169"/>
      <c r="U15" s="1169"/>
      <c r="V15" s="1169"/>
      <c r="W15" s="1169"/>
      <c r="X15" s="1169"/>
      <c r="Y15" s="1169"/>
      <c r="Z15" s="1170"/>
      <c r="AA15" s="861"/>
      <c r="AB15" s="861"/>
      <c r="AC15" s="861"/>
      <c r="AD15" s="861"/>
      <c r="AE15" s="861"/>
      <c r="AF15" s="861"/>
      <c r="AG15" s="861"/>
      <c r="AH15" s="861"/>
      <c r="AI15" s="861"/>
      <c r="AJ15" s="861"/>
      <c r="AK15" s="861"/>
      <c r="AL15" s="861"/>
      <c r="AM15" s="861"/>
      <c r="AN15" s="861"/>
    </row>
    <row r="16" spans="1:40" s="68" customFormat="1" ht="51" x14ac:dyDescent="0.2">
      <c r="A16" s="3" t="s">
        <v>1106</v>
      </c>
      <c r="B16" s="3"/>
      <c r="C16" s="12"/>
      <c r="D16" s="188"/>
      <c r="E16" s="188"/>
      <c r="F16" s="376">
        <v>3</v>
      </c>
      <c r="G16" s="376"/>
      <c r="H16" s="376"/>
      <c r="I16" s="377"/>
      <c r="J16" s="219" t="s">
        <v>227</v>
      </c>
      <c r="K16" s="378" t="s">
        <v>228</v>
      </c>
      <c r="L16" s="379" t="s">
        <v>231</v>
      </c>
      <c r="M16" s="378" t="s">
        <v>229</v>
      </c>
      <c r="N16" s="604" t="s">
        <v>230</v>
      </c>
      <c r="O16" s="379" t="s">
        <v>232</v>
      </c>
      <c r="P16" s="186"/>
      <c r="Q16" s="186"/>
      <c r="R16" s="186"/>
      <c r="S16" s="186"/>
      <c r="T16" s="182"/>
      <c r="U16" s="186"/>
      <c r="V16" s="311"/>
      <c r="W16" s="311"/>
      <c r="X16" s="182"/>
      <c r="Y16" s="182"/>
      <c r="Z16" s="182"/>
      <c r="AA16" s="182"/>
      <c r="AB16" s="182"/>
      <c r="AC16" s="182"/>
      <c r="AD16" s="182"/>
      <c r="AE16" s="182"/>
      <c r="AF16" s="182"/>
      <c r="AG16" s="182"/>
      <c r="AH16" s="182"/>
      <c r="AI16" s="182"/>
      <c r="AJ16" s="182"/>
      <c r="AK16" s="182"/>
      <c r="AL16" s="182"/>
      <c r="AM16" s="182"/>
      <c r="AN16" s="182"/>
    </row>
    <row r="17" spans="1:40" s="68" customFormat="1" ht="28.5" x14ac:dyDescent="0.2">
      <c r="A17" s="3" t="s">
        <v>1106</v>
      </c>
      <c r="B17" s="3"/>
      <c r="C17" s="12"/>
      <c r="D17" s="188"/>
      <c r="E17" s="188"/>
      <c r="F17" s="188">
        <v>3</v>
      </c>
      <c r="G17" s="188"/>
      <c r="H17" s="188"/>
      <c r="I17" s="205"/>
      <c r="J17" s="192" t="s">
        <v>233</v>
      </c>
      <c r="K17" s="204" t="s">
        <v>234</v>
      </c>
      <c r="L17" s="72" t="s">
        <v>231</v>
      </c>
      <c r="M17" s="204" t="s">
        <v>235</v>
      </c>
      <c r="N17" s="605" t="s">
        <v>230</v>
      </c>
      <c r="O17" s="72" t="s">
        <v>232</v>
      </c>
      <c r="P17" s="69"/>
      <c r="Q17" s="69"/>
      <c r="R17" s="69"/>
      <c r="S17" s="69"/>
      <c r="T17" s="70"/>
      <c r="U17" s="69"/>
      <c r="V17" s="26"/>
      <c r="W17" s="26"/>
      <c r="X17" s="70"/>
      <c r="Y17" s="70"/>
      <c r="Z17" s="70"/>
      <c r="AA17" s="70"/>
      <c r="AB17" s="70"/>
      <c r="AC17" s="70"/>
      <c r="AD17" s="70"/>
      <c r="AE17" s="70"/>
      <c r="AF17" s="70"/>
      <c r="AG17" s="70"/>
      <c r="AH17" s="70"/>
      <c r="AI17" s="70"/>
      <c r="AJ17" s="70"/>
      <c r="AK17" s="70"/>
      <c r="AL17" s="70"/>
      <c r="AM17" s="70"/>
      <c r="AN17" s="70"/>
    </row>
    <row r="18" spans="1:40" s="68" customFormat="1" ht="38.25" x14ac:dyDescent="0.2">
      <c r="A18" s="3" t="s">
        <v>1106</v>
      </c>
      <c r="B18" s="3"/>
      <c r="C18" s="12"/>
      <c r="D18" s="188"/>
      <c r="E18" s="188"/>
      <c r="F18" s="188"/>
      <c r="G18" s="188">
        <v>4</v>
      </c>
      <c r="H18" s="188"/>
      <c r="I18" s="205"/>
      <c r="J18" s="192" t="s">
        <v>236</v>
      </c>
      <c r="K18" s="204" t="s">
        <v>237</v>
      </c>
      <c r="L18" s="72" t="s">
        <v>231</v>
      </c>
      <c r="M18" s="204" t="s">
        <v>238</v>
      </c>
      <c r="N18" s="605" t="s">
        <v>230</v>
      </c>
      <c r="O18" s="72" t="s">
        <v>232</v>
      </c>
      <c r="P18" s="69"/>
      <c r="Q18" s="69"/>
      <c r="R18" s="69"/>
      <c r="S18" s="69"/>
      <c r="T18" s="70"/>
      <c r="U18" s="69"/>
      <c r="V18" s="26"/>
      <c r="W18" s="26"/>
      <c r="X18" s="70"/>
      <c r="Y18" s="70"/>
      <c r="Z18" s="70"/>
      <c r="AA18" s="70"/>
      <c r="AB18" s="70"/>
      <c r="AC18" s="70"/>
      <c r="AD18" s="70"/>
      <c r="AE18" s="70"/>
      <c r="AF18" s="70"/>
      <c r="AG18" s="70"/>
      <c r="AH18" s="70"/>
      <c r="AI18" s="70"/>
      <c r="AJ18" s="70"/>
      <c r="AK18" s="70"/>
      <c r="AL18" s="70"/>
      <c r="AM18" s="70"/>
      <c r="AN18" s="70"/>
    </row>
    <row r="19" spans="1:40" s="68" customFormat="1" ht="38.25" x14ac:dyDescent="0.2">
      <c r="A19" s="3" t="s">
        <v>1098</v>
      </c>
      <c r="B19" s="3"/>
      <c r="C19" s="12"/>
      <c r="D19" s="188"/>
      <c r="E19" s="188"/>
      <c r="F19" s="188"/>
      <c r="G19" s="26">
        <v>4</v>
      </c>
      <c r="H19" s="188"/>
      <c r="I19" s="205"/>
      <c r="J19" s="192" t="s">
        <v>239</v>
      </c>
      <c r="K19" s="204" t="s">
        <v>240</v>
      </c>
      <c r="L19" s="72" t="s">
        <v>231</v>
      </c>
      <c r="M19" s="204" t="s">
        <v>241</v>
      </c>
      <c r="N19" s="605" t="s">
        <v>230</v>
      </c>
      <c r="O19" s="72" t="s">
        <v>232</v>
      </c>
      <c r="P19" s="69"/>
      <c r="Q19" s="69"/>
      <c r="R19" s="69"/>
      <c r="S19" s="69"/>
      <c r="T19" s="70"/>
      <c r="U19" s="69"/>
      <c r="V19" s="26"/>
      <c r="W19" s="26"/>
      <c r="X19" s="70"/>
      <c r="Y19" s="70"/>
      <c r="Z19" s="70"/>
      <c r="AA19" s="70"/>
      <c r="AB19" s="70"/>
      <c r="AC19" s="70"/>
      <c r="AD19" s="70"/>
      <c r="AE19" s="70"/>
      <c r="AF19" s="70"/>
      <c r="AG19" s="70"/>
      <c r="AH19" s="70"/>
      <c r="AI19" s="70"/>
      <c r="AJ19" s="70"/>
      <c r="AK19" s="70"/>
      <c r="AL19" s="70"/>
      <c r="AM19" s="70"/>
      <c r="AN19" s="70"/>
    </row>
    <row r="20" spans="1:40" s="162" customFormat="1" x14ac:dyDescent="0.2">
      <c r="A20" s="3"/>
      <c r="B20" s="3"/>
      <c r="C20" s="12"/>
      <c r="D20" s="375"/>
      <c r="E20" s="862">
        <v>2</v>
      </c>
      <c r="F20" s="1168" t="s">
        <v>242</v>
      </c>
      <c r="G20" s="1169"/>
      <c r="H20" s="1169"/>
      <c r="I20" s="1169"/>
      <c r="J20" s="1169"/>
      <c r="K20" s="1169"/>
      <c r="L20" s="1169"/>
      <c r="M20" s="1169"/>
      <c r="N20" s="1169"/>
      <c r="O20" s="1169"/>
      <c r="P20" s="1169"/>
      <c r="Q20" s="1169"/>
      <c r="R20" s="1169"/>
      <c r="S20" s="1169"/>
      <c r="T20" s="1169"/>
      <c r="U20" s="1169"/>
      <c r="V20" s="1169"/>
      <c r="W20" s="1169"/>
      <c r="X20" s="1169"/>
      <c r="Y20" s="1169"/>
      <c r="Z20" s="1170"/>
      <c r="AA20" s="861"/>
      <c r="AB20" s="861"/>
      <c r="AC20" s="861"/>
      <c r="AD20" s="861"/>
      <c r="AE20" s="861"/>
      <c r="AF20" s="861"/>
      <c r="AG20" s="861"/>
      <c r="AH20" s="861"/>
      <c r="AI20" s="861"/>
      <c r="AJ20" s="861"/>
      <c r="AK20" s="861"/>
      <c r="AL20" s="861"/>
      <c r="AM20" s="861"/>
      <c r="AN20" s="861"/>
    </row>
    <row r="21" spans="1:40" s="68" customFormat="1" ht="60" x14ac:dyDescent="0.2">
      <c r="A21" s="3" t="s">
        <v>1106</v>
      </c>
      <c r="B21" s="3"/>
      <c r="C21" s="12"/>
      <c r="D21" s="188"/>
      <c r="E21" s="188"/>
      <c r="F21" s="188">
        <v>3</v>
      </c>
      <c r="G21" s="188"/>
      <c r="H21" s="188"/>
      <c r="I21" s="72"/>
      <c r="J21" s="192" t="s">
        <v>243</v>
      </c>
      <c r="K21" s="472" t="s">
        <v>244</v>
      </c>
      <c r="L21" s="128" t="s">
        <v>214</v>
      </c>
      <c r="M21" s="204" t="s">
        <v>245</v>
      </c>
      <c r="N21" s="140" t="s">
        <v>2460</v>
      </c>
      <c r="O21" s="72" t="s">
        <v>214</v>
      </c>
      <c r="P21" s="69"/>
      <c r="Q21" s="69"/>
      <c r="R21" s="12"/>
      <c r="S21" s="12"/>
      <c r="T21" s="70"/>
      <c r="U21" s="69"/>
      <c r="V21" s="26"/>
      <c r="W21" s="26"/>
      <c r="X21" s="70"/>
      <c r="Y21" s="70"/>
      <c r="Z21" s="70"/>
      <c r="AA21" s="70"/>
      <c r="AB21" s="70"/>
      <c r="AC21" s="70"/>
      <c r="AD21" s="70"/>
      <c r="AE21" s="70"/>
      <c r="AF21" s="70"/>
      <c r="AG21" s="70"/>
      <c r="AH21" s="70"/>
      <c r="AI21" s="70"/>
      <c r="AJ21" s="70"/>
      <c r="AK21" s="70"/>
      <c r="AL21" s="70"/>
      <c r="AM21" s="70"/>
      <c r="AN21" s="70"/>
    </row>
    <row r="22" spans="1:40" s="68" customFormat="1" ht="60" x14ac:dyDescent="0.2">
      <c r="A22" s="3" t="s">
        <v>1098</v>
      </c>
      <c r="B22" s="3"/>
      <c r="C22" s="12"/>
      <c r="D22" s="188"/>
      <c r="E22" s="188"/>
      <c r="F22" s="188">
        <v>3</v>
      </c>
      <c r="G22" s="188"/>
      <c r="H22" s="188"/>
      <c r="I22" s="72"/>
      <c r="J22" s="192" t="s">
        <v>246</v>
      </c>
      <c r="K22" s="472" t="s">
        <v>247</v>
      </c>
      <c r="L22" s="128" t="s">
        <v>214</v>
      </c>
      <c r="M22" s="204" t="s">
        <v>248</v>
      </c>
      <c r="N22" s="140" t="s">
        <v>2460</v>
      </c>
      <c r="O22" s="72" t="s">
        <v>214</v>
      </c>
      <c r="P22" s="69"/>
      <c r="Q22" s="69"/>
      <c r="R22" s="12"/>
      <c r="S22" s="12"/>
      <c r="T22" s="70"/>
      <c r="U22" s="69"/>
      <c r="V22" s="26"/>
      <c r="W22" s="26"/>
      <c r="X22" s="70"/>
      <c r="Y22" s="70"/>
      <c r="Z22" s="70"/>
      <c r="AA22" s="70"/>
      <c r="AB22" s="70"/>
      <c r="AC22" s="70"/>
      <c r="AD22" s="70"/>
      <c r="AE22" s="70"/>
      <c r="AF22" s="70"/>
      <c r="AG22" s="70"/>
      <c r="AH22" s="70"/>
      <c r="AI22" s="70"/>
      <c r="AJ22" s="70"/>
      <c r="AK22" s="70"/>
      <c r="AL22" s="70"/>
      <c r="AM22" s="70"/>
      <c r="AN22" s="70"/>
    </row>
    <row r="23" spans="1:40" s="68" customFormat="1" ht="60" x14ac:dyDescent="0.2">
      <c r="A23" s="3" t="s">
        <v>1098</v>
      </c>
      <c r="B23" s="3"/>
      <c r="C23" s="12"/>
      <c r="D23" s="188"/>
      <c r="E23" s="188"/>
      <c r="F23" s="188">
        <v>3</v>
      </c>
      <c r="G23" s="188"/>
      <c r="H23" s="188"/>
      <c r="I23" s="72"/>
      <c r="J23" s="192" t="s">
        <v>249</v>
      </c>
      <c r="K23" s="472" t="s">
        <v>250</v>
      </c>
      <c r="L23" s="128" t="s">
        <v>214</v>
      </c>
      <c r="M23" s="204" t="s">
        <v>251</v>
      </c>
      <c r="N23" s="140" t="s">
        <v>2460</v>
      </c>
      <c r="O23" s="72" t="s">
        <v>214</v>
      </c>
      <c r="P23" s="69"/>
      <c r="Q23" s="69"/>
      <c r="R23" s="12"/>
      <c r="S23" s="12"/>
      <c r="T23" s="70"/>
      <c r="U23" s="69"/>
      <c r="V23" s="26"/>
      <c r="W23" s="26"/>
      <c r="X23" s="70"/>
      <c r="Y23" s="70"/>
      <c r="Z23" s="70"/>
      <c r="AA23" s="70"/>
      <c r="AB23" s="70"/>
      <c r="AC23" s="70"/>
      <c r="AD23" s="70"/>
      <c r="AE23" s="70"/>
      <c r="AF23" s="70"/>
      <c r="AG23" s="70"/>
      <c r="AH23" s="70"/>
      <c r="AI23" s="70"/>
      <c r="AJ23" s="70"/>
      <c r="AK23" s="70"/>
      <c r="AL23" s="70"/>
      <c r="AM23" s="70"/>
      <c r="AN23" s="70"/>
    </row>
    <row r="24" spans="1:40" ht="38.25" x14ac:dyDescent="0.2">
      <c r="A24" s="3" t="s">
        <v>1106</v>
      </c>
      <c r="B24" s="3"/>
      <c r="C24" s="12"/>
      <c r="D24" s="26"/>
      <c r="E24" s="26"/>
      <c r="F24" s="188">
        <v>3</v>
      </c>
      <c r="G24" s="26"/>
      <c r="H24" s="26"/>
      <c r="I24" s="26"/>
      <c r="J24" s="192" t="s">
        <v>252</v>
      </c>
      <c r="K24" s="472" t="s">
        <v>253</v>
      </c>
      <c r="L24" s="128" t="s">
        <v>214</v>
      </c>
      <c r="M24" s="204" t="s">
        <v>254</v>
      </c>
      <c r="N24" s="189" t="s">
        <v>255</v>
      </c>
      <c r="O24" s="72" t="s">
        <v>214</v>
      </c>
      <c r="P24" s="12"/>
      <c r="Q24" s="12"/>
      <c r="R24" s="12"/>
      <c r="S24" s="12"/>
      <c r="T24" s="12"/>
      <c r="U24" s="12"/>
      <c r="V24" s="26"/>
      <c r="W24" s="26"/>
      <c r="X24" s="12"/>
      <c r="Y24" s="12"/>
      <c r="Z24" s="12"/>
      <c r="AA24" s="12"/>
      <c r="AB24" s="12"/>
      <c r="AC24" s="12"/>
      <c r="AD24" s="12"/>
      <c r="AE24" s="12"/>
      <c r="AF24" s="12"/>
      <c r="AG24" s="12"/>
      <c r="AH24" s="12"/>
      <c r="AI24" s="12"/>
      <c r="AJ24" s="12"/>
      <c r="AK24" s="12"/>
      <c r="AL24" s="12"/>
      <c r="AM24" s="12"/>
      <c r="AN24" s="12"/>
    </row>
    <row r="25" spans="1:40" s="74" customFormat="1" ht="12.75" x14ac:dyDescent="0.2">
      <c r="A25" s="3" t="s">
        <v>1106</v>
      </c>
      <c r="B25" s="3"/>
      <c r="C25" s="69"/>
      <c r="D25" s="188"/>
      <c r="E25" s="188"/>
      <c r="F25" s="1174">
        <v>3</v>
      </c>
      <c r="G25" s="188"/>
      <c r="H25" s="188"/>
      <c r="I25" s="375"/>
      <c r="J25" s="1176" t="s">
        <v>258</v>
      </c>
      <c r="K25" s="328" t="s">
        <v>259</v>
      </c>
      <c r="L25" s="1175" t="s">
        <v>262</v>
      </c>
      <c r="M25" s="1131" t="s">
        <v>260</v>
      </c>
      <c r="N25" s="1181" t="s">
        <v>261</v>
      </c>
      <c r="O25" s="72" t="s">
        <v>263</v>
      </c>
      <c r="P25" s="1179" t="str">
        <f>HYPERLINK("https://synology.bildungscampus-backnang.de:50823/drive/oo/r/uFLYOAG9v4MPCNLxWlf4FU0UPjg0Uf5M", "Link zum Vorgehen/Prozess und Besonderheiten bei der Beantragung einer MN-Nr.")</f>
        <v>Link zum Vorgehen/Prozess und Besonderheiten bei der Beantragung einer MN-Nr.</v>
      </c>
      <c r="Q25" s="69"/>
      <c r="R25" s="69"/>
      <c r="S25" s="69"/>
      <c r="T25" s="69"/>
      <c r="U25" s="69"/>
      <c r="V25" s="188"/>
      <c r="W25" s="188"/>
      <c r="X25" s="69"/>
      <c r="Y25" s="69"/>
      <c r="Z25" s="69"/>
      <c r="AA25" s="69"/>
      <c r="AB25" s="69"/>
      <c r="AC25" s="69"/>
      <c r="AD25" s="69"/>
      <c r="AE25" s="69"/>
      <c r="AF25" s="69"/>
      <c r="AG25" s="69"/>
      <c r="AH25" s="69"/>
      <c r="AI25" s="69"/>
      <c r="AJ25" s="69"/>
      <c r="AK25" s="69"/>
      <c r="AL25" s="69"/>
      <c r="AM25" s="69"/>
      <c r="AN25" s="69"/>
    </row>
    <row r="26" spans="1:40" s="74" customFormat="1" ht="12.75" x14ac:dyDescent="0.2">
      <c r="A26" s="3" t="s">
        <v>1106</v>
      </c>
      <c r="B26" s="3"/>
      <c r="C26" s="69"/>
      <c r="D26" s="188"/>
      <c r="E26" s="188"/>
      <c r="F26" s="1174"/>
      <c r="G26" s="188"/>
      <c r="H26" s="188"/>
      <c r="I26" s="375"/>
      <c r="J26" s="1177"/>
      <c r="K26" s="788" t="s">
        <v>264</v>
      </c>
      <c r="L26" s="1175"/>
      <c r="M26" s="1131"/>
      <c r="N26" s="1181"/>
      <c r="O26" s="72"/>
      <c r="P26" s="1180"/>
      <c r="Q26" s="69"/>
      <c r="R26" s="69"/>
      <c r="S26" s="69"/>
      <c r="T26" s="69"/>
      <c r="U26" s="69"/>
      <c r="V26" s="188"/>
      <c r="W26" s="188"/>
      <c r="X26" s="69"/>
      <c r="Y26" s="69"/>
      <c r="Z26" s="69"/>
      <c r="AA26" s="69"/>
      <c r="AB26" s="69"/>
      <c r="AC26" s="69"/>
      <c r="AD26" s="69"/>
      <c r="AE26" s="69"/>
      <c r="AF26" s="69"/>
      <c r="AG26" s="69"/>
      <c r="AH26" s="69"/>
      <c r="AI26" s="69"/>
      <c r="AJ26" s="69"/>
      <c r="AK26" s="69"/>
      <c r="AL26" s="69"/>
      <c r="AM26" s="69"/>
      <c r="AN26" s="69"/>
    </row>
    <row r="27" spans="1:40" s="74" customFormat="1" x14ac:dyDescent="0.2">
      <c r="A27" s="3" t="s">
        <v>1098</v>
      </c>
      <c r="B27" s="3"/>
      <c r="C27" s="69"/>
      <c r="D27" s="188"/>
      <c r="E27" s="188"/>
      <c r="F27" s="1174"/>
      <c r="G27" s="188"/>
      <c r="H27" s="188"/>
      <c r="I27" s="375"/>
      <c r="J27" s="1177"/>
      <c r="K27" s="329" t="s">
        <v>265</v>
      </c>
      <c r="L27" s="1175"/>
      <c r="M27" s="1131"/>
      <c r="N27" s="1181"/>
      <c r="O27" s="72"/>
      <c r="P27" s="1180"/>
      <c r="Q27" s="69"/>
      <c r="R27" s="69"/>
      <c r="S27" s="69"/>
      <c r="T27" s="69"/>
      <c r="U27" s="69"/>
      <c r="V27" s="188"/>
      <c r="W27" s="188"/>
      <c r="X27" s="69"/>
      <c r="Y27" s="69"/>
      <c r="Z27" s="69"/>
      <c r="AA27" s="69"/>
      <c r="AB27" s="69"/>
      <c r="AC27" s="69"/>
      <c r="AD27" s="69"/>
      <c r="AE27" s="69"/>
      <c r="AF27" s="69"/>
      <c r="AG27" s="69"/>
      <c r="AH27" s="69"/>
      <c r="AI27" s="69"/>
      <c r="AJ27" s="69"/>
      <c r="AK27" s="69"/>
      <c r="AL27" s="69"/>
      <c r="AM27" s="69"/>
      <c r="AN27" s="69"/>
    </row>
    <row r="28" spans="1:40" s="74" customFormat="1" x14ac:dyDescent="0.2">
      <c r="A28" s="3" t="s">
        <v>1098</v>
      </c>
      <c r="B28" s="3"/>
      <c r="C28" s="69"/>
      <c r="D28" s="188"/>
      <c r="E28" s="188"/>
      <c r="F28" s="1174"/>
      <c r="G28" s="188"/>
      <c r="H28" s="188"/>
      <c r="I28" s="375"/>
      <c r="J28" s="1177"/>
      <c r="K28" s="328" t="s">
        <v>266</v>
      </c>
      <c r="L28" s="1175"/>
      <c r="M28" s="1131"/>
      <c r="N28" s="1181"/>
      <c r="O28" s="72"/>
      <c r="P28" s="1180"/>
      <c r="Q28" s="69"/>
      <c r="R28" s="69"/>
      <c r="S28" s="69"/>
      <c r="T28" s="69"/>
      <c r="U28" s="69"/>
      <c r="V28" s="188"/>
      <c r="W28" s="188"/>
      <c r="X28" s="69"/>
      <c r="Y28" s="69"/>
      <c r="Z28" s="69"/>
      <c r="AA28" s="69"/>
      <c r="AB28" s="69"/>
      <c r="AC28" s="69"/>
      <c r="AD28" s="69"/>
      <c r="AE28" s="69"/>
      <c r="AF28" s="69"/>
      <c r="AG28" s="69"/>
      <c r="AH28" s="69"/>
      <c r="AI28" s="69"/>
      <c r="AJ28" s="69"/>
      <c r="AK28" s="69"/>
      <c r="AL28" s="69"/>
      <c r="AM28" s="69"/>
      <c r="AN28" s="69"/>
    </row>
    <row r="29" spans="1:40" s="74" customFormat="1" ht="29.25" x14ac:dyDescent="0.2">
      <c r="A29" s="3" t="s">
        <v>1106</v>
      </c>
      <c r="B29" s="3"/>
      <c r="C29" s="69"/>
      <c r="D29" s="188"/>
      <c r="E29" s="188"/>
      <c r="F29" s="1174"/>
      <c r="G29" s="188"/>
      <c r="H29" s="188"/>
      <c r="I29" s="375"/>
      <c r="J29" s="1177"/>
      <c r="K29" s="329" t="s">
        <v>267</v>
      </c>
      <c r="L29" s="1175"/>
      <c r="M29" s="1131"/>
      <c r="N29" s="1181"/>
      <c r="O29" s="72"/>
      <c r="P29" s="1180"/>
      <c r="Q29" s="69"/>
      <c r="R29" s="69"/>
      <c r="S29" s="69"/>
      <c r="T29" s="69"/>
      <c r="U29" s="69"/>
      <c r="V29" s="188"/>
      <c r="W29" s="188"/>
      <c r="X29" s="69"/>
      <c r="Y29" s="69"/>
      <c r="Z29" s="69"/>
      <c r="AA29" s="69"/>
      <c r="AB29" s="69"/>
      <c r="AC29" s="69"/>
      <c r="AD29" s="69"/>
      <c r="AE29" s="69"/>
      <c r="AF29" s="69"/>
      <c r="AG29" s="69"/>
      <c r="AH29" s="69"/>
      <c r="AI29" s="69"/>
      <c r="AJ29" s="69"/>
      <c r="AK29" s="69"/>
      <c r="AL29" s="69"/>
      <c r="AM29" s="69"/>
      <c r="AN29" s="69"/>
    </row>
    <row r="30" spans="1:40" s="74" customFormat="1" ht="30" x14ac:dyDescent="0.2">
      <c r="A30" s="3" t="s">
        <v>1106</v>
      </c>
      <c r="B30" s="3"/>
      <c r="C30" s="69"/>
      <c r="D30" s="188"/>
      <c r="E30" s="188"/>
      <c r="F30" s="1174"/>
      <c r="G30" s="188"/>
      <c r="H30" s="188"/>
      <c r="I30" s="375"/>
      <c r="J30" s="1177"/>
      <c r="K30" s="329" t="s">
        <v>268</v>
      </c>
      <c r="L30" s="1175"/>
      <c r="M30" s="1131"/>
      <c r="N30" s="1181"/>
      <c r="O30" s="72"/>
      <c r="P30" s="1180"/>
      <c r="Q30" s="69"/>
      <c r="R30" s="69"/>
      <c r="S30" s="69"/>
      <c r="T30" s="69"/>
      <c r="U30" s="69"/>
      <c r="V30" s="188"/>
      <c r="W30" s="188"/>
      <c r="X30" s="69"/>
      <c r="Y30" s="69"/>
      <c r="Z30" s="69"/>
      <c r="AA30" s="69"/>
      <c r="AB30" s="69"/>
      <c r="AC30" s="69"/>
      <c r="AD30" s="69"/>
      <c r="AE30" s="69"/>
      <c r="AF30" s="69"/>
      <c r="AG30" s="69"/>
      <c r="AH30" s="69"/>
      <c r="AI30" s="69"/>
      <c r="AJ30" s="69"/>
      <c r="AK30" s="69"/>
      <c r="AL30" s="69"/>
      <c r="AM30" s="69"/>
      <c r="AN30" s="69"/>
    </row>
    <row r="31" spans="1:40" s="74" customFormat="1" ht="29.25" x14ac:dyDescent="0.2">
      <c r="A31" s="3" t="s">
        <v>1098</v>
      </c>
      <c r="B31" s="3"/>
      <c r="C31" s="69"/>
      <c r="D31" s="188"/>
      <c r="E31" s="188"/>
      <c r="F31" s="1174"/>
      <c r="G31" s="188"/>
      <c r="H31" s="188"/>
      <c r="I31" s="375"/>
      <c r="J31" s="1177"/>
      <c r="K31" s="328" t="s">
        <v>269</v>
      </c>
      <c r="L31" s="1175"/>
      <c r="M31" s="1131"/>
      <c r="N31" s="1181"/>
      <c r="O31" s="72"/>
      <c r="P31" s="1180"/>
      <c r="Q31" s="69"/>
      <c r="R31" s="69"/>
      <c r="S31" s="69"/>
      <c r="T31" s="69"/>
      <c r="U31" s="69"/>
      <c r="V31" s="188"/>
      <c r="W31" s="188"/>
      <c r="X31" s="69"/>
      <c r="Y31" s="69"/>
      <c r="Z31" s="69"/>
      <c r="AA31" s="69"/>
      <c r="AB31" s="69"/>
      <c r="AC31" s="69"/>
      <c r="AD31" s="69"/>
      <c r="AE31" s="69"/>
      <c r="AF31" s="69"/>
      <c r="AG31" s="69"/>
      <c r="AH31" s="69"/>
      <c r="AI31" s="69"/>
      <c r="AJ31" s="69"/>
      <c r="AK31" s="69"/>
      <c r="AL31" s="69"/>
      <c r="AM31" s="69"/>
      <c r="AN31" s="69"/>
    </row>
    <row r="32" spans="1:40" s="74" customFormat="1" x14ac:dyDescent="0.2">
      <c r="A32" s="3" t="s">
        <v>1098</v>
      </c>
      <c r="B32" s="3"/>
      <c r="C32" s="69"/>
      <c r="D32" s="188"/>
      <c r="E32" s="188"/>
      <c r="F32" s="1174"/>
      <c r="G32" s="188"/>
      <c r="H32" s="188"/>
      <c r="I32" s="375"/>
      <c r="J32" s="1178"/>
      <c r="K32" s="329" t="s">
        <v>2462</v>
      </c>
      <c r="L32" s="1175"/>
      <c r="M32" s="1132"/>
      <c r="N32" s="1181"/>
      <c r="O32" s="72"/>
      <c r="P32" s="1180"/>
      <c r="Q32" s="69"/>
      <c r="R32" s="69"/>
      <c r="S32" s="69"/>
      <c r="T32" s="69"/>
      <c r="U32" s="69"/>
      <c r="V32" s="188"/>
      <c r="W32" s="188"/>
      <c r="X32" s="69"/>
      <c r="Y32" s="69"/>
      <c r="Z32" s="69"/>
      <c r="AA32" s="69"/>
      <c r="AB32" s="69"/>
      <c r="AC32" s="69"/>
      <c r="AD32" s="69"/>
      <c r="AE32" s="69"/>
      <c r="AF32" s="69"/>
      <c r="AG32" s="69"/>
      <c r="AH32" s="69"/>
      <c r="AI32" s="69"/>
      <c r="AJ32" s="69"/>
      <c r="AK32" s="69"/>
      <c r="AL32" s="69"/>
      <c r="AM32" s="69"/>
      <c r="AN32" s="69"/>
    </row>
    <row r="33" spans="1:40" s="74" customFormat="1" ht="30" x14ac:dyDescent="0.2">
      <c r="A33" s="3" t="s">
        <v>1098</v>
      </c>
      <c r="B33" s="3"/>
      <c r="C33" s="69"/>
      <c r="D33" s="188"/>
      <c r="E33" s="188"/>
      <c r="F33" s="1174"/>
      <c r="G33" s="188"/>
      <c r="H33" s="188"/>
      <c r="I33" s="375"/>
      <c r="J33" s="1178"/>
      <c r="K33" s="329" t="s">
        <v>271</v>
      </c>
      <c r="L33" s="1175"/>
      <c r="M33" s="1132"/>
      <c r="N33" s="1181"/>
      <c r="O33" s="72"/>
      <c r="P33" s="1180"/>
      <c r="Q33" s="69"/>
      <c r="R33" s="69"/>
      <c r="S33" s="69"/>
      <c r="T33" s="69"/>
      <c r="U33" s="69"/>
      <c r="V33" s="188"/>
      <c r="W33" s="188"/>
      <c r="X33" s="69"/>
      <c r="Y33" s="69"/>
      <c r="Z33" s="69"/>
      <c r="AA33" s="69"/>
      <c r="AB33" s="69"/>
      <c r="AC33" s="69"/>
      <c r="AD33" s="69"/>
      <c r="AE33" s="69"/>
      <c r="AF33" s="69"/>
      <c r="AG33" s="69"/>
      <c r="AH33" s="69"/>
      <c r="AI33" s="69"/>
      <c r="AJ33" s="69"/>
      <c r="AK33" s="69"/>
      <c r="AL33" s="69"/>
      <c r="AM33" s="69"/>
      <c r="AN33" s="69"/>
    </row>
    <row r="34" spans="1:40" s="74" customFormat="1" x14ac:dyDescent="0.2">
      <c r="A34" s="3" t="s">
        <v>1106</v>
      </c>
      <c r="B34" s="3"/>
      <c r="C34" s="69"/>
      <c r="D34" s="188"/>
      <c r="E34" s="188"/>
      <c r="F34" s="1174"/>
      <c r="G34" s="188"/>
      <c r="H34" s="188"/>
      <c r="I34" s="375"/>
      <c r="J34" s="1178"/>
      <c r="K34" s="329" t="s">
        <v>272</v>
      </c>
      <c r="L34" s="1175"/>
      <c r="M34" s="1132"/>
      <c r="N34" s="1181"/>
      <c r="O34" s="72"/>
      <c r="P34" s="1180"/>
      <c r="Q34" s="69"/>
      <c r="R34" s="69"/>
      <c r="S34" s="69"/>
      <c r="T34" s="69"/>
      <c r="U34" s="69"/>
      <c r="V34" s="188"/>
      <c r="W34" s="188"/>
      <c r="X34" s="69"/>
      <c r="Y34" s="69"/>
      <c r="Z34" s="69"/>
      <c r="AA34" s="69"/>
      <c r="AB34" s="69"/>
      <c r="AC34" s="69"/>
      <c r="AD34" s="69"/>
      <c r="AE34" s="69"/>
      <c r="AF34" s="69"/>
      <c r="AG34" s="69"/>
      <c r="AH34" s="69"/>
      <c r="AI34" s="69"/>
      <c r="AJ34" s="69"/>
      <c r="AK34" s="69"/>
      <c r="AL34" s="69"/>
      <c r="AM34" s="69"/>
      <c r="AN34" s="69"/>
    </row>
    <row r="35" spans="1:40" s="74" customFormat="1" ht="30" x14ac:dyDescent="0.2">
      <c r="A35" s="3" t="s">
        <v>2463</v>
      </c>
      <c r="B35" s="3"/>
      <c r="C35" s="69"/>
      <c r="D35" s="188"/>
      <c r="E35" s="188"/>
      <c r="F35" s="1174"/>
      <c r="G35" s="188"/>
      <c r="H35" s="188"/>
      <c r="I35" s="375"/>
      <c r="J35" s="1178"/>
      <c r="K35" s="329" t="s">
        <v>273</v>
      </c>
      <c r="L35" s="1175"/>
      <c r="M35" s="1132"/>
      <c r="N35" s="1181"/>
      <c r="O35" s="72"/>
      <c r="P35" s="1180"/>
      <c r="Q35" s="69"/>
      <c r="R35" s="69"/>
      <c r="S35" s="69"/>
      <c r="T35" s="69"/>
      <c r="U35" s="69"/>
      <c r="V35" s="188"/>
      <c r="W35" s="188"/>
      <c r="X35" s="69"/>
      <c r="Y35" s="69"/>
      <c r="Z35" s="69"/>
      <c r="AA35" s="69"/>
      <c r="AB35" s="69"/>
      <c r="AC35" s="69"/>
      <c r="AD35" s="69"/>
      <c r="AE35" s="69"/>
      <c r="AF35" s="69"/>
      <c r="AG35" s="69"/>
      <c r="AH35" s="69"/>
      <c r="AI35" s="69"/>
      <c r="AJ35" s="69"/>
      <c r="AK35" s="69"/>
      <c r="AL35" s="69"/>
      <c r="AM35" s="69"/>
      <c r="AN35" s="69"/>
    </row>
    <row r="36" spans="1:40" s="74" customFormat="1" ht="12.75" x14ac:dyDescent="0.2">
      <c r="A36" s="3" t="s">
        <v>1098</v>
      </c>
      <c r="B36" s="3"/>
      <c r="C36" s="69"/>
      <c r="D36" s="188"/>
      <c r="E36" s="188"/>
      <c r="F36" s="188"/>
      <c r="G36" s="188">
        <v>4</v>
      </c>
      <c r="H36" s="188"/>
      <c r="I36" s="375"/>
      <c r="J36" s="866" t="s">
        <v>274</v>
      </c>
      <c r="K36" s="472" t="s">
        <v>275</v>
      </c>
      <c r="L36" s="128" t="s">
        <v>214</v>
      </c>
      <c r="M36" s="1132"/>
      <c r="N36" s="1181"/>
      <c r="O36" s="72" t="s">
        <v>214</v>
      </c>
      <c r="P36" s="1180"/>
      <c r="Q36" s="69"/>
      <c r="R36" s="69"/>
      <c r="S36" s="69"/>
      <c r="T36" s="69"/>
      <c r="U36" s="69"/>
      <c r="V36" s="188"/>
      <c r="W36" s="188"/>
      <c r="X36" s="69"/>
      <c r="Y36" s="69"/>
      <c r="Z36" s="69"/>
      <c r="AA36" s="69"/>
      <c r="AB36" s="69"/>
      <c r="AC36" s="69"/>
      <c r="AD36" s="69"/>
      <c r="AE36" s="69"/>
      <c r="AF36" s="69"/>
      <c r="AG36" s="69"/>
      <c r="AH36" s="69"/>
      <c r="AI36" s="69"/>
      <c r="AJ36" s="69"/>
      <c r="AK36" s="69"/>
      <c r="AL36" s="69"/>
      <c r="AM36" s="69"/>
      <c r="AN36" s="69"/>
    </row>
    <row r="37" spans="1:40" s="74" customFormat="1" ht="25.5" x14ac:dyDescent="0.2">
      <c r="A37" s="3" t="s">
        <v>1098</v>
      </c>
      <c r="B37" s="3"/>
      <c r="C37" s="69"/>
      <c r="D37" s="188"/>
      <c r="E37" s="188"/>
      <c r="F37" s="188"/>
      <c r="G37" s="188">
        <v>4</v>
      </c>
      <c r="H37" s="188"/>
      <c r="I37" s="375"/>
      <c r="J37" s="867" t="s">
        <v>276</v>
      </c>
      <c r="K37" s="204" t="s">
        <v>277</v>
      </c>
      <c r="L37" s="72" t="s">
        <v>278</v>
      </c>
      <c r="M37" s="1132"/>
      <c r="N37" s="1181"/>
      <c r="O37" s="72" t="s">
        <v>279</v>
      </c>
      <c r="P37" s="1180"/>
      <c r="Q37" s="69"/>
      <c r="R37" s="69"/>
      <c r="S37" s="69"/>
      <c r="T37" s="69"/>
      <c r="U37" s="69"/>
      <c r="V37" s="188"/>
      <c r="W37" s="188"/>
      <c r="X37" s="69"/>
      <c r="Y37" s="69"/>
      <c r="Z37" s="69"/>
      <c r="AA37" s="69"/>
      <c r="AB37" s="69"/>
      <c r="AC37" s="69"/>
      <c r="AD37" s="69"/>
      <c r="AE37" s="69"/>
      <c r="AF37" s="69"/>
      <c r="AG37" s="69"/>
      <c r="AH37" s="69"/>
      <c r="AI37" s="69"/>
      <c r="AJ37" s="69"/>
      <c r="AK37" s="69"/>
      <c r="AL37" s="69"/>
      <c r="AM37" s="69"/>
      <c r="AN37" s="69"/>
    </row>
    <row r="38" spans="1:40" s="74" customFormat="1" ht="12.75" x14ac:dyDescent="0.2">
      <c r="A38" s="3" t="s">
        <v>1098</v>
      </c>
      <c r="B38" s="3"/>
      <c r="C38" s="69"/>
      <c r="D38" s="188"/>
      <c r="E38" s="188"/>
      <c r="F38" s="188"/>
      <c r="G38" s="188">
        <v>4</v>
      </c>
      <c r="H38" s="188"/>
      <c r="I38" s="375"/>
      <c r="J38" s="867" t="s">
        <v>280</v>
      </c>
      <c r="K38" s="204" t="s">
        <v>281</v>
      </c>
      <c r="L38" s="128" t="s">
        <v>214</v>
      </c>
      <c r="M38" s="1132"/>
      <c r="N38" s="1181"/>
      <c r="O38" s="72" t="s">
        <v>214</v>
      </c>
      <c r="P38" s="1180"/>
      <c r="Q38" s="69"/>
      <c r="R38" s="69"/>
      <c r="S38" s="69"/>
      <c r="T38" s="69"/>
      <c r="U38" s="69"/>
      <c r="V38" s="188"/>
      <c r="W38" s="188"/>
      <c r="X38" s="69"/>
      <c r="Y38" s="69"/>
      <c r="Z38" s="69"/>
      <c r="AA38" s="69"/>
      <c r="AB38" s="69"/>
      <c r="AC38" s="69"/>
      <c r="AD38" s="69"/>
      <c r="AE38" s="69"/>
      <c r="AF38" s="69"/>
      <c r="AG38" s="69"/>
      <c r="AH38" s="69"/>
      <c r="AI38" s="69"/>
      <c r="AJ38" s="69"/>
      <c r="AK38" s="69"/>
      <c r="AL38" s="69"/>
      <c r="AM38" s="69"/>
      <c r="AN38" s="69"/>
    </row>
    <row r="39" spans="1:40" x14ac:dyDescent="0.2">
      <c r="A39" s="3"/>
      <c r="B39" s="3"/>
      <c r="C39" s="89"/>
      <c r="D39" s="860">
        <v>1</v>
      </c>
      <c r="E39" s="1168" t="s">
        <v>285</v>
      </c>
      <c r="F39" s="1169"/>
      <c r="G39" s="1169"/>
      <c r="H39" s="1169"/>
      <c r="I39" s="1169"/>
      <c r="J39" s="1169"/>
      <c r="K39" s="1169"/>
      <c r="L39" s="1169"/>
      <c r="M39" s="1169"/>
      <c r="N39" s="1169"/>
      <c r="O39" s="1169"/>
      <c r="P39" s="1169"/>
      <c r="Q39" s="1169"/>
      <c r="R39" s="1169"/>
      <c r="S39" s="1169"/>
      <c r="T39" s="1169"/>
      <c r="U39" s="1169"/>
      <c r="V39" s="1169"/>
      <c r="W39" s="1169"/>
      <c r="X39" s="1169"/>
      <c r="Y39" s="1169"/>
      <c r="Z39" s="1170"/>
      <c r="AA39" s="861"/>
      <c r="AB39" s="861"/>
      <c r="AC39" s="861"/>
      <c r="AD39" s="861"/>
      <c r="AE39" s="861"/>
      <c r="AF39" s="861"/>
      <c r="AG39" s="861"/>
      <c r="AH39" s="861"/>
      <c r="AI39" s="861"/>
      <c r="AJ39" s="861"/>
      <c r="AK39" s="861"/>
      <c r="AL39" s="861"/>
      <c r="AM39" s="861"/>
      <c r="AN39" s="861"/>
    </row>
    <row r="40" spans="1:40" s="161" customFormat="1" x14ac:dyDescent="0.2">
      <c r="A40" s="3"/>
      <c r="B40" s="3"/>
      <c r="C40" s="12"/>
      <c r="D40" s="375"/>
      <c r="E40" s="862">
        <v>2</v>
      </c>
      <c r="F40" s="1168" t="s">
        <v>288</v>
      </c>
      <c r="G40" s="1169"/>
      <c r="H40" s="1169"/>
      <c r="I40" s="1169"/>
      <c r="J40" s="1169"/>
      <c r="K40" s="1169"/>
      <c r="L40" s="1169"/>
      <c r="M40" s="1169"/>
      <c r="N40" s="1169"/>
      <c r="O40" s="1169"/>
      <c r="P40" s="1169"/>
      <c r="Q40" s="1169"/>
      <c r="R40" s="1169"/>
      <c r="S40" s="1169"/>
      <c r="T40" s="1169"/>
      <c r="U40" s="1169"/>
      <c r="V40" s="1169"/>
      <c r="W40" s="1169"/>
      <c r="X40" s="1169"/>
      <c r="Y40" s="1169"/>
      <c r="Z40" s="1170"/>
      <c r="AA40" s="861"/>
      <c r="AB40" s="861"/>
      <c r="AC40" s="861"/>
      <c r="AD40" s="861"/>
      <c r="AE40" s="861"/>
      <c r="AF40" s="861"/>
      <c r="AG40" s="861"/>
      <c r="AH40" s="861"/>
      <c r="AI40" s="861"/>
      <c r="AJ40" s="861"/>
      <c r="AK40" s="861"/>
      <c r="AL40" s="861"/>
      <c r="AM40" s="861"/>
      <c r="AN40" s="861"/>
    </row>
    <row r="41" spans="1:40" ht="75" x14ac:dyDescent="0.2">
      <c r="A41" s="3" t="s">
        <v>1098</v>
      </c>
      <c r="B41" s="3"/>
      <c r="C41" s="12"/>
      <c r="D41" s="26"/>
      <c r="E41" s="26"/>
      <c r="F41" s="26">
        <v>3</v>
      </c>
      <c r="G41" s="26"/>
      <c r="H41" s="26"/>
      <c r="I41" s="26"/>
      <c r="J41" s="192" t="s">
        <v>290</v>
      </c>
      <c r="K41" s="472" t="s">
        <v>291</v>
      </c>
      <c r="L41" s="128" t="s">
        <v>214</v>
      </c>
      <c r="M41" s="204" t="s">
        <v>292</v>
      </c>
      <c r="N41" s="140" t="s">
        <v>2460</v>
      </c>
      <c r="O41" s="72" t="s">
        <v>214</v>
      </c>
      <c r="P41" s="12" t="s">
        <v>2170</v>
      </c>
      <c r="Q41" s="12"/>
      <c r="R41" s="12"/>
      <c r="S41" s="12"/>
      <c r="T41" s="12"/>
      <c r="U41" s="12"/>
      <c r="V41" s="26"/>
      <c r="W41" s="26"/>
      <c r="X41" s="12"/>
      <c r="Y41" s="12"/>
      <c r="Z41" s="12"/>
      <c r="AA41" s="12"/>
      <c r="AB41" s="12"/>
      <c r="AC41" s="12"/>
      <c r="AD41" s="12"/>
      <c r="AE41" s="12"/>
      <c r="AF41" s="12"/>
      <c r="AG41" s="12"/>
      <c r="AH41" s="12"/>
      <c r="AI41" s="12"/>
      <c r="AJ41" s="12"/>
      <c r="AK41" s="12"/>
      <c r="AL41" s="12"/>
      <c r="AM41" s="12"/>
      <c r="AN41" s="12"/>
    </row>
    <row r="42" spans="1:40" ht="60" x14ac:dyDescent="0.2">
      <c r="A42" s="3" t="s">
        <v>1106</v>
      </c>
      <c r="B42" s="3"/>
      <c r="C42" s="12"/>
      <c r="D42" s="26"/>
      <c r="E42" s="26"/>
      <c r="F42" s="26">
        <v>3</v>
      </c>
      <c r="G42" s="26"/>
      <c r="H42" s="26"/>
      <c r="I42" s="26"/>
      <c r="J42" s="192" t="s">
        <v>243</v>
      </c>
      <c r="K42" s="204" t="s">
        <v>293</v>
      </c>
      <c r="L42" s="128" t="s">
        <v>214</v>
      </c>
      <c r="M42" s="204" t="s">
        <v>245</v>
      </c>
      <c r="N42" s="140" t="s">
        <v>2460</v>
      </c>
      <c r="O42" s="72" t="s">
        <v>214</v>
      </c>
      <c r="P42" s="12"/>
      <c r="Q42" s="12"/>
      <c r="R42" s="12"/>
      <c r="S42" s="12"/>
      <c r="T42" s="12"/>
      <c r="U42" s="12"/>
      <c r="V42" s="26"/>
      <c r="W42" s="26"/>
      <c r="X42" s="12"/>
      <c r="Y42" s="12"/>
      <c r="Z42" s="12"/>
      <c r="AA42" s="12"/>
      <c r="AB42" s="12"/>
      <c r="AC42" s="12"/>
      <c r="AD42" s="12"/>
      <c r="AE42" s="12"/>
      <c r="AF42" s="12"/>
      <c r="AG42" s="12"/>
      <c r="AH42" s="12"/>
      <c r="AI42" s="12"/>
      <c r="AJ42" s="12"/>
      <c r="AK42" s="12"/>
      <c r="AL42" s="12"/>
      <c r="AM42" s="12"/>
      <c r="AN42" s="12"/>
    </row>
    <row r="43" spans="1:40" ht="71.25" x14ac:dyDescent="0.2">
      <c r="A43" s="3" t="s">
        <v>1106</v>
      </c>
      <c r="B43" s="3"/>
      <c r="C43" s="12"/>
      <c r="D43" s="26"/>
      <c r="E43" s="26"/>
      <c r="F43" s="26">
        <v>3</v>
      </c>
      <c r="G43" s="26"/>
      <c r="H43" s="26"/>
      <c r="I43" s="26"/>
      <c r="J43" s="192" t="s">
        <v>294</v>
      </c>
      <c r="K43" s="472" t="s">
        <v>2464</v>
      </c>
      <c r="L43" s="128" t="s">
        <v>214</v>
      </c>
      <c r="M43" s="204" t="s">
        <v>296</v>
      </c>
      <c r="N43" s="140" t="s">
        <v>2460</v>
      </c>
      <c r="O43" s="72" t="s">
        <v>214</v>
      </c>
      <c r="P43" s="12"/>
      <c r="Q43" s="12"/>
      <c r="R43" s="12"/>
      <c r="S43" s="12"/>
      <c r="T43" s="12"/>
      <c r="U43" s="12"/>
      <c r="V43" s="26"/>
      <c r="W43" s="26"/>
      <c r="X43" s="12"/>
      <c r="Y43" s="12"/>
      <c r="Z43" s="12"/>
      <c r="AA43" s="12"/>
      <c r="AB43" s="12"/>
      <c r="AC43" s="12"/>
      <c r="AD43" s="12"/>
      <c r="AE43" s="12"/>
      <c r="AF43" s="12"/>
      <c r="AG43" s="12"/>
      <c r="AH43" s="12"/>
      <c r="AI43" s="12"/>
      <c r="AJ43" s="12"/>
      <c r="AK43" s="12"/>
      <c r="AL43" s="12"/>
      <c r="AM43" s="12"/>
      <c r="AN43" s="12"/>
    </row>
    <row r="44" spans="1:40" ht="60" x14ac:dyDescent="0.2">
      <c r="A44" s="3" t="s">
        <v>1106</v>
      </c>
      <c r="B44" s="3"/>
      <c r="C44" s="12"/>
      <c r="D44" s="26"/>
      <c r="E44" s="26"/>
      <c r="F44" s="26">
        <v>3</v>
      </c>
      <c r="G44" s="26"/>
      <c r="H44" s="26"/>
      <c r="I44" s="26"/>
      <c r="J44" s="192" t="s">
        <v>298</v>
      </c>
      <c r="K44" s="472" t="s">
        <v>2465</v>
      </c>
      <c r="L44" s="128" t="s">
        <v>214</v>
      </c>
      <c r="M44" s="204" t="s">
        <v>300</v>
      </c>
      <c r="N44" s="140" t="s">
        <v>2460</v>
      </c>
      <c r="O44" s="72" t="s">
        <v>214</v>
      </c>
      <c r="P44" s="12"/>
      <c r="Q44" s="12"/>
      <c r="R44" s="12"/>
      <c r="S44" s="12"/>
      <c r="T44" s="12"/>
      <c r="U44" s="12"/>
      <c r="V44" s="26"/>
      <c r="W44" s="26"/>
      <c r="X44" s="12"/>
      <c r="Y44" s="12"/>
      <c r="Z44" s="12"/>
      <c r="AA44" s="12"/>
      <c r="AB44" s="12"/>
      <c r="AC44" s="12"/>
      <c r="AD44" s="12"/>
      <c r="AE44" s="12"/>
      <c r="AF44" s="12"/>
      <c r="AG44" s="12"/>
      <c r="AH44" s="12"/>
      <c r="AI44" s="12"/>
      <c r="AJ44" s="12"/>
      <c r="AK44" s="12"/>
      <c r="AL44" s="12"/>
      <c r="AM44" s="12"/>
      <c r="AN44" s="12"/>
    </row>
    <row r="45" spans="1:40" x14ac:dyDescent="0.2">
      <c r="A45" s="3" t="s">
        <v>1098</v>
      </c>
      <c r="B45" s="3"/>
      <c r="C45" s="12"/>
      <c r="D45" s="26"/>
      <c r="E45" s="26"/>
      <c r="F45" s="26">
        <v>3</v>
      </c>
      <c r="G45" s="26"/>
      <c r="H45" s="26"/>
      <c r="I45" s="26"/>
      <c r="J45" s="28" t="s">
        <v>1406</v>
      </c>
      <c r="K45" s="127" t="s">
        <v>2174</v>
      </c>
      <c r="L45" s="128" t="s">
        <v>214</v>
      </c>
      <c r="M45" s="204"/>
      <c r="N45" s="26"/>
      <c r="O45" s="72"/>
      <c r="P45" s="12"/>
      <c r="Q45" s="12"/>
      <c r="R45" s="12"/>
      <c r="S45" s="12"/>
      <c r="T45" s="12"/>
      <c r="U45" s="12"/>
      <c r="V45" s="26"/>
      <c r="W45" s="26"/>
      <c r="X45" s="12"/>
      <c r="Y45" s="12"/>
      <c r="Z45" s="12"/>
      <c r="AA45" s="12"/>
      <c r="AB45" s="12"/>
      <c r="AC45" s="12"/>
      <c r="AD45" s="12"/>
      <c r="AE45" s="12"/>
      <c r="AF45" s="12"/>
      <c r="AG45" s="12"/>
      <c r="AH45" s="12"/>
      <c r="AI45" s="12"/>
      <c r="AJ45" s="12"/>
      <c r="AK45" s="12"/>
      <c r="AL45" s="12"/>
      <c r="AM45" s="12"/>
      <c r="AN45" s="12"/>
    </row>
    <row r="46" spans="1:40" x14ac:dyDescent="0.2">
      <c r="A46" s="3" t="s">
        <v>1106</v>
      </c>
      <c r="B46" s="3"/>
      <c r="C46" s="12"/>
      <c r="D46" s="26"/>
      <c r="E46" s="26"/>
      <c r="F46" s="26">
        <v>3</v>
      </c>
      <c r="G46" s="26"/>
      <c r="H46" s="26"/>
      <c r="I46" s="26"/>
      <c r="J46" s="11" t="s">
        <v>2178</v>
      </c>
      <c r="K46" s="12" t="s">
        <v>2179</v>
      </c>
      <c r="L46" s="27" t="s">
        <v>358</v>
      </c>
      <c r="M46" s="204"/>
      <c r="N46" s="26"/>
      <c r="O46" s="72"/>
      <c r="P46" s="12"/>
      <c r="Q46" s="12"/>
      <c r="R46" s="12"/>
      <c r="S46" s="12"/>
      <c r="T46" s="12"/>
      <c r="U46" s="12"/>
      <c r="V46" s="26"/>
      <c r="W46" s="26"/>
      <c r="X46" s="12"/>
      <c r="Y46" s="12"/>
      <c r="Z46" s="12"/>
      <c r="AA46" s="12"/>
      <c r="AB46" s="12"/>
      <c r="AC46" s="12"/>
      <c r="AD46" s="12"/>
      <c r="AE46" s="12"/>
      <c r="AF46" s="12"/>
      <c r="AG46" s="12"/>
      <c r="AH46" s="12"/>
      <c r="AI46" s="12"/>
      <c r="AJ46" s="12"/>
      <c r="AK46" s="12"/>
      <c r="AL46" s="12"/>
      <c r="AM46" s="12"/>
      <c r="AN46" s="12"/>
    </row>
    <row r="47" spans="1:40" x14ac:dyDescent="0.2">
      <c r="A47" s="3" t="s">
        <v>1106</v>
      </c>
      <c r="B47" s="3"/>
      <c r="C47" s="12"/>
      <c r="D47" s="26"/>
      <c r="E47" s="26"/>
      <c r="F47" s="26">
        <v>3</v>
      </c>
      <c r="G47" s="26"/>
      <c r="H47" s="26"/>
      <c r="I47" s="26"/>
      <c r="J47" s="3" t="s">
        <v>1489</v>
      </c>
      <c r="K47" s="12" t="s">
        <v>2180</v>
      </c>
      <c r="L47" s="27" t="s">
        <v>358</v>
      </c>
      <c r="M47" s="204"/>
      <c r="N47" s="26"/>
      <c r="O47" s="72"/>
      <c r="P47" s="12"/>
      <c r="Q47" s="12"/>
      <c r="R47" s="12"/>
      <c r="S47" s="12"/>
      <c r="T47" s="12"/>
      <c r="U47" s="12"/>
      <c r="V47" s="26"/>
      <c r="W47" s="26"/>
      <c r="X47" s="12"/>
      <c r="Y47" s="12"/>
      <c r="Z47" s="12"/>
      <c r="AA47" s="12"/>
      <c r="AB47" s="12"/>
      <c r="AC47" s="12"/>
      <c r="AD47" s="12"/>
      <c r="AE47" s="12"/>
      <c r="AF47" s="12"/>
      <c r="AG47" s="12"/>
      <c r="AH47" s="12"/>
      <c r="AI47" s="12"/>
      <c r="AJ47" s="12"/>
      <c r="AK47" s="12"/>
      <c r="AL47" s="12"/>
      <c r="AM47" s="12"/>
      <c r="AN47" s="12"/>
    </row>
    <row r="48" spans="1:40" ht="60" x14ac:dyDescent="0.2">
      <c r="A48" s="3" t="s">
        <v>1106</v>
      </c>
      <c r="B48" s="3"/>
      <c r="C48" s="12"/>
      <c r="D48" s="26"/>
      <c r="E48" s="26"/>
      <c r="F48" s="26">
        <v>3</v>
      </c>
      <c r="G48" s="26"/>
      <c r="H48" s="26"/>
      <c r="I48" s="26"/>
      <c r="J48" s="192" t="s">
        <v>301</v>
      </c>
      <c r="K48" s="472" t="s">
        <v>302</v>
      </c>
      <c r="L48" s="790" t="s">
        <v>304</v>
      </c>
      <c r="M48" s="204" t="s">
        <v>303</v>
      </c>
      <c r="N48" s="140" t="s">
        <v>2460</v>
      </c>
      <c r="O48" s="790" t="s">
        <v>304</v>
      </c>
      <c r="P48" s="12"/>
      <c r="Q48" s="12"/>
      <c r="R48" s="12"/>
      <c r="S48" s="12"/>
      <c r="T48" s="12"/>
      <c r="U48" s="12"/>
      <c r="V48" s="26"/>
      <c r="W48" s="26"/>
      <c r="X48" s="12"/>
      <c r="Y48" s="12"/>
      <c r="Z48" s="12"/>
      <c r="AA48" s="12"/>
      <c r="AB48" s="12"/>
      <c r="AC48" s="12"/>
      <c r="AD48" s="12"/>
      <c r="AE48" s="12"/>
      <c r="AF48" s="12"/>
      <c r="AG48" s="12"/>
      <c r="AH48" s="12"/>
      <c r="AI48" s="12"/>
      <c r="AJ48" s="12"/>
      <c r="AK48" s="12"/>
      <c r="AL48" s="12"/>
      <c r="AM48" s="12"/>
      <c r="AN48" s="12"/>
    </row>
    <row r="49" spans="1:40" ht="25.5" x14ac:dyDescent="0.2">
      <c r="A49" s="3" t="s">
        <v>1106</v>
      </c>
      <c r="B49" s="3"/>
      <c r="C49" s="12"/>
      <c r="D49" s="26"/>
      <c r="E49" s="26"/>
      <c r="F49" s="26">
        <v>3</v>
      </c>
      <c r="G49" s="26"/>
      <c r="H49" s="26"/>
      <c r="I49" s="26"/>
      <c r="J49" s="467" t="s">
        <v>2213</v>
      </c>
      <c r="K49" s="461" t="s">
        <v>2214</v>
      </c>
      <c r="L49" s="602" t="s">
        <v>2200</v>
      </c>
      <c r="M49" s="204"/>
      <c r="N49" s="26"/>
      <c r="O49" s="790"/>
      <c r="P49" s="12"/>
      <c r="Q49" s="12"/>
      <c r="R49" s="12"/>
      <c r="S49" s="12"/>
      <c r="T49" s="12"/>
      <c r="U49" s="12"/>
      <c r="V49" s="26"/>
      <c r="W49" s="26"/>
      <c r="X49" s="12"/>
      <c r="Y49" s="12"/>
      <c r="Z49" s="12"/>
      <c r="AA49" s="12"/>
      <c r="AB49" s="12"/>
      <c r="AC49" s="12"/>
      <c r="AD49" s="12"/>
      <c r="AE49" s="12"/>
      <c r="AF49" s="12"/>
      <c r="AG49" s="12"/>
      <c r="AH49" s="12"/>
      <c r="AI49" s="12"/>
      <c r="AJ49" s="12"/>
      <c r="AK49" s="12"/>
      <c r="AL49" s="12"/>
      <c r="AM49" s="12"/>
      <c r="AN49" s="12"/>
    </row>
    <row r="50" spans="1:40" x14ac:dyDescent="0.2">
      <c r="A50" s="3" t="s">
        <v>1106</v>
      </c>
      <c r="B50" s="3"/>
      <c r="C50" s="12"/>
      <c r="D50" s="26"/>
      <c r="E50" s="26"/>
      <c r="F50" s="26"/>
      <c r="G50" s="26">
        <v>4</v>
      </c>
      <c r="H50" s="26"/>
      <c r="I50" s="26"/>
      <c r="J50" s="467" t="s">
        <v>2215</v>
      </c>
      <c r="K50" s="461" t="s">
        <v>2216</v>
      </c>
      <c r="L50" s="602" t="s">
        <v>2217</v>
      </c>
      <c r="M50" s="204"/>
      <c r="N50" s="26"/>
      <c r="O50" s="790"/>
      <c r="P50" s="12"/>
      <c r="Q50" s="12"/>
      <c r="R50" s="12"/>
      <c r="S50" s="12"/>
      <c r="T50" s="12"/>
      <c r="U50" s="12"/>
      <c r="V50" s="26"/>
      <c r="W50" s="26"/>
      <c r="X50" s="12"/>
      <c r="Y50" s="12"/>
      <c r="Z50" s="12"/>
      <c r="AA50" s="12"/>
      <c r="AB50" s="12"/>
      <c r="AC50" s="12"/>
      <c r="AD50" s="12"/>
      <c r="AE50" s="12"/>
      <c r="AF50" s="12"/>
      <c r="AG50" s="12"/>
      <c r="AH50" s="12"/>
      <c r="AI50" s="12"/>
      <c r="AJ50" s="12"/>
      <c r="AK50" s="12"/>
      <c r="AL50" s="12"/>
      <c r="AM50" s="12"/>
      <c r="AN50" s="12"/>
    </row>
    <row r="51" spans="1:40" ht="102" x14ac:dyDescent="0.25">
      <c r="A51" s="3" t="s">
        <v>1106</v>
      </c>
      <c r="B51" s="3"/>
      <c r="C51" s="12"/>
      <c r="D51" s="26"/>
      <c r="E51" s="26"/>
      <c r="F51" s="26">
        <v>3</v>
      </c>
      <c r="G51" s="26"/>
      <c r="H51" s="26"/>
      <c r="I51" s="26"/>
      <c r="J51" s="192" t="s">
        <v>305</v>
      </c>
      <c r="K51" s="204" t="s">
        <v>306</v>
      </c>
      <c r="L51" s="72" t="s">
        <v>2466</v>
      </c>
      <c r="M51" s="204" t="s">
        <v>307</v>
      </c>
      <c r="N51" s="140" t="s">
        <v>2460</v>
      </c>
      <c r="O51" s="72" t="s">
        <v>310</v>
      </c>
      <c r="P51" s="6" t="s">
        <v>2219</v>
      </c>
      <c r="Q51" s="12"/>
      <c r="R51" s="12"/>
      <c r="S51" s="12"/>
      <c r="T51" s="12"/>
      <c r="U51" s="12"/>
      <c r="V51" s="26"/>
      <c r="W51" s="26"/>
      <c r="X51" s="12"/>
      <c r="Y51" s="12"/>
      <c r="Z51" s="12"/>
      <c r="AA51" s="12"/>
      <c r="AB51" s="12"/>
      <c r="AC51" s="12"/>
      <c r="AD51" s="12"/>
      <c r="AE51" s="12"/>
      <c r="AF51" s="12"/>
      <c r="AG51" s="12"/>
      <c r="AH51" s="12"/>
      <c r="AI51" s="12"/>
      <c r="AJ51" s="12"/>
      <c r="AK51" s="12"/>
      <c r="AL51" s="12"/>
      <c r="AM51" s="12"/>
      <c r="AN51" s="12"/>
    </row>
    <row r="52" spans="1:40" ht="75" x14ac:dyDescent="0.25">
      <c r="A52" s="3" t="s">
        <v>1106</v>
      </c>
      <c r="B52" s="3"/>
      <c r="C52" s="12"/>
      <c r="D52" s="26"/>
      <c r="E52" s="26"/>
      <c r="F52" s="26">
        <v>3</v>
      </c>
      <c r="G52" s="26"/>
      <c r="H52" s="26"/>
      <c r="I52" s="26"/>
      <c r="J52" s="192" t="s">
        <v>311</v>
      </c>
      <c r="K52" s="204" t="s">
        <v>312</v>
      </c>
      <c r="L52" s="128" t="s">
        <v>214</v>
      </c>
      <c r="M52" s="204" t="s">
        <v>313</v>
      </c>
      <c r="N52" s="140" t="s">
        <v>2460</v>
      </c>
      <c r="O52" s="72" t="s">
        <v>214</v>
      </c>
      <c r="P52" s="6" t="s">
        <v>2228</v>
      </c>
      <c r="Q52" s="12"/>
      <c r="R52" s="12"/>
      <c r="S52" s="12"/>
      <c r="T52" s="12"/>
      <c r="U52" s="12"/>
      <c r="V52" s="26"/>
      <c r="W52" s="26"/>
      <c r="X52" s="12"/>
      <c r="Y52" s="12"/>
      <c r="Z52" s="12"/>
      <c r="AA52" s="12"/>
      <c r="AB52" s="12"/>
      <c r="AC52" s="12"/>
      <c r="AD52" s="12"/>
      <c r="AE52" s="12"/>
      <c r="AF52" s="12"/>
      <c r="AG52" s="12"/>
      <c r="AH52" s="12"/>
      <c r="AI52" s="12"/>
      <c r="AJ52" s="12"/>
      <c r="AK52" s="12"/>
      <c r="AL52" s="12"/>
      <c r="AM52" s="12"/>
      <c r="AN52" s="12"/>
    </row>
    <row r="53" spans="1:40" ht="60" x14ac:dyDescent="0.2">
      <c r="A53" s="3" t="s">
        <v>1106</v>
      </c>
      <c r="B53" s="3"/>
      <c r="C53" s="12"/>
      <c r="D53" s="26"/>
      <c r="E53" s="26"/>
      <c r="F53" s="26"/>
      <c r="G53" s="26">
        <v>4</v>
      </c>
      <c r="H53" s="26"/>
      <c r="I53" s="26"/>
      <c r="J53" s="192" t="s">
        <v>314</v>
      </c>
      <c r="K53" s="472" t="s">
        <v>315</v>
      </c>
      <c r="L53" s="128" t="s">
        <v>214</v>
      </c>
      <c r="M53" s="204" t="s">
        <v>316</v>
      </c>
      <c r="N53" s="140" t="s">
        <v>2460</v>
      </c>
      <c r="O53" s="72" t="s">
        <v>214</v>
      </c>
      <c r="P53" s="12"/>
      <c r="Q53" s="12"/>
      <c r="R53" s="12"/>
      <c r="S53" s="12"/>
      <c r="T53" s="12"/>
      <c r="U53" s="12"/>
      <c r="V53" s="26"/>
      <c r="W53" s="26"/>
      <c r="X53" s="12"/>
      <c r="Y53" s="12"/>
      <c r="Z53" s="12"/>
      <c r="AA53" s="12"/>
      <c r="AB53" s="12"/>
      <c r="AC53" s="12"/>
      <c r="AD53" s="12"/>
      <c r="AE53" s="12"/>
      <c r="AF53" s="12"/>
      <c r="AG53" s="12"/>
      <c r="AH53" s="12"/>
      <c r="AI53" s="12"/>
      <c r="AJ53" s="12"/>
      <c r="AK53" s="12"/>
      <c r="AL53" s="12"/>
      <c r="AM53" s="12"/>
      <c r="AN53" s="12"/>
    </row>
    <row r="54" spans="1:40" ht="180" x14ac:dyDescent="0.25">
      <c r="A54" s="3" t="s">
        <v>1106</v>
      </c>
      <c r="B54" s="3"/>
      <c r="C54" s="12"/>
      <c r="D54" s="26"/>
      <c r="E54" s="26"/>
      <c r="F54" s="26"/>
      <c r="G54" s="26">
        <v>4</v>
      </c>
      <c r="H54" s="26"/>
      <c r="I54" s="26"/>
      <c r="J54" s="467" t="s">
        <v>2232</v>
      </c>
      <c r="K54" s="140" t="s">
        <v>2467</v>
      </c>
      <c r="L54" s="602" t="s">
        <v>2217</v>
      </c>
      <c r="M54" s="204" t="s">
        <v>319</v>
      </c>
      <c r="N54" s="140" t="s">
        <v>2460</v>
      </c>
      <c r="O54" s="72" t="s">
        <v>214</v>
      </c>
      <c r="P54" s="6" t="s">
        <v>2468</v>
      </c>
      <c r="Q54" s="12"/>
      <c r="R54" s="12"/>
      <c r="S54" s="12"/>
      <c r="T54" s="12"/>
      <c r="U54" s="12"/>
      <c r="V54" s="26"/>
      <c r="W54" s="26"/>
      <c r="X54" s="12"/>
      <c r="Y54" s="12"/>
      <c r="Z54" s="12"/>
      <c r="AA54" s="12"/>
      <c r="AB54" s="12"/>
      <c r="AC54" s="12"/>
      <c r="AD54" s="12"/>
      <c r="AE54" s="12"/>
      <c r="AF54" s="12"/>
      <c r="AG54" s="12"/>
      <c r="AH54" s="12"/>
      <c r="AI54" s="12"/>
      <c r="AJ54" s="12"/>
      <c r="AK54" s="12"/>
      <c r="AL54" s="12"/>
      <c r="AM54" s="12"/>
      <c r="AN54" s="12"/>
    </row>
    <row r="55" spans="1:40" ht="25.5" x14ac:dyDescent="0.2">
      <c r="A55" s="3" t="s">
        <v>1106</v>
      </c>
      <c r="B55" s="3"/>
      <c r="C55" s="12"/>
      <c r="D55" s="26"/>
      <c r="E55" s="26"/>
      <c r="F55" s="26"/>
      <c r="G55" s="26">
        <v>4</v>
      </c>
      <c r="H55" s="26"/>
      <c r="I55" s="26"/>
      <c r="J55" s="192" t="s">
        <v>320</v>
      </c>
      <c r="K55" s="204" t="s">
        <v>321</v>
      </c>
      <c r="L55" s="128" t="s">
        <v>214</v>
      </c>
      <c r="M55" s="204" t="s">
        <v>322</v>
      </c>
      <c r="N55" s="791" t="s">
        <v>323</v>
      </c>
      <c r="O55" s="72"/>
      <c r="P55" s="12"/>
      <c r="Q55" s="12"/>
      <c r="R55" s="12"/>
      <c r="S55" s="12"/>
      <c r="T55" s="12"/>
      <c r="U55" s="12"/>
      <c r="V55" s="26"/>
      <c r="W55" s="26"/>
      <c r="X55" s="12"/>
      <c r="Y55" s="12"/>
      <c r="Z55" s="12"/>
      <c r="AA55" s="12"/>
      <c r="AB55" s="12"/>
      <c r="AC55" s="12"/>
      <c r="AD55" s="12"/>
      <c r="AE55" s="12"/>
      <c r="AF55" s="12"/>
      <c r="AG55" s="12"/>
      <c r="AH55" s="12"/>
      <c r="AI55" s="12"/>
      <c r="AJ55" s="12"/>
      <c r="AK55" s="12"/>
      <c r="AL55" s="12"/>
      <c r="AM55" s="12"/>
      <c r="AN55" s="12"/>
    </row>
    <row r="56" spans="1:40" ht="60" x14ac:dyDescent="0.2">
      <c r="A56" s="3" t="s">
        <v>1106</v>
      </c>
      <c r="B56" s="3"/>
      <c r="C56" s="12"/>
      <c r="D56" s="26"/>
      <c r="E56" s="26"/>
      <c r="F56" s="26">
        <v>3</v>
      </c>
      <c r="G56" s="26"/>
      <c r="H56" s="26"/>
      <c r="I56" s="26"/>
      <c r="J56" s="192" t="s">
        <v>324</v>
      </c>
      <c r="K56" s="204" t="s">
        <v>325</v>
      </c>
      <c r="L56" s="128" t="s">
        <v>214</v>
      </c>
      <c r="M56" s="204" t="s">
        <v>326</v>
      </c>
      <c r="N56" s="140" t="s">
        <v>2460</v>
      </c>
      <c r="O56" s="72" t="s">
        <v>214</v>
      </c>
      <c r="P56" s="12"/>
      <c r="Q56" s="12"/>
      <c r="R56" s="12"/>
      <c r="S56" s="12"/>
      <c r="T56" s="12"/>
      <c r="U56" s="12"/>
      <c r="V56" s="26"/>
      <c r="W56" s="26"/>
      <c r="X56" s="12"/>
      <c r="Y56" s="12"/>
      <c r="Z56" s="12"/>
      <c r="AA56" s="12"/>
      <c r="AB56" s="12"/>
      <c r="AC56" s="12"/>
      <c r="AD56" s="12"/>
      <c r="AE56" s="12"/>
      <c r="AF56" s="12"/>
      <c r="AG56" s="12"/>
      <c r="AH56" s="12"/>
      <c r="AI56" s="12"/>
      <c r="AJ56" s="12"/>
      <c r="AK56" s="12"/>
      <c r="AL56" s="12"/>
      <c r="AM56" s="12"/>
      <c r="AN56" s="12"/>
    </row>
    <row r="57" spans="1:40" ht="90" x14ac:dyDescent="0.25">
      <c r="A57" s="3" t="s">
        <v>1098</v>
      </c>
      <c r="B57" s="3"/>
      <c r="C57" s="12"/>
      <c r="D57" s="26"/>
      <c r="E57" s="26"/>
      <c r="F57" s="26">
        <v>3</v>
      </c>
      <c r="G57" s="26"/>
      <c r="H57" s="26"/>
      <c r="I57" s="26"/>
      <c r="J57" s="192" t="s">
        <v>327</v>
      </c>
      <c r="K57" s="472" t="s">
        <v>328</v>
      </c>
      <c r="L57" s="128" t="s">
        <v>214</v>
      </c>
      <c r="M57" s="204" t="s">
        <v>329</v>
      </c>
      <c r="N57" s="140" t="s">
        <v>2460</v>
      </c>
      <c r="O57" s="72" t="s">
        <v>214</v>
      </c>
      <c r="P57" s="6" t="s">
        <v>2196</v>
      </c>
      <c r="Q57" s="12"/>
      <c r="R57" s="12"/>
      <c r="S57" s="12"/>
      <c r="T57" s="12"/>
      <c r="U57" s="12"/>
      <c r="V57" s="26"/>
      <c r="W57" s="26"/>
      <c r="X57" s="12"/>
      <c r="Y57" s="12"/>
      <c r="Z57" s="12"/>
      <c r="AA57" s="12"/>
      <c r="AB57" s="12"/>
      <c r="AC57" s="12"/>
      <c r="AD57" s="12"/>
      <c r="AE57" s="12"/>
      <c r="AF57" s="12"/>
      <c r="AG57" s="12"/>
      <c r="AH57" s="12"/>
      <c r="AI57" s="12"/>
      <c r="AJ57" s="12"/>
      <c r="AK57" s="12"/>
      <c r="AL57" s="12"/>
      <c r="AM57" s="12"/>
      <c r="AN57" s="12"/>
    </row>
    <row r="58" spans="1:40" ht="25.5" x14ac:dyDescent="0.2">
      <c r="A58" s="3" t="s">
        <v>1106</v>
      </c>
      <c r="B58" s="3"/>
      <c r="C58" s="12"/>
      <c r="D58" s="26"/>
      <c r="E58" s="26"/>
      <c r="F58" s="26"/>
      <c r="G58" s="26">
        <v>4</v>
      </c>
      <c r="H58" s="26"/>
      <c r="I58" s="26"/>
      <c r="J58" s="463" t="s">
        <v>2198</v>
      </c>
      <c r="K58" s="461" t="s">
        <v>2199</v>
      </c>
      <c r="L58" s="602" t="s">
        <v>2200</v>
      </c>
      <c r="M58" s="204"/>
      <c r="N58" s="26"/>
      <c r="O58" s="72"/>
      <c r="P58" s="12"/>
      <c r="Q58" s="12"/>
      <c r="R58" s="12"/>
      <c r="S58" s="12"/>
      <c r="T58" s="12"/>
      <c r="U58" s="12"/>
      <c r="V58" s="26"/>
      <c r="W58" s="26"/>
      <c r="X58" s="12"/>
      <c r="Y58" s="12"/>
      <c r="Z58" s="12"/>
      <c r="AA58" s="12"/>
      <c r="AB58" s="12"/>
      <c r="AC58" s="12"/>
      <c r="AD58" s="12"/>
      <c r="AE58" s="12"/>
      <c r="AF58" s="12"/>
      <c r="AG58" s="12"/>
      <c r="AH58" s="12"/>
      <c r="AI58" s="12"/>
      <c r="AJ58" s="12"/>
      <c r="AK58" s="12"/>
      <c r="AL58" s="12"/>
      <c r="AM58" s="12"/>
      <c r="AN58" s="12"/>
    </row>
    <row r="59" spans="1:40" ht="25.5" x14ac:dyDescent="0.2">
      <c r="A59" s="3" t="s">
        <v>1106</v>
      </c>
      <c r="B59" s="3"/>
      <c r="C59" s="12"/>
      <c r="D59" s="26"/>
      <c r="E59" s="26"/>
      <c r="F59" s="26"/>
      <c r="G59" s="26">
        <v>4</v>
      </c>
      <c r="H59" s="26"/>
      <c r="I59" s="26"/>
      <c r="J59" s="463" t="s">
        <v>2201</v>
      </c>
      <c r="K59" s="461" t="s">
        <v>2202</v>
      </c>
      <c r="L59" s="602" t="s">
        <v>2203</v>
      </c>
      <c r="M59" s="204"/>
      <c r="N59" s="26"/>
      <c r="O59" s="72"/>
      <c r="P59" s="12"/>
      <c r="Q59" s="12"/>
      <c r="R59" s="12"/>
      <c r="S59" s="12"/>
      <c r="T59" s="12"/>
      <c r="U59" s="12"/>
      <c r="V59" s="26"/>
      <c r="W59" s="26"/>
      <c r="X59" s="12"/>
      <c r="Y59" s="12"/>
      <c r="Z59" s="12"/>
      <c r="AA59" s="12"/>
      <c r="AB59" s="12"/>
      <c r="AC59" s="12"/>
      <c r="AD59" s="12"/>
      <c r="AE59" s="12"/>
      <c r="AF59" s="12"/>
      <c r="AG59" s="12"/>
      <c r="AH59" s="12"/>
      <c r="AI59" s="12"/>
      <c r="AJ59" s="12"/>
      <c r="AK59" s="12"/>
      <c r="AL59" s="12"/>
      <c r="AM59" s="12"/>
      <c r="AN59" s="12"/>
    </row>
    <row r="60" spans="1:40" ht="25.5" x14ac:dyDescent="0.2">
      <c r="A60" s="3" t="s">
        <v>1106</v>
      </c>
      <c r="B60" s="3"/>
      <c r="C60" s="12"/>
      <c r="D60" s="26"/>
      <c r="E60" s="26"/>
      <c r="F60" s="26">
        <v>3</v>
      </c>
      <c r="G60" s="26"/>
      <c r="H60" s="26"/>
      <c r="I60" s="26"/>
      <c r="J60" s="192" t="s">
        <v>408</v>
      </c>
      <c r="K60" s="472" t="s">
        <v>409</v>
      </c>
      <c r="L60" s="128" t="s">
        <v>214</v>
      </c>
      <c r="M60" s="204"/>
      <c r="N60" s="26"/>
      <c r="O60" s="72"/>
      <c r="P60" s="12"/>
      <c r="Q60" s="12"/>
      <c r="R60" s="12"/>
      <c r="S60" s="12"/>
      <c r="T60" s="12"/>
      <c r="U60" s="12"/>
      <c r="V60" s="26"/>
      <c r="W60" s="26"/>
      <c r="X60" s="12"/>
      <c r="Y60" s="12"/>
      <c r="Z60" s="12"/>
      <c r="AA60" s="12"/>
      <c r="AB60" s="12"/>
      <c r="AC60" s="12"/>
      <c r="AD60" s="12"/>
      <c r="AE60" s="12"/>
      <c r="AF60" s="12"/>
      <c r="AG60" s="12"/>
      <c r="AH60" s="12"/>
      <c r="AI60" s="12"/>
      <c r="AJ60" s="12"/>
      <c r="AK60" s="12"/>
      <c r="AL60" s="12"/>
      <c r="AM60" s="12"/>
      <c r="AN60" s="12"/>
    </row>
    <row r="61" spans="1:40" ht="75" x14ac:dyDescent="0.25">
      <c r="A61" s="3" t="s">
        <v>1106</v>
      </c>
      <c r="B61" s="3"/>
      <c r="C61" s="12"/>
      <c r="D61" s="26"/>
      <c r="E61" s="26"/>
      <c r="F61" s="26"/>
      <c r="G61" s="26">
        <v>4</v>
      </c>
      <c r="H61" s="26"/>
      <c r="I61" s="26"/>
      <c r="J61" s="192" t="s">
        <v>412</v>
      </c>
      <c r="K61" s="140" t="s">
        <v>2469</v>
      </c>
      <c r="L61" s="128" t="s">
        <v>214</v>
      </c>
      <c r="M61" s="204"/>
      <c r="N61" s="26"/>
      <c r="O61" s="72"/>
      <c r="P61" s="6" t="s">
        <v>2188</v>
      </c>
      <c r="Q61" s="12"/>
      <c r="R61" s="12"/>
      <c r="S61" s="12"/>
      <c r="T61" s="12"/>
      <c r="U61" s="12"/>
      <c r="V61" s="26"/>
      <c r="W61" s="26"/>
      <c r="X61" s="12"/>
      <c r="Y61" s="12"/>
      <c r="Z61" s="12"/>
      <c r="AA61" s="12"/>
      <c r="AB61" s="12"/>
      <c r="AC61" s="12"/>
      <c r="AD61" s="12"/>
      <c r="AE61" s="12"/>
      <c r="AF61" s="12"/>
      <c r="AG61" s="12"/>
      <c r="AH61" s="12"/>
      <c r="AI61" s="12"/>
      <c r="AJ61" s="12"/>
      <c r="AK61" s="12"/>
      <c r="AL61" s="12"/>
      <c r="AM61" s="12"/>
      <c r="AN61" s="12"/>
    </row>
    <row r="62" spans="1:40" ht="90" x14ac:dyDescent="0.25">
      <c r="A62" s="3" t="s">
        <v>1106</v>
      </c>
      <c r="B62" s="3"/>
      <c r="C62" s="12"/>
      <c r="D62" s="26"/>
      <c r="E62" s="26"/>
      <c r="F62" s="26">
        <v>3</v>
      </c>
      <c r="G62" s="26"/>
      <c r="H62" s="26"/>
      <c r="I62" s="26"/>
      <c r="J62" s="465" t="s">
        <v>330</v>
      </c>
      <c r="K62" s="12" t="s">
        <v>2209</v>
      </c>
      <c r="L62" s="72" t="s">
        <v>2470</v>
      </c>
      <c r="M62" s="204" t="s">
        <v>332</v>
      </c>
      <c r="N62" s="140" t="s">
        <v>2460</v>
      </c>
      <c r="O62" s="72" t="s">
        <v>214</v>
      </c>
      <c r="P62" s="6" t="s">
        <v>2210</v>
      </c>
      <c r="Q62" s="12"/>
      <c r="R62" s="12"/>
      <c r="S62" s="12"/>
      <c r="T62" s="12"/>
      <c r="U62" s="12"/>
      <c r="V62" s="26"/>
      <c r="W62" s="26"/>
      <c r="X62" s="12"/>
      <c r="Y62" s="12"/>
      <c r="Z62" s="12"/>
      <c r="AA62" s="12"/>
      <c r="AB62" s="12"/>
      <c r="AC62" s="12"/>
      <c r="AD62" s="12"/>
      <c r="AE62" s="12"/>
      <c r="AF62" s="12"/>
      <c r="AG62" s="12"/>
      <c r="AH62" s="12"/>
      <c r="AI62" s="12"/>
      <c r="AJ62" s="12"/>
      <c r="AK62" s="12"/>
      <c r="AL62" s="12"/>
      <c r="AM62" s="12"/>
      <c r="AN62" s="12"/>
    </row>
    <row r="63" spans="1:40" ht="90" x14ac:dyDescent="0.2">
      <c r="A63" s="3" t="s">
        <v>1106</v>
      </c>
      <c r="B63" s="3"/>
      <c r="C63" s="12"/>
      <c r="D63" s="26"/>
      <c r="E63" s="26"/>
      <c r="F63" s="26"/>
      <c r="G63" s="26">
        <v>4</v>
      </c>
      <c r="H63" s="26"/>
      <c r="I63" s="26"/>
      <c r="J63" s="466" t="s">
        <v>2205</v>
      </c>
      <c r="K63" s="12" t="s">
        <v>2206</v>
      </c>
      <c r="L63" s="128" t="s">
        <v>358</v>
      </c>
      <c r="M63" s="204"/>
      <c r="N63" s="26"/>
      <c r="O63" s="72"/>
      <c r="P63" s="12" t="s">
        <v>2207</v>
      </c>
      <c r="Q63" s="12"/>
      <c r="R63" s="12"/>
      <c r="S63" s="12"/>
      <c r="T63" s="12"/>
      <c r="U63" s="12"/>
      <c r="V63" s="26"/>
      <c r="W63" s="26"/>
      <c r="X63" s="12"/>
      <c r="Y63" s="12"/>
      <c r="Z63" s="12"/>
      <c r="AA63" s="12"/>
      <c r="AB63" s="12"/>
      <c r="AC63" s="12"/>
      <c r="AD63" s="12"/>
      <c r="AE63" s="12"/>
      <c r="AF63" s="12"/>
      <c r="AG63" s="12"/>
      <c r="AH63" s="12"/>
      <c r="AI63" s="12"/>
      <c r="AJ63" s="12"/>
      <c r="AK63" s="12"/>
      <c r="AL63" s="12"/>
      <c r="AM63" s="12"/>
      <c r="AN63" s="12"/>
    </row>
    <row r="64" spans="1:40" s="161" customFormat="1" x14ac:dyDescent="0.2">
      <c r="A64" s="3"/>
      <c r="B64" s="3"/>
      <c r="C64" s="12"/>
      <c r="D64" s="375"/>
      <c r="E64" s="862">
        <v>2</v>
      </c>
      <c r="F64" s="1168" t="s">
        <v>333</v>
      </c>
      <c r="G64" s="1169"/>
      <c r="H64" s="1169"/>
      <c r="I64" s="1169"/>
      <c r="J64" s="1169"/>
      <c r="K64" s="1169"/>
      <c r="L64" s="1169"/>
      <c r="M64" s="1169"/>
      <c r="N64" s="1169"/>
      <c r="O64" s="1169"/>
      <c r="P64" s="1169"/>
      <c r="Q64" s="1169"/>
      <c r="R64" s="1169"/>
      <c r="S64" s="1169"/>
      <c r="T64" s="1169"/>
      <c r="U64" s="1169"/>
      <c r="V64" s="1169"/>
      <c r="W64" s="1169"/>
      <c r="X64" s="1169"/>
      <c r="Y64" s="1169"/>
      <c r="Z64" s="1170"/>
      <c r="AA64" s="861"/>
      <c r="AB64" s="861"/>
      <c r="AC64" s="861"/>
      <c r="AD64" s="861"/>
      <c r="AE64" s="861"/>
      <c r="AF64" s="861"/>
      <c r="AG64" s="861"/>
      <c r="AH64" s="861"/>
      <c r="AI64" s="861"/>
      <c r="AJ64" s="861"/>
      <c r="AK64" s="861"/>
      <c r="AL64" s="861"/>
      <c r="AM64" s="861"/>
      <c r="AN64" s="861"/>
    </row>
    <row r="65" spans="1:40" x14ac:dyDescent="0.2">
      <c r="A65" s="3"/>
      <c r="B65" s="3"/>
      <c r="C65" s="12"/>
      <c r="D65" s="26"/>
      <c r="E65" s="26"/>
      <c r="F65" s="26">
        <v>3</v>
      </c>
      <c r="G65" s="26"/>
      <c r="H65" s="26"/>
      <c r="I65" s="26"/>
      <c r="J65" s="608" t="s">
        <v>1125</v>
      </c>
      <c r="K65" s="868" t="s">
        <v>2235</v>
      </c>
      <c r="L65" s="128" t="s">
        <v>358</v>
      </c>
      <c r="M65" s="204"/>
      <c r="N65" s="26"/>
      <c r="O65" s="72"/>
      <c r="P65" s="12"/>
      <c r="Q65" s="12"/>
      <c r="R65" s="12"/>
      <c r="S65" s="12"/>
      <c r="T65" s="12"/>
      <c r="U65" s="12"/>
      <c r="V65" s="26"/>
      <c r="W65" s="26"/>
      <c r="X65" s="12"/>
      <c r="Y65" s="12"/>
      <c r="Z65" s="12"/>
      <c r="AA65" s="12"/>
      <c r="AB65" s="12"/>
      <c r="AC65" s="12"/>
      <c r="AD65" s="12"/>
      <c r="AE65" s="12"/>
      <c r="AF65" s="12"/>
      <c r="AG65" s="12"/>
      <c r="AH65" s="12"/>
      <c r="AI65" s="12"/>
      <c r="AJ65" s="12"/>
      <c r="AK65" s="12"/>
      <c r="AL65" s="12"/>
      <c r="AM65" s="12"/>
      <c r="AN65" s="12"/>
    </row>
    <row r="66" spans="1:40" x14ac:dyDescent="0.2">
      <c r="A66" s="3"/>
      <c r="B66" s="3"/>
      <c r="C66" s="12"/>
      <c r="D66" s="26"/>
      <c r="E66" s="26"/>
      <c r="F66" s="26">
        <v>3</v>
      </c>
      <c r="G66" s="26"/>
      <c r="H66" s="26"/>
      <c r="I66" s="26"/>
      <c r="J66" s="608" t="s">
        <v>1510</v>
      </c>
      <c r="K66" s="868" t="s">
        <v>2236</v>
      </c>
      <c r="L66" s="128" t="s">
        <v>358</v>
      </c>
      <c r="M66" s="204"/>
      <c r="N66" s="26"/>
      <c r="O66" s="72"/>
      <c r="P66" s="12"/>
      <c r="Q66" s="12"/>
      <c r="R66" s="12"/>
      <c r="S66" s="12"/>
      <c r="T66" s="12"/>
      <c r="U66" s="12"/>
      <c r="V66" s="26"/>
      <c r="W66" s="26"/>
      <c r="X66" s="12"/>
      <c r="Y66" s="12"/>
      <c r="Z66" s="12"/>
      <c r="AA66" s="12"/>
      <c r="AB66" s="12"/>
      <c r="AC66" s="12"/>
      <c r="AD66" s="12"/>
      <c r="AE66" s="12"/>
      <c r="AF66" s="12"/>
      <c r="AG66" s="12"/>
      <c r="AH66" s="12"/>
      <c r="AI66" s="12"/>
      <c r="AJ66" s="12"/>
      <c r="AK66" s="12"/>
      <c r="AL66" s="12"/>
      <c r="AM66" s="12"/>
      <c r="AN66" s="12"/>
    </row>
    <row r="67" spans="1:40" x14ac:dyDescent="0.2">
      <c r="A67" s="3"/>
      <c r="B67" s="3"/>
      <c r="C67" s="12"/>
      <c r="D67" s="26"/>
      <c r="E67" s="26"/>
      <c r="F67" s="26">
        <v>3</v>
      </c>
      <c r="G67" s="26"/>
      <c r="H67" s="26"/>
      <c r="I67" s="26"/>
      <c r="J67" s="608" t="s">
        <v>1513</v>
      </c>
      <c r="K67" s="607" t="s">
        <v>2237</v>
      </c>
      <c r="L67" s="128" t="s">
        <v>358</v>
      </c>
      <c r="M67" s="204"/>
      <c r="N67" s="26"/>
      <c r="O67" s="72"/>
      <c r="P67" s="12"/>
      <c r="Q67" s="12"/>
      <c r="R67" s="12"/>
      <c r="S67" s="12"/>
      <c r="T67" s="12"/>
      <c r="U67" s="12"/>
      <c r="V67" s="26"/>
      <c r="W67" s="26"/>
      <c r="X67" s="12"/>
      <c r="Y67" s="12"/>
      <c r="Z67" s="12"/>
      <c r="AA67" s="12"/>
      <c r="AB67" s="12"/>
      <c r="AC67" s="12"/>
      <c r="AD67" s="12"/>
      <c r="AE67" s="12"/>
      <c r="AF67" s="12"/>
      <c r="AG67" s="12"/>
      <c r="AH67" s="12"/>
      <c r="AI67" s="12"/>
      <c r="AJ67" s="12"/>
      <c r="AK67" s="12"/>
      <c r="AL67" s="12"/>
      <c r="AM67" s="12"/>
      <c r="AN67" s="12"/>
    </row>
    <row r="68" spans="1:40" x14ac:dyDescent="0.2">
      <c r="A68" s="3"/>
      <c r="B68" s="3"/>
      <c r="C68" s="12"/>
      <c r="D68" s="26"/>
      <c r="E68" s="26"/>
      <c r="F68" s="26">
        <v>3</v>
      </c>
      <c r="G68" s="26"/>
      <c r="H68" s="26"/>
      <c r="I68" s="26"/>
      <c r="J68" s="608" t="s">
        <v>1516</v>
      </c>
      <c r="K68" s="607" t="s">
        <v>2238</v>
      </c>
      <c r="L68" s="128" t="s">
        <v>358</v>
      </c>
      <c r="M68" s="204"/>
      <c r="N68" s="26"/>
      <c r="O68" s="72"/>
      <c r="P68" s="12"/>
      <c r="Q68" s="12"/>
      <c r="R68" s="12"/>
      <c r="S68" s="12"/>
      <c r="T68" s="12"/>
      <c r="U68" s="12"/>
      <c r="V68" s="26"/>
      <c r="W68" s="26"/>
      <c r="X68" s="12"/>
      <c r="Y68" s="12"/>
      <c r="Z68" s="12"/>
      <c r="AA68" s="12"/>
      <c r="AB68" s="12"/>
      <c r="AC68" s="12"/>
      <c r="AD68" s="12"/>
      <c r="AE68" s="12"/>
      <c r="AF68" s="12"/>
      <c r="AG68" s="12"/>
      <c r="AH68" s="12"/>
      <c r="AI68" s="12"/>
      <c r="AJ68" s="12"/>
      <c r="AK68" s="12"/>
      <c r="AL68" s="12"/>
      <c r="AM68" s="12"/>
      <c r="AN68" s="12"/>
    </row>
    <row r="69" spans="1:40" x14ac:dyDescent="0.2">
      <c r="A69" s="3"/>
      <c r="B69" s="3"/>
      <c r="C69" s="12"/>
      <c r="D69" s="26"/>
      <c r="E69" s="26"/>
      <c r="F69" s="26">
        <v>3</v>
      </c>
      <c r="G69" s="26"/>
      <c r="H69" s="26"/>
      <c r="I69" s="26"/>
      <c r="J69" s="608" t="s">
        <v>1149</v>
      </c>
      <c r="K69" s="607" t="s">
        <v>2239</v>
      </c>
      <c r="L69" s="128" t="s">
        <v>358</v>
      </c>
      <c r="M69" s="204"/>
      <c r="N69" s="26"/>
      <c r="O69" s="72"/>
      <c r="P69" s="12"/>
      <c r="Q69" s="12"/>
      <c r="R69" s="12"/>
      <c r="S69" s="12"/>
      <c r="T69" s="12"/>
      <c r="U69" s="12"/>
      <c r="V69" s="26"/>
      <c r="W69" s="26"/>
      <c r="X69" s="12"/>
      <c r="Y69" s="12"/>
      <c r="Z69" s="12"/>
      <c r="AA69" s="12"/>
      <c r="AB69" s="12"/>
      <c r="AC69" s="12"/>
      <c r="AD69" s="12"/>
      <c r="AE69" s="12"/>
      <c r="AF69" s="12"/>
      <c r="AG69" s="12"/>
      <c r="AH69" s="12"/>
      <c r="AI69" s="12"/>
      <c r="AJ69" s="12"/>
      <c r="AK69" s="12"/>
      <c r="AL69" s="12"/>
      <c r="AM69" s="12"/>
      <c r="AN69" s="12"/>
    </row>
    <row r="70" spans="1:40" ht="114.75" x14ac:dyDescent="0.2">
      <c r="A70" s="3" t="s">
        <v>1106</v>
      </c>
      <c r="B70" s="3"/>
      <c r="C70" s="12"/>
      <c r="D70" s="26"/>
      <c r="E70" s="26"/>
      <c r="F70" s="26">
        <v>3</v>
      </c>
      <c r="G70" s="26"/>
      <c r="H70" s="26"/>
      <c r="I70" s="26"/>
      <c r="J70" s="476" t="s">
        <v>2471</v>
      </c>
      <c r="K70" s="140" t="s">
        <v>2472</v>
      </c>
      <c r="L70" s="72" t="s">
        <v>340</v>
      </c>
      <c r="M70" s="204" t="s">
        <v>338</v>
      </c>
      <c r="N70" s="26"/>
      <c r="O70" s="72"/>
      <c r="P70" s="12"/>
      <c r="Q70" s="12"/>
      <c r="R70" s="12"/>
      <c r="S70" s="12"/>
      <c r="T70" s="12"/>
      <c r="U70" s="12"/>
      <c r="V70" s="26"/>
      <c r="W70" s="26"/>
      <c r="X70" s="12"/>
      <c r="Y70" s="12"/>
      <c r="Z70" s="12"/>
      <c r="AA70" s="12"/>
      <c r="AB70" s="12"/>
      <c r="AC70" s="12"/>
      <c r="AD70" s="12"/>
      <c r="AE70" s="12"/>
      <c r="AF70" s="12"/>
      <c r="AG70" s="12"/>
      <c r="AH70" s="12"/>
      <c r="AI70" s="12"/>
      <c r="AJ70" s="12"/>
      <c r="AK70" s="12"/>
      <c r="AL70" s="12"/>
      <c r="AM70" s="12"/>
      <c r="AN70" s="12"/>
    </row>
    <row r="71" spans="1:40" x14ac:dyDescent="0.2">
      <c r="A71" s="3"/>
      <c r="B71" s="3"/>
      <c r="C71" s="89"/>
      <c r="D71" s="860">
        <v>1</v>
      </c>
      <c r="E71" s="1168" t="s">
        <v>350</v>
      </c>
      <c r="F71" s="1169"/>
      <c r="G71" s="1169"/>
      <c r="H71" s="1169"/>
      <c r="I71" s="1169"/>
      <c r="J71" s="1169"/>
      <c r="K71" s="1169"/>
      <c r="L71" s="1169"/>
      <c r="M71" s="1169"/>
      <c r="N71" s="1169"/>
      <c r="O71" s="1169"/>
      <c r="P71" s="1169"/>
      <c r="Q71" s="1169"/>
      <c r="R71" s="1169"/>
      <c r="S71" s="1169"/>
      <c r="T71" s="1169"/>
      <c r="U71" s="1169"/>
      <c r="V71" s="1169"/>
      <c r="W71" s="1169"/>
      <c r="X71" s="1169"/>
      <c r="Y71" s="1169"/>
      <c r="Z71" s="1170"/>
      <c r="AA71" s="861"/>
      <c r="AB71" s="861"/>
      <c r="AC71" s="861"/>
      <c r="AD71" s="861"/>
      <c r="AE71" s="861"/>
      <c r="AF71" s="861"/>
      <c r="AG71" s="861"/>
      <c r="AH71" s="861"/>
      <c r="AI71" s="861"/>
      <c r="AJ71" s="861"/>
      <c r="AK71" s="861"/>
      <c r="AL71" s="861"/>
      <c r="AM71" s="861"/>
      <c r="AN71" s="861"/>
    </row>
    <row r="72" spans="1:40" s="164" customFormat="1" x14ac:dyDescent="0.2">
      <c r="A72" s="3"/>
      <c r="B72" s="3"/>
      <c r="C72" s="12"/>
      <c r="D72" s="375"/>
      <c r="E72" s="862">
        <v>2</v>
      </c>
      <c r="F72" s="1168" t="s">
        <v>2473</v>
      </c>
      <c r="G72" s="1169"/>
      <c r="H72" s="1169"/>
      <c r="I72" s="1169"/>
      <c r="J72" s="1169"/>
      <c r="K72" s="1169"/>
      <c r="L72" s="1169"/>
      <c r="M72" s="1169"/>
      <c r="N72" s="1169"/>
      <c r="O72" s="1169"/>
      <c r="P72" s="1169"/>
      <c r="Q72" s="1169"/>
      <c r="R72" s="1169"/>
      <c r="S72" s="1169"/>
      <c r="T72" s="1169"/>
      <c r="U72" s="1169"/>
      <c r="V72" s="1169"/>
      <c r="W72" s="1169"/>
      <c r="X72" s="1169"/>
      <c r="Y72" s="1169"/>
      <c r="Z72" s="1170"/>
      <c r="AA72" s="861"/>
      <c r="AB72" s="861"/>
      <c r="AC72" s="861"/>
      <c r="AD72" s="861"/>
      <c r="AE72" s="861"/>
      <c r="AF72" s="861"/>
      <c r="AG72" s="861"/>
      <c r="AH72" s="861"/>
      <c r="AI72" s="861"/>
      <c r="AJ72" s="861"/>
      <c r="AK72" s="861"/>
      <c r="AL72" s="861"/>
      <c r="AM72" s="861"/>
      <c r="AN72" s="861"/>
    </row>
    <row r="73" spans="1:40" x14ac:dyDescent="0.25">
      <c r="A73" s="3"/>
      <c r="B73" s="3"/>
      <c r="C73" s="1"/>
      <c r="D73" s="3"/>
      <c r="E73" s="3"/>
      <c r="F73" s="26">
        <v>3</v>
      </c>
      <c r="G73" s="3"/>
      <c r="H73" s="3"/>
      <c r="I73" s="3"/>
      <c r="J73" s="869" t="s">
        <v>2474</v>
      </c>
      <c r="K73" s="218"/>
      <c r="L73" s="464"/>
      <c r="M73" s="1"/>
      <c r="N73" s="1"/>
      <c r="O73" s="1"/>
      <c r="P73" s="1" t="s">
        <v>2241</v>
      </c>
      <c r="Q73" s="1"/>
      <c r="R73" s="1"/>
      <c r="S73" s="1"/>
      <c r="T73" s="4"/>
      <c r="U73" s="4"/>
      <c r="V73" s="1"/>
      <c r="W73" s="1"/>
      <c r="X73" s="1"/>
      <c r="Y73"/>
      <c r="Z73"/>
      <c r="AA73"/>
      <c r="AB73"/>
      <c r="AC73"/>
      <c r="AD73"/>
      <c r="AE73"/>
      <c r="AF73"/>
      <c r="AG73"/>
      <c r="AH73"/>
      <c r="AI73"/>
      <c r="AJ73"/>
      <c r="AK73"/>
      <c r="AL73"/>
      <c r="AM73"/>
      <c r="AN73"/>
    </row>
    <row r="74" spans="1:40" ht="45" x14ac:dyDescent="0.25">
      <c r="A74" s="3" t="s">
        <v>1106</v>
      </c>
      <c r="B74" s="3"/>
      <c r="C74" s="1"/>
      <c r="D74" s="3"/>
      <c r="E74" s="3"/>
      <c r="F74" s="26">
        <v>3</v>
      </c>
      <c r="G74" s="3"/>
      <c r="H74" s="3"/>
      <c r="I74" s="3"/>
      <c r="J74" s="218" t="s">
        <v>2242</v>
      </c>
      <c r="K74" s="140" t="s">
        <v>2243</v>
      </c>
      <c r="L74" s="406" t="s">
        <v>2192</v>
      </c>
      <c r="M74" s="1"/>
      <c r="N74" s="1"/>
      <c r="O74" s="1"/>
      <c r="P74" s="1"/>
      <c r="Q74" s="1"/>
      <c r="R74" s="1"/>
      <c r="S74" s="1"/>
      <c r="T74" s="4"/>
      <c r="U74" s="4"/>
      <c r="V74" s="1"/>
      <c r="W74" s="1"/>
      <c r="X74" s="1"/>
      <c r="Y74"/>
      <c r="Z74"/>
      <c r="AA74"/>
      <c r="AB74"/>
      <c r="AC74"/>
      <c r="AD74"/>
      <c r="AE74"/>
      <c r="AF74"/>
      <c r="AG74"/>
      <c r="AH74"/>
      <c r="AI74"/>
      <c r="AJ74"/>
      <c r="AK74"/>
      <c r="AL74"/>
      <c r="AM74"/>
      <c r="AN74"/>
    </row>
    <row r="75" spans="1:40" x14ac:dyDescent="0.25">
      <c r="A75" s="3" t="s">
        <v>1106</v>
      </c>
      <c r="B75" s="3"/>
      <c r="C75" s="1"/>
      <c r="D75" s="3"/>
      <c r="E75" s="3"/>
      <c r="F75" s="26">
        <v>3</v>
      </c>
      <c r="G75" s="3"/>
      <c r="H75" s="3"/>
      <c r="I75" s="3"/>
      <c r="J75" s="218" t="s">
        <v>2244</v>
      </c>
      <c r="K75" s="140" t="s">
        <v>2245</v>
      </c>
      <c r="L75" s="406" t="s">
        <v>2192</v>
      </c>
      <c r="M75" s="1"/>
      <c r="N75" s="1"/>
      <c r="O75" s="1"/>
      <c r="P75" s="1" t="s">
        <v>2246</v>
      </c>
      <c r="Q75" s="1"/>
      <c r="R75" s="1"/>
      <c r="S75" s="1"/>
      <c r="T75" s="4"/>
      <c r="U75" s="4"/>
      <c r="V75" s="1"/>
      <c r="W75" s="1"/>
      <c r="X75" s="1"/>
      <c r="Y75"/>
      <c r="Z75"/>
      <c r="AA75"/>
      <c r="AB75"/>
      <c r="AC75"/>
      <c r="AD75"/>
      <c r="AE75"/>
      <c r="AF75"/>
      <c r="AG75"/>
      <c r="AH75"/>
      <c r="AI75"/>
      <c r="AJ75"/>
      <c r="AK75"/>
      <c r="AL75"/>
      <c r="AM75"/>
      <c r="AN75"/>
    </row>
    <row r="76" spans="1:40" ht="30" x14ac:dyDescent="0.25">
      <c r="A76" s="3" t="s">
        <v>1106</v>
      </c>
      <c r="B76" s="3"/>
      <c r="C76" s="1"/>
      <c r="D76" s="3"/>
      <c r="E76" s="3"/>
      <c r="F76" s="26">
        <v>3</v>
      </c>
      <c r="G76" s="3"/>
      <c r="H76" s="3"/>
      <c r="I76" s="3"/>
      <c r="J76" s="218" t="s">
        <v>2247</v>
      </c>
      <c r="K76" s="140" t="s">
        <v>2248</v>
      </c>
      <c r="L76" s="406" t="s">
        <v>2192</v>
      </c>
      <c r="M76" s="1"/>
      <c r="N76" s="1"/>
      <c r="O76" s="1"/>
      <c r="P76" s="1" t="s">
        <v>2249</v>
      </c>
      <c r="Q76" s="1"/>
      <c r="R76" s="1"/>
      <c r="S76" s="1"/>
      <c r="T76" s="4"/>
      <c r="U76" s="4"/>
      <c r="V76" s="1"/>
      <c r="W76" s="1"/>
      <c r="X76" s="1"/>
      <c r="Y76"/>
      <c r="Z76"/>
      <c r="AA76"/>
      <c r="AB76"/>
      <c r="AC76"/>
      <c r="AD76"/>
      <c r="AE76"/>
      <c r="AF76"/>
      <c r="AG76"/>
      <c r="AH76"/>
      <c r="AI76"/>
      <c r="AJ76"/>
      <c r="AK76"/>
      <c r="AL76"/>
      <c r="AM76"/>
      <c r="AN76"/>
    </row>
    <row r="77" spans="1:40" ht="30" x14ac:dyDescent="0.25">
      <c r="A77" s="3" t="s">
        <v>1106</v>
      </c>
      <c r="B77" s="3"/>
      <c r="C77" s="1"/>
      <c r="D77" s="3"/>
      <c r="E77" s="3"/>
      <c r="F77" s="26">
        <v>3</v>
      </c>
      <c r="G77" s="3"/>
      <c r="H77" s="3"/>
      <c r="I77" s="3"/>
      <c r="J77" s="218" t="s">
        <v>2250</v>
      </c>
      <c r="K77" s="140" t="s">
        <v>2251</v>
      </c>
      <c r="L77" s="406" t="s">
        <v>2192</v>
      </c>
      <c r="M77" s="1"/>
      <c r="N77" s="1"/>
      <c r="O77" s="1"/>
      <c r="P77" s="1" t="s">
        <v>2252</v>
      </c>
      <c r="Q77" s="1"/>
      <c r="R77" s="1"/>
      <c r="S77" s="1"/>
      <c r="T77" s="4"/>
      <c r="U77" s="4"/>
      <c r="V77" s="1"/>
      <c r="W77" s="1"/>
      <c r="X77" s="1"/>
      <c r="Y77"/>
      <c r="Z77"/>
      <c r="AA77"/>
      <c r="AB77"/>
      <c r="AC77"/>
      <c r="AD77"/>
      <c r="AE77"/>
      <c r="AF77"/>
      <c r="AG77"/>
      <c r="AH77"/>
      <c r="AI77"/>
      <c r="AJ77"/>
      <c r="AK77"/>
      <c r="AL77"/>
      <c r="AM77"/>
      <c r="AN77"/>
    </row>
    <row r="78" spans="1:40" x14ac:dyDescent="0.25">
      <c r="A78" s="3" t="s">
        <v>1106</v>
      </c>
      <c r="B78" s="3"/>
      <c r="C78" s="1"/>
      <c r="D78" s="3"/>
      <c r="E78" s="3"/>
      <c r="F78" s="3"/>
      <c r="G78" s="26">
        <v>4</v>
      </c>
      <c r="H78" s="3"/>
      <c r="I78" s="3"/>
      <c r="J78" s="603" t="s">
        <v>2253</v>
      </c>
      <c r="K78" s="603" t="s">
        <v>2254</v>
      </c>
      <c r="L78" s="609" t="s">
        <v>2217</v>
      </c>
      <c r="M78" s="1"/>
      <c r="N78" s="1"/>
      <c r="O78" s="1"/>
      <c r="P78" s="1"/>
      <c r="Q78" s="1"/>
      <c r="R78" s="1"/>
      <c r="S78" s="1"/>
      <c r="T78" s="4"/>
      <c r="U78" s="4"/>
      <c r="V78" s="1"/>
      <c r="W78" s="1"/>
      <c r="X78" s="1"/>
      <c r="Y78"/>
      <c r="Z78"/>
      <c r="AA78"/>
      <c r="AB78"/>
      <c r="AC78"/>
      <c r="AD78"/>
      <c r="AE78"/>
      <c r="AF78"/>
      <c r="AG78"/>
      <c r="AH78"/>
      <c r="AI78"/>
      <c r="AJ78"/>
      <c r="AK78"/>
      <c r="AL78"/>
      <c r="AM78"/>
      <c r="AN78"/>
    </row>
    <row r="79" spans="1:40" x14ac:dyDescent="0.25">
      <c r="A79" s="3" t="s">
        <v>1106</v>
      </c>
      <c r="B79" s="3"/>
      <c r="C79" s="1"/>
      <c r="D79" s="3"/>
      <c r="E79" s="3"/>
      <c r="F79" s="26">
        <v>3</v>
      </c>
      <c r="G79" s="3"/>
      <c r="H79" s="3"/>
      <c r="I79" s="3"/>
      <c r="J79" s="218" t="s">
        <v>2255</v>
      </c>
      <c r="K79" s="140" t="s">
        <v>2256</v>
      </c>
      <c r="L79" s="406" t="s">
        <v>2192</v>
      </c>
      <c r="M79" s="1"/>
      <c r="N79" s="1"/>
      <c r="O79" s="1"/>
      <c r="P79" s="1" t="s">
        <v>2257</v>
      </c>
      <c r="Q79" s="1"/>
      <c r="R79" s="1"/>
      <c r="S79" s="1"/>
      <c r="T79" s="4"/>
      <c r="U79" s="4"/>
      <c r="V79" s="1"/>
      <c r="W79" s="1"/>
      <c r="X79" s="1"/>
      <c r="Y79"/>
      <c r="Z79"/>
      <c r="AA79"/>
      <c r="AB79"/>
      <c r="AC79"/>
      <c r="AD79"/>
      <c r="AE79"/>
      <c r="AF79"/>
      <c r="AG79"/>
      <c r="AH79"/>
      <c r="AI79"/>
      <c r="AJ79"/>
      <c r="AK79"/>
      <c r="AL79"/>
      <c r="AM79"/>
      <c r="AN79"/>
    </row>
    <row r="80" spans="1:40" ht="30" x14ac:dyDescent="0.25">
      <c r="A80" s="3" t="s">
        <v>1106</v>
      </c>
      <c r="B80" s="3"/>
      <c r="C80" s="1"/>
      <c r="D80" s="3"/>
      <c r="E80" s="3"/>
      <c r="F80" s="26">
        <v>3</v>
      </c>
      <c r="G80" s="3"/>
      <c r="H80" s="3"/>
      <c r="I80" s="3"/>
      <c r="J80" s="218" t="s">
        <v>2258</v>
      </c>
      <c r="K80" s="140" t="s">
        <v>2251</v>
      </c>
      <c r="L80" s="406" t="s">
        <v>2192</v>
      </c>
      <c r="M80" s="1"/>
      <c r="N80" s="1"/>
      <c r="O80" s="1"/>
      <c r="P80" s="1" t="s">
        <v>2259</v>
      </c>
      <c r="Q80" s="1"/>
      <c r="R80" s="1"/>
      <c r="S80" s="1"/>
      <c r="T80" s="4"/>
      <c r="U80" s="4"/>
      <c r="V80" s="1"/>
      <c r="W80" s="1"/>
      <c r="X80" s="1"/>
      <c r="Y80"/>
      <c r="Z80"/>
      <c r="AA80"/>
      <c r="AB80"/>
      <c r="AC80"/>
      <c r="AD80"/>
      <c r="AE80"/>
      <c r="AF80"/>
      <c r="AG80"/>
      <c r="AH80"/>
      <c r="AI80"/>
      <c r="AJ80"/>
      <c r="AK80"/>
      <c r="AL80"/>
      <c r="AM80"/>
      <c r="AN80"/>
    </row>
    <row r="81" spans="1:40" x14ac:dyDescent="0.25">
      <c r="A81" s="3" t="s">
        <v>1106</v>
      </c>
      <c r="B81" s="3"/>
      <c r="C81" s="1"/>
      <c r="D81" s="3"/>
      <c r="E81" s="3"/>
      <c r="F81" s="3"/>
      <c r="G81" s="26">
        <v>4</v>
      </c>
      <c r="H81" s="3"/>
      <c r="I81" s="3"/>
      <c r="J81" s="603" t="s">
        <v>2260</v>
      </c>
      <c r="K81" s="870" t="s">
        <v>2254</v>
      </c>
      <c r="L81" s="609" t="s">
        <v>2217</v>
      </c>
      <c r="M81" s="1"/>
      <c r="N81" s="1"/>
      <c r="O81" s="1"/>
      <c r="P81" s="1"/>
      <c r="Q81" s="1"/>
      <c r="R81" s="1"/>
      <c r="S81" s="1"/>
      <c r="T81" s="4"/>
      <c r="U81" s="4"/>
      <c r="V81" s="1"/>
      <c r="W81" s="1"/>
      <c r="X81" s="1"/>
      <c r="Y81"/>
      <c r="Z81"/>
      <c r="AA81"/>
      <c r="AB81"/>
      <c r="AC81"/>
      <c r="AD81"/>
      <c r="AE81"/>
      <c r="AF81"/>
      <c r="AG81"/>
      <c r="AH81"/>
      <c r="AI81"/>
      <c r="AJ81"/>
      <c r="AK81"/>
      <c r="AL81"/>
      <c r="AM81"/>
      <c r="AN81"/>
    </row>
    <row r="82" spans="1:40" x14ac:dyDescent="0.25">
      <c r="A82" s="3" t="s">
        <v>1106</v>
      </c>
      <c r="B82" s="3"/>
      <c r="C82" s="1"/>
      <c r="D82" s="3"/>
      <c r="E82" s="3"/>
      <c r="F82" s="3"/>
      <c r="G82" s="26">
        <v>4</v>
      </c>
      <c r="H82" s="3"/>
      <c r="I82" s="3"/>
      <c r="J82" s="218" t="s">
        <v>2261</v>
      </c>
      <c r="K82" s="218" t="s">
        <v>2262</v>
      </c>
      <c r="L82" s="406" t="s">
        <v>2192</v>
      </c>
      <c r="M82" s="1"/>
      <c r="N82" s="1"/>
      <c r="O82" s="1"/>
      <c r="P82" s="1"/>
      <c r="Q82" s="1"/>
      <c r="R82" s="1"/>
      <c r="S82" s="1"/>
      <c r="T82" s="4"/>
      <c r="U82" s="4"/>
      <c r="V82" s="1"/>
      <c r="W82" s="1"/>
      <c r="X82" s="1"/>
      <c r="Y82"/>
      <c r="Z82"/>
      <c r="AA82"/>
      <c r="AB82"/>
      <c r="AC82"/>
      <c r="AD82"/>
      <c r="AE82"/>
      <c r="AF82"/>
      <c r="AG82"/>
      <c r="AH82"/>
      <c r="AI82"/>
      <c r="AJ82"/>
      <c r="AK82"/>
      <c r="AL82"/>
      <c r="AM82"/>
      <c r="AN82"/>
    </row>
    <row r="83" spans="1:40" x14ac:dyDescent="0.25">
      <c r="A83" s="3"/>
      <c r="B83" s="3"/>
      <c r="C83" s="1"/>
      <c r="D83" s="3"/>
      <c r="E83" s="3"/>
      <c r="F83" s="26">
        <v>3</v>
      </c>
      <c r="G83" s="3"/>
      <c r="H83" s="3"/>
      <c r="I83" s="3"/>
      <c r="J83" s="869" t="s">
        <v>2475</v>
      </c>
      <c r="K83" s="218"/>
      <c r="L83" s="406"/>
      <c r="M83" s="1"/>
      <c r="N83" s="1"/>
      <c r="O83" s="1"/>
      <c r="P83" s="1"/>
      <c r="Q83" s="1"/>
      <c r="R83" s="1"/>
      <c r="S83" s="1"/>
      <c r="T83" s="4"/>
      <c r="U83" s="4"/>
      <c r="V83" s="1"/>
      <c r="W83" s="1"/>
      <c r="X83" s="1"/>
      <c r="Y83"/>
      <c r="Z83"/>
      <c r="AA83"/>
      <c r="AB83"/>
      <c r="AC83"/>
      <c r="AD83"/>
      <c r="AE83"/>
      <c r="AF83"/>
      <c r="AG83"/>
      <c r="AH83"/>
      <c r="AI83"/>
      <c r="AJ83"/>
      <c r="AK83"/>
      <c r="AL83"/>
      <c r="AM83"/>
      <c r="AN83"/>
    </row>
    <row r="84" spans="1:40" x14ac:dyDescent="0.25">
      <c r="A84" s="3" t="s">
        <v>1106</v>
      </c>
      <c r="B84" s="3"/>
      <c r="C84" s="1"/>
      <c r="D84" s="3"/>
      <c r="E84" s="3"/>
      <c r="F84" s="26">
        <v>3</v>
      </c>
      <c r="G84" s="3"/>
      <c r="H84" s="3"/>
      <c r="I84" s="3"/>
      <c r="J84" s="218" t="s">
        <v>2263</v>
      </c>
      <c r="K84" s="218" t="s">
        <v>2264</v>
      </c>
      <c r="L84" s="406" t="s">
        <v>2192</v>
      </c>
      <c r="M84" s="1"/>
      <c r="N84" s="1"/>
      <c r="O84" s="1"/>
      <c r="P84" s="1" t="s">
        <v>2265</v>
      </c>
      <c r="Q84" s="1"/>
      <c r="R84" s="1"/>
      <c r="S84" s="1"/>
      <c r="T84" s="4"/>
      <c r="U84" s="4"/>
      <c r="V84" s="1"/>
      <c r="W84" s="1"/>
      <c r="X84" s="1"/>
      <c r="Y84"/>
      <c r="Z84"/>
      <c r="AA84"/>
      <c r="AB84"/>
      <c r="AC84"/>
      <c r="AD84"/>
      <c r="AE84"/>
      <c r="AF84"/>
      <c r="AG84"/>
      <c r="AH84"/>
      <c r="AI84"/>
      <c r="AJ84"/>
      <c r="AK84"/>
      <c r="AL84"/>
      <c r="AM84"/>
      <c r="AN84"/>
    </row>
    <row r="85" spans="1:40" x14ac:dyDescent="0.2">
      <c r="A85" s="3" t="s">
        <v>1106</v>
      </c>
      <c r="B85" s="3"/>
      <c r="C85" s="218"/>
      <c r="D85" s="342"/>
      <c r="E85" s="342"/>
      <c r="F85" s="26">
        <v>3</v>
      </c>
      <c r="G85" s="342"/>
      <c r="H85" s="342"/>
      <c r="I85" s="342"/>
      <c r="J85" s="218" t="s">
        <v>1547</v>
      </c>
      <c r="K85" s="218" t="s">
        <v>2266</v>
      </c>
      <c r="L85" s="406" t="s">
        <v>2192</v>
      </c>
      <c r="M85" s="218"/>
      <c r="N85" s="218"/>
      <c r="O85" s="218"/>
      <c r="P85" s="218"/>
      <c r="Q85" s="218"/>
      <c r="R85" s="218"/>
      <c r="S85" s="218"/>
      <c r="T85" s="441"/>
      <c r="U85" s="441"/>
      <c r="V85" s="218"/>
      <c r="W85" s="218"/>
      <c r="X85" s="218"/>
      <c r="Y85" s="31"/>
      <c r="Z85" s="31"/>
      <c r="AA85" s="31"/>
      <c r="AB85" s="31"/>
      <c r="AC85" s="31"/>
      <c r="AD85" s="31"/>
      <c r="AE85" s="31"/>
      <c r="AF85" s="31"/>
      <c r="AG85" s="31"/>
      <c r="AH85" s="31"/>
      <c r="AI85" s="31"/>
      <c r="AJ85" s="31"/>
      <c r="AK85" s="31"/>
      <c r="AL85" s="31"/>
      <c r="AM85" s="31"/>
      <c r="AN85" s="31"/>
    </row>
    <row r="86" spans="1:40" x14ac:dyDescent="0.2">
      <c r="A86" s="3" t="s">
        <v>1106</v>
      </c>
      <c r="B86" s="3"/>
      <c r="C86" s="218"/>
      <c r="D86" s="342"/>
      <c r="E86" s="342"/>
      <c r="F86" s="342"/>
      <c r="G86" s="26">
        <v>4</v>
      </c>
      <c r="H86" s="342"/>
      <c r="I86" s="342"/>
      <c r="J86" s="218" t="s">
        <v>2267</v>
      </c>
      <c r="K86" s="218" t="s">
        <v>2268</v>
      </c>
      <c r="L86" s="406" t="s">
        <v>2192</v>
      </c>
      <c r="M86" s="218"/>
      <c r="N86" s="218"/>
      <c r="O86" s="218"/>
      <c r="P86" s="218"/>
      <c r="Q86" s="218"/>
      <c r="R86" s="218"/>
      <c r="S86" s="218"/>
      <c r="T86" s="441"/>
      <c r="U86" s="441"/>
      <c r="V86" s="218"/>
      <c r="W86" s="218"/>
      <c r="X86" s="218"/>
      <c r="Y86" s="31"/>
      <c r="Z86" s="31"/>
      <c r="AA86" s="31"/>
      <c r="AB86" s="31"/>
      <c r="AC86" s="31"/>
      <c r="AD86" s="31"/>
      <c r="AE86" s="31"/>
      <c r="AF86" s="31"/>
      <c r="AG86" s="31"/>
      <c r="AH86" s="31"/>
      <c r="AI86" s="31"/>
      <c r="AJ86" s="31"/>
      <c r="AK86" s="31"/>
      <c r="AL86" s="31"/>
      <c r="AM86" s="31"/>
      <c r="AN86" s="31"/>
    </row>
    <row r="87" spans="1:40" x14ac:dyDescent="0.2">
      <c r="A87" s="3" t="s">
        <v>1106</v>
      </c>
      <c r="B87" s="3"/>
      <c r="C87" s="218"/>
      <c r="D87" s="342"/>
      <c r="E87" s="342"/>
      <c r="F87" s="342"/>
      <c r="G87" s="26">
        <v>4</v>
      </c>
      <c r="H87" s="342"/>
      <c r="I87" s="342"/>
      <c r="J87" s="603" t="s">
        <v>2269</v>
      </c>
      <c r="K87" s="603" t="s">
        <v>2270</v>
      </c>
      <c r="L87" s="609" t="s">
        <v>2217</v>
      </c>
      <c r="M87" s="218"/>
      <c r="N87" s="218"/>
      <c r="O87" s="218"/>
      <c r="P87" s="218"/>
      <c r="Q87" s="218"/>
      <c r="R87" s="218"/>
      <c r="S87" s="218"/>
      <c r="T87" s="441"/>
      <c r="U87" s="441"/>
      <c r="V87" s="218"/>
      <c r="W87" s="218"/>
      <c r="X87" s="218"/>
      <c r="Y87" s="31"/>
      <c r="Z87" s="31"/>
      <c r="AA87" s="31"/>
      <c r="AB87" s="31"/>
      <c r="AC87" s="31"/>
      <c r="AD87" s="31"/>
      <c r="AE87" s="31"/>
      <c r="AF87" s="31"/>
      <c r="AG87" s="31"/>
      <c r="AH87" s="31"/>
      <c r="AI87" s="31"/>
      <c r="AJ87" s="31"/>
      <c r="AK87" s="31"/>
      <c r="AL87" s="31"/>
      <c r="AM87" s="31"/>
      <c r="AN87" s="31"/>
    </row>
    <row r="88" spans="1:40" x14ac:dyDescent="0.2">
      <c r="A88" s="3" t="s">
        <v>1106</v>
      </c>
      <c r="B88" s="3"/>
      <c r="C88" s="218"/>
      <c r="D88" s="342"/>
      <c r="E88" s="342"/>
      <c r="F88" s="342"/>
      <c r="G88" s="26">
        <v>4</v>
      </c>
      <c r="H88" s="342"/>
      <c r="I88" s="342"/>
      <c r="J88" s="218" t="s">
        <v>2271</v>
      </c>
      <c r="K88" s="218" t="s">
        <v>2272</v>
      </c>
      <c r="L88" s="406" t="s">
        <v>2192</v>
      </c>
      <c r="M88" s="218"/>
      <c r="N88" s="218"/>
      <c r="O88" s="218"/>
      <c r="P88" s="218"/>
      <c r="Q88" s="218"/>
      <c r="R88" s="218"/>
      <c r="S88" s="218"/>
      <c r="T88" s="441"/>
      <c r="U88" s="441"/>
      <c r="V88" s="218"/>
      <c r="W88" s="218"/>
      <c r="X88" s="218"/>
      <c r="Y88" s="31"/>
      <c r="Z88" s="31"/>
      <c r="AA88" s="31"/>
      <c r="AB88" s="31"/>
      <c r="AC88" s="31"/>
      <c r="AD88" s="31"/>
      <c r="AE88" s="31"/>
      <c r="AF88" s="31"/>
      <c r="AG88" s="31"/>
      <c r="AH88" s="31"/>
      <c r="AI88" s="31"/>
      <c r="AJ88" s="31"/>
      <c r="AK88" s="31"/>
      <c r="AL88" s="31"/>
      <c r="AM88" s="31"/>
      <c r="AN88" s="31"/>
    </row>
    <row r="89" spans="1:40" x14ac:dyDescent="0.2">
      <c r="A89" s="3" t="s">
        <v>1106</v>
      </c>
      <c r="B89" s="3"/>
      <c r="C89" s="218"/>
      <c r="D89" s="342"/>
      <c r="E89" s="342"/>
      <c r="F89" s="26">
        <v>3</v>
      </c>
      <c r="G89" s="342"/>
      <c r="H89" s="342"/>
      <c r="I89" s="342"/>
      <c r="J89" s="218" t="s">
        <v>1552</v>
      </c>
      <c r="K89" s="218" t="s">
        <v>2266</v>
      </c>
      <c r="L89" s="406" t="s">
        <v>2192</v>
      </c>
      <c r="M89" s="218"/>
      <c r="N89" s="218"/>
      <c r="O89" s="218"/>
      <c r="P89" s="218"/>
      <c r="Q89" s="218"/>
      <c r="R89" s="218"/>
      <c r="S89" s="218"/>
      <c r="T89" s="441"/>
      <c r="U89" s="441"/>
      <c r="V89" s="218"/>
      <c r="W89" s="218"/>
      <c r="X89" s="218"/>
      <c r="Y89" s="31"/>
      <c r="Z89" s="31"/>
      <c r="AA89" s="31"/>
      <c r="AB89" s="31"/>
      <c r="AC89" s="31"/>
      <c r="AD89" s="31"/>
      <c r="AE89" s="31"/>
      <c r="AF89" s="31"/>
      <c r="AG89" s="31"/>
      <c r="AH89" s="31"/>
      <c r="AI89" s="31"/>
      <c r="AJ89" s="31"/>
      <c r="AK89" s="31"/>
      <c r="AL89" s="31"/>
      <c r="AM89" s="31"/>
      <c r="AN89" s="31"/>
    </row>
    <row r="90" spans="1:40" x14ac:dyDescent="0.2">
      <c r="A90" s="3" t="s">
        <v>1106</v>
      </c>
      <c r="B90" s="3"/>
      <c r="C90" s="218"/>
      <c r="D90" s="342"/>
      <c r="E90" s="342"/>
      <c r="F90" s="342"/>
      <c r="G90" s="26">
        <v>4</v>
      </c>
      <c r="H90" s="342"/>
      <c r="I90" s="342"/>
      <c r="J90" s="218" t="s">
        <v>2273</v>
      </c>
      <c r="K90" s="218" t="s">
        <v>2274</v>
      </c>
      <c r="L90" s="406" t="s">
        <v>2192</v>
      </c>
      <c r="M90" s="218"/>
      <c r="N90" s="218"/>
      <c r="O90" s="218"/>
      <c r="P90" s="218"/>
      <c r="Q90" s="218"/>
      <c r="R90" s="218"/>
      <c r="S90" s="218"/>
      <c r="T90" s="441"/>
      <c r="U90" s="441"/>
      <c r="V90" s="218"/>
      <c r="W90" s="218"/>
      <c r="X90" s="218"/>
      <c r="Y90" s="31"/>
      <c r="Z90" s="31"/>
      <c r="AA90" s="31"/>
      <c r="AB90" s="31"/>
      <c r="AC90" s="31"/>
      <c r="AD90" s="31"/>
      <c r="AE90" s="31"/>
      <c r="AF90" s="31"/>
      <c r="AG90" s="31"/>
      <c r="AH90" s="31"/>
      <c r="AI90" s="31"/>
      <c r="AJ90" s="31"/>
      <c r="AK90" s="31"/>
      <c r="AL90" s="31"/>
      <c r="AM90" s="31"/>
      <c r="AN90" s="31"/>
    </row>
    <row r="91" spans="1:40" x14ac:dyDescent="0.2">
      <c r="A91" s="3" t="s">
        <v>1106</v>
      </c>
      <c r="B91" s="3"/>
      <c r="C91" s="218"/>
      <c r="D91" s="342"/>
      <c r="E91" s="342"/>
      <c r="F91" s="342"/>
      <c r="G91" s="26">
        <v>4</v>
      </c>
      <c r="H91" s="342"/>
      <c r="I91" s="342"/>
      <c r="J91" s="603" t="s">
        <v>2275</v>
      </c>
      <c r="K91" s="603" t="s">
        <v>2276</v>
      </c>
      <c r="L91" s="609" t="s">
        <v>2217</v>
      </c>
      <c r="M91" s="218"/>
      <c r="N91" s="218"/>
      <c r="O91" s="218"/>
      <c r="P91" s="218"/>
      <c r="Q91" s="218"/>
      <c r="R91" s="218"/>
      <c r="S91" s="218"/>
      <c r="T91" s="441"/>
      <c r="U91" s="441"/>
      <c r="V91" s="218"/>
      <c r="W91" s="218"/>
      <c r="X91" s="218"/>
      <c r="Y91" s="31"/>
      <c r="Z91" s="31"/>
      <c r="AA91" s="31"/>
      <c r="AB91" s="31"/>
      <c r="AC91" s="31"/>
      <c r="AD91" s="31"/>
      <c r="AE91" s="31"/>
      <c r="AF91" s="31"/>
      <c r="AG91" s="31"/>
      <c r="AH91" s="31"/>
      <c r="AI91" s="31"/>
      <c r="AJ91" s="31"/>
      <c r="AK91" s="31"/>
      <c r="AL91" s="31"/>
      <c r="AM91" s="31"/>
      <c r="AN91" s="31"/>
    </row>
    <row r="92" spans="1:40" x14ac:dyDescent="0.2">
      <c r="A92" s="3" t="s">
        <v>1106</v>
      </c>
      <c r="B92" s="3"/>
      <c r="C92" s="218"/>
      <c r="D92" s="342"/>
      <c r="E92" s="342"/>
      <c r="F92" s="342"/>
      <c r="G92" s="26">
        <v>4</v>
      </c>
      <c r="H92" s="342"/>
      <c r="I92" s="342"/>
      <c r="J92" s="218" t="s">
        <v>2277</v>
      </c>
      <c r="K92" s="218" t="s">
        <v>2278</v>
      </c>
      <c r="L92" s="406" t="s">
        <v>2192</v>
      </c>
      <c r="M92" s="218"/>
      <c r="N92" s="218"/>
      <c r="O92" s="218"/>
      <c r="P92" s="218"/>
      <c r="Q92" s="218"/>
      <c r="R92" s="218"/>
      <c r="S92" s="218"/>
      <c r="T92" s="441"/>
      <c r="U92" s="441"/>
      <c r="V92" s="218"/>
      <c r="W92" s="218"/>
      <c r="X92" s="218"/>
      <c r="Y92" s="31"/>
      <c r="Z92" s="31"/>
      <c r="AA92" s="31"/>
      <c r="AB92" s="31"/>
      <c r="AC92" s="31"/>
      <c r="AD92" s="31"/>
      <c r="AE92" s="31"/>
      <c r="AF92" s="31"/>
      <c r="AG92" s="31"/>
      <c r="AH92" s="31"/>
      <c r="AI92" s="31"/>
      <c r="AJ92" s="31"/>
      <c r="AK92" s="31"/>
      <c r="AL92" s="31"/>
      <c r="AM92" s="31"/>
      <c r="AN92" s="31"/>
    </row>
    <row r="93" spans="1:40" x14ac:dyDescent="0.2">
      <c r="A93" s="3" t="s">
        <v>1106</v>
      </c>
      <c r="B93" s="3"/>
      <c r="C93" s="218"/>
      <c r="D93" s="342"/>
      <c r="E93" s="342"/>
      <c r="F93" s="342"/>
      <c r="G93" s="26">
        <v>4</v>
      </c>
      <c r="H93" s="342"/>
      <c r="I93" s="342"/>
      <c r="J93" s="218" t="s">
        <v>2279</v>
      </c>
      <c r="K93" s="218" t="s">
        <v>2280</v>
      </c>
      <c r="L93" s="406" t="s">
        <v>2192</v>
      </c>
      <c r="M93" s="218"/>
      <c r="N93" s="218"/>
      <c r="O93" s="218"/>
      <c r="P93" s="218"/>
      <c r="Q93" s="218"/>
      <c r="R93" s="218"/>
      <c r="S93" s="218"/>
      <c r="T93" s="441"/>
      <c r="U93" s="441"/>
      <c r="V93" s="218"/>
      <c r="W93" s="218"/>
      <c r="X93" s="218"/>
      <c r="Y93" s="31"/>
      <c r="Z93" s="31"/>
      <c r="AA93" s="31"/>
      <c r="AB93" s="31"/>
      <c r="AC93" s="31"/>
      <c r="AD93" s="31"/>
      <c r="AE93" s="31"/>
      <c r="AF93" s="31"/>
      <c r="AG93" s="31"/>
      <c r="AH93" s="31"/>
      <c r="AI93" s="31"/>
      <c r="AJ93" s="31"/>
      <c r="AK93" s="31"/>
      <c r="AL93" s="31"/>
      <c r="AM93" s="31"/>
      <c r="AN93" s="31"/>
    </row>
    <row r="94" spans="1:40" x14ac:dyDescent="0.2">
      <c r="A94" s="3" t="s">
        <v>1106</v>
      </c>
      <c r="B94" s="3"/>
      <c r="C94" s="218"/>
      <c r="D94" s="342"/>
      <c r="E94" s="342"/>
      <c r="F94" s="342"/>
      <c r="G94" s="26">
        <v>4</v>
      </c>
      <c r="H94" s="342"/>
      <c r="I94" s="342"/>
      <c r="J94" s="218" t="s">
        <v>2281</v>
      </c>
      <c r="K94" s="218" t="s">
        <v>2282</v>
      </c>
      <c r="L94" s="406" t="s">
        <v>2192</v>
      </c>
      <c r="M94" s="218"/>
      <c r="N94" s="218"/>
      <c r="O94" s="218"/>
      <c r="P94" s="218"/>
      <c r="Q94" s="218"/>
      <c r="R94" s="218"/>
      <c r="S94" s="218"/>
      <c r="T94" s="441"/>
      <c r="U94" s="441"/>
      <c r="V94" s="218"/>
      <c r="W94" s="218"/>
      <c r="X94" s="218"/>
      <c r="Y94" s="31"/>
      <c r="Z94" s="31"/>
      <c r="AA94" s="31"/>
      <c r="AB94" s="31"/>
      <c r="AC94" s="31"/>
      <c r="AD94" s="31"/>
      <c r="AE94" s="31"/>
      <c r="AF94" s="31"/>
      <c r="AG94" s="31"/>
      <c r="AH94" s="31"/>
      <c r="AI94" s="31"/>
      <c r="AJ94" s="31"/>
      <c r="AK94" s="31"/>
      <c r="AL94" s="31"/>
      <c r="AM94" s="31"/>
      <c r="AN94" s="31"/>
    </row>
    <row r="95" spans="1:40" x14ac:dyDescent="0.2">
      <c r="A95" s="3" t="s">
        <v>1106</v>
      </c>
      <c r="B95" s="3"/>
      <c r="C95" s="218"/>
      <c r="D95" s="342"/>
      <c r="E95" s="342"/>
      <c r="F95" s="342"/>
      <c r="G95" s="26">
        <v>4</v>
      </c>
      <c r="H95" s="342"/>
      <c r="I95" s="342"/>
      <c r="J95" s="218" t="s">
        <v>2283</v>
      </c>
      <c r="K95" s="218" t="s">
        <v>2284</v>
      </c>
      <c r="L95" s="406" t="s">
        <v>2192</v>
      </c>
      <c r="M95" s="218"/>
      <c r="N95" s="218"/>
      <c r="O95" s="218"/>
      <c r="P95" s="218" t="s">
        <v>2285</v>
      </c>
      <c r="Q95" s="218"/>
      <c r="R95" s="218"/>
      <c r="S95" s="218"/>
      <c r="T95" s="441"/>
      <c r="U95" s="441"/>
      <c r="V95" s="218"/>
      <c r="W95" s="218"/>
      <c r="X95" s="218"/>
      <c r="Y95" s="31"/>
      <c r="Z95" s="31"/>
      <c r="AA95" s="31"/>
      <c r="AB95" s="31"/>
      <c r="AC95" s="31"/>
      <c r="AD95" s="31"/>
      <c r="AE95" s="31"/>
      <c r="AF95" s="31"/>
      <c r="AG95" s="31"/>
      <c r="AH95" s="31"/>
      <c r="AI95" s="31"/>
      <c r="AJ95" s="31"/>
      <c r="AK95" s="31"/>
      <c r="AL95" s="31"/>
      <c r="AM95" s="31"/>
      <c r="AN95" s="31"/>
    </row>
    <row r="96" spans="1:40" x14ac:dyDescent="0.2">
      <c r="A96" s="3" t="s">
        <v>1106</v>
      </c>
      <c r="B96" s="3"/>
      <c r="C96" s="218"/>
      <c r="D96" s="342"/>
      <c r="E96" s="342"/>
      <c r="F96" s="342"/>
      <c r="G96" s="26">
        <v>4</v>
      </c>
      <c r="H96" s="342"/>
      <c r="I96" s="342"/>
      <c r="J96" s="218" t="s">
        <v>2286</v>
      </c>
      <c r="K96" s="218" t="s">
        <v>2287</v>
      </c>
      <c r="L96" s="72" t="s">
        <v>358</v>
      </c>
      <c r="M96" s="218"/>
      <c r="N96" s="218"/>
      <c r="O96" s="218"/>
      <c r="P96" s="218"/>
      <c r="Q96" s="218"/>
      <c r="R96" s="218"/>
      <c r="S96" s="218"/>
      <c r="T96" s="441"/>
      <c r="U96" s="441"/>
      <c r="V96" s="218"/>
      <c r="W96" s="218"/>
      <c r="X96" s="218"/>
      <c r="Y96" s="31"/>
      <c r="Z96" s="31"/>
      <c r="AA96" s="31"/>
      <c r="AB96" s="31"/>
      <c r="AC96" s="31"/>
      <c r="AD96" s="31"/>
      <c r="AE96" s="31"/>
      <c r="AF96" s="31"/>
      <c r="AG96" s="31"/>
      <c r="AH96" s="31"/>
      <c r="AI96" s="31"/>
      <c r="AJ96" s="31"/>
      <c r="AK96" s="31"/>
      <c r="AL96" s="31"/>
      <c r="AM96" s="31"/>
      <c r="AN96" s="31"/>
    </row>
    <row r="97" spans="1:40" x14ac:dyDescent="0.2">
      <c r="A97" s="3" t="s">
        <v>1106</v>
      </c>
      <c r="B97" s="3"/>
      <c r="C97" s="218"/>
      <c r="D97" s="342"/>
      <c r="E97" s="342"/>
      <c r="F97" s="342"/>
      <c r="G97" s="26">
        <v>4</v>
      </c>
      <c r="H97" s="342"/>
      <c r="I97" s="342"/>
      <c r="J97" s="218" t="s">
        <v>2288</v>
      </c>
      <c r="K97" s="218" t="s">
        <v>2289</v>
      </c>
      <c r="L97" s="406" t="s">
        <v>2192</v>
      </c>
      <c r="M97" s="218"/>
      <c r="N97" s="218"/>
      <c r="O97" s="218"/>
      <c r="P97" s="218"/>
      <c r="Q97" s="218"/>
      <c r="R97" s="218"/>
      <c r="S97" s="218"/>
      <c r="T97" s="441"/>
      <c r="U97" s="441"/>
      <c r="V97" s="218"/>
      <c r="W97" s="218"/>
      <c r="X97" s="218"/>
      <c r="Y97" s="31"/>
      <c r="Z97" s="31"/>
      <c r="AA97" s="31"/>
      <c r="AB97" s="31"/>
      <c r="AC97" s="31"/>
      <c r="AD97" s="31"/>
      <c r="AE97" s="31"/>
      <c r="AF97" s="31"/>
      <c r="AG97" s="31"/>
      <c r="AH97" s="31"/>
      <c r="AI97" s="31"/>
      <c r="AJ97" s="31"/>
      <c r="AK97" s="31"/>
      <c r="AL97" s="31"/>
      <c r="AM97" s="31"/>
      <c r="AN97" s="31"/>
    </row>
    <row r="98" spans="1:40" x14ac:dyDescent="0.2">
      <c r="A98" s="3" t="s">
        <v>1106</v>
      </c>
      <c r="B98" s="3"/>
      <c r="C98" s="218"/>
      <c r="D98" s="342"/>
      <c r="E98" s="342"/>
      <c r="F98" s="342"/>
      <c r="G98" s="26">
        <v>4</v>
      </c>
      <c r="H98" s="342"/>
      <c r="I98" s="342"/>
      <c r="J98" s="218" t="s">
        <v>2290</v>
      </c>
      <c r="K98" s="218" t="s">
        <v>2291</v>
      </c>
      <c r="L98" s="406" t="s">
        <v>2195</v>
      </c>
      <c r="M98" s="218"/>
      <c r="N98" s="218"/>
      <c r="O98" s="218"/>
      <c r="P98" s="218" t="s">
        <v>2292</v>
      </c>
      <c r="Q98" s="218"/>
      <c r="R98" s="218"/>
      <c r="S98" s="218"/>
      <c r="T98" s="441"/>
      <c r="U98" s="441"/>
      <c r="V98" s="218"/>
      <c r="W98" s="218"/>
      <c r="X98" s="218"/>
      <c r="Y98" s="31"/>
      <c r="Z98" s="31"/>
      <c r="AA98" s="31"/>
      <c r="AB98" s="31"/>
      <c r="AC98" s="31"/>
      <c r="AD98" s="31"/>
      <c r="AE98" s="31"/>
      <c r="AF98" s="31"/>
      <c r="AG98" s="31"/>
      <c r="AH98" s="31"/>
      <c r="AI98" s="31"/>
      <c r="AJ98" s="31"/>
      <c r="AK98" s="31"/>
      <c r="AL98" s="31"/>
      <c r="AM98" s="31"/>
      <c r="AN98" s="31"/>
    </row>
    <row r="99" spans="1:40" x14ac:dyDescent="0.2">
      <c r="A99" s="3"/>
      <c r="B99" s="3"/>
      <c r="C99" s="218"/>
      <c r="D99" s="342"/>
      <c r="E99" s="342"/>
      <c r="F99" s="342"/>
      <c r="G99" s="26">
        <v>4</v>
      </c>
      <c r="H99" s="342"/>
      <c r="I99" s="342"/>
      <c r="J99" s="869" t="s">
        <v>2293</v>
      </c>
      <c r="K99" s="218"/>
      <c r="L99" s="406"/>
      <c r="M99" s="218"/>
      <c r="N99" s="218"/>
      <c r="O99" s="218"/>
      <c r="P99" s="218"/>
      <c r="Q99" s="218"/>
      <c r="R99" s="218"/>
      <c r="S99" s="218"/>
      <c r="T99" s="441"/>
      <c r="U99" s="441"/>
      <c r="V99" s="218"/>
      <c r="W99" s="218"/>
      <c r="X99" s="218"/>
      <c r="Y99" s="31"/>
      <c r="Z99" s="31"/>
      <c r="AA99" s="31"/>
      <c r="AB99" s="31"/>
      <c r="AC99" s="31"/>
      <c r="AD99" s="31"/>
      <c r="AE99" s="31"/>
      <c r="AF99" s="31"/>
      <c r="AG99" s="31"/>
      <c r="AH99" s="31"/>
      <c r="AI99" s="31"/>
      <c r="AJ99" s="31"/>
      <c r="AK99" s="31"/>
      <c r="AL99" s="31"/>
      <c r="AM99" s="31"/>
      <c r="AN99" s="31"/>
    </row>
    <row r="100" spans="1:40" x14ac:dyDescent="0.2">
      <c r="A100" s="3"/>
      <c r="B100" s="3"/>
      <c r="C100" s="218"/>
      <c r="D100" s="342"/>
      <c r="E100" s="342"/>
      <c r="F100" s="342"/>
      <c r="G100" s="26">
        <v>4</v>
      </c>
      <c r="H100" s="342"/>
      <c r="I100" s="342"/>
      <c r="J100" s="218" t="s">
        <v>2294</v>
      </c>
      <c r="K100" s="218" t="s">
        <v>2295</v>
      </c>
      <c r="L100" s="406" t="s">
        <v>2195</v>
      </c>
      <c r="M100" s="218"/>
      <c r="N100" s="218"/>
      <c r="O100" s="218"/>
      <c r="P100" s="218" t="s">
        <v>2296</v>
      </c>
      <c r="Q100" s="218"/>
      <c r="R100" s="218"/>
      <c r="S100" s="218"/>
      <c r="T100" s="441"/>
      <c r="U100" s="441"/>
      <c r="V100" s="218"/>
      <c r="W100" s="218"/>
      <c r="X100" s="218"/>
      <c r="Y100" s="31"/>
      <c r="Z100" s="31"/>
      <c r="AA100" s="31"/>
      <c r="AB100" s="31"/>
      <c r="AC100" s="31"/>
      <c r="AD100" s="31"/>
      <c r="AE100" s="31"/>
      <c r="AF100" s="31"/>
      <c r="AG100" s="31"/>
      <c r="AH100" s="31"/>
      <c r="AI100" s="31"/>
      <c r="AJ100" s="31"/>
      <c r="AK100" s="31"/>
      <c r="AL100" s="31"/>
      <c r="AM100" s="31"/>
      <c r="AN100" s="31"/>
    </row>
    <row r="101" spans="1:40" x14ac:dyDescent="0.2">
      <c r="A101" s="3"/>
      <c r="B101" s="3"/>
      <c r="C101" s="12"/>
      <c r="D101" s="375"/>
      <c r="E101" s="862">
        <v>2</v>
      </c>
      <c r="F101" s="1168" t="s">
        <v>1152</v>
      </c>
      <c r="G101" s="1169"/>
      <c r="H101" s="1169"/>
      <c r="I101" s="1169"/>
      <c r="J101" s="1169"/>
      <c r="K101" s="1169"/>
      <c r="L101" s="1169"/>
      <c r="M101" s="1169"/>
      <c r="N101" s="1169"/>
      <c r="O101" s="1169"/>
      <c r="P101" s="1169"/>
      <c r="Q101" s="1169"/>
      <c r="R101" s="1169"/>
      <c r="S101" s="1169"/>
      <c r="T101" s="1169"/>
      <c r="U101" s="1169"/>
      <c r="V101" s="1169"/>
      <c r="W101" s="1169"/>
      <c r="X101" s="1169"/>
      <c r="Y101" s="1169"/>
      <c r="Z101" s="1170"/>
      <c r="AA101" s="861"/>
      <c r="AB101" s="861"/>
      <c r="AC101" s="861"/>
      <c r="AD101" s="861"/>
      <c r="AE101" s="861"/>
      <c r="AF101" s="861"/>
      <c r="AG101" s="861"/>
      <c r="AH101" s="861"/>
      <c r="AI101" s="861"/>
      <c r="AJ101" s="861"/>
      <c r="AK101" s="861"/>
      <c r="AL101" s="861"/>
      <c r="AM101" s="861"/>
      <c r="AN101" s="861"/>
    </row>
    <row r="102" spans="1:40" x14ac:dyDescent="0.2">
      <c r="A102" s="3"/>
      <c r="B102" s="3"/>
      <c r="C102" s="218"/>
      <c r="D102" s="342"/>
      <c r="E102" s="308"/>
      <c r="F102" s="26">
        <v>3</v>
      </c>
      <c r="G102" s="342"/>
      <c r="H102" s="342"/>
      <c r="I102" s="342"/>
      <c r="J102" s="608" t="s">
        <v>2476</v>
      </c>
      <c r="K102" s="607" t="s">
        <v>2298</v>
      </c>
      <c r="L102" s="464"/>
      <c r="M102" s="218"/>
      <c r="N102" s="218"/>
      <c r="O102" s="218"/>
      <c r="P102" s="218"/>
      <c r="Q102" s="218"/>
      <c r="R102" s="218"/>
      <c r="S102" s="218"/>
      <c r="T102" s="441"/>
      <c r="U102" s="441"/>
      <c r="V102" s="218"/>
      <c r="W102" s="218"/>
      <c r="X102" s="218"/>
      <c r="Y102" s="31"/>
      <c r="Z102" s="31"/>
      <c r="AA102" s="31"/>
      <c r="AB102" s="31"/>
      <c r="AC102" s="31"/>
      <c r="AD102" s="31"/>
      <c r="AE102" s="31"/>
      <c r="AF102" s="31"/>
      <c r="AG102" s="31"/>
      <c r="AH102" s="31"/>
      <c r="AI102" s="31"/>
      <c r="AJ102" s="31"/>
      <c r="AK102" s="31"/>
      <c r="AL102" s="31"/>
      <c r="AM102" s="31"/>
      <c r="AN102" s="31"/>
    </row>
    <row r="103" spans="1:40" x14ac:dyDescent="0.2">
      <c r="A103" s="3"/>
      <c r="B103" s="3"/>
      <c r="C103" s="12"/>
      <c r="D103" s="375"/>
      <c r="E103" s="862">
        <v>2</v>
      </c>
      <c r="F103" s="1168" t="s">
        <v>1158</v>
      </c>
      <c r="G103" s="1169"/>
      <c r="H103" s="1169"/>
      <c r="I103" s="1169"/>
      <c r="J103" s="1169"/>
      <c r="K103" s="1169"/>
      <c r="L103" s="1169"/>
      <c r="M103" s="1169"/>
      <c r="N103" s="1169"/>
      <c r="O103" s="1169"/>
      <c r="P103" s="1169"/>
      <c r="Q103" s="1169"/>
      <c r="R103" s="1169"/>
      <c r="S103" s="1169"/>
      <c r="T103" s="1169"/>
      <c r="U103" s="1169"/>
      <c r="V103" s="1169"/>
      <c r="W103" s="1169"/>
      <c r="X103" s="1169"/>
      <c r="Y103" s="1169"/>
      <c r="Z103" s="1170"/>
      <c r="AA103" s="861"/>
      <c r="AB103" s="861"/>
      <c r="AC103" s="861"/>
      <c r="AD103" s="861"/>
      <c r="AE103" s="861"/>
      <c r="AF103" s="861"/>
      <c r="AG103" s="861"/>
      <c r="AH103" s="861"/>
      <c r="AI103" s="861"/>
      <c r="AJ103" s="861"/>
      <c r="AK103" s="861"/>
      <c r="AL103" s="861"/>
      <c r="AM103" s="861"/>
      <c r="AN103" s="861"/>
    </row>
    <row r="104" spans="1:40" x14ac:dyDescent="0.2">
      <c r="A104" s="3" t="s">
        <v>1106</v>
      </c>
      <c r="B104" s="3"/>
      <c r="C104" s="218"/>
      <c r="D104" s="342"/>
      <c r="E104" s="342"/>
      <c r="F104" s="26">
        <v>3</v>
      </c>
      <c r="G104" s="342"/>
      <c r="H104" s="342"/>
      <c r="I104" s="342"/>
      <c r="J104" s="608" t="s">
        <v>2477</v>
      </c>
      <c r="K104" s="607" t="s">
        <v>2478</v>
      </c>
      <c r="L104" s="406"/>
      <c r="M104" s="218"/>
      <c r="N104" s="218"/>
      <c r="O104" s="218"/>
      <c r="P104" s="218"/>
      <c r="Q104" s="218"/>
      <c r="R104" s="218"/>
      <c r="S104" s="218"/>
      <c r="T104" s="441"/>
      <c r="U104" s="441"/>
      <c r="V104" s="218"/>
      <c r="W104" s="218"/>
      <c r="X104" s="218"/>
      <c r="Y104" s="31"/>
      <c r="Z104" s="31"/>
      <c r="AA104" s="31"/>
      <c r="AB104" s="31"/>
      <c r="AC104" s="31"/>
      <c r="AD104" s="31"/>
      <c r="AE104" s="31"/>
      <c r="AF104" s="31"/>
      <c r="AG104" s="31"/>
      <c r="AH104" s="31"/>
      <c r="AI104" s="31"/>
      <c r="AJ104" s="31"/>
      <c r="AK104" s="31"/>
      <c r="AL104" s="31"/>
      <c r="AM104" s="31"/>
      <c r="AN104" s="31"/>
    </row>
    <row r="105" spans="1:40" x14ac:dyDescent="0.2">
      <c r="A105" s="3" t="s">
        <v>1106</v>
      </c>
      <c r="B105" s="3"/>
      <c r="C105" s="218"/>
      <c r="D105" s="342"/>
      <c r="E105" s="342"/>
      <c r="F105" s="26">
        <v>3</v>
      </c>
      <c r="G105" s="342"/>
      <c r="H105" s="342"/>
      <c r="I105" s="342"/>
      <c r="J105" s="608" t="s">
        <v>2479</v>
      </c>
      <c r="K105" s="607" t="s">
        <v>2302</v>
      </c>
      <c r="L105" s="406"/>
      <c r="M105" s="218"/>
      <c r="N105" s="218"/>
      <c r="O105" s="218"/>
      <c r="P105" s="218"/>
      <c r="Q105" s="218"/>
      <c r="R105" s="218"/>
      <c r="S105" s="218"/>
      <c r="T105" s="441"/>
      <c r="U105" s="441"/>
      <c r="V105" s="218"/>
      <c r="W105" s="218"/>
      <c r="X105" s="218"/>
      <c r="Y105" s="31"/>
      <c r="Z105" s="31"/>
      <c r="AA105" s="31"/>
      <c r="AB105" s="31"/>
      <c r="AC105" s="31"/>
      <c r="AD105" s="31"/>
      <c r="AE105" s="31"/>
      <c r="AF105" s="31"/>
      <c r="AG105" s="31"/>
      <c r="AH105" s="31"/>
      <c r="AI105" s="31"/>
      <c r="AJ105" s="31"/>
      <c r="AK105" s="31"/>
      <c r="AL105" s="31"/>
      <c r="AM105" s="31"/>
      <c r="AN105" s="31"/>
    </row>
    <row r="106" spans="1:40" x14ac:dyDescent="0.2">
      <c r="A106" s="3"/>
      <c r="B106" s="3"/>
      <c r="C106" s="218"/>
      <c r="D106" s="342"/>
      <c r="E106" s="342"/>
      <c r="F106" s="26">
        <v>3</v>
      </c>
      <c r="G106" s="342"/>
      <c r="H106" s="342"/>
      <c r="I106" s="342"/>
      <c r="J106" s="869" t="s">
        <v>2480</v>
      </c>
      <c r="K106" s="218"/>
      <c r="L106" s="406"/>
      <c r="M106" s="218"/>
      <c r="N106" s="218"/>
      <c r="O106" s="218"/>
      <c r="P106" s="218"/>
      <c r="Q106" s="218"/>
      <c r="R106" s="218"/>
      <c r="S106" s="218"/>
      <c r="T106" s="441"/>
      <c r="U106" s="441"/>
      <c r="V106" s="218"/>
      <c r="W106" s="218"/>
      <c r="X106" s="218"/>
      <c r="Y106" s="31"/>
      <c r="Z106" s="31"/>
      <c r="AA106" s="31"/>
      <c r="AB106" s="31"/>
      <c r="AC106" s="31"/>
      <c r="AD106" s="31"/>
      <c r="AE106" s="31"/>
      <c r="AF106" s="31"/>
      <c r="AG106" s="31"/>
      <c r="AH106" s="31"/>
      <c r="AI106" s="31"/>
      <c r="AJ106" s="31"/>
      <c r="AK106" s="31"/>
      <c r="AL106" s="31"/>
      <c r="AM106" s="31"/>
      <c r="AN106" s="31"/>
    </row>
    <row r="107" spans="1:40" x14ac:dyDescent="0.2">
      <c r="A107" s="3"/>
      <c r="B107" s="3"/>
      <c r="C107" s="218"/>
      <c r="D107" s="342"/>
      <c r="E107" s="342"/>
      <c r="F107" s="342"/>
      <c r="G107" s="26">
        <v>4</v>
      </c>
      <c r="H107" s="342"/>
      <c r="I107" s="342"/>
      <c r="J107" s="607" t="s">
        <v>1613</v>
      </c>
      <c r="K107" s="607" t="s">
        <v>2304</v>
      </c>
      <c r="L107" s="406"/>
      <c r="M107" s="218"/>
      <c r="N107" s="218"/>
      <c r="O107" s="218"/>
      <c r="P107" s="218"/>
      <c r="Q107" s="218"/>
      <c r="R107" s="218"/>
      <c r="S107" s="218"/>
      <c r="T107" s="218" t="s">
        <v>2305</v>
      </c>
      <c r="U107" s="441"/>
      <c r="V107" s="218"/>
      <c r="W107" s="218"/>
      <c r="X107" s="218"/>
      <c r="Y107" s="31"/>
      <c r="Z107" s="31"/>
      <c r="AA107" s="31"/>
      <c r="AB107" s="31"/>
      <c r="AC107" s="31"/>
      <c r="AD107" s="31"/>
      <c r="AE107" s="31"/>
      <c r="AF107" s="31"/>
      <c r="AG107" s="31"/>
      <c r="AH107" s="31"/>
      <c r="AI107" s="31"/>
      <c r="AJ107" s="31"/>
      <c r="AK107" s="31"/>
      <c r="AL107" s="31"/>
      <c r="AM107" s="31"/>
      <c r="AN107" s="31"/>
    </row>
    <row r="108" spans="1:40" x14ac:dyDescent="0.2">
      <c r="A108" s="3" t="s">
        <v>1106</v>
      </c>
      <c r="B108" s="3"/>
      <c r="C108" s="218"/>
      <c r="D108" s="342"/>
      <c r="E108" s="342"/>
      <c r="F108" s="342"/>
      <c r="G108" s="26">
        <v>4</v>
      </c>
      <c r="H108" s="342"/>
      <c r="I108" s="342"/>
      <c r="J108" s="218" t="s">
        <v>2306</v>
      </c>
      <c r="K108" s="218" t="s">
        <v>2307</v>
      </c>
      <c r="L108" s="406" t="s">
        <v>2192</v>
      </c>
      <c r="M108" s="218"/>
      <c r="N108" s="218"/>
      <c r="O108" s="218"/>
      <c r="P108" s="218"/>
      <c r="Q108" s="218"/>
      <c r="R108" s="218"/>
      <c r="S108" s="218"/>
      <c r="T108" s="441"/>
      <c r="U108" s="441"/>
      <c r="V108" s="218"/>
      <c r="W108" s="218"/>
      <c r="X108" s="218"/>
      <c r="Y108" s="31"/>
      <c r="Z108" s="31"/>
      <c r="AA108" s="31"/>
      <c r="AB108" s="31"/>
      <c r="AC108" s="31"/>
      <c r="AD108" s="31"/>
      <c r="AE108" s="31"/>
      <c r="AF108" s="31"/>
      <c r="AG108" s="31"/>
      <c r="AH108" s="31"/>
      <c r="AI108" s="31"/>
      <c r="AJ108" s="31"/>
      <c r="AK108" s="31"/>
      <c r="AL108" s="31"/>
      <c r="AM108" s="31"/>
      <c r="AN108" s="31"/>
    </row>
    <row r="109" spans="1:40" x14ac:dyDescent="0.2">
      <c r="A109" s="3"/>
      <c r="B109" s="3"/>
      <c r="C109" s="218"/>
      <c r="D109" s="342"/>
      <c r="E109" s="342"/>
      <c r="F109" s="26">
        <v>3</v>
      </c>
      <c r="G109" s="342"/>
      <c r="H109" s="342"/>
      <c r="I109" s="342"/>
      <c r="J109" s="869" t="s">
        <v>2481</v>
      </c>
      <c r="K109" s="218"/>
      <c r="L109" s="406"/>
      <c r="M109" s="218"/>
      <c r="N109" s="218"/>
      <c r="O109" s="218"/>
      <c r="P109" s="218"/>
      <c r="Q109" s="218"/>
      <c r="R109" s="218"/>
      <c r="S109" s="218"/>
      <c r="T109" s="441"/>
      <c r="U109" s="441"/>
      <c r="V109" s="218"/>
      <c r="W109" s="218"/>
      <c r="X109" s="218"/>
      <c r="Y109" s="31"/>
      <c r="Z109" s="31"/>
      <c r="AA109" s="31"/>
      <c r="AB109" s="31"/>
      <c r="AC109" s="31"/>
      <c r="AD109" s="31"/>
      <c r="AE109" s="31"/>
      <c r="AF109" s="31"/>
      <c r="AG109" s="31"/>
      <c r="AH109" s="31"/>
      <c r="AI109" s="31"/>
      <c r="AJ109" s="31"/>
      <c r="AK109" s="31"/>
      <c r="AL109" s="31"/>
      <c r="AM109" s="31"/>
      <c r="AN109" s="31"/>
    </row>
    <row r="110" spans="1:40" x14ac:dyDescent="0.2">
      <c r="A110" s="3" t="s">
        <v>1106</v>
      </c>
      <c r="B110" s="3"/>
      <c r="C110" s="218"/>
      <c r="D110" s="342"/>
      <c r="E110" s="342"/>
      <c r="F110" s="342"/>
      <c r="G110" s="26">
        <v>4</v>
      </c>
      <c r="H110" s="342"/>
      <c r="I110" s="342"/>
      <c r="J110" s="218" t="s">
        <v>1624</v>
      </c>
      <c r="K110" s="218" t="s">
        <v>2309</v>
      </c>
      <c r="L110" s="406" t="s">
        <v>2192</v>
      </c>
      <c r="M110" s="218"/>
      <c r="N110" s="218"/>
      <c r="O110" s="218"/>
      <c r="P110" s="218"/>
      <c r="Q110" s="218"/>
      <c r="R110" s="218"/>
      <c r="S110" s="218"/>
      <c r="T110" s="218" t="s">
        <v>1627</v>
      </c>
      <c r="U110" s="441"/>
      <c r="V110" s="218"/>
      <c r="W110" s="218"/>
      <c r="X110" s="218"/>
      <c r="Y110" s="31"/>
      <c r="Z110" s="31"/>
      <c r="AA110" s="31"/>
      <c r="AB110" s="31"/>
      <c r="AC110" s="31"/>
      <c r="AD110" s="31"/>
      <c r="AE110" s="31"/>
      <c r="AF110" s="31"/>
      <c r="AG110" s="31"/>
      <c r="AH110" s="31"/>
      <c r="AI110" s="31"/>
      <c r="AJ110" s="31"/>
      <c r="AK110" s="31"/>
      <c r="AL110" s="31"/>
      <c r="AM110" s="31"/>
      <c r="AN110" s="31"/>
    </row>
    <row r="111" spans="1:40" x14ac:dyDescent="0.2">
      <c r="A111" s="3" t="s">
        <v>1106</v>
      </c>
      <c r="B111" s="3"/>
      <c r="C111" s="218"/>
      <c r="D111" s="342"/>
      <c r="E111" s="342"/>
      <c r="F111" s="342"/>
      <c r="G111" s="26">
        <v>4</v>
      </c>
      <c r="H111" s="342"/>
      <c r="I111" s="342"/>
      <c r="J111" s="218" t="s">
        <v>2310</v>
      </c>
      <c r="K111" s="218" t="s">
        <v>2311</v>
      </c>
      <c r="L111" s="406" t="s">
        <v>2192</v>
      </c>
      <c r="M111" s="218"/>
      <c r="N111" s="218"/>
      <c r="O111" s="218"/>
      <c r="P111" s="218"/>
      <c r="Q111" s="218"/>
      <c r="R111" s="218"/>
      <c r="S111" s="218"/>
      <c r="T111" s="441"/>
      <c r="U111" s="441"/>
      <c r="V111" s="218"/>
      <c r="W111" s="218"/>
      <c r="X111" s="218"/>
      <c r="Y111" s="31"/>
      <c r="Z111" s="31"/>
      <c r="AA111" s="31"/>
      <c r="AB111" s="31"/>
      <c r="AC111" s="31"/>
      <c r="AD111" s="31"/>
      <c r="AE111" s="31"/>
      <c r="AF111" s="31"/>
      <c r="AG111" s="31"/>
      <c r="AH111" s="31"/>
      <c r="AI111" s="31"/>
      <c r="AJ111" s="31"/>
      <c r="AK111" s="31"/>
      <c r="AL111" s="31"/>
      <c r="AM111" s="31"/>
      <c r="AN111" s="31"/>
    </row>
    <row r="112" spans="1:40" x14ac:dyDescent="0.2">
      <c r="A112" s="3"/>
      <c r="B112" s="3"/>
      <c r="C112" s="218"/>
      <c r="D112" s="342"/>
      <c r="E112" s="342"/>
      <c r="F112" s="26">
        <v>3</v>
      </c>
      <c r="G112" s="342"/>
      <c r="H112" s="342"/>
      <c r="I112" s="342"/>
      <c r="J112" s="869" t="s">
        <v>2482</v>
      </c>
      <c r="K112" s="218"/>
      <c r="L112" s="406"/>
      <c r="M112" s="218"/>
      <c r="N112" s="218"/>
      <c r="O112" s="218"/>
      <c r="P112" s="218"/>
      <c r="Q112" s="218"/>
      <c r="R112" s="218"/>
      <c r="S112" s="218"/>
      <c r="T112" s="441"/>
      <c r="U112" s="441"/>
      <c r="V112" s="218"/>
      <c r="W112" s="218"/>
      <c r="X112" s="218"/>
      <c r="Y112" s="31"/>
      <c r="Z112" s="31"/>
      <c r="AA112" s="31"/>
      <c r="AB112" s="31"/>
      <c r="AC112" s="31"/>
      <c r="AD112" s="31"/>
      <c r="AE112" s="31"/>
      <c r="AF112" s="31"/>
      <c r="AG112" s="31"/>
      <c r="AH112" s="31"/>
      <c r="AI112" s="31"/>
      <c r="AJ112" s="31"/>
      <c r="AK112" s="31"/>
      <c r="AL112" s="31"/>
      <c r="AM112" s="31"/>
      <c r="AN112" s="31"/>
    </row>
    <row r="113" spans="1:40" x14ac:dyDescent="0.2">
      <c r="A113" s="3" t="s">
        <v>1106</v>
      </c>
      <c r="B113" s="3"/>
      <c r="C113" s="218"/>
      <c r="D113" s="342"/>
      <c r="E113" s="342"/>
      <c r="F113" s="342"/>
      <c r="G113" s="26">
        <v>4</v>
      </c>
      <c r="H113" s="342"/>
      <c r="I113" s="342"/>
      <c r="J113" s="603" t="s">
        <v>1634</v>
      </c>
      <c r="K113" s="607" t="s">
        <v>2313</v>
      </c>
      <c r="L113" s="609"/>
      <c r="M113" s="218"/>
      <c r="N113" s="218"/>
      <c r="O113" s="218"/>
      <c r="P113" s="218"/>
      <c r="Q113" s="218"/>
      <c r="R113" s="218"/>
      <c r="S113" s="218"/>
      <c r="T113" s="441"/>
      <c r="U113" s="441"/>
      <c r="V113" s="218"/>
      <c r="W113" s="218"/>
      <c r="X113" s="218"/>
      <c r="Y113" s="31"/>
      <c r="Z113" s="31"/>
      <c r="AA113" s="31"/>
      <c r="AB113" s="31"/>
      <c r="AC113" s="31"/>
      <c r="AD113" s="31"/>
      <c r="AE113" s="31"/>
      <c r="AF113" s="31"/>
      <c r="AG113" s="31"/>
      <c r="AH113" s="31"/>
      <c r="AI113" s="31"/>
      <c r="AJ113" s="31"/>
      <c r="AK113" s="31"/>
      <c r="AL113" s="31"/>
      <c r="AM113" s="31"/>
      <c r="AN113" s="31"/>
    </row>
    <row r="114" spans="1:40" ht="30" x14ac:dyDescent="0.2">
      <c r="A114" s="3" t="s">
        <v>1106</v>
      </c>
      <c r="B114" s="3"/>
      <c r="C114" s="218"/>
      <c r="D114" s="342"/>
      <c r="E114" s="342"/>
      <c r="F114" s="342"/>
      <c r="G114" s="26">
        <v>4</v>
      </c>
      <c r="H114" s="342"/>
      <c r="I114" s="342"/>
      <c r="J114" s="218" t="s">
        <v>1638</v>
      </c>
      <c r="K114" s="871" t="s">
        <v>2314</v>
      </c>
      <c r="L114" s="406" t="s">
        <v>2192</v>
      </c>
      <c r="M114" s="218"/>
      <c r="N114" s="218"/>
      <c r="O114" s="218"/>
      <c r="P114" s="218"/>
      <c r="Q114" s="218"/>
      <c r="R114" s="218"/>
      <c r="S114" s="218"/>
      <c r="T114" s="441"/>
      <c r="U114" s="441"/>
      <c r="V114" s="218"/>
      <c r="W114" s="218"/>
      <c r="X114" s="218"/>
      <c r="Y114" s="31"/>
      <c r="Z114" s="31"/>
      <c r="AA114" s="31"/>
      <c r="AB114" s="31"/>
      <c r="AC114" s="31"/>
      <c r="AD114" s="31"/>
      <c r="AE114" s="31"/>
      <c r="AF114" s="31"/>
      <c r="AG114" s="31"/>
      <c r="AH114" s="31"/>
      <c r="AI114" s="31"/>
      <c r="AJ114" s="31"/>
      <c r="AK114" s="31"/>
      <c r="AL114" s="31"/>
      <c r="AM114" s="31"/>
      <c r="AN114" s="31"/>
    </row>
    <row r="115" spans="1:40" x14ac:dyDescent="0.2">
      <c r="A115" s="3"/>
      <c r="B115" s="3"/>
      <c r="C115" s="218"/>
      <c r="D115" s="342"/>
      <c r="E115" s="342"/>
      <c r="F115" s="342"/>
      <c r="G115" s="26">
        <v>4</v>
      </c>
      <c r="H115" s="342"/>
      <c r="I115" s="342"/>
      <c r="J115" s="608" t="s">
        <v>2483</v>
      </c>
      <c r="K115" s="607" t="s">
        <v>2316</v>
      </c>
      <c r="L115" s="464"/>
      <c r="M115" s="218"/>
      <c r="N115" s="218"/>
      <c r="O115" s="218"/>
      <c r="P115" s="218"/>
      <c r="Q115" s="218"/>
      <c r="R115" s="218"/>
      <c r="S115" s="218"/>
      <c r="T115" s="441"/>
      <c r="U115" s="441"/>
      <c r="V115" s="218"/>
      <c r="W115" s="218"/>
      <c r="X115" s="218"/>
      <c r="Y115" s="31"/>
      <c r="Z115" s="31"/>
      <c r="AA115" s="31"/>
      <c r="AB115" s="31"/>
      <c r="AC115" s="31"/>
      <c r="AD115" s="31"/>
      <c r="AE115" s="31"/>
      <c r="AF115" s="31"/>
      <c r="AG115" s="31"/>
      <c r="AH115" s="31"/>
      <c r="AI115" s="31"/>
      <c r="AJ115" s="31"/>
      <c r="AK115" s="31"/>
      <c r="AL115" s="31"/>
      <c r="AM115" s="31"/>
      <c r="AN115" s="31"/>
    </row>
    <row r="116" spans="1:40" x14ac:dyDescent="0.2">
      <c r="A116" s="3"/>
      <c r="B116" s="3"/>
      <c r="C116" s="12"/>
      <c r="D116" s="375"/>
      <c r="E116" s="862">
        <v>2</v>
      </c>
      <c r="F116" s="1168" t="s">
        <v>1192</v>
      </c>
      <c r="G116" s="1169"/>
      <c r="H116" s="1169"/>
      <c r="I116" s="1169"/>
      <c r="J116" s="1169"/>
      <c r="K116" s="1169"/>
      <c r="L116" s="1169"/>
      <c r="M116" s="1169"/>
      <c r="N116" s="1169"/>
      <c r="O116" s="1169"/>
      <c r="P116" s="1169"/>
      <c r="Q116" s="1169"/>
      <c r="R116" s="1169"/>
      <c r="S116" s="1169"/>
      <c r="T116" s="1169"/>
      <c r="U116" s="1169"/>
      <c r="V116" s="1169"/>
      <c r="W116" s="1169"/>
      <c r="X116" s="1169"/>
      <c r="Y116" s="1169"/>
      <c r="Z116" s="1170"/>
      <c r="AA116" s="861"/>
      <c r="AB116" s="861"/>
      <c r="AC116" s="861"/>
      <c r="AD116" s="861"/>
      <c r="AE116" s="861"/>
      <c r="AF116" s="861"/>
      <c r="AG116" s="861"/>
      <c r="AH116" s="861"/>
      <c r="AI116" s="861"/>
      <c r="AJ116" s="861"/>
      <c r="AK116" s="861"/>
      <c r="AL116" s="861"/>
      <c r="AM116" s="861"/>
      <c r="AN116" s="861"/>
    </row>
    <row r="117" spans="1:40" x14ac:dyDescent="0.2">
      <c r="A117" s="3"/>
      <c r="B117" s="3"/>
      <c r="C117" s="218"/>
      <c r="D117" s="342"/>
      <c r="E117" s="342"/>
      <c r="F117" s="26">
        <v>3</v>
      </c>
      <c r="G117" s="342"/>
      <c r="H117" s="342"/>
      <c r="I117" s="342"/>
      <c r="J117" s="608" t="s">
        <v>2484</v>
      </c>
      <c r="K117" s="607" t="s">
        <v>2318</v>
      </c>
      <c r="L117" s="406"/>
      <c r="M117" s="218"/>
      <c r="N117" s="218"/>
      <c r="O117" s="218"/>
      <c r="P117" s="218"/>
      <c r="Q117" s="218"/>
      <c r="R117" s="218"/>
      <c r="S117" s="218"/>
      <c r="T117" s="441"/>
      <c r="U117" s="441"/>
      <c r="V117" s="218"/>
      <c r="W117" s="218"/>
      <c r="X117" s="218"/>
      <c r="Y117" s="31"/>
      <c r="Z117" s="31"/>
      <c r="AA117" s="31"/>
      <c r="AB117" s="31"/>
      <c r="AC117" s="31"/>
      <c r="AD117" s="31"/>
      <c r="AE117" s="31"/>
      <c r="AF117" s="31"/>
      <c r="AG117" s="31"/>
      <c r="AH117" s="31"/>
      <c r="AI117" s="31"/>
      <c r="AJ117" s="31"/>
      <c r="AK117" s="31"/>
      <c r="AL117" s="31"/>
      <c r="AM117" s="31"/>
      <c r="AN117" s="31"/>
    </row>
    <row r="118" spans="1:40" ht="15.75" customHeight="1" x14ac:dyDescent="0.2">
      <c r="A118" s="3"/>
      <c r="B118" s="3"/>
      <c r="C118" s="218"/>
      <c r="D118" s="342"/>
      <c r="E118" s="342"/>
      <c r="F118" s="26">
        <v>3</v>
      </c>
      <c r="G118" s="342"/>
      <c r="H118" s="342"/>
      <c r="I118" s="342"/>
      <c r="J118" s="608" t="s">
        <v>2485</v>
      </c>
      <c r="K118" s="607" t="s">
        <v>2123</v>
      </c>
      <c r="L118" s="406"/>
      <c r="M118" s="218"/>
      <c r="N118" s="218"/>
      <c r="O118" s="218"/>
      <c r="P118" s="218"/>
      <c r="Q118" s="218"/>
      <c r="R118" s="218"/>
      <c r="S118" s="218"/>
      <c r="T118" s="441"/>
      <c r="U118" s="441"/>
      <c r="V118" s="218"/>
      <c r="W118" s="218"/>
      <c r="X118" s="218"/>
      <c r="Y118" s="31"/>
      <c r="Z118" s="31"/>
      <c r="AA118" s="31"/>
      <c r="AB118" s="31"/>
      <c r="AC118" s="31"/>
      <c r="AD118" s="31"/>
      <c r="AE118" s="31"/>
      <c r="AF118" s="31"/>
      <c r="AG118" s="31"/>
      <c r="AH118" s="31"/>
      <c r="AI118" s="31"/>
      <c r="AJ118" s="31"/>
      <c r="AK118" s="31"/>
      <c r="AL118" s="31"/>
      <c r="AM118" s="31"/>
      <c r="AN118" s="31"/>
    </row>
    <row r="119" spans="1:40" ht="15.75" customHeight="1" x14ac:dyDescent="0.2">
      <c r="A119" s="3"/>
      <c r="B119" s="3"/>
      <c r="C119" s="218"/>
      <c r="D119" s="342"/>
      <c r="E119" s="342"/>
      <c r="F119" s="26">
        <v>3</v>
      </c>
      <c r="G119" s="342"/>
      <c r="H119" s="342"/>
      <c r="I119" s="342"/>
      <c r="J119" s="608" t="s">
        <v>2486</v>
      </c>
      <c r="K119" s="607" t="s">
        <v>2126</v>
      </c>
      <c r="L119" s="406"/>
      <c r="M119" s="218"/>
      <c r="N119" s="218"/>
      <c r="O119" s="218"/>
      <c r="P119" s="218"/>
      <c r="Q119" s="218"/>
      <c r="R119" s="218"/>
      <c r="S119" s="218"/>
      <c r="T119" s="441"/>
      <c r="U119" s="441"/>
      <c r="V119" s="218"/>
      <c r="W119" s="218"/>
      <c r="X119" s="218"/>
      <c r="Y119" s="31"/>
      <c r="Z119" s="31"/>
      <c r="AA119" s="31"/>
      <c r="AB119" s="31"/>
      <c r="AC119" s="31"/>
      <c r="AD119" s="31"/>
      <c r="AE119" s="31"/>
      <c r="AF119" s="31"/>
      <c r="AG119" s="31"/>
      <c r="AH119" s="31"/>
      <c r="AI119" s="31"/>
      <c r="AJ119" s="31"/>
      <c r="AK119" s="31"/>
      <c r="AL119" s="31"/>
      <c r="AM119" s="31"/>
      <c r="AN119" s="31"/>
    </row>
    <row r="120" spans="1:40" ht="15.75" customHeight="1" x14ac:dyDescent="0.2">
      <c r="A120" s="3"/>
      <c r="B120" s="3"/>
      <c r="C120" s="218"/>
      <c r="D120" s="342"/>
      <c r="E120" s="342"/>
      <c r="F120" s="26">
        <v>3</v>
      </c>
      <c r="G120" s="342"/>
      <c r="H120" s="342"/>
      <c r="I120" s="342"/>
      <c r="J120" s="608" t="s">
        <v>2487</v>
      </c>
      <c r="K120" s="607" t="s">
        <v>2129</v>
      </c>
      <c r="L120" s="406"/>
      <c r="M120" s="218"/>
      <c r="N120" s="218"/>
      <c r="O120" s="218"/>
      <c r="P120" s="218"/>
      <c r="Q120" s="218"/>
      <c r="R120" s="218"/>
      <c r="S120" s="218"/>
      <c r="T120" s="441"/>
      <c r="U120" s="441"/>
      <c r="V120" s="218"/>
      <c r="W120" s="218"/>
      <c r="X120" s="218"/>
      <c r="Y120" s="31"/>
      <c r="Z120" s="31"/>
      <c r="AA120" s="31"/>
      <c r="AB120" s="31"/>
      <c r="AC120" s="31"/>
      <c r="AD120" s="31"/>
      <c r="AE120" s="31"/>
      <c r="AF120" s="31"/>
      <c r="AG120" s="31"/>
      <c r="AH120" s="31"/>
      <c r="AI120" s="31"/>
      <c r="AJ120" s="31"/>
      <c r="AK120" s="31"/>
      <c r="AL120" s="31"/>
      <c r="AM120" s="31"/>
      <c r="AN120" s="31"/>
    </row>
    <row r="121" spans="1:40" x14ac:dyDescent="0.2">
      <c r="A121" s="3"/>
      <c r="B121" s="3"/>
      <c r="C121" s="218"/>
      <c r="D121" s="342"/>
      <c r="E121" s="342"/>
      <c r="F121" s="26">
        <v>3</v>
      </c>
      <c r="G121" s="342"/>
      <c r="H121" s="342"/>
      <c r="I121" s="342"/>
      <c r="J121" s="218" t="s">
        <v>1693</v>
      </c>
      <c r="K121" s="218" t="s">
        <v>2322</v>
      </c>
      <c r="L121" s="406" t="s">
        <v>2192</v>
      </c>
      <c r="M121" s="218"/>
      <c r="N121" s="218"/>
      <c r="O121" s="218"/>
      <c r="P121" s="218"/>
      <c r="Q121" s="218"/>
      <c r="R121" s="218"/>
      <c r="S121" s="218"/>
      <c r="T121" s="218" t="s">
        <v>1696</v>
      </c>
      <c r="U121" s="441"/>
      <c r="V121" s="218"/>
      <c r="W121" s="218"/>
      <c r="X121" s="218"/>
      <c r="Y121" s="31"/>
      <c r="Z121" s="31"/>
      <c r="AA121" s="31"/>
      <c r="AB121" s="31"/>
      <c r="AC121" s="31"/>
      <c r="AD121" s="31"/>
      <c r="AE121" s="31"/>
      <c r="AF121" s="31"/>
      <c r="AG121" s="31"/>
      <c r="AH121" s="31"/>
      <c r="AI121" s="31"/>
      <c r="AJ121" s="31"/>
      <c r="AK121" s="31"/>
      <c r="AL121" s="31"/>
      <c r="AM121" s="31"/>
      <c r="AN121" s="31"/>
    </row>
    <row r="122" spans="1:40" x14ac:dyDescent="0.2">
      <c r="A122" s="3"/>
      <c r="B122" s="3"/>
      <c r="C122" s="218"/>
      <c r="D122" s="342"/>
      <c r="E122" s="342"/>
      <c r="F122" s="342"/>
      <c r="G122" s="26">
        <v>4</v>
      </c>
      <c r="H122" s="342"/>
      <c r="I122" s="342"/>
      <c r="J122" s="218" t="s">
        <v>2323</v>
      </c>
      <c r="K122" s="218" t="s">
        <v>2324</v>
      </c>
      <c r="L122" s="406" t="s">
        <v>212</v>
      </c>
      <c r="M122" s="218"/>
      <c r="N122" s="218"/>
      <c r="O122" s="218"/>
      <c r="P122" s="218"/>
      <c r="Q122" s="218"/>
      <c r="R122" s="218"/>
      <c r="S122" s="218"/>
      <c r="T122" s="441"/>
      <c r="U122" s="441"/>
      <c r="V122" s="218"/>
      <c r="W122" s="218"/>
      <c r="X122" s="218"/>
      <c r="Y122" s="31"/>
      <c r="Z122" s="31"/>
      <c r="AA122" s="31"/>
      <c r="AB122" s="31"/>
      <c r="AC122" s="31"/>
      <c r="AD122" s="31"/>
      <c r="AE122" s="31"/>
      <c r="AF122" s="31"/>
      <c r="AG122" s="31"/>
      <c r="AH122" s="31"/>
      <c r="AI122" s="31"/>
      <c r="AJ122" s="31"/>
      <c r="AK122" s="31"/>
      <c r="AL122" s="31"/>
      <c r="AM122" s="31"/>
      <c r="AN122" s="31"/>
    </row>
    <row r="123" spans="1:40" x14ac:dyDescent="0.2">
      <c r="A123" s="3"/>
      <c r="B123" s="3"/>
      <c r="C123" s="218"/>
      <c r="D123" s="342"/>
      <c r="E123" s="342"/>
      <c r="F123" s="342"/>
      <c r="G123" s="26">
        <v>4</v>
      </c>
      <c r="H123" s="342"/>
      <c r="I123" s="342"/>
      <c r="J123" s="218" t="s">
        <v>2325</v>
      </c>
      <c r="K123" s="218" t="s">
        <v>2324</v>
      </c>
      <c r="L123" s="406" t="s">
        <v>212</v>
      </c>
      <c r="M123" s="218"/>
      <c r="N123" s="218"/>
      <c r="O123" s="218"/>
      <c r="P123" s="218"/>
      <c r="Q123" s="218"/>
      <c r="R123" s="218"/>
      <c r="S123" s="218"/>
      <c r="T123" s="441"/>
      <c r="U123" s="441"/>
      <c r="V123" s="218"/>
      <c r="W123" s="218"/>
      <c r="X123" s="218"/>
      <c r="Y123" s="31"/>
      <c r="Z123" s="31"/>
      <c r="AA123" s="31"/>
      <c r="AB123" s="31"/>
      <c r="AC123" s="31"/>
      <c r="AD123" s="31"/>
      <c r="AE123" s="31"/>
      <c r="AF123" s="31"/>
      <c r="AG123" s="31"/>
      <c r="AH123" s="31"/>
      <c r="AI123" s="31"/>
      <c r="AJ123" s="31"/>
      <c r="AK123" s="31"/>
      <c r="AL123" s="31"/>
      <c r="AM123" s="31"/>
      <c r="AN123" s="31"/>
    </row>
    <row r="124" spans="1:40" ht="15.75" customHeight="1" x14ac:dyDescent="0.2">
      <c r="A124" s="3"/>
      <c r="B124" s="3"/>
      <c r="C124" s="218"/>
      <c r="D124" s="342"/>
      <c r="E124" s="342"/>
      <c r="F124" s="26">
        <v>3</v>
      </c>
      <c r="G124" s="342"/>
      <c r="H124" s="342"/>
      <c r="I124" s="342"/>
      <c r="J124" s="608" t="s">
        <v>2488</v>
      </c>
      <c r="K124" s="607" t="s">
        <v>2133</v>
      </c>
      <c r="L124" s="406"/>
      <c r="M124" s="218"/>
      <c r="N124" s="218"/>
      <c r="O124" s="218"/>
      <c r="P124" s="218"/>
      <c r="Q124" s="218"/>
      <c r="R124" s="218"/>
      <c r="S124" s="218"/>
      <c r="T124" s="441"/>
      <c r="U124" s="441"/>
      <c r="V124" s="218"/>
      <c r="W124" s="218"/>
      <c r="X124" s="218"/>
      <c r="Y124" s="31"/>
      <c r="Z124" s="31"/>
      <c r="AA124" s="31"/>
      <c r="AB124" s="31"/>
      <c r="AC124" s="31"/>
      <c r="AD124" s="31"/>
      <c r="AE124" s="31"/>
      <c r="AF124" s="31"/>
      <c r="AG124" s="31"/>
      <c r="AH124" s="31"/>
      <c r="AI124" s="31"/>
      <c r="AJ124" s="31"/>
      <c r="AK124" s="31"/>
      <c r="AL124" s="31"/>
      <c r="AM124" s="31"/>
      <c r="AN124" s="31"/>
    </row>
    <row r="125" spans="1:40" x14ac:dyDescent="0.2">
      <c r="A125" s="3"/>
      <c r="B125" s="3"/>
      <c r="C125" s="218"/>
      <c r="D125" s="342"/>
      <c r="E125" s="342"/>
      <c r="F125" s="342"/>
      <c r="G125" s="26">
        <v>4</v>
      </c>
      <c r="H125" s="342"/>
      <c r="I125" s="342"/>
      <c r="J125" s="218" t="s">
        <v>1715</v>
      </c>
      <c r="K125" s="218" t="s">
        <v>2327</v>
      </c>
      <c r="L125" s="406" t="s">
        <v>2192</v>
      </c>
      <c r="M125" s="218"/>
      <c r="N125" s="218"/>
      <c r="O125" s="218"/>
      <c r="P125" s="218"/>
      <c r="Q125" s="218"/>
      <c r="R125" s="218"/>
      <c r="S125" s="218"/>
      <c r="T125" s="441"/>
      <c r="U125" s="441"/>
      <c r="V125" s="218"/>
      <c r="W125" s="218"/>
      <c r="X125" s="218"/>
      <c r="Y125" s="31"/>
      <c r="Z125" s="31"/>
      <c r="AA125" s="31"/>
      <c r="AB125" s="31"/>
      <c r="AC125" s="31"/>
      <c r="AD125" s="31"/>
      <c r="AE125" s="31"/>
      <c r="AF125" s="31"/>
      <c r="AG125" s="31"/>
      <c r="AH125" s="31"/>
      <c r="AI125" s="31"/>
      <c r="AJ125" s="31"/>
      <c r="AK125" s="31"/>
      <c r="AL125" s="31"/>
      <c r="AM125" s="31"/>
      <c r="AN125" s="31"/>
    </row>
    <row r="126" spans="1:40" x14ac:dyDescent="0.2">
      <c r="A126" s="3"/>
      <c r="B126" s="3"/>
      <c r="C126" s="218"/>
      <c r="D126" s="342"/>
      <c r="E126" s="342"/>
      <c r="F126" s="342"/>
      <c r="G126" s="26">
        <v>4</v>
      </c>
      <c r="H126" s="342"/>
      <c r="I126" s="342"/>
      <c r="J126" s="218" t="s">
        <v>2328</v>
      </c>
      <c r="K126" s="218" t="s">
        <v>2324</v>
      </c>
      <c r="L126" s="406" t="s">
        <v>212</v>
      </c>
      <c r="M126" s="218"/>
      <c r="N126" s="218"/>
      <c r="O126" s="218"/>
      <c r="P126" s="218"/>
      <c r="Q126" s="218"/>
      <c r="R126" s="218"/>
      <c r="S126" s="218"/>
      <c r="T126" s="441"/>
      <c r="U126" s="441"/>
      <c r="V126" s="218"/>
      <c r="W126" s="218"/>
      <c r="X126" s="218"/>
      <c r="Y126" s="31"/>
      <c r="Z126" s="31"/>
      <c r="AA126" s="31"/>
      <c r="AB126" s="31"/>
      <c r="AC126" s="31"/>
      <c r="AD126" s="31"/>
      <c r="AE126" s="31"/>
      <c r="AF126" s="31"/>
      <c r="AG126" s="31"/>
      <c r="AH126" s="31"/>
      <c r="AI126" s="31"/>
      <c r="AJ126" s="31"/>
      <c r="AK126" s="31"/>
      <c r="AL126" s="31"/>
      <c r="AM126" s="31"/>
      <c r="AN126" s="31"/>
    </row>
    <row r="127" spans="1:40" x14ac:dyDescent="0.2">
      <c r="A127" s="3"/>
      <c r="B127" s="3"/>
      <c r="C127" s="218"/>
      <c r="D127" s="342"/>
      <c r="E127" s="342"/>
      <c r="F127" s="342"/>
      <c r="G127" s="26">
        <v>4</v>
      </c>
      <c r="H127" s="342"/>
      <c r="I127" s="342"/>
      <c r="J127" s="218" t="s">
        <v>2329</v>
      </c>
      <c r="K127" s="218" t="s">
        <v>2324</v>
      </c>
      <c r="L127" s="406" t="s">
        <v>212</v>
      </c>
      <c r="M127" s="218"/>
      <c r="N127" s="218"/>
      <c r="O127" s="218"/>
      <c r="P127" s="218"/>
      <c r="Q127" s="218"/>
      <c r="R127" s="218"/>
      <c r="S127" s="218"/>
      <c r="T127" s="441"/>
      <c r="U127" s="441"/>
      <c r="V127" s="218"/>
      <c r="W127" s="218"/>
      <c r="X127" s="218"/>
      <c r="Y127" s="31"/>
      <c r="Z127" s="31"/>
      <c r="AA127" s="31"/>
      <c r="AB127" s="31"/>
      <c r="AC127" s="31"/>
      <c r="AD127" s="31"/>
      <c r="AE127" s="31"/>
      <c r="AF127" s="31"/>
      <c r="AG127" s="31"/>
      <c r="AH127" s="31"/>
      <c r="AI127" s="31"/>
      <c r="AJ127" s="31"/>
      <c r="AK127" s="31"/>
      <c r="AL127" s="31"/>
      <c r="AM127" s="31"/>
      <c r="AN127" s="31"/>
    </row>
    <row r="128" spans="1:40" ht="15.75" customHeight="1" x14ac:dyDescent="0.2">
      <c r="A128" s="3"/>
      <c r="B128" s="3"/>
      <c r="C128" s="218"/>
      <c r="D128" s="342"/>
      <c r="E128" s="342"/>
      <c r="F128" s="26">
        <v>3</v>
      </c>
      <c r="G128" s="342"/>
      <c r="H128" s="342"/>
      <c r="I128" s="342"/>
      <c r="J128" s="869" t="s">
        <v>2489</v>
      </c>
      <c r="K128" s="218"/>
      <c r="L128" s="406"/>
      <c r="M128" s="218"/>
      <c r="N128" s="218"/>
      <c r="O128" s="218"/>
      <c r="P128" s="218"/>
      <c r="Q128" s="218"/>
      <c r="R128" s="218"/>
      <c r="S128" s="218"/>
      <c r="T128" s="441"/>
      <c r="U128" s="441"/>
      <c r="V128" s="218"/>
      <c r="W128" s="218"/>
      <c r="X128" s="218"/>
      <c r="Y128" s="31"/>
      <c r="Z128" s="31"/>
      <c r="AA128" s="31"/>
      <c r="AB128" s="31"/>
      <c r="AC128" s="31"/>
      <c r="AD128" s="31"/>
      <c r="AE128" s="31"/>
      <c r="AF128" s="31"/>
      <c r="AG128" s="31"/>
      <c r="AH128" s="31"/>
      <c r="AI128" s="31"/>
      <c r="AJ128" s="31"/>
      <c r="AK128" s="31"/>
      <c r="AL128" s="31"/>
      <c r="AM128" s="31"/>
      <c r="AN128" s="31"/>
    </row>
    <row r="129" spans="1:40" ht="15.75" customHeight="1" x14ac:dyDescent="0.2">
      <c r="A129" s="3"/>
      <c r="B129" s="3"/>
      <c r="C129" s="218"/>
      <c r="D129" s="342"/>
      <c r="E129" s="342"/>
      <c r="F129" s="26">
        <v>3</v>
      </c>
      <c r="G129" s="342"/>
      <c r="H129" s="342"/>
      <c r="I129" s="342"/>
      <c r="J129" s="608" t="s">
        <v>2490</v>
      </c>
      <c r="K129" s="607" t="s">
        <v>2478</v>
      </c>
      <c r="L129" s="406"/>
      <c r="M129" s="218"/>
      <c r="N129" s="218"/>
      <c r="O129" s="218"/>
      <c r="P129" s="218"/>
      <c r="Q129" s="218"/>
      <c r="R129" s="218"/>
      <c r="S129" s="218"/>
      <c r="T129" s="441"/>
      <c r="U129" s="441"/>
      <c r="V129" s="218"/>
      <c r="W129" s="218"/>
      <c r="X129" s="218"/>
      <c r="Y129" s="31"/>
      <c r="Z129" s="31"/>
      <c r="AA129" s="31"/>
      <c r="AB129" s="31"/>
      <c r="AC129" s="31"/>
      <c r="AD129" s="31"/>
      <c r="AE129" s="31"/>
      <c r="AF129" s="31"/>
      <c r="AG129" s="31"/>
      <c r="AH129" s="31"/>
      <c r="AI129" s="31"/>
      <c r="AJ129" s="31"/>
      <c r="AK129" s="31"/>
      <c r="AL129" s="31"/>
      <c r="AM129" s="31"/>
      <c r="AN129" s="31"/>
    </row>
    <row r="130" spans="1:40" x14ac:dyDescent="0.2">
      <c r="A130" s="3"/>
      <c r="B130" s="3"/>
      <c r="C130" s="218"/>
      <c r="D130" s="342"/>
      <c r="E130" s="342"/>
      <c r="F130" s="342"/>
      <c r="G130" s="26">
        <v>4</v>
      </c>
      <c r="H130" s="342"/>
      <c r="I130" s="342"/>
      <c r="J130" s="218" t="s">
        <v>1726</v>
      </c>
      <c r="K130" s="218" t="s">
        <v>2332</v>
      </c>
      <c r="L130" s="406" t="s">
        <v>2192</v>
      </c>
      <c r="M130" s="218"/>
      <c r="N130" s="218"/>
      <c r="O130" s="218"/>
      <c r="P130" s="218"/>
      <c r="Q130" s="218"/>
      <c r="R130" s="218"/>
      <c r="S130" s="218"/>
      <c r="T130" s="441"/>
      <c r="U130" s="441"/>
      <c r="V130" s="218"/>
      <c r="W130" s="218"/>
      <c r="X130" s="218"/>
      <c r="Y130" s="31"/>
      <c r="Z130" s="31"/>
      <c r="AA130" s="31"/>
      <c r="AB130" s="31"/>
      <c r="AC130" s="31"/>
      <c r="AD130" s="31"/>
      <c r="AE130" s="31"/>
      <c r="AF130" s="31"/>
      <c r="AG130" s="31"/>
      <c r="AH130" s="31"/>
      <c r="AI130" s="31"/>
      <c r="AJ130" s="31"/>
      <c r="AK130" s="31"/>
      <c r="AL130" s="31"/>
      <c r="AM130" s="31"/>
      <c r="AN130" s="31"/>
    </row>
    <row r="131" spans="1:40" x14ac:dyDescent="0.2">
      <c r="A131" s="3"/>
      <c r="B131" s="3"/>
      <c r="C131" s="218"/>
      <c r="D131" s="342"/>
      <c r="E131" s="342"/>
      <c r="F131" s="342"/>
      <c r="G131" s="26">
        <v>4</v>
      </c>
      <c r="H131" s="342"/>
      <c r="I131" s="342"/>
      <c r="J131" s="218" t="s">
        <v>1730</v>
      </c>
      <c r="K131" s="218" t="s">
        <v>2333</v>
      </c>
      <c r="L131" s="406" t="s">
        <v>2192</v>
      </c>
      <c r="M131" s="218"/>
      <c r="N131" s="218"/>
      <c r="O131" s="218"/>
      <c r="P131" s="218"/>
      <c r="Q131" s="218"/>
      <c r="R131" s="218"/>
      <c r="S131" s="218"/>
      <c r="T131" s="441"/>
      <c r="U131" s="441"/>
      <c r="V131" s="218"/>
      <c r="W131" s="218"/>
      <c r="X131" s="218"/>
      <c r="Y131" s="31"/>
      <c r="Z131" s="31"/>
      <c r="AA131" s="31"/>
      <c r="AB131" s="31"/>
      <c r="AC131" s="31"/>
      <c r="AD131" s="31"/>
      <c r="AE131" s="31"/>
      <c r="AF131" s="31"/>
      <c r="AG131" s="31"/>
      <c r="AH131" s="31"/>
      <c r="AI131" s="31"/>
      <c r="AJ131" s="31"/>
      <c r="AK131" s="31"/>
      <c r="AL131" s="31"/>
      <c r="AM131" s="31"/>
      <c r="AN131" s="31"/>
    </row>
    <row r="132" spans="1:40" x14ac:dyDescent="0.2">
      <c r="A132" s="3"/>
      <c r="B132" s="3"/>
      <c r="C132" s="218"/>
      <c r="D132" s="342"/>
      <c r="E132" s="342"/>
      <c r="F132" s="26">
        <v>3</v>
      </c>
      <c r="G132" s="342"/>
      <c r="H132" s="342"/>
      <c r="I132" s="342"/>
      <c r="J132" s="608" t="s">
        <v>2491</v>
      </c>
      <c r="K132" s="607" t="s">
        <v>2335</v>
      </c>
      <c r="L132" s="406"/>
      <c r="M132" s="218"/>
      <c r="N132" s="218"/>
      <c r="O132" s="218"/>
      <c r="P132" s="218"/>
      <c r="Q132" s="218"/>
      <c r="R132" s="218"/>
      <c r="S132" s="218"/>
      <c r="T132" s="441"/>
      <c r="U132" s="441"/>
      <c r="V132" s="218"/>
      <c r="W132" s="218"/>
      <c r="X132" s="218"/>
      <c r="Y132" s="31"/>
      <c r="Z132" s="31"/>
      <c r="AA132" s="31"/>
      <c r="AB132" s="31"/>
      <c r="AC132" s="31"/>
      <c r="AD132" s="31"/>
      <c r="AE132" s="31"/>
      <c r="AF132" s="31"/>
      <c r="AG132" s="31"/>
      <c r="AH132" s="31"/>
      <c r="AI132" s="31"/>
      <c r="AJ132" s="31"/>
      <c r="AK132" s="31"/>
      <c r="AL132" s="31"/>
      <c r="AM132" s="31"/>
      <c r="AN132" s="31"/>
    </row>
    <row r="133" spans="1:40" x14ac:dyDescent="0.2">
      <c r="A133" s="3"/>
      <c r="B133" s="3"/>
      <c r="C133" s="218"/>
      <c r="D133" s="342"/>
      <c r="E133" s="342"/>
      <c r="F133" s="26">
        <v>3</v>
      </c>
      <c r="G133" s="342"/>
      <c r="H133" s="342"/>
      <c r="I133" s="342"/>
      <c r="J133" s="608" t="s">
        <v>2492</v>
      </c>
      <c r="K133" s="607" t="s">
        <v>2337</v>
      </c>
      <c r="L133" s="406"/>
      <c r="M133" s="218"/>
      <c r="N133" s="218"/>
      <c r="O133" s="218"/>
      <c r="P133" s="218"/>
      <c r="Q133" s="218"/>
      <c r="R133" s="218"/>
      <c r="S133" s="218"/>
      <c r="T133" s="441"/>
      <c r="U133" s="441"/>
      <c r="V133" s="218"/>
      <c r="W133" s="218"/>
      <c r="X133" s="218"/>
      <c r="Y133" s="31"/>
      <c r="Z133" s="31"/>
      <c r="AA133" s="31"/>
      <c r="AB133" s="31"/>
      <c r="AC133" s="31"/>
      <c r="AD133" s="31"/>
      <c r="AE133" s="31"/>
      <c r="AF133" s="31"/>
      <c r="AG133" s="31"/>
      <c r="AH133" s="31"/>
      <c r="AI133" s="31"/>
      <c r="AJ133" s="31"/>
      <c r="AK133" s="31"/>
      <c r="AL133" s="31"/>
      <c r="AM133" s="31"/>
      <c r="AN133" s="31"/>
    </row>
    <row r="134" spans="1:40" ht="15.75" customHeight="1" x14ac:dyDescent="0.2">
      <c r="A134" s="3"/>
      <c r="B134" s="3"/>
      <c r="C134" s="218"/>
      <c r="D134" s="342"/>
      <c r="E134" s="342"/>
      <c r="F134" s="26">
        <v>3</v>
      </c>
      <c r="G134" s="342"/>
      <c r="H134" s="342"/>
      <c r="I134" s="342"/>
      <c r="J134" s="608" t="s">
        <v>2493</v>
      </c>
      <c r="K134" s="607" t="s">
        <v>2339</v>
      </c>
      <c r="L134" s="406"/>
      <c r="M134" s="218"/>
      <c r="N134" s="218"/>
      <c r="O134" s="218"/>
      <c r="P134" s="218"/>
      <c r="Q134" s="218"/>
      <c r="R134" s="218"/>
      <c r="S134" s="218"/>
      <c r="T134" s="441"/>
      <c r="U134" s="441"/>
      <c r="V134" s="218"/>
      <c r="W134" s="218"/>
      <c r="X134" s="218"/>
      <c r="Y134" s="31"/>
      <c r="Z134" s="31"/>
      <c r="AA134" s="31"/>
      <c r="AB134" s="31"/>
      <c r="AC134" s="31"/>
      <c r="AD134" s="31"/>
      <c r="AE134" s="31"/>
      <c r="AF134" s="31"/>
      <c r="AG134" s="31"/>
      <c r="AH134" s="31"/>
      <c r="AI134" s="31"/>
      <c r="AJ134" s="31"/>
      <c r="AK134" s="31"/>
      <c r="AL134" s="31"/>
      <c r="AM134" s="31"/>
      <c r="AN134" s="31"/>
    </row>
    <row r="135" spans="1:40" x14ac:dyDescent="0.2">
      <c r="A135" s="3"/>
      <c r="B135" s="3"/>
      <c r="C135" s="218"/>
      <c r="D135" s="342"/>
      <c r="E135" s="342"/>
      <c r="F135" s="342"/>
      <c r="G135" s="26">
        <v>4</v>
      </c>
      <c r="H135" s="342"/>
      <c r="I135" s="342"/>
      <c r="J135" s="218" t="s">
        <v>1754</v>
      </c>
      <c r="K135" s="218" t="s">
        <v>2340</v>
      </c>
      <c r="L135" s="406" t="s">
        <v>2192</v>
      </c>
      <c r="M135" s="218"/>
      <c r="N135" s="218"/>
      <c r="O135" s="218"/>
      <c r="P135" s="218"/>
      <c r="Q135" s="218"/>
      <c r="R135" s="218"/>
      <c r="S135" s="218"/>
      <c r="T135" s="441"/>
      <c r="U135" s="441"/>
      <c r="V135" s="218"/>
      <c r="W135" s="218"/>
      <c r="X135" s="218"/>
      <c r="Y135" s="31"/>
      <c r="Z135" s="31"/>
      <c r="AA135" s="31"/>
      <c r="AB135" s="31"/>
      <c r="AC135" s="31"/>
      <c r="AD135" s="31"/>
      <c r="AE135" s="31"/>
      <c r="AF135" s="31"/>
      <c r="AG135" s="31"/>
      <c r="AH135" s="31"/>
      <c r="AI135" s="31"/>
      <c r="AJ135" s="31"/>
      <c r="AK135" s="31"/>
      <c r="AL135" s="31"/>
      <c r="AM135" s="31"/>
      <c r="AN135" s="31"/>
    </row>
    <row r="136" spans="1:40" x14ac:dyDescent="0.2">
      <c r="A136" s="3"/>
      <c r="B136" s="3"/>
      <c r="C136" s="218"/>
      <c r="D136" s="342"/>
      <c r="E136" s="342"/>
      <c r="F136" s="26">
        <v>3</v>
      </c>
      <c r="G136" s="342"/>
      <c r="H136" s="342"/>
      <c r="I136" s="342"/>
      <c r="J136" s="869" t="s">
        <v>2494</v>
      </c>
      <c r="K136" s="218"/>
      <c r="L136" s="406"/>
      <c r="M136" s="218"/>
      <c r="N136" s="218"/>
      <c r="O136" s="218"/>
      <c r="P136" s="218"/>
      <c r="Q136" s="218"/>
      <c r="R136" s="218"/>
      <c r="S136" s="218"/>
      <c r="T136" s="441"/>
      <c r="U136" s="441"/>
      <c r="V136" s="218"/>
      <c r="W136" s="218"/>
      <c r="X136" s="218"/>
      <c r="Y136" s="31"/>
      <c r="Z136" s="31"/>
      <c r="AA136" s="31"/>
      <c r="AB136" s="31"/>
      <c r="AC136" s="31"/>
      <c r="AD136" s="31"/>
      <c r="AE136" s="31"/>
      <c r="AF136" s="31"/>
      <c r="AG136" s="31"/>
      <c r="AH136" s="31"/>
      <c r="AI136" s="31"/>
      <c r="AJ136" s="31"/>
      <c r="AK136" s="31"/>
      <c r="AL136" s="31"/>
      <c r="AM136" s="31"/>
      <c r="AN136" s="31"/>
    </row>
    <row r="137" spans="1:40" x14ac:dyDescent="0.2">
      <c r="A137" s="3"/>
      <c r="B137" s="3"/>
      <c r="C137" s="218"/>
      <c r="D137" s="342"/>
      <c r="E137" s="342"/>
      <c r="F137" s="342"/>
      <c r="G137" s="26">
        <v>4</v>
      </c>
      <c r="H137" s="342"/>
      <c r="I137" s="342"/>
      <c r="J137" s="218" t="s">
        <v>1757</v>
      </c>
      <c r="K137" s="218" t="s">
        <v>2342</v>
      </c>
      <c r="L137" s="406" t="s">
        <v>2192</v>
      </c>
      <c r="M137" s="218"/>
      <c r="N137" s="218"/>
      <c r="O137" s="218"/>
      <c r="P137" s="218"/>
      <c r="Q137" s="218"/>
      <c r="R137" s="218"/>
      <c r="S137" s="218"/>
      <c r="T137" s="441"/>
      <c r="U137" s="441"/>
      <c r="V137" s="218"/>
      <c r="W137" s="218"/>
      <c r="X137" s="218"/>
      <c r="Y137" s="31"/>
      <c r="Z137" s="31"/>
      <c r="AA137" s="31"/>
      <c r="AB137" s="31"/>
      <c r="AC137" s="31"/>
      <c r="AD137" s="31"/>
      <c r="AE137" s="31"/>
      <c r="AF137" s="31"/>
      <c r="AG137" s="31"/>
      <c r="AH137" s="31"/>
      <c r="AI137" s="31"/>
      <c r="AJ137" s="31"/>
      <c r="AK137" s="31"/>
      <c r="AL137" s="31"/>
      <c r="AM137" s="31"/>
      <c r="AN137" s="31"/>
    </row>
    <row r="138" spans="1:40" x14ac:dyDescent="0.2">
      <c r="A138" s="3"/>
      <c r="B138" s="3"/>
      <c r="C138" s="218"/>
      <c r="D138" s="342"/>
      <c r="E138" s="342"/>
      <c r="F138" s="342"/>
      <c r="G138" s="26">
        <v>4</v>
      </c>
      <c r="H138" s="342"/>
      <c r="I138" s="342"/>
      <c r="J138" s="218" t="s">
        <v>1761</v>
      </c>
      <c r="K138" s="218" t="s">
        <v>2343</v>
      </c>
      <c r="L138" s="406" t="s">
        <v>2192</v>
      </c>
      <c r="M138" s="218"/>
      <c r="N138" s="218"/>
      <c r="O138" s="218"/>
      <c r="P138" s="218"/>
      <c r="Q138" s="218"/>
      <c r="R138" s="218"/>
      <c r="S138" s="218"/>
      <c r="T138" s="441"/>
      <c r="U138" s="441"/>
      <c r="V138" s="218"/>
      <c r="W138" s="218"/>
      <c r="X138" s="218"/>
      <c r="Y138" s="31"/>
      <c r="Z138" s="31"/>
      <c r="AA138" s="31"/>
      <c r="AB138" s="31"/>
      <c r="AC138" s="31"/>
      <c r="AD138" s="31"/>
      <c r="AE138" s="31"/>
      <c r="AF138" s="31"/>
      <c r="AG138" s="31"/>
      <c r="AH138" s="31"/>
      <c r="AI138" s="31"/>
      <c r="AJ138" s="31"/>
      <c r="AK138" s="31"/>
      <c r="AL138" s="31"/>
      <c r="AM138" s="31"/>
      <c r="AN138" s="31"/>
    </row>
    <row r="139" spans="1:40" x14ac:dyDescent="0.2">
      <c r="A139" s="3"/>
      <c r="B139" s="3"/>
      <c r="C139" s="218"/>
      <c r="D139" s="342"/>
      <c r="E139" s="342"/>
      <c r="F139" s="26">
        <v>3</v>
      </c>
      <c r="G139" s="342"/>
      <c r="H139" s="342"/>
      <c r="I139" s="342"/>
      <c r="J139" s="608" t="s">
        <v>2495</v>
      </c>
      <c r="K139" s="607" t="s">
        <v>2345</v>
      </c>
      <c r="L139" s="406"/>
      <c r="M139" s="218"/>
      <c r="N139" s="218"/>
      <c r="O139" s="218"/>
      <c r="P139" s="218"/>
      <c r="Q139" s="218"/>
      <c r="R139" s="218"/>
      <c r="S139" s="218"/>
      <c r="T139" s="441"/>
      <c r="U139" s="441"/>
      <c r="V139" s="218"/>
      <c r="W139" s="218"/>
      <c r="X139" s="218"/>
      <c r="Y139" s="31"/>
      <c r="Z139" s="31"/>
      <c r="AA139" s="31"/>
      <c r="AB139" s="31"/>
      <c r="AC139" s="31"/>
      <c r="AD139" s="31"/>
      <c r="AE139" s="31"/>
      <c r="AF139" s="31"/>
      <c r="AG139" s="31"/>
      <c r="AH139" s="31"/>
      <c r="AI139" s="31"/>
      <c r="AJ139" s="31"/>
      <c r="AK139" s="31"/>
      <c r="AL139" s="31"/>
      <c r="AM139" s="31"/>
      <c r="AN139" s="31"/>
    </row>
    <row r="140" spans="1:40" x14ac:dyDescent="0.2">
      <c r="A140" s="3"/>
      <c r="B140" s="3"/>
      <c r="C140" s="218"/>
      <c r="D140" s="342"/>
      <c r="E140" s="342"/>
      <c r="F140" s="26">
        <v>3</v>
      </c>
      <c r="G140" s="342"/>
      <c r="H140" s="342"/>
      <c r="I140" s="342"/>
      <c r="J140" s="869" t="s">
        <v>2496</v>
      </c>
      <c r="K140" s="218"/>
      <c r="L140" s="406"/>
      <c r="M140" s="218"/>
      <c r="N140" s="218"/>
      <c r="O140" s="218"/>
      <c r="P140" s="218"/>
      <c r="Q140" s="218"/>
      <c r="R140" s="218"/>
      <c r="S140" s="218"/>
      <c r="T140" s="441"/>
      <c r="U140" s="441"/>
      <c r="V140" s="218"/>
      <c r="W140" s="218"/>
      <c r="X140" s="218"/>
      <c r="Y140" s="31"/>
      <c r="Z140" s="31"/>
      <c r="AA140" s="31"/>
      <c r="AB140" s="31"/>
      <c r="AC140" s="31"/>
      <c r="AD140" s="31"/>
      <c r="AE140" s="31"/>
      <c r="AF140" s="31"/>
      <c r="AG140" s="31"/>
      <c r="AH140" s="31"/>
      <c r="AI140" s="31"/>
      <c r="AJ140" s="31"/>
      <c r="AK140" s="31"/>
      <c r="AL140" s="31"/>
      <c r="AM140" s="31"/>
      <c r="AN140" s="31"/>
    </row>
    <row r="141" spans="1:40" x14ac:dyDescent="0.2">
      <c r="A141" s="3"/>
      <c r="B141" s="3"/>
      <c r="C141" s="218"/>
      <c r="D141" s="342"/>
      <c r="E141" s="342"/>
      <c r="F141" s="342"/>
      <c r="G141" s="26">
        <v>4</v>
      </c>
      <c r="H141" s="342"/>
      <c r="I141" s="342"/>
      <c r="J141" s="218" t="s">
        <v>1783</v>
      </c>
      <c r="K141" s="218" t="s">
        <v>2324</v>
      </c>
      <c r="L141" s="406" t="s">
        <v>212</v>
      </c>
      <c r="M141" s="218"/>
      <c r="N141" s="218"/>
      <c r="O141" s="218"/>
      <c r="P141" s="218"/>
      <c r="Q141" s="218"/>
      <c r="R141" s="218"/>
      <c r="S141" s="218"/>
      <c r="T141" s="441"/>
      <c r="U141" s="441"/>
      <c r="V141" s="218"/>
      <c r="W141" s="218"/>
      <c r="X141" s="218"/>
      <c r="Y141" s="31"/>
      <c r="Z141" s="31"/>
      <c r="AA141" s="31"/>
      <c r="AB141" s="31"/>
      <c r="AC141" s="31"/>
      <c r="AD141" s="31"/>
      <c r="AE141" s="31"/>
      <c r="AF141" s="31"/>
      <c r="AG141" s="31"/>
      <c r="AH141" s="31"/>
      <c r="AI141" s="31"/>
      <c r="AJ141" s="31"/>
      <c r="AK141" s="31"/>
      <c r="AL141" s="31"/>
      <c r="AM141" s="31"/>
      <c r="AN141" s="31"/>
    </row>
    <row r="142" spans="1:40" ht="15.75" customHeight="1" x14ac:dyDescent="0.2">
      <c r="A142" s="3"/>
      <c r="B142" s="3"/>
      <c r="C142" s="218"/>
      <c r="D142" s="342"/>
      <c r="E142" s="342"/>
      <c r="F142" s="26">
        <v>3</v>
      </c>
      <c r="G142" s="342"/>
      <c r="H142" s="342"/>
      <c r="I142" s="342"/>
      <c r="J142" s="608" t="s">
        <v>2497</v>
      </c>
      <c r="K142" s="607" t="s">
        <v>2149</v>
      </c>
      <c r="L142" s="406"/>
      <c r="M142" s="218"/>
      <c r="N142" s="218"/>
      <c r="O142" s="218"/>
      <c r="P142" s="218"/>
      <c r="Q142" s="218"/>
      <c r="R142" s="218"/>
      <c r="S142" s="218"/>
      <c r="T142" s="441"/>
      <c r="U142" s="441"/>
      <c r="V142" s="218"/>
      <c r="W142" s="218"/>
      <c r="X142" s="218"/>
      <c r="Y142" s="31"/>
      <c r="Z142" s="31"/>
      <c r="AA142" s="31"/>
      <c r="AB142" s="31"/>
      <c r="AC142" s="31"/>
      <c r="AD142" s="31"/>
      <c r="AE142" s="31"/>
      <c r="AF142" s="31"/>
      <c r="AG142" s="31"/>
      <c r="AH142" s="31"/>
      <c r="AI142" s="31"/>
      <c r="AJ142" s="31"/>
      <c r="AK142" s="31"/>
      <c r="AL142" s="31"/>
      <c r="AM142" s="31"/>
      <c r="AN142" s="31"/>
    </row>
    <row r="143" spans="1:40" x14ac:dyDescent="0.2">
      <c r="A143" s="3"/>
      <c r="B143" s="3"/>
      <c r="C143" s="218"/>
      <c r="D143" s="342"/>
      <c r="E143" s="342"/>
      <c r="F143" s="342"/>
      <c r="G143" s="26">
        <v>4</v>
      </c>
      <c r="H143" s="342"/>
      <c r="I143" s="342"/>
      <c r="J143" s="218" t="s">
        <v>1798</v>
      </c>
      <c r="K143" s="218" t="s">
        <v>2348</v>
      </c>
      <c r="L143" s="406" t="s">
        <v>2192</v>
      </c>
      <c r="M143" s="218"/>
      <c r="N143" s="218"/>
      <c r="O143" s="218"/>
      <c r="P143" s="218"/>
      <c r="Q143" s="218"/>
      <c r="R143" s="218"/>
      <c r="S143" s="218"/>
      <c r="T143" s="441"/>
      <c r="U143" s="441"/>
      <c r="V143" s="218"/>
      <c r="W143" s="218"/>
      <c r="X143" s="218"/>
      <c r="Y143" s="31"/>
      <c r="Z143" s="31"/>
      <c r="AA143" s="31"/>
      <c r="AB143" s="31"/>
      <c r="AC143" s="31"/>
      <c r="AD143" s="31"/>
      <c r="AE143" s="31"/>
      <c r="AF143" s="31"/>
      <c r="AG143" s="31"/>
      <c r="AH143" s="31"/>
      <c r="AI143" s="31"/>
      <c r="AJ143" s="31"/>
      <c r="AK143" s="31"/>
      <c r="AL143" s="31"/>
      <c r="AM143" s="31"/>
      <c r="AN143" s="31"/>
    </row>
    <row r="144" spans="1:40" x14ac:dyDescent="0.2">
      <c r="A144" s="3"/>
      <c r="B144" s="3"/>
      <c r="C144" s="218"/>
      <c r="D144" s="342"/>
      <c r="E144" s="342"/>
      <c r="F144" s="342"/>
      <c r="G144" s="26">
        <v>4</v>
      </c>
      <c r="H144" s="342"/>
      <c r="I144" s="342"/>
      <c r="J144" s="218" t="s">
        <v>1801</v>
      </c>
      <c r="K144" s="218" t="s">
        <v>2349</v>
      </c>
      <c r="L144" s="406" t="s">
        <v>2192</v>
      </c>
      <c r="M144" s="218"/>
      <c r="N144" s="218"/>
      <c r="O144" s="218"/>
      <c r="P144" s="218"/>
      <c r="Q144" s="218"/>
      <c r="R144" s="218"/>
      <c r="S144" s="218"/>
      <c r="T144" s="441"/>
      <c r="U144" s="441"/>
      <c r="V144" s="218"/>
      <c r="W144" s="218"/>
      <c r="X144" s="218"/>
      <c r="Y144" s="31"/>
      <c r="Z144" s="31"/>
      <c r="AA144" s="31"/>
      <c r="AB144" s="31"/>
      <c r="AC144" s="31"/>
      <c r="AD144" s="31"/>
      <c r="AE144" s="31"/>
      <c r="AF144" s="31"/>
      <c r="AG144" s="31"/>
      <c r="AH144" s="31"/>
      <c r="AI144" s="31"/>
      <c r="AJ144" s="31"/>
      <c r="AK144" s="31"/>
      <c r="AL144" s="31"/>
      <c r="AM144" s="31"/>
      <c r="AN144" s="31"/>
    </row>
    <row r="145" spans="1:40" x14ac:dyDescent="0.2">
      <c r="A145" s="3"/>
      <c r="B145" s="3"/>
      <c r="C145" s="218"/>
      <c r="D145" s="342"/>
      <c r="E145" s="342"/>
      <c r="F145" s="342"/>
      <c r="G145" s="26">
        <v>4</v>
      </c>
      <c r="H145" s="342"/>
      <c r="I145" s="342"/>
      <c r="J145" s="218" t="s">
        <v>1808</v>
      </c>
      <c r="K145" s="218" t="s">
        <v>2350</v>
      </c>
      <c r="L145" s="406" t="s">
        <v>2192</v>
      </c>
      <c r="M145" s="218"/>
      <c r="N145" s="218"/>
      <c r="O145" s="218"/>
      <c r="P145" s="218"/>
      <c r="Q145" s="218"/>
      <c r="R145" s="218"/>
      <c r="S145" s="218"/>
      <c r="T145" s="441"/>
      <c r="U145" s="441"/>
      <c r="V145" s="218"/>
      <c r="W145" s="218"/>
      <c r="X145" s="218"/>
      <c r="Y145" s="31"/>
      <c r="Z145" s="31"/>
      <c r="AA145" s="31"/>
      <c r="AB145" s="31"/>
      <c r="AC145" s="31"/>
      <c r="AD145" s="31"/>
      <c r="AE145" s="31"/>
      <c r="AF145" s="31"/>
      <c r="AG145" s="31"/>
      <c r="AH145" s="31"/>
      <c r="AI145" s="31"/>
      <c r="AJ145" s="31"/>
      <c r="AK145" s="31"/>
      <c r="AL145" s="31"/>
      <c r="AM145" s="31"/>
      <c r="AN145" s="31"/>
    </row>
    <row r="146" spans="1:40" x14ac:dyDescent="0.2">
      <c r="A146" s="3"/>
      <c r="B146" s="3"/>
      <c r="C146" s="218"/>
      <c r="D146" s="342"/>
      <c r="E146" s="342"/>
      <c r="F146" s="26">
        <v>3</v>
      </c>
      <c r="G146" s="342"/>
      <c r="H146" s="342"/>
      <c r="I146" s="342"/>
      <c r="J146" s="872" t="s">
        <v>2498</v>
      </c>
      <c r="K146" s="607" t="s">
        <v>2352</v>
      </c>
      <c r="L146" s="441"/>
      <c r="M146" s="218"/>
      <c r="N146" s="218"/>
      <c r="O146" s="218"/>
      <c r="P146" s="218"/>
      <c r="Q146" s="218"/>
      <c r="R146" s="218"/>
      <c r="S146" s="218"/>
      <c r="T146" s="441"/>
      <c r="U146" s="441"/>
      <c r="V146" s="218"/>
      <c r="W146" s="218"/>
      <c r="X146" s="218"/>
      <c r="Y146" s="31"/>
      <c r="Z146" s="31"/>
      <c r="AA146" s="31"/>
      <c r="AB146" s="31"/>
      <c r="AC146" s="31"/>
      <c r="AD146" s="31"/>
      <c r="AE146" s="31"/>
      <c r="AF146" s="31"/>
      <c r="AG146" s="31"/>
      <c r="AH146" s="31"/>
      <c r="AI146" s="31"/>
      <c r="AJ146" s="31"/>
      <c r="AK146" s="31"/>
      <c r="AL146" s="31"/>
      <c r="AM146" s="31"/>
      <c r="AN146" s="31"/>
    </row>
    <row r="147" spans="1:40" x14ac:dyDescent="0.2">
      <c r="A147" s="3"/>
      <c r="B147" s="3"/>
      <c r="C147" s="12"/>
      <c r="D147" s="375"/>
      <c r="E147" s="862">
        <v>2</v>
      </c>
      <c r="F147" s="1168" t="s">
        <v>2353</v>
      </c>
      <c r="G147" s="1169"/>
      <c r="H147" s="1169"/>
      <c r="I147" s="1169"/>
      <c r="J147" s="1169"/>
      <c r="K147" s="1169"/>
      <c r="L147" s="1169"/>
      <c r="M147" s="1169"/>
      <c r="N147" s="1169"/>
      <c r="O147" s="1169"/>
      <c r="P147" s="1169"/>
      <c r="Q147" s="1169"/>
      <c r="R147" s="1169"/>
      <c r="S147" s="1169"/>
      <c r="T147" s="1169"/>
      <c r="U147" s="1169"/>
      <c r="V147" s="1169"/>
      <c r="W147" s="1169"/>
      <c r="X147" s="1169"/>
      <c r="Y147" s="1169"/>
      <c r="Z147" s="1170"/>
      <c r="AA147" s="861"/>
      <c r="AB147" s="861"/>
      <c r="AC147" s="861"/>
      <c r="AD147" s="861"/>
      <c r="AE147" s="861"/>
      <c r="AF147" s="861"/>
      <c r="AG147" s="861"/>
      <c r="AH147" s="861"/>
      <c r="AI147" s="861"/>
      <c r="AJ147" s="861"/>
      <c r="AK147" s="861"/>
      <c r="AL147" s="861"/>
      <c r="AM147" s="861"/>
      <c r="AN147" s="861"/>
    </row>
    <row r="148" spans="1:40" x14ac:dyDescent="0.2">
      <c r="A148" s="3"/>
      <c r="B148" s="3"/>
      <c r="C148" s="218"/>
      <c r="D148" s="342"/>
      <c r="E148" s="342"/>
      <c r="F148" s="26">
        <v>3</v>
      </c>
      <c r="G148" s="342"/>
      <c r="H148" s="342"/>
      <c r="I148" s="342"/>
      <c r="J148" s="869" t="s">
        <v>2499</v>
      </c>
      <c r="K148" s="218"/>
      <c r="L148" s="406"/>
      <c r="M148" s="218"/>
      <c r="N148" s="218"/>
      <c r="O148" s="218"/>
      <c r="P148" s="218"/>
      <c r="Q148" s="218"/>
      <c r="R148" s="218"/>
      <c r="S148" s="218"/>
      <c r="T148" s="441"/>
      <c r="U148" s="441"/>
      <c r="V148" s="218"/>
      <c r="W148" s="218"/>
      <c r="X148" s="218"/>
      <c r="Y148" s="31"/>
      <c r="Z148" s="31"/>
      <c r="AA148" s="31"/>
      <c r="AB148" s="31"/>
      <c r="AC148" s="31"/>
      <c r="AD148" s="31"/>
      <c r="AE148" s="31"/>
      <c r="AF148" s="31"/>
      <c r="AG148" s="31"/>
      <c r="AH148" s="31"/>
      <c r="AI148" s="31"/>
      <c r="AJ148" s="31"/>
      <c r="AK148" s="31"/>
      <c r="AL148" s="31"/>
      <c r="AM148" s="31"/>
      <c r="AN148" s="31"/>
    </row>
    <row r="149" spans="1:40" x14ac:dyDescent="0.2">
      <c r="A149" s="3"/>
      <c r="B149" s="3"/>
      <c r="C149" s="218"/>
      <c r="D149" s="342"/>
      <c r="E149" s="342"/>
      <c r="F149" s="342"/>
      <c r="G149" s="26">
        <v>4</v>
      </c>
      <c r="H149" s="342"/>
      <c r="I149" s="342"/>
      <c r="J149" s="218" t="s">
        <v>2355</v>
      </c>
      <c r="K149" s="218" t="s">
        <v>2356</v>
      </c>
      <c r="L149" s="406" t="s">
        <v>2357</v>
      </c>
      <c r="M149" s="218"/>
      <c r="N149" s="218"/>
      <c r="O149" s="218"/>
      <c r="P149" s="218" t="s">
        <v>2358</v>
      </c>
      <c r="Q149" s="218"/>
      <c r="R149" s="218"/>
      <c r="S149" s="218"/>
      <c r="T149" s="441"/>
      <c r="U149" s="441"/>
      <c r="V149" s="218"/>
      <c r="W149" s="218"/>
      <c r="X149" s="218"/>
      <c r="Y149" s="31"/>
      <c r="Z149" s="31"/>
      <c r="AA149" s="31"/>
      <c r="AB149" s="31"/>
      <c r="AC149" s="31"/>
      <c r="AD149" s="31"/>
      <c r="AE149" s="31"/>
      <c r="AF149" s="31"/>
      <c r="AG149" s="31"/>
      <c r="AH149" s="31"/>
      <c r="AI149" s="31"/>
      <c r="AJ149" s="31"/>
      <c r="AK149" s="31"/>
      <c r="AL149" s="31"/>
      <c r="AM149" s="31"/>
      <c r="AN149" s="31"/>
    </row>
    <row r="150" spans="1:40" ht="25.5" customHeight="1" x14ac:dyDescent="0.2">
      <c r="A150" s="3"/>
      <c r="B150" s="3"/>
      <c r="C150" s="218"/>
      <c r="D150" s="342"/>
      <c r="E150" s="342"/>
      <c r="F150" s="342"/>
      <c r="G150" s="26">
        <v>4</v>
      </c>
      <c r="H150" s="342"/>
      <c r="I150" s="342"/>
      <c r="J150" s="218" t="s">
        <v>2359</v>
      </c>
      <c r="K150" s="218" t="s">
        <v>2360</v>
      </c>
      <c r="L150" s="72" t="s">
        <v>358</v>
      </c>
      <c r="M150" s="218"/>
      <c r="N150" s="218"/>
      <c r="O150" s="218"/>
      <c r="P150" s="218"/>
      <c r="Q150" s="218"/>
      <c r="R150" s="218"/>
      <c r="S150" s="218"/>
      <c r="T150" s="441"/>
      <c r="U150" s="441"/>
      <c r="V150" s="218"/>
      <c r="W150" s="218"/>
      <c r="X150" s="218"/>
      <c r="Y150" s="31"/>
      <c r="Z150" s="31"/>
      <c r="AA150" s="31"/>
      <c r="AB150" s="31"/>
      <c r="AC150" s="31"/>
      <c r="AD150" s="31"/>
      <c r="AE150" s="31"/>
      <c r="AF150" s="31"/>
      <c r="AG150" s="31"/>
      <c r="AH150" s="31"/>
      <c r="AI150" s="31"/>
      <c r="AJ150" s="31"/>
      <c r="AK150" s="31"/>
      <c r="AL150" s="31"/>
      <c r="AM150" s="31"/>
      <c r="AN150" s="31"/>
    </row>
    <row r="151" spans="1:40" ht="25.5" customHeight="1" x14ac:dyDescent="0.2">
      <c r="A151" s="3"/>
      <c r="B151" s="3"/>
      <c r="C151" s="218"/>
      <c r="D151" s="342"/>
      <c r="E151" s="342"/>
      <c r="F151" s="342"/>
      <c r="G151" s="26">
        <v>4</v>
      </c>
      <c r="H151" s="342"/>
      <c r="I151" s="342"/>
      <c r="J151" s="218" t="s">
        <v>2361</v>
      </c>
      <c r="K151" s="218" t="s">
        <v>2362</v>
      </c>
      <c r="L151" s="72" t="s">
        <v>358</v>
      </c>
      <c r="M151" s="218"/>
      <c r="N151" s="218"/>
      <c r="O151" s="218"/>
      <c r="P151" s="218"/>
      <c r="Q151" s="218"/>
      <c r="R151" s="218"/>
      <c r="S151" s="218"/>
      <c r="T151" s="441"/>
      <c r="U151" s="441"/>
      <c r="V151" s="218"/>
      <c r="W151" s="218"/>
      <c r="X151" s="218"/>
      <c r="Y151" s="31"/>
      <c r="Z151" s="31"/>
      <c r="AA151" s="31"/>
      <c r="AB151" s="31"/>
      <c r="AC151" s="31"/>
      <c r="AD151" s="31"/>
      <c r="AE151" s="31"/>
      <c r="AF151" s="31"/>
      <c r="AG151" s="31"/>
      <c r="AH151" s="31"/>
      <c r="AI151" s="31"/>
      <c r="AJ151" s="31"/>
      <c r="AK151" s="31"/>
      <c r="AL151" s="31"/>
      <c r="AM151" s="31"/>
      <c r="AN151" s="31"/>
    </row>
    <row r="152" spans="1:40" ht="25.5" customHeight="1" x14ac:dyDescent="0.2">
      <c r="A152" s="3"/>
      <c r="B152" s="3"/>
      <c r="C152" s="218"/>
      <c r="D152" s="342"/>
      <c r="E152" s="342"/>
      <c r="F152" s="342"/>
      <c r="G152" s="26">
        <v>4</v>
      </c>
      <c r="H152" s="342"/>
      <c r="I152" s="342"/>
      <c r="J152" s="218" t="s">
        <v>2363</v>
      </c>
      <c r="K152" s="218" t="s">
        <v>2364</v>
      </c>
      <c r="L152" s="406" t="s">
        <v>2192</v>
      </c>
      <c r="M152" s="218"/>
      <c r="N152" s="218"/>
      <c r="O152" s="218"/>
      <c r="P152" s="218" t="s">
        <v>2365</v>
      </c>
      <c r="Q152" s="218"/>
      <c r="R152" s="218"/>
      <c r="S152" s="218"/>
      <c r="T152" s="441"/>
      <c r="U152" s="441"/>
      <c r="V152" s="218"/>
      <c r="W152" s="218"/>
      <c r="X152" s="218"/>
      <c r="Y152" s="31"/>
      <c r="Z152" s="31"/>
      <c r="AA152" s="31"/>
      <c r="AB152" s="31"/>
      <c r="AC152" s="31"/>
      <c r="AD152" s="31"/>
      <c r="AE152" s="31"/>
      <c r="AF152" s="31"/>
      <c r="AG152" s="31"/>
      <c r="AH152" s="31"/>
      <c r="AI152" s="31"/>
      <c r="AJ152" s="31"/>
      <c r="AK152" s="31"/>
      <c r="AL152" s="31"/>
      <c r="AM152" s="31"/>
      <c r="AN152" s="31"/>
    </row>
    <row r="153" spans="1:40" ht="25.5" customHeight="1" x14ac:dyDescent="0.2">
      <c r="A153" s="3"/>
      <c r="B153" s="3"/>
      <c r="C153" s="218"/>
      <c r="D153" s="342"/>
      <c r="E153" s="342"/>
      <c r="F153" s="342"/>
      <c r="G153" s="26">
        <v>4</v>
      </c>
      <c r="H153" s="342"/>
      <c r="I153" s="342"/>
      <c r="J153" s="603" t="s">
        <v>2366</v>
      </c>
      <c r="K153" s="603" t="s">
        <v>2367</v>
      </c>
      <c r="L153" s="609" t="s">
        <v>2217</v>
      </c>
      <c r="M153" s="218"/>
      <c r="N153" s="218"/>
      <c r="O153" s="218"/>
      <c r="P153" s="218"/>
      <c r="Q153" s="218"/>
      <c r="R153" s="218"/>
      <c r="S153" s="218"/>
      <c r="T153" s="441"/>
      <c r="U153" s="441"/>
      <c r="V153" s="218"/>
      <c r="W153" s="218"/>
      <c r="X153" s="218"/>
      <c r="Y153" s="31"/>
      <c r="Z153" s="31"/>
      <c r="AA153" s="31"/>
      <c r="AB153" s="31"/>
      <c r="AC153" s="31"/>
      <c r="AD153" s="31"/>
      <c r="AE153" s="31"/>
      <c r="AF153" s="31"/>
      <c r="AG153" s="31"/>
      <c r="AH153" s="31"/>
      <c r="AI153" s="31"/>
      <c r="AJ153" s="31"/>
      <c r="AK153" s="31"/>
      <c r="AL153" s="31"/>
      <c r="AM153" s="31"/>
      <c r="AN153" s="31"/>
    </row>
    <row r="154" spans="1:40" ht="25.5" customHeight="1" x14ac:dyDescent="0.2">
      <c r="A154" s="3"/>
      <c r="B154" s="3"/>
      <c r="C154" s="218"/>
      <c r="D154" s="342"/>
      <c r="E154" s="342"/>
      <c r="F154" s="342"/>
      <c r="G154" s="26">
        <v>4</v>
      </c>
      <c r="H154" s="342"/>
      <c r="I154" s="342"/>
      <c r="J154" s="603" t="s">
        <v>2368</v>
      </c>
      <c r="K154" s="603" t="s">
        <v>2369</v>
      </c>
      <c r="L154" s="609" t="s">
        <v>2370</v>
      </c>
      <c r="M154" s="218"/>
      <c r="N154" s="218"/>
      <c r="O154" s="218"/>
      <c r="P154" s="218"/>
      <c r="Q154" s="218"/>
      <c r="R154" s="218"/>
      <c r="S154" s="218"/>
      <c r="T154" s="441"/>
      <c r="U154" s="441"/>
      <c r="V154" s="218"/>
      <c r="W154" s="218"/>
      <c r="X154" s="218"/>
      <c r="Y154" s="31"/>
      <c r="Z154" s="31"/>
      <c r="AA154" s="31"/>
      <c r="AB154" s="31"/>
      <c r="AC154" s="31"/>
      <c r="AD154" s="31"/>
      <c r="AE154" s="31"/>
      <c r="AF154" s="31"/>
      <c r="AG154" s="31"/>
      <c r="AH154" s="31"/>
      <c r="AI154" s="31"/>
      <c r="AJ154" s="31"/>
      <c r="AK154" s="31"/>
      <c r="AL154" s="31"/>
      <c r="AM154" s="31"/>
      <c r="AN154" s="31"/>
    </row>
    <row r="155" spans="1:40" ht="25.5" customHeight="1" x14ac:dyDescent="0.2">
      <c r="A155" s="3"/>
      <c r="B155" s="3"/>
      <c r="C155" s="218"/>
      <c r="D155" s="342"/>
      <c r="E155" s="342"/>
      <c r="F155" s="342"/>
      <c r="G155" s="26">
        <v>4</v>
      </c>
      <c r="H155" s="342"/>
      <c r="I155" s="342"/>
      <c r="J155" s="218" t="s">
        <v>2371</v>
      </c>
      <c r="K155" s="610" t="s">
        <v>2372</v>
      </c>
      <c r="L155" s="406" t="s">
        <v>2192</v>
      </c>
      <c r="M155" s="218"/>
      <c r="N155" s="218"/>
      <c r="O155" s="218"/>
      <c r="P155" s="218" t="s">
        <v>2373</v>
      </c>
      <c r="Q155" s="218"/>
      <c r="R155" s="218"/>
      <c r="S155" s="218"/>
      <c r="T155" s="441"/>
      <c r="U155" s="441"/>
      <c r="V155" s="218"/>
      <c r="W155" s="218"/>
      <c r="X155" s="218"/>
      <c r="Y155" s="31"/>
      <c r="Z155" s="31"/>
      <c r="AA155" s="31"/>
      <c r="AB155" s="31"/>
      <c r="AC155" s="31"/>
      <c r="AD155" s="31"/>
      <c r="AE155" s="31"/>
      <c r="AF155" s="31"/>
      <c r="AG155" s="31"/>
      <c r="AH155" s="31"/>
      <c r="AI155" s="31"/>
      <c r="AJ155" s="31"/>
      <c r="AK155" s="31"/>
      <c r="AL155" s="31"/>
      <c r="AM155" s="31"/>
      <c r="AN155" s="31"/>
    </row>
    <row r="156" spans="1:40" ht="25.5" customHeight="1" x14ac:dyDescent="0.2">
      <c r="A156" s="3"/>
      <c r="B156" s="3"/>
      <c r="C156" s="218"/>
      <c r="D156" s="342"/>
      <c r="E156" s="342"/>
      <c r="F156" s="342"/>
      <c r="G156" s="26">
        <v>4</v>
      </c>
      <c r="H156" s="342"/>
      <c r="I156" s="342"/>
      <c r="J156" s="218" t="s">
        <v>2374</v>
      </c>
      <c r="K156" s="218" t="s">
        <v>2375</v>
      </c>
      <c r="L156" s="611" t="s">
        <v>1399</v>
      </c>
      <c r="M156" s="218"/>
      <c r="N156" s="218"/>
      <c r="O156" s="218"/>
      <c r="P156" s="218"/>
      <c r="Q156" s="218"/>
      <c r="R156" s="218"/>
      <c r="S156" s="218"/>
      <c r="T156" s="441"/>
      <c r="U156" s="441"/>
      <c r="V156" s="218"/>
      <c r="W156" s="218"/>
      <c r="X156" s="218"/>
      <c r="Y156" s="31"/>
      <c r="Z156" s="31"/>
      <c r="AA156" s="31"/>
      <c r="AB156" s="31"/>
      <c r="AC156" s="31"/>
      <c r="AD156" s="31"/>
      <c r="AE156" s="31"/>
      <c r="AF156" s="31"/>
      <c r="AG156" s="31"/>
      <c r="AH156" s="31"/>
      <c r="AI156" s="31"/>
      <c r="AJ156" s="31"/>
      <c r="AK156" s="31"/>
      <c r="AL156" s="31"/>
      <c r="AM156" s="31"/>
      <c r="AN156" s="31"/>
    </row>
    <row r="157" spans="1:40" ht="25.5" customHeight="1" x14ac:dyDescent="0.2">
      <c r="A157" s="3"/>
      <c r="B157" s="3"/>
      <c r="C157" s="218"/>
      <c r="D157" s="342"/>
      <c r="E157" s="342"/>
      <c r="F157" s="342"/>
      <c r="G157" s="26">
        <v>4</v>
      </c>
      <c r="H157" s="342"/>
      <c r="I157" s="342"/>
      <c r="J157" s="218" t="s">
        <v>2376</v>
      </c>
      <c r="K157" s="218" t="s">
        <v>2377</v>
      </c>
      <c r="L157" s="406" t="s">
        <v>2192</v>
      </c>
      <c r="M157" s="218"/>
      <c r="N157" s="218"/>
      <c r="O157" s="218"/>
      <c r="P157" s="218" t="s">
        <v>2378</v>
      </c>
      <c r="Q157" s="218"/>
      <c r="R157" s="218"/>
      <c r="S157" s="218"/>
      <c r="T157" s="441"/>
      <c r="U157" s="441"/>
      <c r="V157" s="218"/>
      <c r="W157" s="218"/>
      <c r="X157" s="218"/>
      <c r="Y157" s="31"/>
      <c r="Z157" s="31"/>
      <c r="AA157" s="31"/>
      <c r="AB157" s="31"/>
      <c r="AC157" s="31"/>
      <c r="AD157" s="31"/>
      <c r="AE157" s="31"/>
      <c r="AF157" s="31"/>
      <c r="AG157" s="31"/>
      <c r="AH157" s="31"/>
      <c r="AI157" s="31"/>
      <c r="AJ157" s="31"/>
      <c r="AK157" s="31"/>
      <c r="AL157" s="31"/>
      <c r="AM157" s="31"/>
      <c r="AN157" s="31"/>
    </row>
    <row r="158" spans="1:40" ht="25.5" customHeight="1" x14ac:dyDescent="0.2">
      <c r="A158" s="3"/>
      <c r="B158" s="3"/>
      <c r="C158" s="218"/>
      <c r="D158" s="342"/>
      <c r="E158" s="342"/>
      <c r="F158" s="342"/>
      <c r="G158" s="26">
        <v>4</v>
      </c>
      <c r="H158" s="342"/>
      <c r="I158" s="342"/>
      <c r="J158" s="603" t="s">
        <v>2379</v>
      </c>
      <c r="K158" s="603" t="s">
        <v>2380</v>
      </c>
      <c r="L158" s="609" t="s">
        <v>1467</v>
      </c>
      <c r="M158" s="218"/>
      <c r="N158" s="218"/>
      <c r="O158" s="218"/>
      <c r="P158" s="218"/>
      <c r="Q158" s="218"/>
      <c r="R158" s="218"/>
      <c r="S158" s="218"/>
      <c r="T158" s="441"/>
      <c r="U158" s="441"/>
      <c r="V158" s="218"/>
      <c r="W158" s="218"/>
      <c r="X158" s="218"/>
      <c r="Y158" s="31"/>
      <c r="Z158" s="31"/>
      <c r="AA158" s="31"/>
      <c r="AB158" s="31"/>
      <c r="AC158" s="31"/>
      <c r="AD158" s="31"/>
      <c r="AE158" s="31"/>
      <c r="AF158" s="31"/>
      <c r="AG158" s="31"/>
      <c r="AH158" s="31"/>
      <c r="AI158" s="31"/>
      <c r="AJ158" s="31"/>
      <c r="AK158" s="31"/>
      <c r="AL158" s="31"/>
      <c r="AM158" s="31"/>
      <c r="AN158" s="31"/>
    </row>
    <row r="159" spans="1:40" ht="25.5" customHeight="1" x14ac:dyDescent="0.2">
      <c r="A159" s="3"/>
      <c r="B159" s="3"/>
      <c r="C159" s="218"/>
      <c r="D159" s="342"/>
      <c r="E159" s="342"/>
      <c r="F159" s="342"/>
      <c r="G159" s="26">
        <v>4</v>
      </c>
      <c r="H159" s="342"/>
      <c r="I159" s="342"/>
      <c r="J159" s="610" t="s">
        <v>2381</v>
      </c>
      <c r="K159" s="218" t="s">
        <v>2382</v>
      </c>
      <c r="L159" s="611" t="s">
        <v>1399</v>
      </c>
      <c r="M159" s="218"/>
      <c r="N159" s="218"/>
      <c r="O159" s="218"/>
      <c r="P159" s="218"/>
      <c r="Q159" s="218"/>
      <c r="R159" s="218"/>
      <c r="S159" s="218"/>
      <c r="T159" s="441"/>
      <c r="U159" s="441"/>
      <c r="V159" s="218"/>
      <c r="W159" s="218"/>
      <c r="X159" s="218"/>
      <c r="Y159" s="31"/>
      <c r="Z159" s="31"/>
      <c r="AA159" s="31"/>
      <c r="AB159" s="31"/>
      <c r="AC159" s="31"/>
      <c r="AD159" s="31"/>
      <c r="AE159" s="31"/>
      <c r="AF159" s="31"/>
      <c r="AG159" s="31"/>
      <c r="AH159" s="31"/>
      <c r="AI159" s="31"/>
      <c r="AJ159" s="31"/>
      <c r="AK159" s="31"/>
      <c r="AL159" s="31"/>
      <c r="AM159" s="31"/>
      <c r="AN159" s="31"/>
    </row>
    <row r="160" spans="1:40" ht="25.5" customHeight="1" x14ac:dyDescent="0.2">
      <c r="A160" s="3"/>
      <c r="B160" s="3"/>
      <c r="C160" s="218"/>
      <c r="D160" s="342"/>
      <c r="E160" s="342"/>
      <c r="F160" s="342"/>
      <c r="G160" s="26">
        <v>4</v>
      </c>
      <c r="H160" s="342"/>
      <c r="I160" s="342"/>
      <c r="J160" s="218" t="s">
        <v>2383</v>
      </c>
      <c r="K160" s="610" t="s">
        <v>2384</v>
      </c>
      <c r="L160" s="611" t="s">
        <v>1399</v>
      </c>
      <c r="M160" s="218"/>
      <c r="N160" s="218"/>
      <c r="O160" s="218"/>
      <c r="P160" s="218"/>
      <c r="Q160" s="218"/>
      <c r="R160" s="218"/>
      <c r="S160" s="218"/>
      <c r="T160" s="441"/>
      <c r="U160" s="441"/>
      <c r="V160" s="218"/>
      <c r="W160" s="218"/>
      <c r="X160" s="218"/>
      <c r="Y160" s="31"/>
      <c r="Z160" s="31"/>
      <c r="AA160" s="31"/>
      <c r="AB160" s="31"/>
      <c r="AC160" s="31"/>
      <c r="AD160" s="31"/>
      <c r="AE160" s="31"/>
      <c r="AF160" s="31"/>
      <c r="AG160" s="31"/>
      <c r="AH160" s="31"/>
      <c r="AI160" s="31"/>
      <c r="AJ160" s="31"/>
      <c r="AK160" s="31"/>
      <c r="AL160" s="31"/>
      <c r="AM160" s="31"/>
      <c r="AN160" s="31"/>
    </row>
    <row r="161" spans="1:40" x14ac:dyDescent="0.2">
      <c r="A161" s="3"/>
      <c r="B161" s="3"/>
      <c r="C161" s="218"/>
      <c r="D161" s="342"/>
      <c r="E161" s="342"/>
      <c r="F161" s="26">
        <v>3</v>
      </c>
      <c r="G161" s="342"/>
      <c r="H161" s="342"/>
      <c r="I161" s="342"/>
      <c r="J161" s="869" t="s">
        <v>2500</v>
      </c>
      <c r="K161" s="218"/>
      <c r="L161" s="406"/>
      <c r="M161" s="218"/>
      <c r="N161" s="218"/>
      <c r="O161" s="218"/>
      <c r="P161" s="218" t="s">
        <v>2386</v>
      </c>
      <c r="Q161" s="218"/>
      <c r="R161" s="218"/>
      <c r="S161" s="218"/>
      <c r="T161" s="441"/>
      <c r="U161" s="441"/>
      <c r="V161" s="218"/>
      <c r="W161" s="218"/>
      <c r="X161" s="218"/>
      <c r="Y161" s="31"/>
      <c r="Z161" s="31"/>
      <c r="AA161" s="31"/>
      <c r="AB161" s="31"/>
      <c r="AC161" s="31"/>
      <c r="AD161" s="31"/>
      <c r="AE161" s="31"/>
      <c r="AF161" s="31"/>
      <c r="AG161" s="31"/>
      <c r="AH161" s="31"/>
      <c r="AI161" s="31"/>
      <c r="AJ161" s="31"/>
      <c r="AK161" s="31"/>
      <c r="AL161" s="31"/>
      <c r="AM161" s="31"/>
      <c r="AN161" s="31"/>
    </row>
    <row r="162" spans="1:40" x14ac:dyDescent="0.2">
      <c r="A162" s="3"/>
      <c r="B162" s="3"/>
      <c r="C162" s="218"/>
      <c r="D162" s="342"/>
      <c r="E162" s="342"/>
      <c r="F162" s="342"/>
      <c r="G162" s="26">
        <v>4</v>
      </c>
      <c r="H162" s="342"/>
      <c r="I162" s="342"/>
      <c r="J162" s="218" t="s">
        <v>2387</v>
      </c>
      <c r="K162" s="218" t="s">
        <v>2388</v>
      </c>
      <c r="L162" s="406" t="s">
        <v>2192</v>
      </c>
      <c r="M162" s="218"/>
      <c r="N162" s="218"/>
      <c r="O162" s="218"/>
      <c r="P162" s="218"/>
      <c r="Q162" s="218"/>
      <c r="R162" s="218"/>
      <c r="S162" s="218"/>
      <c r="T162" s="441"/>
      <c r="U162" s="441"/>
      <c r="V162" s="218"/>
      <c r="W162" s="218"/>
      <c r="X162" s="218"/>
      <c r="Y162" s="31"/>
      <c r="Z162" s="31"/>
      <c r="AA162" s="31"/>
      <c r="AB162" s="31"/>
      <c r="AC162" s="31"/>
      <c r="AD162" s="31"/>
      <c r="AE162" s="31"/>
      <c r="AF162" s="31"/>
      <c r="AG162" s="31"/>
      <c r="AH162" s="31"/>
      <c r="AI162" s="31"/>
      <c r="AJ162" s="31"/>
      <c r="AK162" s="31"/>
      <c r="AL162" s="31"/>
      <c r="AM162" s="31"/>
      <c r="AN162" s="31"/>
    </row>
    <row r="163" spans="1:40" x14ac:dyDescent="0.2">
      <c r="A163" s="3"/>
      <c r="B163" s="3"/>
      <c r="C163" s="218"/>
      <c r="D163" s="342"/>
      <c r="E163" s="342"/>
      <c r="F163" s="342"/>
      <c r="G163" s="26">
        <v>4</v>
      </c>
      <c r="H163" s="342"/>
      <c r="I163" s="342"/>
      <c r="J163" s="218" t="s">
        <v>2389</v>
      </c>
      <c r="K163" s="218" t="s">
        <v>2390</v>
      </c>
      <c r="L163" s="406" t="s">
        <v>2192</v>
      </c>
      <c r="M163" s="218"/>
      <c r="N163" s="218"/>
      <c r="O163" s="218"/>
      <c r="P163" s="218"/>
      <c r="Q163" s="218"/>
      <c r="R163" s="218"/>
      <c r="S163" s="218"/>
      <c r="T163" s="441"/>
      <c r="U163" s="441"/>
      <c r="V163" s="218"/>
      <c r="W163" s="218"/>
      <c r="X163" s="218"/>
      <c r="Y163" s="31"/>
      <c r="Z163" s="31"/>
      <c r="AA163" s="31"/>
      <c r="AB163" s="31"/>
      <c r="AC163" s="31"/>
      <c r="AD163" s="31"/>
      <c r="AE163" s="31"/>
      <c r="AF163" s="31"/>
      <c r="AG163" s="31"/>
      <c r="AH163" s="31"/>
      <c r="AI163" s="31"/>
      <c r="AJ163" s="31"/>
      <c r="AK163" s="31"/>
      <c r="AL163" s="31"/>
      <c r="AM163" s="31"/>
      <c r="AN163" s="31"/>
    </row>
    <row r="164" spans="1:40" x14ac:dyDescent="0.2">
      <c r="A164" s="3"/>
      <c r="B164" s="3"/>
      <c r="C164" s="218"/>
      <c r="D164" s="342"/>
      <c r="E164" s="342"/>
      <c r="F164" s="342"/>
      <c r="G164" s="26">
        <v>4</v>
      </c>
      <c r="H164" s="342"/>
      <c r="I164" s="342"/>
      <c r="J164" s="218" t="s">
        <v>2391</v>
      </c>
      <c r="K164" s="218" t="s">
        <v>2392</v>
      </c>
      <c r="L164" s="406" t="s">
        <v>2195</v>
      </c>
      <c r="M164" s="218"/>
      <c r="N164" s="218"/>
      <c r="O164" s="218"/>
      <c r="P164" s="218" t="s">
        <v>2393</v>
      </c>
      <c r="Q164" s="218"/>
      <c r="R164" s="218"/>
      <c r="S164" s="218"/>
      <c r="T164" s="441"/>
      <c r="U164" s="441"/>
      <c r="V164" s="218"/>
      <c r="W164" s="218"/>
      <c r="X164" s="218"/>
      <c r="Y164" s="31"/>
      <c r="Z164" s="31"/>
      <c r="AA164" s="31"/>
      <c r="AB164" s="31"/>
      <c r="AC164" s="31"/>
      <c r="AD164" s="31"/>
      <c r="AE164" s="31"/>
      <c r="AF164" s="31"/>
      <c r="AG164" s="31"/>
      <c r="AH164" s="31"/>
      <c r="AI164" s="31"/>
      <c r="AJ164" s="31"/>
      <c r="AK164" s="31"/>
      <c r="AL164" s="31"/>
      <c r="AM164" s="31"/>
      <c r="AN164" s="31"/>
    </row>
    <row r="165" spans="1:40" x14ac:dyDescent="0.2">
      <c r="A165" s="3"/>
      <c r="B165" s="3"/>
      <c r="C165" s="218"/>
      <c r="D165" s="342"/>
      <c r="E165" s="342"/>
      <c r="F165" s="342"/>
      <c r="G165" s="26">
        <v>4</v>
      </c>
      <c r="H165" s="342"/>
      <c r="I165" s="342"/>
      <c r="J165" s="218" t="s">
        <v>2394</v>
      </c>
      <c r="K165" s="218" t="s">
        <v>2395</v>
      </c>
      <c r="L165" s="406" t="s">
        <v>2192</v>
      </c>
      <c r="M165" s="218"/>
      <c r="N165" s="218"/>
      <c r="O165" s="218"/>
      <c r="P165" s="218" t="s">
        <v>2396</v>
      </c>
      <c r="Q165" s="218"/>
      <c r="R165" s="218"/>
      <c r="S165" s="218"/>
      <c r="T165" s="441"/>
      <c r="U165" s="441"/>
      <c r="V165" s="218"/>
      <c r="W165" s="218"/>
      <c r="X165" s="218"/>
      <c r="Y165" s="31"/>
      <c r="Z165" s="31"/>
      <c r="AA165" s="31"/>
      <c r="AB165" s="31"/>
      <c r="AC165" s="31"/>
      <c r="AD165" s="31"/>
      <c r="AE165" s="31"/>
      <c r="AF165" s="31"/>
      <c r="AG165" s="31"/>
      <c r="AH165" s="31"/>
      <c r="AI165" s="31"/>
      <c r="AJ165" s="31"/>
      <c r="AK165" s="31"/>
      <c r="AL165" s="31"/>
      <c r="AM165" s="31"/>
      <c r="AN165" s="31"/>
    </row>
    <row r="166" spans="1:40" x14ac:dyDescent="0.2">
      <c r="A166" s="3"/>
      <c r="B166" s="3"/>
      <c r="C166" s="218"/>
      <c r="D166" s="342"/>
      <c r="E166" s="342"/>
      <c r="F166" s="342"/>
      <c r="G166" s="26">
        <v>4</v>
      </c>
      <c r="H166" s="342"/>
      <c r="I166" s="342"/>
      <c r="J166" s="218" t="s">
        <v>2397</v>
      </c>
      <c r="K166" s="218" t="s">
        <v>2398</v>
      </c>
      <c r="L166" s="72" t="s">
        <v>358</v>
      </c>
      <c r="M166" s="218"/>
      <c r="N166" s="218"/>
      <c r="O166" s="218"/>
      <c r="P166" s="218"/>
      <c r="Q166" s="218"/>
      <c r="R166" s="218"/>
      <c r="S166" s="218"/>
      <c r="T166" s="441"/>
      <c r="U166" s="441"/>
      <c r="V166" s="218"/>
      <c r="W166" s="218"/>
      <c r="X166" s="218"/>
      <c r="Y166" s="31"/>
      <c r="Z166" s="31"/>
      <c r="AA166" s="31"/>
      <c r="AB166" s="31"/>
      <c r="AC166" s="31"/>
      <c r="AD166" s="31"/>
      <c r="AE166" s="31"/>
      <c r="AF166" s="31"/>
      <c r="AG166" s="31"/>
      <c r="AH166" s="31"/>
      <c r="AI166" s="31"/>
      <c r="AJ166" s="31"/>
      <c r="AK166" s="31"/>
      <c r="AL166" s="31"/>
      <c r="AM166" s="31"/>
      <c r="AN166" s="31"/>
    </row>
    <row r="167" spans="1:40" x14ac:dyDescent="0.2">
      <c r="A167" s="3"/>
      <c r="B167" s="3"/>
      <c r="C167" s="218"/>
      <c r="D167" s="342"/>
      <c r="E167" s="342"/>
      <c r="F167" s="342"/>
      <c r="G167" s="26">
        <v>4</v>
      </c>
      <c r="H167" s="342"/>
      <c r="I167" s="342"/>
      <c r="J167" s="218" t="s">
        <v>2361</v>
      </c>
      <c r="K167" s="218" t="s">
        <v>2399</v>
      </c>
      <c r="L167" s="72" t="s">
        <v>358</v>
      </c>
      <c r="M167" s="218"/>
      <c r="N167" s="218"/>
      <c r="O167" s="218"/>
      <c r="P167" s="218"/>
      <c r="Q167" s="218"/>
      <c r="R167" s="218"/>
      <c r="S167" s="218"/>
      <c r="T167" s="441"/>
      <c r="U167" s="441"/>
      <c r="V167" s="218"/>
      <c r="W167" s="218"/>
      <c r="X167" s="218"/>
      <c r="Y167" s="31"/>
      <c r="Z167" s="31"/>
      <c r="AA167" s="31"/>
      <c r="AB167" s="31"/>
      <c r="AC167" s="31"/>
      <c r="AD167" s="31"/>
      <c r="AE167" s="31"/>
      <c r="AF167" s="31"/>
      <c r="AG167" s="31"/>
      <c r="AH167" s="31"/>
      <c r="AI167" s="31"/>
      <c r="AJ167" s="31"/>
      <c r="AK167" s="31"/>
      <c r="AL167" s="31"/>
      <c r="AM167" s="31"/>
      <c r="AN167" s="31"/>
    </row>
    <row r="168" spans="1:40" x14ac:dyDescent="0.2">
      <c r="A168" s="3"/>
      <c r="B168" s="3"/>
      <c r="C168" s="218"/>
      <c r="D168" s="342"/>
      <c r="E168" s="342"/>
      <c r="F168" s="342"/>
      <c r="G168" s="26">
        <v>4</v>
      </c>
      <c r="H168" s="342"/>
      <c r="I168" s="342"/>
      <c r="J168" s="218" t="s">
        <v>2400</v>
      </c>
      <c r="K168" s="218" t="s">
        <v>2401</v>
      </c>
      <c r="L168" s="406" t="s">
        <v>2192</v>
      </c>
      <c r="M168" s="218"/>
      <c r="N168" s="218"/>
      <c r="O168" s="218"/>
      <c r="P168" s="218"/>
      <c r="Q168" s="218"/>
      <c r="R168" s="218"/>
      <c r="S168" s="218"/>
      <c r="T168" s="441"/>
      <c r="U168" s="441"/>
      <c r="V168" s="218"/>
      <c r="W168" s="218"/>
      <c r="X168" s="218"/>
      <c r="Y168" s="31"/>
      <c r="Z168" s="31"/>
      <c r="AA168" s="31"/>
      <c r="AB168" s="31"/>
      <c r="AC168" s="31"/>
      <c r="AD168" s="31"/>
      <c r="AE168" s="31"/>
      <c r="AF168" s="31"/>
      <c r="AG168" s="31"/>
      <c r="AH168" s="31"/>
      <c r="AI168" s="31"/>
      <c r="AJ168" s="31"/>
      <c r="AK168" s="31"/>
      <c r="AL168" s="31"/>
      <c r="AM168" s="31"/>
      <c r="AN168" s="31"/>
    </row>
    <row r="169" spans="1:40" x14ac:dyDescent="0.2">
      <c r="A169" s="3"/>
      <c r="B169" s="3"/>
      <c r="C169" s="218"/>
      <c r="D169" s="342"/>
      <c r="E169" s="342"/>
      <c r="F169" s="342"/>
      <c r="G169" s="26">
        <v>4</v>
      </c>
      <c r="H169" s="342"/>
      <c r="I169" s="342"/>
      <c r="J169" s="603" t="s">
        <v>2366</v>
      </c>
      <c r="K169" s="603" t="s">
        <v>2367</v>
      </c>
      <c r="L169" s="609" t="s">
        <v>2217</v>
      </c>
      <c r="M169" s="218"/>
      <c r="N169" s="218"/>
      <c r="O169" s="218"/>
      <c r="P169" s="218" t="s">
        <v>2402</v>
      </c>
      <c r="Q169" s="218"/>
      <c r="R169" s="218"/>
      <c r="S169" s="218"/>
      <c r="T169" s="441"/>
      <c r="U169" s="441"/>
      <c r="V169" s="218"/>
      <c r="W169" s="218"/>
      <c r="X169" s="218"/>
      <c r="Y169" s="31"/>
      <c r="Z169" s="31"/>
      <c r="AA169" s="31"/>
      <c r="AB169" s="31"/>
      <c r="AC169" s="31"/>
      <c r="AD169" s="31"/>
      <c r="AE169" s="31"/>
      <c r="AF169" s="31"/>
      <c r="AG169" s="31"/>
      <c r="AH169" s="31"/>
      <c r="AI169" s="31"/>
      <c r="AJ169" s="31"/>
      <c r="AK169" s="31"/>
      <c r="AL169" s="31"/>
      <c r="AM169" s="31"/>
      <c r="AN169" s="31"/>
    </row>
    <row r="170" spans="1:40" x14ac:dyDescent="0.2">
      <c r="A170" s="3"/>
      <c r="B170" s="3"/>
      <c r="C170" s="218"/>
      <c r="D170" s="342"/>
      <c r="E170" s="342"/>
      <c r="F170" s="342"/>
      <c r="G170" s="26">
        <v>4</v>
      </c>
      <c r="H170" s="342"/>
      <c r="I170" s="342"/>
      <c r="J170" s="603" t="s">
        <v>2368</v>
      </c>
      <c r="K170" s="607" t="s">
        <v>2501</v>
      </c>
      <c r="L170" s="611"/>
      <c r="M170" s="218"/>
      <c r="N170" s="218"/>
      <c r="O170" s="218"/>
      <c r="P170" s="218"/>
      <c r="Q170" s="218"/>
      <c r="R170" s="218"/>
      <c r="S170" s="218"/>
      <c r="T170" s="441"/>
      <c r="U170" s="441"/>
      <c r="V170" s="218"/>
      <c r="W170" s="218"/>
      <c r="X170" s="218"/>
      <c r="Y170" s="31"/>
      <c r="Z170" s="31"/>
      <c r="AA170" s="31"/>
      <c r="AB170" s="31"/>
      <c r="AC170" s="31"/>
      <c r="AD170" s="31"/>
      <c r="AE170" s="31"/>
      <c r="AF170" s="31"/>
      <c r="AG170" s="31"/>
      <c r="AH170" s="31"/>
      <c r="AI170" s="31"/>
      <c r="AJ170" s="31"/>
      <c r="AK170" s="31"/>
      <c r="AL170" s="31"/>
      <c r="AM170" s="31"/>
      <c r="AN170" s="31"/>
    </row>
    <row r="171" spans="1:40" x14ac:dyDescent="0.2">
      <c r="A171" s="3"/>
      <c r="B171" s="3"/>
      <c r="C171" s="218"/>
      <c r="D171" s="342"/>
      <c r="E171" s="342"/>
      <c r="F171" s="342"/>
      <c r="G171" s="26">
        <v>4</v>
      </c>
      <c r="H171" s="342"/>
      <c r="I171" s="342"/>
      <c r="J171" s="607" t="s">
        <v>2371</v>
      </c>
      <c r="K171" s="607" t="s">
        <v>2501</v>
      </c>
      <c r="L171" s="406"/>
      <c r="M171" s="218"/>
      <c r="N171" s="218"/>
      <c r="O171" s="218"/>
      <c r="P171" s="218"/>
      <c r="Q171" s="218"/>
      <c r="R171" s="218"/>
      <c r="S171" s="218"/>
      <c r="T171" s="441"/>
      <c r="U171" s="441"/>
      <c r="V171" s="218"/>
      <c r="W171" s="218"/>
      <c r="X171" s="218"/>
      <c r="Y171" s="31"/>
      <c r="Z171" s="31"/>
      <c r="AA171" s="31"/>
      <c r="AB171" s="31"/>
      <c r="AC171" s="31"/>
      <c r="AD171" s="31"/>
      <c r="AE171" s="31"/>
      <c r="AF171" s="31"/>
      <c r="AG171" s="31"/>
      <c r="AH171" s="31"/>
      <c r="AI171" s="31"/>
      <c r="AJ171" s="31"/>
      <c r="AK171" s="31"/>
      <c r="AL171" s="31"/>
      <c r="AM171" s="31"/>
      <c r="AN171" s="31"/>
    </row>
    <row r="172" spans="1:40" x14ac:dyDescent="0.2">
      <c r="A172" s="3"/>
      <c r="B172" s="3"/>
      <c r="C172" s="218"/>
      <c r="D172" s="342"/>
      <c r="E172" s="342"/>
      <c r="F172" s="342"/>
      <c r="G172" s="26">
        <v>4</v>
      </c>
      <c r="H172" s="342"/>
      <c r="I172" s="342"/>
      <c r="J172" s="607" t="s">
        <v>2404</v>
      </c>
      <c r="K172" s="607" t="s">
        <v>2501</v>
      </c>
      <c r="L172" s="406"/>
      <c r="M172" s="218"/>
      <c r="N172" s="218"/>
      <c r="O172" s="218"/>
      <c r="P172" s="218"/>
      <c r="Q172" s="218"/>
      <c r="R172" s="218"/>
      <c r="S172" s="218"/>
      <c r="T172" s="441"/>
      <c r="U172" s="441"/>
      <c r="V172" s="218"/>
      <c r="W172" s="218"/>
      <c r="X172" s="218"/>
      <c r="Y172" s="31"/>
      <c r="Z172" s="31"/>
      <c r="AA172" s="31"/>
      <c r="AB172" s="31"/>
      <c r="AC172" s="31"/>
      <c r="AD172" s="31"/>
      <c r="AE172" s="31"/>
      <c r="AF172" s="31"/>
      <c r="AG172" s="31"/>
      <c r="AH172" s="31"/>
      <c r="AI172" s="31"/>
      <c r="AJ172" s="31"/>
      <c r="AK172" s="31"/>
      <c r="AL172" s="31"/>
      <c r="AM172" s="31"/>
      <c r="AN172" s="31"/>
    </row>
    <row r="173" spans="1:40" x14ac:dyDescent="0.2">
      <c r="A173" s="3"/>
      <c r="B173" s="3"/>
      <c r="C173" s="12"/>
      <c r="D173" s="375"/>
      <c r="E173" s="862">
        <v>2</v>
      </c>
      <c r="F173" s="1168" t="s">
        <v>1348</v>
      </c>
      <c r="G173" s="1169"/>
      <c r="H173" s="1169"/>
      <c r="I173" s="1169"/>
      <c r="J173" s="1169"/>
      <c r="K173" s="1169"/>
      <c r="L173" s="1169"/>
      <c r="M173" s="1169"/>
      <c r="N173" s="1169"/>
      <c r="O173" s="1169"/>
      <c r="P173" s="1169"/>
      <c r="Q173" s="1169"/>
      <c r="R173" s="1169"/>
      <c r="S173" s="1169"/>
      <c r="T173" s="1169"/>
      <c r="U173" s="1169"/>
      <c r="V173" s="1169"/>
      <c r="W173" s="1169"/>
      <c r="X173" s="1169"/>
      <c r="Y173" s="1169"/>
      <c r="Z173" s="1170"/>
      <c r="AA173" s="861"/>
      <c r="AB173" s="861"/>
      <c r="AC173" s="861"/>
      <c r="AD173" s="861"/>
      <c r="AE173" s="861"/>
      <c r="AF173" s="861"/>
      <c r="AG173" s="861"/>
      <c r="AH173" s="861"/>
      <c r="AI173" s="861"/>
      <c r="AJ173" s="861"/>
      <c r="AK173" s="861"/>
      <c r="AL173" s="861"/>
      <c r="AM173" s="861"/>
      <c r="AN173" s="861"/>
    </row>
    <row r="174" spans="1:40" x14ac:dyDescent="0.2">
      <c r="A174" s="3"/>
      <c r="B174" s="3"/>
      <c r="C174" s="218"/>
      <c r="D174" s="342"/>
      <c r="E174" s="342"/>
      <c r="F174" s="26">
        <v>3</v>
      </c>
      <c r="G174" s="342"/>
      <c r="H174" s="342"/>
      <c r="I174" s="342"/>
      <c r="J174" s="869" t="s">
        <v>2502</v>
      </c>
      <c r="K174" s="607" t="s">
        <v>2155</v>
      </c>
      <c r="L174" s="26"/>
      <c r="M174" s="218"/>
      <c r="N174" s="218"/>
      <c r="O174" s="218"/>
      <c r="P174" s="218"/>
      <c r="Q174" s="218"/>
      <c r="R174" s="218"/>
      <c r="S174" s="218"/>
      <c r="T174" s="441"/>
      <c r="U174" s="441"/>
      <c r="V174" s="218"/>
      <c r="W174" s="218"/>
      <c r="X174" s="218"/>
      <c r="Y174" s="31"/>
      <c r="Z174" s="31"/>
      <c r="AA174" s="31"/>
      <c r="AB174" s="31"/>
      <c r="AC174" s="31"/>
      <c r="AD174" s="31"/>
      <c r="AE174" s="31"/>
      <c r="AF174" s="31"/>
      <c r="AG174" s="31"/>
      <c r="AH174" s="31"/>
      <c r="AI174" s="31"/>
      <c r="AJ174" s="31"/>
      <c r="AK174" s="31"/>
      <c r="AL174" s="31"/>
      <c r="AM174" s="31"/>
      <c r="AN174" s="31"/>
    </row>
    <row r="175" spans="1:40" x14ac:dyDescent="0.2">
      <c r="A175" s="3"/>
      <c r="B175" s="3"/>
      <c r="C175" s="218"/>
      <c r="D175" s="342"/>
      <c r="E175" s="342"/>
      <c r="F175" s="342"/>
      <c r="G175" s="26">
        <v>4</v>
      </c>
      <c r="H175" s="342"/>
      <c r="I175" s="342"/>
      <c r="J175" s="218" t="s">
        <v>2157</v>
      </c>
      <c r="K175" s="218" t="s">
        <v>2406</v>
      </c>
      <c r="L175" s="406" t="s">
        <v>2192</v>
      </c>
      <c r="M175" s="218"/>
      <c r="N175" s="218"/>
      <c r="O175" s="218"/>
      <c r="P175" s="218"/>
      <c r="Q175" s="218"/>
      <c r="R175" s="218"/>
      <c r="S175" s="218"/>
      <c r="T175" s="441"/>
      <c r="U175" s="441"/>
      <c r="V175" s="218"/>
      <c r="W175" s="218"/>
      <c r="X175" s="218"/>
      <c r="Y175" s="31"/>
      <c r="Z175" s="31"/>
      <c r="AA175" s="31"/>
      <c r="AB175" s="31"/>
      <c r="AC175" s="31"/>
      <c r="AD175" s="31"/>
      <c r="AE175" s="31"/>
      <c r="AF175" s="31"/>
      <c r="AG175" s="31"/>
      <c r="AH175" s="31"/>
      <c r="AI175" s="31"/>
      <c r="AJ175" s="31"/>
      <c r="AK175" s="31"/>
      <c r="AL175" s="31"/>
      <c r="AM175" s="31"/>
      <c r="AN175" s="31"/>
    </row>
    <row r="176" spans="1:40" ht="38.25" x14ac:dyDescent="0.2">
      <c r="A176" s="3"/>
      <c r="B176" s="3"/>
      <c r="C176" s="218"/>
      <c r="D176" s="342"/>
      <c r="E176" s="342"/>
      <c r="F176" s="342"/>
      <c r="G176" s="26">
        <v>4</v>
      </c>
      <c r="H176" s="342"/>
      <c r="I176" s="342"/>
      <c r="J176" s="218" t="s">
        <v>2160</v>
      </c>
      <c r="K176" s="218" t="s">
        <v>2407</v>
      </c>
      <c r="L176" s="406" t="s">
        <v>2192</v>
      </c>
      <c r="M176" s="218"/>
      <c r="N176" s="873"/>
      <c r="O176" s="218"/>
      <c r="P176" s="873" t="s">
        <v>2408</v>
      </c>
      <c r="Q176" s="218"/>
      <c r="R176" s="218"/>
      <c r="S176" s="218"/>
      <c r="T176" s="441"/>
      <c r="U176" s="441"/>
      <c r="V176" s="218"/>
      <c r="W176" s="218"/>
      <c r="X176" s="218"/>
      <c r="Y176" s="31"/>
      <c r="Z176" s="31"/>
      <c r="AA176" s="31"/>
      <c r="AB176" s="31"/>
      <c r="AC176" s="31"/>
      <c r="AD176" s="31"/>
      <c r="AE176" s="31"/>
      <c r="AF176" s="31"/>
      <c r="AG176" s="31"/>
      <c r="AH176" s="31"/>
      <c r="AI176" s="31"/>
      <c r="AJ176" s="31"/>
      <c r="AK176" s="31"/>
      <c r="AL176" s="31"/>
      <c r="AM176" s="31"/>
      <c r="AN176" s="31"/>
    </row>
    <row r="177" spans="1:40" ht="15.75" customHeight="1" x14ac:dyDescent="0.2">
      <c r="A177" s="3"/>
      <c r="B177" s="3"/>
      <c r="C177" s="218"/>
      <c r="D177" s="342"/>
      <c r="E177" s="342"/>
      <c r="F177" s="26">
        <v>3</v>
      </c>
      <c r="G177" s="342"/>
      <c r="H177" s="342"/>
      <c r="I177" s="342"/>
      <c r="J177" s="869" t="s">
        <v>2503</v>
      </c>
      <c r="K177" s="218"/>
      <c r="L177" s="406"/>
      <c r="M177" s="218"/>
      <c r="N177" s="218"/>
      <c r="O177" s="218"/>
      <c r="P177" s="218"/>
      <c r="Q177" s="218"/>
      <c r="R177" s="218"/>
      <c r="S177" s="218"/>
      <c r="T177" s="441"/>
      <c r="U177" s="441"/>
      <c r="V177" s="218"/>
      <c r="W177" s="218"/>
      <c r="X177" s="218"/>
      <c r="Y177" s="31"/>
      <c r="Z177" s="31"/>
      <c r="AA177" s="31"/>
      <c r="AB177" s="31"/>
      <c r="AC177" s="31"/>
      <c r="AD177" s="31"/>
      <c r="AE177" s="31"/>
      <c r="AF177" s="31"/>
      <c r="AG177" s="31"/>
      <c r="AH177" s="31"/>
      <c r="AI177" s="31"/>
      <c r="AJ177" s="31"/>
      <c r="AK177" s="31"/>
      <c r="AL177" s="31"/>
      <c r="AM177" s="31"/>
      <c r="AN177" s="31"/>
    </row>
    <row r="178" spans="1:40" ht="15.75" customHeight="1" x14ac:dyDescent="0.2">
      <c r="A178" s="3"/>
      <c r="B178" s="3"/>
      <c r="C178" s="218"/>
      <c r="D178" s="342"/>
      <c r="E178" s="342"/>
      <c r="F178" s="342"/>
      <c r="G178" s="26">
        <v>4</v>
      </c>
      <c r="H178" s="342"/>
      <c r="I178" s="342"/>
      <c r="J178" s="603" t="s">
        <v>2164</v>
      </c>
      <c r="K178" s="603" t="s">
        <v>2410</v>
      </c>
      <c r="L178" s="609" t="s">
        <v>2217</v>
      </c>
      <c r="M178" s="218"/>
      <c r="N178" s="218"/>
      <c r="O178" s="218"/>
      <c r="P178" s="218"/>
      <c r="Q178" s="218"/>
      <c r="R178" s="218"/>
      <c r="S178" s="218"/>
      <c r="T178" s="441"/>
      <c r="U178" s="441"/>
      <c r="V178" s="218"/>
      <c r="W178" s="218"/>
      <c r="X178" s="218"/>
      <c r="Y178" s="31"/>
      <c r="Z178" s="31"/>
      <c r="AA178" s="31"/>
      <c r="AB178" s="31"/>
      <c r="AC178" s="31"/>
      <c r="AD178" s="31"/>
      <c r="AE178" s="31"/>
      <c r="AF178" s="31"/>
      <c r="AG178" s="31"/>
      <c r="AH178" s="31"/>
      <c r="AI178" s="31"/>
      <c r="AJ178" s="31"/>
      <c r="AK178" s="31"/>
      <c r="AL178" s="31"/>
      <c r="AM178" s="31"/>
      <c r="AN178" s="31"/>
    </row>
    <row r="179" spans="1:40" x14ac:dyDescent="0.2">
      <c r="A179" s="3"/>
      <c r="B179" s="3"/>
      <c r="C179" s="218"/>
      <c r="D179" s="342"/>
      <c r="E179" s="342"/>
      <c r="F179" s="26">
        <v>3</v>
      </c>
      <c r="G179" s="342"/>
      <c r="H179" s="342"/>
      <c r="I179" s="342"/>
      <c r="J179" s="869" t="s">
        <v>2504</v>
      </c>
      <c r="K179" s="218"/>
      <c r="L179" s="406"/>
      <c r="M179" s="218"/>
      <c r="N179" s="218"/>
      <c r="O179" s="218"/>
      <c r="P179" s="218"/>
      <c r="Q179" s="218"/>
      <c r="R179" s="218"/>
      <c r="S179" s="218"/>
      <c r="T179" s="441"/>
      <c r="U179" s="441"/>
      <c r="V179" s="218"/>
      <c r="W179" s="218"/>
      <c r="X179" s="218"/>
      <c r="Y179" s="31"/>
      <c r="Z179" s="31"/>
      <c r="AA179" s="31"/>
      <c r="AB179" s="31"/>
      <c r="AC179" s="31"/>
      <c r="AD179" s="31"/>
      <c r="AE179" s="31"/>
      <c r="AF179" s="31"/>
      <c r="AG179" s="31"/>
      <c r="AH179" s="31"/>
      <c r="AI179" s="31"/>
      <c r="AJ179" s="31"/>
      <c r="AK179" s="31"/>
      <c r="AL179" s="31"/>
      <c r="AM179" s="31"/>
      <c r="AN179" s="31"/>
    </row>
    <row r="180" spans="1:40" x14ac:dyDescent="0.2">
      <c r="A180" s="3"/>
      <c r="B180" s="3"/>
      <c r="C180" s="218"/>
      <c r="D180" s="342"/>
      <c r="E180" s="342"/>
      <c r="F180" s="342"/>
      <c r="G180" s="26">
        <v>4</v>
      </c>
      <c r="H180" s="342"/>
      <c r="I180" s="342"/>
      <c r="J180" s="218" t="s">
        <v>1353</v>
      </c>
      <c r="K180" s="218" t="s">
        <v>2412</v>
      </c>
      <c r="L180" s="406" t="s">
        <v>2192</v>
      </c>
      <c r="M180" s="218"/>
      <c r="N180" s="218"/>
      <c r="O180" s="218"/>
      <c r="P180" s="218"/>
      <c r="Q180" s="218"/>
      <c r="R180" s="218"/>
      <c r="S180" s="218"/>
      <c r="T180" s="441"/>
      <c r="U180" s="441"/>
      <c r="V180" s="218"/>
      <c r="W180" s="218"/>
      <c r="X180" s="218"/>
      <c r="Y180" s="31"/>
      <c r="Z180" s="31"/>
      <c r="AA180" s="31"/>
      <c r="AB180" s="31"/>
      <c r="AC180" s="31"/>
      <c r="AD180" s="31"/>
      <c r="AE180" s="31"/>
      <c r="AF180" s="31"/>
      <c r="AG180" s="31"/>
      <c r="AH180" s="31"/>
      <c r="AI180" s="31"/>
      <c r="AJ180" s="31"/>
      <c r="AK180" s="31"/>
      <c r="AL180" s="31"/>
      <c r="AM180" s="31"/>
      <c r="AN180" s="31"/>
    </row>
    <row r="181" spans="1:40" x14ac:dyDescent="0.2">
      <c r="A181" s="3"/>
      <c r="B181" s="3"/>
      <c r="C181" s="218"/>
      <c r="D181" s="342"/>
      <c r="E181" s="342"/>
      <c r="F181" s="26">
        <v>3</v>
      </c>
      <c r="G181" s="342"/>
      <c r="H181" s="342"/>
      <c r="I181" s="342"/>
      <c r="J181" s="874" t="s">
        <v>2505</v>
      </c>
      <c r="K181" s="607" t="s">
        <v>2414</v>
      </c>
      <c r="L181" s="406"/>
      <c r="M181" s="218"/>
      <c r="N181" s="218"/>
      <c r="O181" s="218"/>
      <c r="P181" s="218"/>
      <c r="Q181" s="218"/>
      <c r="R181" s="218"/>
      <c r="S181" s="218"/>
      <c r="T181" s="441"/>
      <c r="U181" s="441"/>
      <c r="V181" s="218"/>
      <c r="W181" s="218"/>
      <c r="X181" s="218"/>
      <c r="Y181" s="31"/>
      <c r="Z181" s="31"/>
      <c r="AA181" s="31"/>
      <c r="AB181" s="31"/>
      <c r="AC181" s="31"/>
      <c r="AD181" s="31"/>
      <c r="AE181" s="31"/>
      <c r="AF181" s="31"/>
      <c r="AG181" s="31"/>
      <c r="AH181" s="31"/>
      <c r="AI181" s="31"/>
      <c r="AJ181" s="31"/>
      <c r="AK181" s="31"/>
      <c r="AL181" s="31"/>
      <c r="AM181" s="31"/>
      <c r="AN181" s="31"/>
    </row>
    <row r="182" spans="1:40" x14ac:dyDescent="0.2">
      <c r="A182" s="3"/>
      <c r="B182" s="3"/>
      <c r="C182" s="218"/>
      <c r="D182" s="342"/>
      <c r="E182" s="342"/>
      <c r="F182" s="26">
        <v>3</v>
      </c>
      <c r="G182" s="26"/>
      <c r="H182" s="342"/>
      <c r="I182" s="342"/>
      <c r="J182" s="869" t="s">
        <v>2506</v>
      </c>
      <c r="K182" s="218"/>
      <c r="L182" s="406"/>
      <c r="M182" s="218"/>
      <c r="N182" s="218"/>
      <c r="O182" s="218"/>
      <c r="P182" s="218"/>
      <c r="Q182" s="218"/>
      <c r="R182" s="218"/>
      <c r="S182" s="218"/>
      <c r="T182" s="441"/>
      <c r="U182" s="441"/>
      <c r="V182" s="218"/>
      <c r="W182" s="218"/>
      <c r="X182" s="218"/>
      <c r="Y182" s="31"/>
      <c r="Z182" s="31"/>
      <c r="AA182" s="31"/>
      <c r="AB182" s="31"/>
      <c r="AC182" s="31"/>
      <c r="AD182" s="31"/>
      <c r="AE182" s="31"/>
      <c r="AF182" s="31"/>
      <c r="AG182" s="31"/>
      <c r="AH182" s="31"/>
      <c r="AI182" s="31"/>
      <c r="AJ182" s="31"/>
      <c r="AK182" s="31"/>
      <c r="AL182" s="31"/>
      <c r="AM182" s="31"/>
      <c r="AN182" s="31"/>
    </row>
    <row r="183" spans="1:40" x14ac:dyDescent="0.2">
      <c r="A183" s="3"/>
      <c r="B183" s="3"/>
      <c r="C183" s="218"/>
      <c r="D183" s="342"/>
      <c r="E183" s="342"/>
      <c r="F183" s="342"/>
      <c r="G183" s="26">
        <v>4</v>
      </c>
      <c r="H183" s="342"/>
      <c r="I183" s="342"/>
      <c r="J183" s="218" t="s">
        <v>2400</v>
      </c>
      <c r="K183" s="218" t="s">
        <v>2416</v>
      </c>
      <c r="L183" s="406" t="s">
        <v>2192</v>
      </c>
      <c r="M183" s="218"/>
      <c r="N183" s="218"/>
      <c r="O183" s="218"/>
      <c r="P183" s="218" t="s">
        <v>2417</v>
      </c>
      <c r="Q183" s="218"/>
      <c r="R183" s="218"/>
      <c r="S183" s="218"/>
      <c r="T183" s="441"/>
      <c r="U183" s="441"/>
      <c r="V183" s="218"/>
      <c r="W183" s="218"/>
      <c r="X183" s="218"/>
      <c r="Y183" s="31"/>
      <c r="Z183" s="31"/>
      <c r="AA183" s="31"/>
      <c r="AB183" s="31"/>
      <c r="AC183" s="31"/>
      <c r="AD183" s="31"/>
      <c r="AE183" s="31"/>
      <c r="AF183" s="31"/>
      <c r="AG183" s="31"/>
      <c r="AH183" s="31"/>
      <c r="AI183" s="31"/>
      <c r="AJ183" s="31"/>
      <c r="AK183" s="31"/>
      <c r="AL183" s="31"/>
      <c r="AM183" s="31"/>
      <c r="AN183" s="31"/>
    </row>
    <row r="184" spans="1:40" x14ac:dyDescent="0.2">
      <c r="A184" s="3"/>
      <c r="B184" s="3"/>
      <c r="C184" s="218"/>
      <c r="D184" s="342"/>
      <c r="E184" s="342"/>
      <c r="F184" s="342"/>
      <c r="G184" s="26">
        <v>4</v>
      </c>
      <c r="H184" s="342"/>
      <c r="I184" s="342"/>
      <c r="J184" s="603" t="s">
        <v>2366</v>
      </c>
      <c r="K184" s="603" t="s">
        <v>2418</v>
      </c>
      <c r="L184" s="609" t="s">
        <v>2419</v>
      </c>
      <c r="M184" s="218"/>
      <c r="N184" s="218"/>
      <c r="O184" s="218"/>
      <c r="P184" s="218"/>
      <c r="Q184" s="218"/>
      <c r="R184" s="218"/>
      <c r="S184" s="218"/>
      <c r="T184" s="441"/>
      <c r="U184" s="441"/>
      <c r="V184" s="218"/>
      <c r="W184" s="218"/>
      <c r="X184" s="218"/>
      <c r="Y184" s="31"/>
      <c r="Z184" s="31"/>
      <c r="AA184" s="31"/>
      <c r="AB184" s="31"/>
      <c r="AC184" s="31"/>
      <c r="AD184" s="31"/>
      <c r="AE184" s="31"/>
      <c r="AF184" s="31"/>
      <c r="AG184" s="31"/>
      <c r="AH184" s="31"/>
      <c r="AI184" s="31"/>
      <c r="AJ184" s="31"/>
      <c r="AK184" s="31"/>
      <c r="AL184" s="31"/>
      <c r="AM184" s="31"/>
      <c r="AN184" s="31"/>
    </row>
    <row r="185" spans="1:40" x14ac:dyDescent="0.2">
      <c r="A185" s="3"/>
      <c r="B185" s="3"/>
      <c r="C185" s="218"/>
      <c r="D185" s="342"/>
      <c r="E185" s="342"/>
      <c r="F185" s="342"/>
      <c r="G185" s="26">
        <v>4</v>
      </c>
      <c r="H185" s="342"/>
      <c r="I185" s="342"/>
      <c r="J185" s="603" t="s">
        <v>2368</v>
      </c>
      <c r="K185" s="607" t="s">
        <v>2403</v>
      </c>
      <c r="L185" s="406"/>
      <c r="M185" s="218"/>
      <c r="N185" s="218"/>
      <c r="O185" s="218"/>
      <c r="P185" s="218"/>
      <c r="Q185" s="218"/>
      <c r="R185" s="218"/>
      <c r="S185" s="218"/>
      <c r="T185" s="441"/>
      <c r="U185" s="441"/>
      <c r="V185" s="218"/>
      <c r="W185" s="218"/>
      <c r="X185" s="218"/>
      <c r="Y185" s="31"/>
      <c r="Z185" s="31"/>
      <c r="AA185" s="31"/>
      <c r="AB185" s="31"/>
      <c r="AC185" s="31"/>
      <c r="AD185" s="31"/>
      <c r="AE185" s="31"/>
      <c r="AF185" s="31"/>
      <c r="AG185" s="31"/>
      <c r="AH185" s="31"/>
      <c r="AI185" s="31"/>
      <c r="AJ185" s="31"/>
      <c r="AK185" s="31"/>
      <c r="AL185" s="31"/>
      <c r="AM185" s="31"/>
      <c r="AN185" s="31"/>
    </row>
    <row r="186" spans="1:40" x14ac:dyDescent="0.2">
      <c r="A186" s="3"/>
      <c r="B186" s="3"/>
      <c r="C186" s="218"/>
      <c r="D186" s="342"/>
      <c r="E186" s="342"/>
      <c r="F186" s="342"/>
      <c r="G186" s="26">
        <v>4</v>
      </c>
      <c r="H186" s="342"/>
      <c r="I186" s="342"/>
      <c r="J186" s="218" t="s">
        <v>2371</v>
      </c>
      <c r="K186" s="607" t="s">
        <v>2403</v>
      </c>
      <c r="L186" s="406"/>
      <c r="M186" s="218"/>
      <c r="N186" s="218"/>
      <c r="O186" s="218"/>
      <c r="P186" s="218"/>
      <c r="Q186" s="218"/>
      <c r="R186" s="218"/>
      <c r="S186" s="218"/>
      <c r="T186" s="441"/>
      <c r="U186" s="441"/>
      <c r="V186" s="218"/>
      <c r="W186" s="218"/>
      <c r="X186" s="218"/>
      <c r="Y186" s="31"/>
      <c r="Z186" s="31"/>
      <c r="AA186" s="31"/>
      <c r="AB186" s="31"/>
      <c r="AC186" s="31"/>
      <c r="AD186" s="31"/>
      <c r="AE186" s="31"/>
      <c r="AF186" s="31"/>
      <c r="AG186" s="31"/>
      <c r="AH186" s="31"/>
      <c r="AI186" s="31"/>
      <c r="AJ186" s="31"/>
      <c r="AK186" s="31"/>
      <c r="AL186" s="31"/>
      <c r="AM186" s="31"/>
      <c r="AN186" s="31"/>
    </row>
    <row r="187" spans="1:40" x14ac:dyDescent="0.2">
      <c r="A187" s="3"/>
      <c r="B187" s="3"/>
      <c r="C187" s="218"/>
      <c r="D187" s="342"/>
      <c r="E187" s="342"/>
      <c r="F187" s="342"/>
      <c r="G187" s="26">
        <v>4</v>
      </c>
      <c r="H187" s="342"/>
      <c r="I187" s="342"/>
      <c r="J187" s="218" t="s">
        <v>2404</v>
      </c>
      <c r="K187" s="607" t="s">
        <v>2403</v>
      </c>
      <c r="L187" s="406"/>
      <c r="M187" s="218"/>
      <c r="N187" s="218"/>
      <c r="O187" s="218"/>
      <c r="P187" s="218"/>
      <c r="Q187" s="218"/>
      <c r="R187" s="218"/>
      <c r="S187" s="218"/>
      <c r="T187" s="441"/>
      <c r="U187" s="441"/>
      <c r="V187" s="218"/>
      <c r="W187" s="218"/>
      <c r="X187" s="218"/>
      <c r="Y187" s="31"/>
      <c r="Z187" s="31"/>
      <c r="AA187" s="31"/>
      <c r="AB187" s="31"/>
      <c r="AC187" s="31"/>
      <c r="AD187" s="31"/>
      <c r="AE187" s="31"/>
      <c r="AF187" s="31"/>
      <c r="AG187" s="31"/>
      <c r="AH187" s="31"/>
      <c r="AI187" s="31"/>
      <c r="AJ187" s="31"/>
      <c r="AK187" s="31"/>
      <c r="AL187" s="31"/>
      <c r="AM187" s="31"/>
      <c r="AN187" s="31"/>
    </row>
    <row r="188" spans="1:40" x14ac:dyDescent="0.2">
      <c r="A188" s="3"/>
      <c r="B188" s="3"/>
      <c r="C188" s="12"/>
      <c r="D188" s="375"/>
      <c r="E188" s="862">
        <v>2</v>
      </c>
      <c r="F188" s="1168" t="s">
        <v>2420</v>
      </c>
      <c r="G188" s="1169"/>
      <c r="H188" s="1169"/>
      <c r="I188" s="1169"/>
      <c r="J188" s="1169"/>
      <c r="K188" s="1169"/>
      <c r="L188" s="1169"/>
      <c r="M188" s="1169"/>
      <c r="N188" s="1169"/>
      <c r="O188" s="1169"/>
      <c r="P188" s="1169"/>
      <c r="Q188" s="1169"/>
      <c r="R188" s="1169"/>
      <c r="S188" s="1169"/>
      <c r="T188" s="1169"/>
      <c r="U188" s="1169"/>
      <c r="V188" s="1169"/>
      <c r="W188" s="1169"/>
      <c r="X188" s="1169"/>
      <c r="Y188" s="1169"/>
      <c r="Z188" s="1170"/>
      <c r="AA188" s="861"/>
      <c r="AB188" s="861"/>
      <c r="AC188" s="861"/>
      <c r="AD188" s="861"/>
      <c r="AE188" s="861"/>
      <c r="AF188" s="861"/>
      <c r="AG188" s="861"/>
      <c r="AH188" s="861"/>
      <c r="AI188" s="861"/>
      <c r="AJ188" s="861"/>
      <c r="AK188" s="861"/>
      <c r="AL188" s="861"/>
      <c r="AM188" s="861"/>
      <c r="AN188" s="861"/>
    </row>
    <row r="189" spans="1:40" x14ac:dyDescent="0.2">
      <c r="A189" s="3"/>
      <c r="B189" s="3"/>
      <c r="C189" s="218"/>
      <c r="D189" s="342"/>
      <c r="E189" s="342"/>
      <c r="F189" s="26">
        <v>3</v>
      </c>
      <c r="G189" s="342"/>
      <c r="H189" s="342"/>
      <c r="I189" s="342"/>
      <c r="J189" s="869" t="s">
        <v>2507</v>
      </c>
      <c r="K189" s="442"/>
      <c r="L189" s="441"/>
      <c r="M189" s="218"/>
      <c r="N189" s="218"/>
      <c r="O189" s="218"/>
      <c r="P189" s="218"/>
      <c r="Q189" s="218"/>
      <c r="R189" s="218"/>
      <c r="S189" s="218"/>
      <c r="T189" s="441"/>
      <c r="U189" s="441"/>
      <c r="V189" s="218"/>
      <c r="W189" s="218"/>
      <c r="X189" s="218"/>
      <c r="Y189" s="31"/>
      <c r="Z189" s="31"/>
      <c r="AA189" s="31"/>
      <c r="AB189" s="31"/>
      <c r="AC189" s="31"/>
      <c r="AD189" s="31"/>
      <c r="AE189" s="31"/>
      <c r="AF189" s="31"/>
      <c r="AG189" s="31"/>
      <c r="AH189" s="31"/>
      <c r="AI189" s="31"/>
      <c r="AJ189" s="31"/>
      <c r="AK189" s="31"/>
      <c r="AL189" s="31"/>
      <c r="AM189" s="31"/>
      <c r="AN189" s="31"/>
    </row>
    <row r="190" spans="1:40" x14ac:dyDescent="0.2">
      <c r="A190" s="3"/>
      <c r="B190" s="3"/>
      <c r="C190" s="218"/>
      <c r="D190" s="342"/>
      <c r="E190" s="342"/>
      <c r="F190" s="342"/>
      <c r="G190" s="26">
        <v>4</v>
      </c>
      <c r="H190" s="342"/>
      <c r="I190" s="342"/>
      <c r="J190" s="218" t="s">
        <v>2422</v>
      </c>
      <c r="K190" s="607" t="s">
        <v>2423</v>
      </c>
      <c r="L190" s="406"/>
      <c r="M190" s="218"/>
      <c r="N190" s="218"/>
      <c r="O190" s="218"/>
      <c r="P190" s="218"/>
      <c r="Q190" s="218"/>
      <c r="R190" s="218"/>
      <c r="S190" s="218"/>
      <c r="T190" s="441"/>
      <c r="U190" s="441"/>
      <c r="V190" s="218"/>
      <c r="W190" s="218"/>
      <c r="X190" s="218"/>
      <c r="Y190" s="31"/>
      <c r="Z190" s="31"/>
      <c r="AA190" s="31"/>
      <c r="AB190" s="31"/>
      <c r="AC190" s="31"/>
      <c r="AD190" s="31"/>
      <c r="AE190" s="31"/>
      <c r="AF190" s="31"/>
      <c r="AG190" s="31"/>
      <c r="AH190" s="31"/>
      <c r="AI190" s="31"/>
      <c r="AJ190" s="31"/>
      <c r="AK190" s="31"/>
      <c r="AL190" s="31"/>
      <c r="AM190" s="31"/>
      <c r="AN190" s="31"/>
    </row>
    <row r="191" spans="1:40" x14ac:dyDescent="0.2">
      <c r="A191" s="3"/>
      <c r="B191" s="3"/>
      <c r="C191" s="218"/>
      <c r="D191" s="342"/>
      <c r="E191" s="342"/>
      <c r="F191" s="342"/>
      <c r="G191" s="26">
        <v>4</v>
      </c>
      <c r="H191" s="342"/>
      <c r="I191" s="342"/>
      <c r="J191" s="218" t="s">
        <v>2424</v>
      </c>
      <c r="K191" s="218" t="s">
        <v>2425</v>
      </c>
      <c r="L191" s="406" t="s">
        <v>2192</v>
      </c>
      <c r="M191" s="218"/>
      <c r="N191" s="218"/>
      <c r="O191" s="218"/>
      <c r="P191" s="218"/>
      <c r="Q191" s="218"/>
      <c r="R191" s="218"/>
      <c r="S191" s="218"/>
      <c r="T191" s="441"/>
      <c r="U191" s="441"/>
      <c r="V191" s="218"/>
      <c r="W191" s="218"/>
      <c r="X191" s="218"/>
      <c r="Y191" s="31"/>
      <c r="Z191" s="31"/>
      <c r="AA191" s="31"/>
      <c r="AB191" s="31"/>
      <c r="AC191" s="31"/>
      <c r="AD191" s="31"/>
      <c r="AE191" s="31"/>
      <c r="AF191" s="31"/>
      <c r="AG191" s="31"/>
      <c r="AH191" s="31"/>
      <c r="AI191" s="31"/>
      <c r="AJ191" s="31"/>
      <c r="AK191" s="31"/>
      <c r="AL191" s="31"/>
      <c r="AM191" s="31"/>
      <c r="AN191" s="31"/>
    </row>
    <row r="192" spans="1:40" x14ac:dyDescent="0.2">
      <c r="A192" s="3"/>
      <c r="B192" s="3"/>
      <c r="C192" s="218"/>
      <c r="D192" s="342"/>
      <c r="E192" s="342"/>
      <c r="F192" s="26">
        <v>3</v>
      </c>
      <c r="G192" s="342"/>
      <c r="H192" s="342"/>
      <c r="I192" s="342"/>
      <c r="J192" s="869" t="s">
        <v>2508</v>
      </c>
      <c r="K192" s="218"/>
      <c r="L192" s="406"/>
      <c r="M192" s="218"/>
      <c r="N192" s="218"/>
      <c r="O192" s="218"/>
      <c r="P192" s="218"/>
      <c r="Q192" s="218"/>
      <c r="R192" s="218"/>
      <c r="S192" s="218"/>
      <c r="T192" s="441"/>
      <c r="U192" s="441"/>
      <c r="V192" s="218"/>
      <c r="W192" s="218"/>
      <c r="X192" s="218"/>
      <c r="Y192" s="31"/>
      <c r="Z192" s="31"/>
      <c r="AA192" s="31"/>
      <c r="AB192" s="31"/>
      <c r="AC192" s="31"/>
      <c r="AD192" s="31"/>
      <c r="AE192" s="31"/>
      <c r="AF192" s="31"/>
      <c r="AG192" s="31"/>
      <c r="AH192" s="31"/>
      <c r="AI192" s="31"/>
      <c r="AJ192" s="31"/>
      <c r="AK192" s="31"/>
      <c r="AL192" s="31"/>
      <c r="AM192" s="31"/>
      <c r="AN192" s="31"/>
    </row>
    <row r="193" spans="1:40" x14ac:dyDescent="0.2">
      <c r="A193" s="3"/>
      <c r="B193" s="3"/>
      <c r="C193" s="218"/>
      <c r="D193" s="342"/>
      <c r="E193" s="342"/>
      <c r="F193" s="342"/>
      <c r="G193" s="26">
        <v>4</v>
      </c>
      <c r="H193" s="342"/>
      <c r="I193" s="342"/>
      <c r="J193" s="218" t="s">
        <v>2427</v>
      </c>
      <c r="K193" s="218" t="s">
        <v>2428</v>
      </c>
      <c r="L193" s="406" t="s">
        <v>2192</v>
      </c>
      <c r="M193" s="218"/>
      <c r="N193" s="218"/>
      <c r="O193" s="218"/>
      <c r="P193" s="218"/>
      <c r="Q193" s="218"/>
      <c r="R193" s="218"/>
      <c r="S193" s="218"/>
      <c r="T193" s="441"/>
      <c r="U193" s="441"/>
      <c r="V193" s="218"/>
      <c r="W193" s="218"/>
      <c r="X193" s="218"/>
      <c r="Y193" s="31"/>
      <c r="Z193" s="31"/>
      <c r="AA193" s="31"/>
      <c r="AB193" s="31"/>
      <c r="AC193" s="31"/>
      <c r="AD193" s="31"/>
      <c r="AE193" s="31"/>
      <c r="AF193" s="31"/>
      <c r="AG193" s="31"/>
      <c r="AH193" s="31"/>
      <c r="AI193" s="31"/>
      <c r="AJ193" s="31"/>
      <c r="AK193" s="31"/>
      <c r="AL193" s="31"/>
      <c r="AM193" s="31"/>
      <c r="AN193" s="31"/>
    </row>
    <row r="194" spans="1:40" ht="30" x14ac:dyDescent="0.2">
      <c r="A194" s="3"/>
      <c r="B194" s="3"/>
      <c r="C194" s="218"/>
      <c r="D194" s="342"/>
      <c r="E194" s="342"/>
      <c r="F194" s="342"/>
      <c r="G194" s="26">
        <v>4</v>
      </c>
      <c r="H194" s="342"/>
      <c r="I194" s="342"/>
      <c r="J194" s="218" t="s">
        <v>2429</v>
      </c>
      <c r="K194" s="871" t="s">
        <v>2430</v>
      </c>
      <c r="L194" s="406" t="s">
        <v>2192</v>
      </c>
      <c r="M194" s="218"/>
      <c r="N194" s="218"/>
      <c r="O194" s="218"/>
      <c r="P194" s="218" t="s">
        <v>2431</v>
      </c>
      <c r="Q194" s="218"/>
      <c r="R194" s="218"/>
      <c r="S194" s="218"/>
      <c r="T194" s="441"/>
      <c r="U194" s="441"/>
      <c r="V194" s="218"/>
      <c r="W194" s="218"/>
      <c r="X194" s="218"/>
      <c r="Y194" s="31"/>
      <c r="Z194" s="31"/>
      <c r="AA194" s="31"/>
      <c r="AB194" s="31"/>
      <c r="AC194" s="31"/>
      <c r="AD194" s="31"/>
      <c r="AE194" s="31"/>
      <c r="AF194" s="31"/>
      <c r="AG194" s="31"/>
      <c r="AH194" s="31"/>
      <c r="AI194" s="31"/>
      <c r="AJ194" s="31"/>
      <c r="AK194" s="31"/>
      <c r="AL194" s="31"/>
      <c r="AM194" s="31"/>
      <c r="AN194" s="31"/>
    </row>
    <row r="195" spans="1:40" x14ac:dyDescent="0.2">
      <c r="A195" s="3"/>
      <c r="B195" s="3"/>
      <c r="C195" s="12"/>
      <c r="D195" s="375"/>
      <c r="E195" s="862">
        <v>2</v>
      </c>
      <c r="F195" s="1168" t="s">
        <v>1358</v>
      </c>
      <c r="G195" s="1169"/>
      <c r="H195" s="1169"/>
      <c r="I195" s="1169"/>
      <c r="J195" s="1169"/>
      <c r="K195" s="1169"/>
      <c r="L195" s="1169"/>
      <c r="M195" s="1169"/>
      <c r="N195" s="1169"/>
      <c r="O195" s="1169"/>
      <c r="P195" s="1169"/>
      <c r="Q195" s="1169"/>
      <c r="R195" s="1169"/>
      <c r="S195" s="1169"/>
      <c r="T195" s="1169"/>
      <c r="U195" s="1169"/>
      <c r="V195" s="1169"/>
      <c r="W195" s="1169"/>
      <c r="X195" s="1169"/>
      <c r="Y195" s="1169"/>
      <c r="Z195" s="1170"/>
      <c r="AA195" s="861"/>
      <c r="AB195" s="861"/>
      <c r="AC195" s="861"/>
      <c r="AD195" s="861"/>
      <c r="AE195" s="861"/>
      <c r="AF195" s="861"/>
      <c r="AG195" s="861"/>
      <c r="AH195" s="861"/>
      <c r="AI195" s="861"/>
      <c r="AJ195" s="861"/>
      <c r="AK195" s="861"/>
      <c r="AL195" s="861"/>
      <c r="AM195" s="861"/>
      <c r="AN195" s="861"/>
    </row>
    <row r="196" spans="1:40" ht="15.75" customHeight="1" x14ac:dyDescent="0.2">
      <c r="A196" s="3"/>
      <c r="B196" s="3"/>
      <c r="C196" s="218"/>
      <c r="D196" s="342"/>
      <c r="E196" s="342"/>
      <c r="F196" s="26">
        <v>3</v>
      </c>
      <c r="G196" s="342"/>
      <c r="H196" s="342"/>
      <c r="I196" s="342"/>
      <c r="J196" s="218" t="s">
        <v>2432</v>
      </c>
      <c r="K196" s="607" t="s">
        <v>2433</v>
      </c>
      <c r="L196" s="441"/>
      <c r="M196" s="218"/>
      <c r="N196" s="218"/>
      <c r="O196" s="218"/>
      <c r="P196" s="218"/>
      <c r="Q196" s="218"/>
      <c r="R196" s="218"/>
      <c r="S196" s="218"/>
      <c r="T196" s="441"/>
      <c r="U196" s="441"/>
      <c r="V196" s="218"/>
      <c r="W196" s="218"/>
      <c r="X196" s="218"/>
      <c r="Y196" s="31"/>
      <c r="Z196" s="31"/>
      <c r="AA196" s="31"/>
      <c r="AB196" s="31"/>
      <c r="AC196" s="31"/>
      <c r="AD196" s="31"/>
      <c r="AE196" s="31"/>
      <c r="AF196" s="31"/>
      <c r="AG196" s="31"/>
      <c r="AH196" s="31"/>
      <c r="AI196" s="31"/>
      <c r="AJ196" s="31"/>
      <c r="AK196" s="31"/>
      <c r="AL196" s="31"/>
      <c r="AM196" s="31"/>
      <c r="AN196" s="31"/>
    </row>
    <row r="197" spans="1:40" x14ac:dyDescent="0.2">
      <c r="A197" s="3"/>
      <c r="B197" s="3"/>
      <c r="C197" s="12"/>
      <c r="D197" s="375"/>
      <c r="E197" s="862">
        <v>2</v>
      </c>
      <c r="F197" s="1168" t="s">
        <v>1377</v>
      </c>
      <c r="G197" s="1169"/>
      <c r="H197" s="1169"/>
      <c r="I197" s="1169"/>
      <c r="J197" s="1169"/>
      <c r="K197" s="1169"/>
      <c r="L197" s="1169"/>
      <c r="M197" s="1169"/>
      <c r="N197" s="1169"/>
      <c r="O197" s="1169"/>
      <c r="P197" s="1169"/>
      <c r="Q197" s="1169"/>
      <c r="R197" s="1169"/>
      <c r="S197" s="1169"/>
      <c r="T197" s="1169"/>
      <c r="U197" s="1169"/>
      <c r="V197" s="1169"/>
      <c r="W197" s="1169"/>
      <c r="X197" s="1169"/>
      <c r="Y197" s="1169"/>
      <c r="Z197" s="1170"/>
      <c r="AA197" s="861"/>
      <c r="AB197" s="861"/>
      <c r="AC197" s="861"/>
      <c r="AD197" s="861"/>
      <c r="AE197" s="861"/>
      <c r="AF197" s="861"/>
      <c r="AG197" s="861"/>
      <c r="AH197" s="861"/>
      <c r="AI197" s="861"/>
      <c r="AJ197" s="861"/>
      <c r="AK197" s="861"/>
      <c r="AL197" s="861"/>
      <c r="AM197" s="861"/>
      <c r="AN197" s="861"/>
    </row>
    <row r="198" spans="1:40" ht="15.75" customHeight="1" x14ac:dyDescent="0.2">
      <c r="A198" s="3"/>
      <c r="B198" s="3"/>
      <c r="C198" s="218"/>
      <c r="D198" s="342"/>
      <c r="E198" s="342"/>
      <c r="F198" s="26">
        <v>3</v>
      </c>
      <c r="G198" s="342"/>
      <c r="H198" s="342"/>
      <c r="I198" s="342"/>
      <c r="J198" s="874" t="s">
        <v>2509</v>
      </c>
      <c r="K198" s="607" t="s">
        <v>2435</v>
      </c>
      <c r="L198" s="441"/>
      <c r="M198" s="218"/>
      <c r="N198" s="218"/>
      <c r="O198" s="218"/>
      <c r="P198" s="218"/>
      <c r="Q198" s="218"/>
      <c r="R198" s="218"/>
      <c r="S198" s="218"/>
      <c r="T198" s="441"/>
      <c r="U198" s="441"/>
      <c r="V198" s="218"/>
      <c r="W198" s="218"/>
      <c r="X198" s="218"/>
      <c r="Y198" s="31"/>
      <c r="Z198" s="31"/>
      <c r="AA198" s="31"/>
      <c r="AB198" s="31"/>
      <c r="AC198" s="31"/>
      <c r="AD198" s="31"/>
      <c r="AE198" s="31"/>
      <c r="AF198" s="31"/>
      <c r="AG198" s="31"/>
      <c r="AH198" s="31"/>
      <c r="AI198" s="31"/>
      <c r="AJ198" s="31"/>
      <c r="AK198" s="31"/>
      <c r="AL198" s="31"/>
      <c r="AM198" s="31"/>
      <c r="AN198" s="31"/>
    </row>
    <row r="199" spans="1:40" ht="15.75" customHeight="1" x14ac:dyDescent="0.2">
      <c r="A199" s="3"/>
      <c r="B199" s="3"/>
      <c r="C199" s="218"/>
      <c r="D199" s="342"/>
      <c r="E199" s="342"/>
      <c r="F199" s="26">
        <v>3</v>
      </c>
      <c r="G199" s="342"/>
      <c r="H199" s="342"/>
      <c r="I199" s="342"/>
      <c r="J199" s="874" t="s">
        <v>2510</v>
      </c>
      <c r="K199" s="607" t="s">
        <v>2437</v>
      </c>
      <c r="L199" s="441"/>
      <c r="M199" s="218"/>
      <c r="N199" s="218"/>
      <c r="O199" s="218"/>
      <c r="P199" s="218"/>
      <c r="Q199" s="218"/>
      <c r="R199" s="218"/>
      <c r="S199" s="218"/>
      <c r="T199" s="441"/>
      <c r="U199" s="441"/>
      <c r="V199" s="218"/>
      <c r="W199" s="218"/>
      <c r="X199" s="218"/>
      <c r="Y199" s="31"/>
      <c r="Z199" s="31"/>
      <c r="AA199" s="31"/>
      <c r="AB199" s="31"/>
      <c r="AC199" s="31"/>
      <c r="AD199" s="31"/>
      <c r="AE199" s="31"/>
      <c r="AF199" s="31"/>
      <c r="AG199" s="31"/>
      <c r="AH199" s="31"/>
      <c r="AI199" s="31"/>
      <c r="AJ199" s="31"/>
      <c r="AK199" s="31"/>
      <c r="AL199" s="31"/>
      <c r="AM199" s="31"/>
      <c r="AN199" s="31"/>
    </row>
    <row r="200" spans="1:40" x14ac:dyDescent="0.2">
      <c r="A200" s="3"/>
      <c r="B200" s="3"/>
      <c r="C200" s="12"/>
      <c r="D200" s="375"/>
      <c r="E200" s="862">
        <v>2</v>
      </c>
      <c r="F200" s="1168" t="s">
        <v>2438</v>
      </c>
      <c r="G200" s="1169"/>
      <c r="H200" s="1169"/>
      <c r="I200" s="1169"/>
      <c r="J200" s="1169"/>
      <c r="K200" s="1169"/>
      <c r="L200" s="1169"/>
      <c r="M200" s="1169"/>
      <c r="N200" s="1169"/>
      <c r="O200" s="1169"/>
      <c r="P200" s="1169"/>
      <c r="Q200" s="1169"/>
      <c r="R200" s="1169"/>
      <c r="S200" s="1169"/>
      <c r="T200" s="1169"/>
      <c r="U200" s="1169"/>
      <c r="V200" s="1169"/>
      <c r="W200" s="1169"/>
      <c r="X200" s="1169"/>
      <c r="Y200" s="1169"/>
      <c r="Z200" s="1170"/>
      <c r="AA200" s="861"/>
      <c r="AB200" s="861"/>
      <c r="AC200" s="861"/>
      <c r="AD200" s="861"/>
      <c r="AE200" s="861"/>
      <c r="AF200" s="861"/>
      <c r="AG200" s="861"/>
      <c r="AH200" s="861"/>
      <c r="AI200" s="861"/>
      <c r="AJ200" s="861"/>
      <c r="AK200" s="861"/>
      <c r="AL200" s="861"/>
      <c r="AM200" s="861"/>
      <c r="AN200" s="861"/>
    </row>
    <row r="201" spans="1:40" x14ac:dyDescent="0.2">
      <c r="A201" s="3"/>
      <c r="B201" s="3"/>
      <c r="C201" s="218"/>
      <c r="D201" s="342"/>
      <c r="E201" s="342"/>
      <c r="F201" s="26">
        <v>3</v>
      </c>
      <c r="G201" s="342"/>
      <c r="H201" s="342"/>
      <c r="I201" s="342"/>
      <c r="J201" s="218" t="s">
        <v>2439</v>
      </c>
      <c r="K201" s="218" t="s">
        <v>2440</v>
      </c>
      <c r="L201" s="406" t="s">
        <v>2192</v>
      </c>
      <c r="M201" s="218"/>
      <c r="N201" s="218"/>
      <c r="O201" s="218"/>
      <c r="P201" s="218" t="s">
        <v>2441</v>
      </c>
      <c r="Q201" s="218"/>
      <c r="R201" s="218"/>
      <c r="S201" s="218"/>
      <c r="T201" s="441"/>
      <c r="U201" s="441"/>
      <c r="V201" s="218"/>
      <c r="W201" s="218"/>
      <c r="X201" s="218"/>
      <c r="Y201" s="31"/>
      <c r="Z201" s="31"/>
      <c r="AA201" s="31"/>
      <c r="AB201" s="31"/>
      <c r="AC201" s="31"/>
      <c r="AD201" s="31"/>
      <c r="AE201" s="31"/>
      <c r="AF201" s="31"/>
      <c r="AG201" s="31"/>
      <c r="AH201" s="31"/>
      <c r="AI201" s="31"/>
      <c r="AJ201" s="31"/>
      <c r="AK201" s="31"/>
      <c r="AL201" s="31"/>
      <c r="AM201" s="31"/>
      <c r="AN201" s="31"/>
    </row>
    <row r="202" spans="1:40" x14ac:dyDescent="0.2">
      <c r="A202" s="3"/>
      <c r="B202" s="3"/>
      <c r="C202" s="218"/>
      <c r="D202" s="342"/>
      <c r="E202" s="342"/>
      <c r="F202" s="26">
        <v>3</v>
      </c>
      <c r="G202" s="342"/>
      <c r="H202" s="342"/>
      <c r="I202" s="342"/>
      <c r="J202" s="603" t="s">
        <v>2442</v>
      </c>
      <c r="K202" s="603" t="s">
        <v>2443</v>
      </c>
      <c r="L202" s="609" t="s">
        <v>2444</v>
      </c>
      <c r="M202" s="218"/>
      <c r="N202" s="218"/>
      <c r="O202" s="218"/>
      <c r="P202" s="218"/>
      <c r="Q202" s="218"/>
      <c r="R202" s="218"/>
      <c r="S202" s="218"/>
      <c r="T202" s="441"/>
      <c r="U202" s="441"/>
      <c r="V202" s="218"/>
      <c r="W202" s="218"/>
      <c r="X202" s="218"/>
      <c r="Y202" s="31"/>
      <c r="Z202" s="31"/>
      <c r="AA202" s="31"/>
      <c r="AB202" s="31"/>
      <c r="AC202" s="31"/>
      <c r="AD202" s="31"/>
      <c r="AE202" s="31"/>
      <c r="AF202" s="31"/>
      <c r="AG202" s="31"/>
      <c r="AH202" s="31"/>
      <c r="AI202" s="31"/>
      <c r="AJ202" s="31"/>
      <c r="AK202" s="31"/>
      <c r="AL202" s="31"/>
      <c r="AM202" s="31"/>
      <c r="AN202" s="31"/>
    </row>
    <row r="203" spans="1:40" x14ac:dyDescent="0.2">
      <c r="A203" s="3"/>
      <c r="B203" s="3"/>
      <c r="C203" s="218"/>
      <c r="D203" s="342"/>
      <c r="E203" s="342"/>
      <c r="F203" s="26">
        <v>3</v>
      </c>
      <c r="G203" s="342"/>
      <c r="H203" s="342"/>
      <c r="I203" s="342"/>
      <c r="J203" s="218" t="s">
        <v>2445</v>
      </c>
      <c r="K203" s="218" t="s">
        <v>2446</v>
      </c>
      <c r="L203" s="406" t="s">
        <v>2195</v>
      </c>
      <c r="M203" s="218"/>
      <c r="N203" s="218"/>
      <c r="O203" s="218"/>
      <c r="P203" s="218" t="s">
        <v>2447</v>
      </c>
      <c r="Q203" s="218"/>
      <c r="R203" s="218"/>
      <c r="S203" s="218"/>
      <c r="T203" s="441"/>
      <c r="U203" s="441"/>
      <c r="V203" s="218"/>
      <c r="W203" s="218"/>
      <c r="X203" s="218"/>
      <c r="Y203" s="31"/>
      <c r="Z203" s="31"/>
      <c r="AA203" s="31"/>
      <c r="AB203" s="31"/>
      <c r="AC203" s="31"/>
      <c r="AD203" s="31"/>
      <c r="AE203" s="31"/>
      <c r="AF203" s="31"/>
      <c r="AG203" s="31"/>
      <c r="AH203" s="31"/>
      <c r="AI203" s="31"/>
      <c r="AJ203" s="31"/>
      <c r="AK203" s="31"/>
      <c r="AL203" s="31"/>
      <c r="AM203" s="31"/>
      <c r="AN203" s="31"/>
    </row>
    <row r="204" spans="1:40" x14ac:dyDescent="0.2">
      <c r="A204" s="3"/>
      <c r="B204" s="3"/>
      <c r="C204" s="218"/>
      <c r="D204" s="342"/>
      <c r="E204" s="342"/>
      <c r="F204" s="26">
        <v>3</v>
      </c>
      <c r="G204" s="342"/>
      <c r="H204" s="342"/>
      <c r="I204" s="342"/>
      <c r="J204" s="218" t="s">
        <v>2448</v>
      </c>
      <c r="K204" s="218" t="s">
        <v>2449</v>
      </c>
      <c r="L204" s="406" t="s">
        <v>2192</v>
      </c>
      <c r="M204" s="218"/>
      <c r="N204" s="218"/>
      <c r="O204" s="218"/>
      <c r="P204" s="218"/>
      <c r="Q204" s="218"/>
      <c r="R204" s="218"/>
      <c r="S204" s="218"/>
      <c r="T204" s="441"/>
      <c r="U204" s="441"/>
      <c r="V204" s="218"/>
      <c r="W204" s="218"/>
      <c r="X204" s="218"/>
      <c r="Y204" s="31"/>
      <c r="Z204" s="31"/>
      <c r="AA204" s="31"/>
      <c r="AB204" s="31"/>
      <c r="AC204" s="31"/>
      <c r="AD204" s="31"/>
      <c r="AE204" s="31"/>
      <c r="AF204" s="31"/>
      <c r="AG204" s="31"/>
      <c r="AH204" s="31"/>
      <c r="AI204" s="31"/>
      <c r="AJ204" s="31"/>
      <c r="AK204" s="31"/>
      <c r="AL204" s="31"/>
      <c r="AM204" s="31"/>
      <c r="AN204" s="31"/>
    </row>
    <row r="205" spans="1:40" x14ac:dyDescent="0.2">
      <c r="A205" s="3"/>
      <c r="B205" s="3"/>
      <c r="C205" s="89"/>
      <c r="D205" s="860">
        <v>1</v>
      </c>
      <c r="E205" s="1182" t="s">
        <v>2450</v>
      </c>
      <c r="F205" s="1183"/>
      <c r="G205" s="1183"/>
      <c r="H205" s="1183"/>
      <c r="I205" s="1183"/>
      <c r="J205" s="1183"/>
      <c r="K205" s="1183"/>
      <c r="L205" s="1183"/>
      <c r="M205" s="1183"/>
      <c r="N205" s="1183"/>
      <c r="O205" s="1183"/>
      <c r="P205" s="1183"/>
      <c r="Q205" s="1183"/>
      <c r="R205" s="1183"/>
      <c r="S205" s="1183"/>
      <c r="T205" s="1183"/>
      <c r="U205" s="1183"/>
      <c r="V205" s="1183"/>
      <c r="W205" s="1183"/>
      <c r="X205" s="1183"/>
      <c r="Y205" s="1183"/>
      <c r="Z205" s="1184"/>
      <c r="AA205" s="861"/>
      <c r="AB205" s="861"/>
      <c r="AC205" s="861"/>
      <c r="AD205" s="861"/>
      <c r="AE205" s="861"/>
      <c r="AF205" s="861"/>
      <c r="AG205" s="861"/>
      <c r="AH205" s="861"/>
      <c r="AI205" s="861"/>
      <c r="AJ205" s="861"/>
      <c r="AK205" s="861"/>
      <c r="AL205" s="861"/>
      <c r="AM205" s="861"/>
      <c r="AN205" s="861"/>
    </row>
    <row r="206" spans="1:40" x14ac:dyDescent="0.2">
      <c r="A206" s="3"/>
      <c r="B206" s="3"/>
      <c r="C206" s="218"/>
      <c r="D206" s="612"/>
      <c r="E206" s="612">
        <v>2</v>
      </c>
      <c r="F206" s="612"/>
      <c r="G206" s="612"/>
      <c r="H206" s="612"/>
      <c r="I206" s="612"/>
      <c r="J206" s="875" t="s">
        <v>2451</v>
      </c>
      <c r="K206" s="875" t="s">
        <v>2452</v>
      </c>
      <c r="L206" s="611" t="s">
        <v>358</v>
      </c>
      <c r="M206" s="875"/>
      <c r="N206" s="875"/>
      <c r="O206" s="875"/>
      <c r="P206" s="875" t="s">
        <v>2453</v>
      </c>
      <c r="Q206" s="875"/>
      <c r="R206" s="875"/>
      <c r="S206" s="875"/>
      <c r="T206" s="876"/>
      <c r="U206" s="876"/>
      <c r="V206" s="875"/>
      <c r="W206" s="875"/>
      <c r="X206" s="875"/>
      <c r="Y206" s="31"/>
      <c r="Z206" s="31"/>
      <c r="AA206" s="31"/>
      <c r="AB206" s="31"/>
      <c r="AC206" s="31"/>
      <c r="AD206" s="31"/>
      <c r="AE206" s="31"/>
      <c r="AF206" s="31"/>
      <c r="AG206" s="31"/>
      <c r="AH206" s="31"/>
      <c r="AI206" s="31"/>
      <c r="AJ206" s="31"/>
      <c r="AK206" s="31"/>
      <c r="AL206" s="31"/>
      <c r="AM206" s="31"/>
      <c r="AN206" s="31"/>
    </row>
    <row r="207" spans="1:40" x14ac:dyDescent="0.2">
      <c r="A207" s="3"/>
      <c r="B207" s="3"/>
      <c r="C207" s="89"/>
      <c r="D207" s="860">
        <v>1</v>
      </c>
      <c r="E207" s="1182" t="s">
        <v>2454</v>
      </c>
      <c r="F207" s="1183"/>
      <c r="G207" s="1183"/>
      <c r="H207" s="1183"/>
      <c r="I207" s="1183"/>
      <c r="J207" s="1183"/>
      <c r="K207" s="1183"/>
      <c r="L207" s="1183"/>
      <c r="M207" s="1183"/>
      <c r="N207" s="1183"/>
      <c r="O207" s="1183"/>
      <c r="P207" s="1183"/>
      <c r="Q207" s="1183"/>
      <c r="R207" s="1183"/>
      <c r="S207" s="1183"/>
      <c r="T207" s="1183"/>
      <c r="U207" s="1183"/>
      <c r="V207" s="1183"/>
      <c r="W207" s="1183"/>
      <c r="X207" s="1183"/>
      <c r="Y207" s="1183"/>
      <c r="Z207" s="1184"/>
      <c r="AA207" s="861"/>
      <c r="AB207" s="861"/>
      <c r="AC207" s="861"/>
      <c r="AD207" s="861"/>
      <c r="AE207" s="861"/>
      <c r="AF207" s="861"/>
      <c r="AG207" s="861"/>
      <c r="AH207" s="861"/>
      <c r="AI207" s="861"/>
      <c r="AJ207" s="861"/>
      <c r="AK207" s="861"/>
      <c r="AL207" s="861"/>
      <c r="AM207" s="861"/>
      <c r="AN207" s="861"/>
    </row>
    <row r="208" spans="1:40" ht="94.5" customHeight="1" x14ac:dyDescent="0.2">
      <c r="A208" s="3"/>
      <c r="B208" s="3"/>
      <c r="C208" s="218"/>
      <c r="D208" s="342"/>
      <c r="E208" s="612">
        <v>2</v>
      </c>
      <c r="F208" s="612"/>
      <c r="G208" s="612"/>
      <c r="H208" s="612"/>
      <c r="I208" s="612"/>
      <c r="J208" s="875" t="s">
        <v>2511</v>
      </c>
      <c r="K208" s="877" t="s">
        <v>2512</v>
      </c>
      <c r="L208" s="611" t="s">
        <v>358</v>
      </c>
      <c r="M208" s="218"/>
      <c r="N208" s="218"/>
      <c r="O208" s="218"/>
      <c r="P208" s="218"/>
      <c r="Q208" s="218"/>
      <c r="R208" s="218"/>
      <c r="S208" s="218"/>
      <c r="T208" s="441"/>
      <c r="U208" s="441"/>
      <c r="V208" s="218"/>
      <c r="W208" s="218"/>
      <c r="X208" s="218"/>
      <c r="Y208" s="31"/>
      <c r="Z208" s="31"/>
      <c r="AA208" s="31"/>
      <c r="AB208" s="31"/>
      <c r="AC208" s="31"/>
      <c r="AD208" s="31"/>
      <c r="AE208" s="31"/>
      <c r="AF208" s="31"/>
      <c r="AG208" s="31"/>
      <c r="AH208" s="31"/>
      <c r="AI208" s="31"/>
      <c r="AJ208" s="31"/>
      <c r="AK208" s="31"/>
      <c r="AL208" s="31"/>
      <c r="AM208" s="31"/>
      <c r="AN208" s="31"/>
    </row>
    <row r="209" spans="1:40" s="163" customFormat="1" x14ac:dyDescent="0.2">
      <c r="A209" s="3"/>
      <c r="B209" s="3"/>
      <c r="C209" s="12"/>
      <c r="D209" s="375"/>
      <c r="E209" s="862">
        <v>2</v>
      </c>
      <c r="F209" s="1168" t="s">
        <v>445</v>
      </c>
      <c r="G209" s="1169"/>
      <c r="H209" s="1169"/>
      <c r="I209" s="1169"/>
      <c r="J209" s="1169"/>
      <c r="K209" s="1169"/>
      <c r="L209" s="1169"/>
      <c r="M209" s="1169"/>
      <c r="N209" s="1169"/>
      <c r="O209" s="1169"/>
      <c r="P209" s="1169"/>
      <c r="Q209" s="1169"/>
      <c r="R209" s="1169"/>
      <c r="S209" s="1169"/>
      <c r="T209" s="1169"/>
      <c r="U209" s="1169"/>
      <c r="V209" s="1169"/>
      <c r="W209" s="1169"/>
      <c r="X209" s="1169"/>
      <c r="Y209" s="1169"/>
      <c r="Z209" s="1170"/>
      <c r="AA209" s="861"/>
      <c r="AB209" s="861"/>
      <c r="AC209" s="861"/>
      <c r="AD209" s="861"/>
      <c r="AE209" s="861"/>
      <c r="AF209" s="861"/>
      <c r="AG209" s="861"/>
      <c r="AH209" s="861"/>
      <c r="AI209" s="861"/>
      <c r="AJ209" s="861"/>
      <c r="AK209" s="861"/>
      <c r="AL209" s="861"/>
      <c r="AM209" s="861"/>
      <c r="AN209" s="861"/>
    </row>
    <row r="210" spans="1:40" s="74" customFormat="1" ht="89.25" x14ac:dyDescent="0.2">
      <c r="A210" s="3"/>
      <c r="B210" s="3"/>
      <c r="C210" s="69"/>
      <c r="D210" s="188"/>
      <c r="E210" s="188"/>
      <c r="F210" s="1174">
        <v>3</v>
      </c>
      <c r="G210" s="188"/>
      <c r="H210" s="188"/>
      <c r="I210" s="188"/>
      <c r="J210" s="1185" t="s">
        <v>446</v>
      </c>
      <c r="K210" s="472" t="s">
        <v>447</v>
      </c>
      <c r="L210" s="72" t="s">
        <v>450</v>
      </c>
      <c r="M210" s="204" t="s">
        <v>448</v>
      </c>
      <c r="N210" s="204" t="s">
        <v>449</v>
      </c>
      <c r="O210" s="72" t="s">
        <v>451</v>
      </c>
      <c r="P210" s="69"/>
      <c r="Q210" s="69"/>
      <c r="R210" s="12" t="s">
        <v>452</v>
      </c>
      <c r="S210" s="69"/>
      <c r="T210" s="69"/>
      <c r="U210" s="69"/>
      <c r="V210" s="188"/>
      <c r="W210" s="188"/>
      <c r="X210" s="69"/>
      <c r="Y210" s="69"/>
      <c r="Z210" s="69"/>
      <c r="AA210" s="69"/>
      <c r="AB210" s="69"/>
      <c r="AC210" s="69"/>
      <c r="AD210" s="69"/>
      <c r="AE210" s="69"/>
      <c r="AF210" s="69"/>
      <c r="AG210" s="69"/>
      <c r="AH210" s="69"/>
      <c r="AI210" s="69"/>
      <c r="AJ210" s="69"/>
      <c r="AK210" s="69"/>
      <c r="AL210" s="69"/>
      <c r="AM210" s="69"/>
      <c r="AN210" s="69"/>
    </row>
    <row r="211" spans="1:40" ht="71.25" x14ac:dyDescent="0.2">
      <c r="A211" s="3"/>
      <c r="B211" s="3"/>
      <c r="C211" s="12"/>
      <c r="D211" s="26"/>
      <c r="E211" s="26"/>
      <c r="F211" s="1174"/>
      <c r="G211" s="26"/>
      <c r="H211" s="26"/>
      <c r="I211" s="26"/>
      <c r="J211" s="1185"/>
      <c r="K211" s="204" t="s">
        <v>453</v>
      </c>
      <c r="L211" s="72" t="s">
        <v>455</v>
      </c>
      <c r="M211" s="204" t="s">
        <v>2513</v>
      </c>
      <c r="N211" s="204" t="s">
        <v>449</v>
      </c>
      <c r="O211" s="72" t="s">
        <v>451</v>
      </c>
      <c r="P211" s="12"/>
      <c r="Q211" s="12"/>
      <c r="R211" s="12" t="s">
        <v>452</v>
      </c>
      <c r="S211" s="12"/>
      <c r="T211" s="12"/>
      <c r="U211" s="12"/>
      <c r="V211" s="26"/>
      <c r="W211" s="26"/>
      <c r="X211" s="12"/>
      <c r="Y211" s="12"/>
      <c r="Z211" s="12"/>
      <c r="AA211" s="12"/>
      <c r="AB211" s="12"/>
      <c r="AC211" s="12"/>
      <c r="AD211" s="12"/>
      <c r="AE211" s="12"/>
      <c r="AF211" s="12"/>
      <c r="AG211" s="12"/>
      <c r="AH211" s="12"/>
      <c r="AI211" s="12"/>
      <c r="AJ211" s="12"/>
      <c r="AK211" s="12"/>
      <c r="AL211" s="12"/>
      <c r="AM211" s="12"/>
      <c r="AN211" s="12"/>
    </row>
    <row r="212" spans="1:40" ht="71.25" x14ac:dyDescent="0.2">
      <c r="A212" s="3"/>
      <c r="B212" s="3"/>
      <c r="C212" s="12"/>
      <c r="D212" s="26"/>
      <c r="E212" s="26"/>
      <c r="F212" s="1174"/>
      <c r="G212" s="26"/>
      <c r="H212" s="26"/>
      <c r="I212" s="26"/>
      <c r="J212" s="1185"/>
      <c r="K212" s="204" t="s">
        <v>456</v>
      </c>
      <c r="L212" s="72" t="s">
        <v>455</v>
      </c>
      <c r="M212" s="140" t="s">
        <v>2514</v>
      </c>
      <c r="N212" s="204" t="s">
        <v>449</v>
      </c>
      <c r="O212" s="72" t="s">
        <v>451</v>
      </c>
      <c r="P212" s="12"/>
      <c r="Q212" s="12"/>
      <c r="R212" s="12" t="s">
        <v>452</v>
      </c>
      <c r="S212" s="12"/>
      <c r="T212" s="12"/>
      <c r="U212" s="12"/>
      <c r="V212" s="26"/>
      <c r="W212" s="26"/>
      <c r="X212" s="12"/>
      <c r="Y212" s="12"/>
      <c r="Z212" s="12"/>
      <c r="AA212" s="12"/>
      <c r="AB212" s="12"/>
      <c r="AC212" s="12"/>
      <c r="AD212" s="12"/>
      <c r="AE212" s="12"/>
      <c r="AF212" s="12"/>
      <c r="AG212" s="12"/>
      <c r="AH212" s="12"/>
      <c r="AI212" s="12"/>
      <c r="AJ212" s="12"/>
      <c r="AK212" s="12"/>
      <c r="AL212" s="12"/>
      <c r="AM212" s="12"/>
      <c r="AN212" s="12"/>
    </row>
    <row r="213" spans="1:40" x14ac:dyDescent="0.2">
      <c r="A213" s="3"/>
      <c r="B213" s="3"/>
      <c r="C213" s="89"/>
      <c r="D213" s="860">
        <v>1</v>
      </c>
      <c r="E213" s="1168" t="s">
        <v>458</v>
      </c>
      <c r="F213" s="1169"/>
      <c r="G213" s="1169"/>
      <c r="H213" s="1169"/>
      <c r="I213" s="1169"/>
      <c r="J213" s="1169"/>
      <c r="K213" s="1169"/>
      <c r="L213" s="1169"/>
      <c r="M213" s="1169"/>
      <c r="N213" s="1169"/>
      <c r="O213" s="1169"/>
      <c r="P213" s="1169"/>
      <c r="Q213" s="1169"/>
      <c r="R213" s="1169"/>
      <c r="S213" s="1169"/>
      <c r="T213" s="1169"/>
      <c r="U213" s="1169"/>
      <c r="V213" s="1169"/>
      <c r="W213" s="1169"/>
      <c r="X213" s="1169"/>
      <c r="Y213" s="1169"/>
      <c r="Z213" s="1170"/>
      <c r="AA213" s="861"/>
      <c r="AB213" s="861"/>
      <c r="AC213" s="861"/>
      <c r="AD213" s="861"/>
      <c r="AE213" s="861"/>
      <c r="AF213" s="861"/>
      <c r="AG213" s="861"/>
      <c r="AH213" s="861"/>
      <c r="AI213" s="861"/>
      <c r="AJ213" s="861"/>
      <c r="AK213" s="861"/>
      <c r="AL213" s="861"/>
      <c r="AM213" s="861"/>
      <c r="AN213" s="861"/>
    </row>
    <row r="214" spans="1:40" s="161" customFormat="1" x14ac:dyDescent="0.2">
      <c r="A214" s="3"/>
      <c r="B214" s="3"/>
      <c r="C214" s="12"/>
      <c r="D214" s="375"/>
      <c r="E214" s="862">
        <v>2</v>
      </c>
      <c r="F214" s="1168" t="s">
        <v>460</v>
      </c>
      <c r="G214" s="1169"/>
      <c r="H214" s="1169"/>
      <c r="I214" s="1169"/>
      <c r="J214" s="1169"/>
      <c r="K214" s="1169"/>
      <c r="L214" s="1169"/>
      <c r="M214" s="1169"/>
      <c r="N214" s="1169"/>
      <c r="O214" s="1169"/>
      <c r="P214" s="1169"/>
      <c r="Q214" s="1169"/>
      <c r="R214" s="1169"/>
      <c r="S214" s="1169"/>
      <c r="T214" s="1169"/>
      <c r="U214" s="1169"/>
      <c r="V214" s="1169"/>
      <c r="W214" s="1169"/>
      <c r="X214" s="1169"/>
      <c r="Y214" s="1169"/>
      <c r="Z214" s="1170"/>
      <c r="AA214" s="861"/>
      <c r="AB214" s="861"/>
      <c r="AC214" s="861"/>
      <c r="AD214" s="861"/>
      <c r="AE214" s="861"/>
      <c r="AF214" s="861"/>
      <c r="AG214" s="861"/>
      <c r="AH214" s="861"/>
      <c r="AI214" s="861"/>
      <c r="AJ214" s="861"/>
      <c r="AK214" s="861"/>
      <c r="AL214" s="861"/>
      <c r="AM214" s="861"/>
      <c r="AN214" s="861"/>
    </row>
    <row r="215" spans="1:40" ht="51" x14ac:dyDescent="0.2">
      <c r="A215" s="3"/>
      <c r="B215" s="3"/>
      <c r="C215" s="12"/>
      <c r="D215" s="26"/>
      <c r="E215" s="26"/>
      <c r="F215" s="26">
        <v>3</v>
      </c>
      <c r="G215" s="26"/>
      <c r="H215" s="26"/>
      <c r="I215" s="26"/>
      <c r="J215" s="595" t="s">
        <v>461</v>
      </c>
      <c r="K215" s="204" t="s">
        <v>462</v>
      </c>
      <c r="L215" s="179" t="s">
        <v>465</v>
      </c>
      <c r="M215" s="204" t="s">
        <v>463</v>
      </c>
      <c r="N215" s="605" t="s">
        <v>464</v>
      </c>
      <c r="O215" s="179" t="s">
        <v>465</v>
      </c>
      <c r="P215" s="12"/>
      <c r="Q215" s="12"/>
      <c r="R215" s="12" t="s">
        <v>467</v>
      </c>
      <c r="S215" s="12"/>
      <c r="T215" s="12"/>
      <c r="U215" s="12"/>
      <c r="V215" s="26"/>
      <c r="W215" s="26"/>
      <c r="X215" s="12"/>
      <c r="Y215" s="12"/>
      <c r="Z215" s="12"/>
      <c r="AA215" s="12"/>
      <c r="AB215" s="12"/>
      <c r="AC215" s="12"/>
      <c r="AD215" s="12"/>
      <c r="AE215" s="12"/>
      <c r="AF215" s="12"/>
      <c r="AG215" s="12"/>
      <c r="AH215" s="12"/>
      <c r="AI215" s="12"/>
      <c r="AJ215" s="12"/>
      <c r="AK215" s="12"/>
      <c r="AL215" s="12"/>
      <c r="AM215" s="12"/>
      <c r="AN215" s="12"/>
    </row>
    <row r="216" spans="1:40" ht="63.75" x14ac:dyDescent="0.2">
      <c r="A216" s="3"/>
      <c r="B216" s="3"/>
      <c r="C216" s="12"/>
      <c r="D216" s="26"/>
      <c r="E216" s="26"/>
      <c r="F216" s="26">
        <v>3</v>
      </c>
      <c r="G216" s="26"/>
      <c r="H216" s="26"/>
      <c r="I216" s="26"/>
      <c r="J216" s="595" t="s">
        <v>468</v>
      </c>
      <c r="K216" s="204" t="s">
        <v>469</v>
      </c>
      <c r="L216" s="179" t="s">
        <v>465</v>
      </c>
      <c r="M216" s="204" t="s">
        <v>470</v>
      </c>
      <c r="N216" s="605" t="s">
        <v>464</v>
      </c>
      <c r="O216" s="179" t="s">
        <v>465</v>
      </c>
      <c r="P216" s="12"/>
      <c r="Q216" s="12"/>
      <c r="R216" s="12" t="s">
        <v>471</v>
      </c>
      <c r="S216" s="12"/>
      <c r="T216" s="12"/>
      <c r="U216" s="12"/>
      <c r="V216" s="26"/>
      <c r="W216" s="26"/>
      <c r="X216" s="12"/>
      <c r="Y216" s="12"/>
      <c r="Z216" s="12"/>
      <c r="AA216" s="12"/>
      <c r="AB216" s="12"/>
      <c r="AC216" s="12"/>
      <c r="AD216" s="12"/>
      <c r="AE216" s="12"/>
      <c r="AF216" s="12"/>
      <c r="AG216" s="12"/>
      <c r="AH216" s="12"/>
      <c r="AI216" s="12"/>
      <c r="AJ216" s="12"/>
      <c r="AK216" s="12"/>
      <c r="AL216" s="12"/>
      <c r="AM216" s="12"/>
      <c r="AN216" s="12"/>
    </row>
    <row r="217" spans="1:40" ht="128.25" x14ac:dyDescent="0.2">
      <c r="A217" s="3"/>
      <c r="B217" s="3"/>
      <c r="C217" s="12"/>
      <c r="D217" s="26"/>
      <c r="E217" s="26"/>
      <c r="F217" s="26">
        <v>3</v>
      </c>
      <c r="G217" s="26"/>
      <c r="H217" s="26"/>
      <c r="I217" s="26"/>
      <c r="J217" s="595" t="s">
        <v>472</v>
      </c>
      <c r="K217" s="472" t="s">
        <v>473</v>
      </c>
      <c r="L217" s="72" t="s">
        <v>476</v>
      </c>
      <c r="M217" s="140" t="s">
        <v>474</v>
      </c>
      <c r="N217" s="204" t="s">
        <v>475</v>
      </c>
      <c r="O217" s="72" t="s">
        <v>477</v>
      </c>
      <c r="P217" s="12"/>
      <c r="Q217" s="12"/>
      <c r="R217" s="12" t="s">
        <v>471</v>
      </c>
      <c r="S217" s="12"/>
      <c r="T217" s="12"/>
      <c r="U217" s="12"/>
      <c r="V217" s="26"/>
      <c r="W217" s="26"/>
      <c r="X217" s="12"/>
      <c r="Y217" s="12"/>
      <c r="Z217" s="12"/>
      <c r="AA217" s="12"/>
      <c r="AB217" s="12"/>
      <c r="AC217" s="12"/>
      <c r="AD217" s="12"/>
      <c r="AE217" s="12"/>
      <c r="AF217" s="12"/>
      <c r="AG217" s="12"/>
      <c r="AH217" s="12"/>
      <c r="AI217" s="12"/>
      <c r="AJ217" s="12"/>
      <c r="AK217" s="12"/>
      <c r="AL217" s="12"/>
      <c r="AM217" s="12"/>
      <c r="AN217" s="12"/>
    </row>
    <row r="218" spans="1:40" s="161" customFormat="1" x14ac:dyDescent="0.2">
      <c r="A218" s="3"/>
      <c r="B218" s="3"/>
      <c r="C218" s="12"/>
      <c r="D218" s="375"/>
      <c r="E218" s="862">
        <v>2</v>
      </c>
      <c r="F218" s="1168" t="s">
        <v>478</v>
      </c>
      <c r="G218" s="1169"/>
      <c r="H218" s="1169"/>
      <c r="I218" s="1169"/>
      <c r="J218" s="1169"/>
      <c r="K218" s="1169"/>
      <c r="L218" s="1169"/>
      <c r="M218" s="1169"/>
      <c r="N218" s="1169"/>
      <c r="O218" s="1169"/>
      <c r="P218" s="1169"/>
      <c r="Q218" s="1169"/>
      <c r="R218" s="1169"/>
      <c r="S218" s="1169"/>
      <c r="T218" s="1169"/>
      <c r="U218" s="1169"/>
      <c r="V218" s="1169"/>
      <c r="W218" s="1169"/>
      <c r="X218" s="1169"/>
      <c r="Y218" s="1169"/>
      <c r="Z218" s="1170"/>
      <c r="AA218" s="861"/>
      <c r="AB218" s="861"/>
      <c r="AC218" s="861"/>
      <c r="AD218" s="861"/>
      <c r="AE218" s="861"/>
      <c r="AF218" s="861"/>
      <c r="AG218" s="861"/>
      <c r="AH218" s="861"/>
      <c r="AI218" s="861"/>
      <c r="AJ218" s="861"/>
      <c r="AK218" s="861"/>
      <c r="AL218" s="861"/>
      <c r="AM218" s="861"/>
      <c r="AN218" s="861"/>
    </row>
    <row r="219" spans="1:40" ht="102" x14ac:dyDescent="0.2">
      <c r="A219" s="3"/>
      <c r="B219" s="3"/>
      <c r="C219" s="12"/>
      <c r="D219" s="26"/>
      <c r="E219" s="26"/>
      <c r="F219" s="26">
        <v>3</v>
      </c>
      <c r="G219" s="26"/>
      <c r="H219" s="26"/>
      <c r="I219" s="26"/>
      <c r="J219" s="192" t="s">
        <v>479</v>
      </c>
      <c r="K219" s="204" t="s">
        <v>480</v>
      </c>
      <c r="L219" s="811" t="s">
        <v>482</v>
      </c>
      <c r="M219" s="713" t="str">
        <f>HYPERLINK("https://synology.bildungscampus-backnang.de:50823/drive/oo/r/p6baQwu1XCFuarcd9Z2zbi18qxksdUsS", "Vorschlag Patrick zur Alumni-/Eingliederungsbefragung ")</f>
        <v xml:space="preserve">Vorschlag Patrick zur Alumni-/Eingliederungsbefragung </v>
      </c>
      <c r="N219" s="204" t="s">
        <v>481</v>
      </c>
      <c r="O219" s="208" t="s">
        <v>483</v>
      </c>
      <c r="P219" s="12"/>
      <c r="Q219" s="812" t="str">
        <f>HYPERLINK("https://synology.bildungscampus-backnang.de:50823/drive/oo/r/p6baQwu1XCFuarcd9Z2zbi18qxksdUsS", "Vorschlag Patrick zur Integrationsbefragung")</f>
        <v>Vorschlag Patrick zur Integrationsbefragung</v>
      </c>
      <c r="R219" s="12" t="s">
        <v>485</v>
      </c>
      <c r="S219" s="12"/>
      <c r="T219" s="12"/>
      <c r="U219" s="12"/>
      <c r="V219" s="26"/>
      <c r="W219" s="26"/>
      <c r="X219" s="12"/>
      <c r="Y219" s="12"/>
      <c r="Z219" s="12"/>
      <c r="AA219" s="12"/>
      <c r="AB219" s="12"/>
      <c r="AC219" s="12"/>
      <c r="AD219" s="12"/>
      <c r="AE219" s="12"/>
      <c r="AF219" s="12"/>
      <c r="AG219" s="12"/>
      <c r="AH219" s="12"/>
      <c r="AI219" s="12"/>
      <c r="AJ219" s="12"/>
      <c r="AK219" s="12"/>
      <c r="AL219" s="12"/>
      <c r="AM219" s="12"/>
      <c r="AN219" s="12"/>
    </row>
    <row r="220" spans="1:40" ht="99.75" x14ac:dyDescent="0.2">
      <c r="A220" s="3"/>
      <c r="B220" s="3"/>
      <c r="C220" s="12"/>
      <c r="D220" s="26"/>
      <c r="E220" s="26"/>
      <c r="F220" s="26">
        <v>3</v>
      </c>
      <c r="G220" s="26"/>
      <c r="H220" s="26"/>
      <c r="I220" s="26"/>
      <c r="J220" s="192" t="s">
        <v>486</v>
      </c>
      <c r="K220" s="69" t="s">
        <v>487</v>
      </c>
      <c r="L220" s="72" t="s">
        <v>489</v>
      </c>
      <c r="M220" s="204" t="s">
        <v>488</v>
      </c>
      <c r="N220" s="204" t="s">
        <v>481</v>
      </c>
      <c r="O220" s="72" t="s">
        <v>477</v>
      </c>
      <c r="P220" s="12"/>
      <c r="Q220" s="12"/>
      <c r="R220" s="12" t="s">
        <v>485</v>
      </c>
      <c r="S220" s="12"/>
      <c r="T220" s="12"/>
      <c r="U220" s="12"/>
      <c r="V220" s="26"/>
      <c r="W220" s="26"/>
      <c r="X220" s="12"/>
      <c r="Y220" s="12"/>
      <c r="Z220" s="12"/>
      <c r="AA220" s="12"/>
      <c r="AB220" s="12"/>
      <c r="AC220" s="12"/>
      <c r="AD220" s="12"/>
      <c r="AE220" s="12"/>
      <c r="AF220" s="12"/>
      <c r="AG220" s="12"/>
      <c r="AH220" s="12"/>
      <c r="AI220" s="12"/>
      <c r="AJ220" s="12"/>
      <c r="AK220" s="12"/>
      <c r="AL220" s="12"/>
      <c r="AM220" s="12"/>
      <c r="AN220" s="12"/>
    </row>
    <row r="221" spans="1:40" ht="48.75" customHeight="1" x14ac:dyDescent="0.2">
      <c r="A221" s="3"/>
      <c r="B221" s="3"/>
      <c r="C221" s="12"/>
      <c r="D221" s="26"/>
      <c r="E221" s="26"/>
      <c r="F221" s="26">
        <v>3</v>
      </c>
      <c r="G221" s="26"/>
      <c r="H221" s="26"/>
      <c r="I221" s="26"/>
      <c r="J221" s="192" t="s">
        <v>490</v>
      </c>
      <c r="K221" s="69" t="s">
        <v>491</v>
      </c>
      <c r="L221" s="811" t="s">
        <v>482</v>
      </c>
      <c r="M221" s="204" t="s">
        <v>492</v>
      </c>
      <c r="N221" s="204" t="s">
        <v>481</v>
      </c>
      <c r="O221" s="208" t="s">
        <v>451</v>
      </c>
      <c r="P221" s="12"/>
      <c r="Q221" s="12"/>
      <c r="R221" s="12" t="s">
        <v>485</v>
      </c>
      <c r="S221" s="12"/>
      <c r="T221" s="12"/>
      <c r="U221" s="12"/>
      <c r="V221" s="26"/>
      <c r="W221" s="26"/>
      <c r="X221" s="12"/>
      <c r="Y221" s="12"/>
      <c r="Z221" s="12"/>
      <c r="AA221" s="12"/>
      <c r="AB221" s="12"/>
      <c r="AC221" s="12"/>
      <c r="AD221" s="12"/>
      <c r="AE221" s="12"/>
      <c r="AF221" s="12"/>
      <c r="AG221" s="12"/>
      <c r="AH221" s="12"/>
      <c r="AI221" s="12"/>
      <c r="AJ221" s="12"/>
      <c r="AK221" s="12"/>
      <c r="AL221" s="12"/>
      <c r="AM221" s="12"/>
      <c r="AN221" s="12"/>
    </row>
    <row r="222" spans="1:40" s="164" customFormat="1" x14ac:dyDescent="0.2">
      <c r="A222" s="3"/>
      <c r="B222" s="3"/>
      <c r="C222" s="12"/>
      <c r="D222" s="375"/>
      <c r="E222" s="862">
        <v>2</v>
      </c>
      <c r="F222" s="1168" t="s">
        <v>494</v>
      </c>
      <c r="G222" s="1169"/>
      <c r="H222" s="1169"/>
      <c r="I222" s="1169"/>
      <c r="J222" s="1169"/>
      <c r="K222" s="1169"/>
      <c r="L222" s="1169"/>
      <c r="M222" s="1169"/>
      <c r="N222" s="1169"/>
      <c r="O222" s="1169"/>
      <c r="P222" s="1169"/>
      <c r="Q222" s="1169"/>
      <c r="R222" s="1169"/>
      <c r="S222" s="1169"/>
      <c r="T222" s="1169"/>
      <c r="U222" s="1169"/>
      <c r="V222" s="1169"/>
      <c r="W222" s="1169"/>
      <c r="X222" s="1169"/>
      <c r="Y222" s="1169"/>
      <c r="Z222" s="1170"/>
      <c r="AA222" s="861"/>
      <c r="AB222" s="861"/>
      <c r="AC222" s="861"/>
      <c r="AD222" s="861"/>
      <c r="AE222" s="861"/>
      <c r="AF222" s="861"/>
      <c r="AG222" s="861"/>
      <c r="AH222" s="861"/>
      <c r="AI222" s="861"/>
      <c r="AJ222" s="861"/>
      <c r="AK222" s="861"/>
      <c r="AL222" s="861"/>
      <c r="AM222" s="861"/>
      <c r="AN222" s="861"/>
    </row>
    <row r="223" spans="1:40" ht="76.5" x14ac:dyDescent="0.2">
      <c r="A223" s="3"/>
      <c r="B223" s="3"/>
      <c r="C223" s="12"/>
      <c r="D223" s="26"/>
      <c r="E223" s="26"/>
      <c r="F223" s="26">
        <v>3</v>
      </c>
      <c r="G223" s="26"/>
      <c r="H223" s="26"/>
      <c r="I223" s="26"/>
      <c r="J223" s="595" t="s">
        <v>495</v>
      </c>
      <c r="K223" s="204" t="s">
        <v>496</v>
      </c>
      <c r="L223" s="179" t="s">
        <v>499</v>
      </c>
      <c r="M223" s="204" t="s">
        <v>497</v>
      </c>
      <c r="N223" s="605" t="s">
        <v>498</v>
      </c>
      <c r="O223" s="179" t="s">
        <v>500</v>
      </c>
      <c r="P223" s="12"/>
      <c r="Q223" s="12"/>
      <c r="R223" s="12" t="s">
        <v>501</v>
      </c>
      <c r="S223" s="12"/>
      <c r="T223" s="12"/>
      <c r="U223" s="12"/>
      <c r="V223" s="26"/>
      <c r="W223" s="26"/>
      <c r="X223" s="12"/>
      <c r="Y223" s="12"/>
      <c r="Z223" s="12"/>
      <c r="AA223" s="12"/>
      <c r="AB223" s="12"/>
      <c r="AC223" s="12"/>
      <c r="AD223" s="12"/>
      <c r="AE223" s="12"/>
      <c r="AF223" s="12"/>
      <c r="AG223" s="12"/>
      <c r="AH223" s="12"/>
      <c r="AI223" s="12"/>
      <c r="AJ223" s="12"/>
      <c r="AK223" s="12"/>
      <c r="AL223" s="12"/>
      <c r="AM223" s="12"/>
      <c r="AN223" s="12"/>
    </row>
    <row r="224" spans="1:40" ht="76.5" x14ac:dyDescent="0.2">
      <c r="A224" s="3"/>
      <c r="B224" s="3"/>
      <c r="C224" s="12"/>
      <c r="D224" s="26"/>
      <c r="E224" s="26"/>
      <c r="F224" s="26">
        <v>3</v>
      </c>
      <c r="G224" s="26"/>
      <c r="H224" s="26"/>
      <c r="I224" s="26"/>
      <c r="J224" s="595" t="s">
        <v>502</v>
      </c>
      <c r="K224" s="204" t="s">
        <v>503</v>
      </c>
      <c r="L224" s="179" t="s">
        <v>499</v>
      </c>
      <c r="M224" s="204" t="s">
        <v>504</v>
      </c>
      <c r="N224" s="605" t="s">
        <v>498</v>
      </c>
      <c r="O224" s="179" t="s">
        <v>500</v>
      </c>
      <c r="P224" s="12"/>
      <c r="Q224" s="12"/>
      <c r="R224" s="12" t="s">
        <v>505</v>
      </c>
      <c r="S224" s="12"/>
      <c r="T224" s="12"/>
      <c r="U224" s="12"/>
      <c r="V224" s="26"/>
      <c r="W224" s="26"/>
      <c r="X224" s="12"/>
      <c r="Y224" s="12"/>
      <c r="Z224" s="12"/>
      <c r="AA224" s="12"/>
      <c r="AB224" s="12"/>
      <c r="AC224" s="12"/>
      <c r="AD224" s="12"/>
      <c r="AE224" s="12"/>
      <c r="AF224" s="12"/>
      <c r="AG224" s="12"/>
      <c r="AH224" s="12"/>
      <c r="AI224" s="12"/>
      <c r="AJ224" s="12"/>
      <c r="AK224" s="12"/>
      <c r="AL224" s="12"/>
      <c r="AM224" s="12"/>
      <c r="AN224" s="12"/>
    </row>
    <row r="225" spans="1:40" ht="114.75" x14ac:dyDescent="0.2">
      <c r="A225" s="3"/>
      <c r="B225" s="3"/>
      <c r="C225" s="12"/>
      <c r="D225" s="26"/>
      <c r="E225" s="26"/>
      <c r="F225" s="26">
        <v>3</v>
      </c>
      <c r="G225" s="26"/>
      <c r="H225" s="26"/>
      <c r="I225" s="26"/>
      <c r="J225" s="595" t="s">
        <v>506</v>
      </c>
      <c r="K225" s="204" t="s">
        <v>507</v>
      </c>
      <c r="L225" s="179" t="s">
        <v>499</v>
      </c>
      <c r="M225" s="204" t="s">
        <v>508</v>
      </c>
      <c r="N225" s="605" t="s">
        <v>498</v>
      </c>
      <c r="O225" s="179" t="s">
        <v>500</v>
      </c>
      <c r="P225" s="12"/>
      <c r="Q225" s="12"/>
      <c r="R225" s="12" t="s">
        <v>509</v>
      </c>
      <c r="S225" s="12"/>
      <c r="T225" s="12"/>
      <c r="U225" s="12"/>
      <c r="V225" s="26"/>
      <c r="W225" s="26"/>
      <c r="X225" s="12"/>
      <c r="Y225" s="12"/>
      <c r="Z225" s="12"/>
      <c r="AA225" s="12"/>
      <c r="AB225" s="12"/>
      <c r="AC225" s="12"/>
      <c r="AD225" s="12"/>
      <c r="AE225" s="12"/>
      <c r="AF225" s="12"/>
      <c r="AG225" s="12"/>
      <c r="AH225" s="12"/>
      <c r="AI225" s="12"/>
      <c r="AJ225" s="12"/>
      <c r="AK225" s="12"/>
      <c r="AL225" s="12"/>
      <c r="AM225" s="12"/>
      <c r="AN225" s="12"/>
    </row>
    <row r="226" spans="1:40" s="164" customFormat="1" x14ac:dyDescent="0.2">
      <c r="A226" s="3"/>
      <c r="B226" s="3"/>
      <c r="C226" s="12"/>
      <c r="D226" s="375"/>
      <c r="E226" s="862">
        <v>2</v>
      </c>
      <c r="F226" s="1168" t="s">
        <v>510</v>
      </c>
      <c r="G226" s="1169"/>
      <c r="H226" s="1169"/>
      <c r="I226" s="1169"/>
      <c r="J226" s="1169"/>
      <c r="K226" s="1169"/>
      <c r="L226" s="1169"/>
      <c r="M226" s="1169"/>
      <c r="N226" s="1169"/>
      <c r="O226" s="1169"/>
      <c r="P226" s="1169"/>
      <c r="Q226" s="1169"/>
      <c r="R226" s="1169"/>
      <c r="S226" s="1169"/>
      <c r="T226" s="1169"/>
      <c r="U226" s="1169"/>
      <c r="V226" s="1169"/>
      <c r="W226" s="1169"/>
      <c r="X226" s="1169"/>
      <c r="Y226" s="1169"/>
      <c r="Z226" s="1170"/>
      <c r="AA226" s="861"/>
      <c r="AB226" s="861"/>
      <c r="AC226" s="861"/>
      <c r="AD226" s="861"/>
      <c r="AE226" s="861"/>
      <c r="AF226" s="861"/>
      <c r="AG226" s="861"/>
      <c r="AH226" s="861"/>
      <c r="AI226" s="861"/>
      <c r="AJ226" s="861"/>
      <c r="AK226" s="861"/>
      <c r="AL226" s="861"/>
      <c r="AM226" s="861"/>
      <c r="AN226" s="861"/>
    </row>
    <row r="227" spans="1:40" ht="75" x14ac:dyDescent="0.2">
      <c r="A227" s="3"/>
      <c r="B227" s="3"/>
      <c r="C227" s="12"/>
      <c r="D227" s="26"/>
      <c r="E227" s="26"/>
      <c r="F227" s="26">
        <v>3</v>
      </c>
      <c r="G227" s="26"/>
      <c r="H227" s="26"/>
      <c r="I227" s="26"/>
      <c r="J227" s="595" t="s">
        <v>511</v>
      </c>
      <c r="K227" s="204" t="s">
        <v>512</v>
      </c>
      <c r="L227" s="72" t="s">
        <v>515</v>
      </c>
      <c r="M227" s="204" t="s">
        <v>513</v>
      </c>
      <c r="N227" s="140" t="s">
        <v>514</v>
      </c>
      <c r="O227" s="72" t="s">
        <v>516</v>
      </c>
      <c r="P227" s="12"/>
      <c r="Q227" s="12"/>
      <c r="R227" s="12" t="s">
        <v>518</v>
      </c>
      <c r="S227" s="12"/>
      <c r="T227" s="12"/>
      <c r="U227" s="12"/>
      <c r="V227" s="26"/>
      <c r="W227" s="26"/>
      <c r="X227" s="12"/>
      <c r="Y227" s="12"/>
      <c r="Z227" s="12"/>
      <c r="AA227" s="12"/>
      <c r="AB227" s="12"/>
      <c r="AC227" s="12"/>
      <c r="AD227" s="12"/>
      <c r="AE227" s="12"/>
      <c r="AF227" s="12"/>
      <c r="AG227" s="12"/>
      <c r="AH227" s="12"/>
      <c r="AI227" s="12"/>
      <c r="AJ227" s="12"/>
      <c r="AK227" s="12"/>
      <c r="AL227" s="12"/>
      <c r="AM227" s="12"/>
      <c r="AN227" s="12"/>
    </row>
    <row r="228" spans="1:40" ht="38.25" x14ac:dyDescent="0.2">
      <c r="A228" s="3"/>
      <c r="B228" s="3"/>
      <c r="C228" s="12"/>
      <c r="D228" s="26"/>
      <c r="E228" s="26"/>
      <c r="F228" s="26">
        <v>3</v>
      </c>
      <c r="G228" s="26"/>
      <c r="H228" s="26"/>
      <c r="I228" s="26"/>
      <c r="J228" s="595" t="s">
        <v>519</v>
      </c>
      <c r="K228" s="204" t="s">
        <v>520</v>
      </c>
      <c r="L228" s="72" t="s">
        <v>523</v>
      </c>
      <c r="M228" s="204" t="s">
        <v>521</v>
      </c>
      <c r="N228" s="204" t="s">
        <v>522</v>
      </c>
      <c r="O228" s="72" t="s">
        <v>524</v>
      </c>
      <c r="P228" s="12"/>
      <c r="Q228" s="12"/>
      <c r="R228" s="12" t="s">
        <v>526</v>
      </c>
      <c r="S228" s="12"/>
      <c r="T228" s="12"/>
      <c r="U228" s="12"/>
      <c r="V228" s="26"/>
      <c r="W228" s="26"/>
      <c r="X228" s="12"/>
      <c r="Y228" s="12"/>
      <c r="Z228" s="12"/>
      <c r="AA228" s="12"/>
      <c r="AB228" s="12"/>
      <c r="AC228" s="12"/>
      <c r="AD228" s="12"/>
      <c r="AE228" s="12"/>
      <c r="AF228" s="12"/>
      <c r="AG228" s="12"/>
      <c r="AH228" s="12"/>
      <c r="AI228" s="12"/>
      <c r="AJ228" s="12"/>
      <c r="AK228" s="12"/>
      <c r="AL228" s="12"/>
      <c r="AM228" s="12"/>
      <c r="AN228" s="12"/>
    </row>
    <row r="229" spans="1:40" ht="76.5" x14ac:dyDescent="0.2">
      <c r="A229" s="3"/>
      <c r="B229" s="3"/>
      <c r="C229" s="12"/>
      <c r="D229" s="26"/>
      <c r="E229" s="26"/>
      <c r="F229" s="26">
        <v>3</v>
      </c>
      <c r="G229" s="26"/>
      <c r="H229" s="26"/>
      <c r="I229" s="26"/>
      <c r="J229" s="595" t="s">
        <v>527</v>
      </c>
      <c r="K229" s="204" t="s">
        <v>528</v>
      </c>
      <c r="L229" s="72" t="s">
        <v>515</v>
      </c>
      <c r="M229" s="204" t="s">
        <v>529</v>
      </c>
      <c r="N229" s="204" t="s">
        <v>530</v>
      </c>
      <c r="O229" s="72" t="s">
        <v>531</v>
      </c>
      <c r="P229" s="12"/>
      <c r="Q229" s="12"/>
      <c r="R229" s="12" t="s">
        <v>533</v>
      </c>
      <c r="S229" s="12"/>
      <c r="T229" s="12"/>
      <c r="U229" s="12"/>
      <c r="V229" s="26"/>
      <c r="W229" s="26"/>
      <c r="X229" s="12"/>
      <c r="Y229" s="12"/>
      <c r="Z229" s="12"/>
      <c r="AA229" s="12"/>
      <c r="AB229" s="12"/>
      <c r="AC229" s="12"/>
      <c r="AD229" s="12"/>
      <c r="AE229" s="12"/>
      <c r="AF229" s="12"/>
      <c r="AG229" s="12"/>
      <c r="AH229" s="12"/>
      <c r="AI229" s="12"/>
      <c r="AJ229" s="12"/>
      <c r="AK229" s="12"/>
      <c r="AL229" s="12"/>
      <c r="AM229" s="12"/>
      <c r="AN229" s="12"/>
    </row>
    <row r="230" spans="1:40" x14ac:dyDescent="0.2">
      <c r="A230" s="3"/>
      <c r="B230" s="3"/>
      <c r="C230" s="89"/>
      <c r="D230" s="860">
        <v>1</v>
      </c>
      <c r="E230" s="1168" t="s">
        <v>534</v>
      </c>
      <c r="F230" s="1169"/>
      <c r="G230" s="1169"/>
      <c r="H230" s="1169"/>
      <c r="I230" s="1169"/>
      <c r="J230" s="1169"/>
      <c r="K230" s="1169"/>
      <c r="L230" s="1169"/>
      <c r="M230" s="1169"/>
      <c r="N230" s="1169"/>
      <c r="O230" s="1169"/>
      <c r="P230" s="1169"/>
      <c r="Q230" s="1169"/>
      <c r="R230" s="1169"/>
      <c r="S230" s="1169"/>
      <c r="T230" s="1169"/>
      <c r="U230" s="1169"/>
      <c r="V230" s="1169"/>
      <c r="W230" s="1169"/>
      <c r="X230" s="1169"/>
      <c r="Y230" s="1169"/>
      <c r="Z230" s="1170"/>
      <c r="AA230" s="861"/>
      <c r="AB230" s="861"/>
      <c r="AC230" s="861"/>
      <c r="AD230" s="861"/>
      <c r="AE230" s="861"/>
      <c r="AF230" s="861"/>
      <c r="AG230" s="861"/>
      <c r="AH230" s="861"/>
      <c r="AI230" s="861"/>
      <c r="AJ230" s="861"/>
      <c r="AK230" s="861"/>
      <c r="AL230" s="861"/>
      <c r="AM230" s="861"/>
      <c r="AN230" s="861"/>
    </row>
    <row r="231" spans="1:40" x14ac:dyDescent="0.2">
      <c r="A231" s="3"/>
      <c r="B231" s="3"/>
      <c r="C231" s="12"/>
      <c r="D231" s="375"/>
      <c r="E231" s="862">
        <v>2</v>
      </c>
      <c r="F231" s="1168" t="s">
        <v>536</v>
      </c>
      <c r="G231" s="1169"/>
      <c r="H231" s="1169"/>
      <c r="I231" s="1169"/>
      <c r="J231" s="1169"/>
      <c r="K231" s="1169"/>
      <c r="L231" s="1169"/>
      <c r="M231" s="1169"/>
      <c r="N231" s="1169"/>
      <c r="O231" s="1169"/>
      <c r="P231" s="1169"/>
      <c r="Q231" s="1169"/>
      <c r="R231" s="1169"/>
      <c r="S231" s="1169"/>
      <c r="T231" s="1169"/>
      <c r="U231" s="1169"/>
      <c r="V231" s="1169"/>
      <c r="W231" s="1169"/>
      <c r="X231" s="1169"/>
      <c r="Y231" s="1169"/>
      <c r="Z231" s="1170"/>
      <c r="AA231" s="861"/>
      <c r="AB231" s="861"/>
      <c r="AC231" s="861"/>
      <c r="AD231" s="861"/>
      <c r="AE231" s="861"/>
      <c r="AF231" s="861"/>
      <c r="AG231" s="861"/>
      <c r="AH231" s="861"/>
      <c r="AI231" s="861"/>
      <c r="AJ231" s="861"/>
      <c r="AK231" s="861"/>
      <c r="AL231" s="861"/>
      <c r="AM231" s="861"/>
      <c r="AN231" s="861"/>
    </row>
    <row r="232" spans="1:40" ht="128.25" x14ac:dyDescent="0.2">
      <c r="A232" s="3"/>
      <c r="B232" s="3"/>
      <c r="C232" s="12"/>
      <c r="D232" s="26"/>
      <c r="E232" s="26"/>
      <c r="F232" s="26">
        <v>3</v>
      </c>
      <c r="G232" s="26"/>
      <c r="H232" s="26"/>
      <c r="I232" s="26"/>
      <c r="J232" s="192" t="s">
        <v>543</v>
      </c>
      <c r="K232" s="140" t="s">
        <v>544</v>
      </c>
      <c r="L232" s="813" t="s">
        <v>358</v>
      </c>
      <c r="M232" s="204" t="s">
        <v>545</v>
      </c>
      <c r="N232" s="605" t="s">
        <v>538</v>
      </c>
      <c r="O232" s="72" t="s">
        <v>546</v>
      </c>
      <c r="P232" s="12"/>
      <c r="Q232" s="12"/>
      <c r="R232" s="12" t="s">
        <v>547</v>
      </c>
      <c r="S232" s="12"/>
      <c r="T232" s="12"/>
      <c r="U232" s="12"/>
      <c r="V232" s="26"/>
      <c r="W232" s="26"/>
      <c r="X232" s="12"/>
      <c r="Y232" s="12"/>
      <c r="Z232" s="12"/>
      <c r="AA232" s="12"/>
      <c r="AB232" s="12"/>
      <c r="AC232" s="12"/>
      <c r="AD232" s="12"/>
      <c r="AE232" s="12"/>
      <c r="AF232" s="12"/>
      <c r="AG232" s="12"/>
      <c r="AH232" s="12"/>
      <c r="AI232" s="12"/>
      <c r="AJ232" s="12"/>
      <c r="AK232" s="12"/>
      <c r="AL232" s="12"/>
      <c r="AM232" s="12"/>
      <c r="AN232" s="12"/>
    </row>
    <row r="233" spans="1:40" ht="128.25" x14ac:dyDescent="0.2">
      <c r="A233" s="3"/>
      <c r="B233" s="3"/>
      <c r="C233" s="12"/>
      <c r="D233" s="26"/>
      <c r="E233" s="26"/>
      <c r="F233" s="403">
        <v>3</v>
      </c>
      <c r="G233" s="403"/>
      <c r="H233" s="403"/>
      <c r="I233" s="403"/>
      <c r="J233" s="197" t="s">
        <v>548</v>
      </c>
      <c r="K233" s="310" t="s">
        <v>549</v>
      </c>
      <c r="L233" s="72" t="s">
        <v>551</v>
      </c>
      <c r="M233" s="204" t="s">
        <v>550</v>
      </c>
      <c r="N233" s="605" t="s">
        <v>538</v>
      </c>
      <c r="O233" s="72" t="s">
        <v>552</v>
      </c>
      <c r="P233" s="12"/>
      <c r="Q233" s="12"/>
      <c r="R233" s="12" t="s">
        <v>542</v>
      </c>
      <c r="S233" s="12"/>
      <c r="T233" s="12"/>
      <c r="U233" s="12"/>
      <c r="V233" s="26"/>
      <c r="W233" s="26"/>
      <c r="X233" s="12"/>
      <c r="Y233" s="12"/>
      <c r="Z233" s="12"/>
      <c r="AA233" s="12"/>
      <c r="AB233" s="12"/>
      <c r="AC233" s="12"/>
      <c r="AD233" s="12"/>
      <c r="AE233" s="12"/>
      <c r="AF233" s="12"/>
      <c r="AG233" s="12"/>
      <c r="AH233" s="12"/>
      <c r="AI233" s="12"/>
      <c r="AJ233" s="12"/>
      <c r="AK233" s="12"/>
      <c r="AL233" s="12"/>
      <c r="AM233" s="12"/>
      <c r="AN233" s="12"/>
    </row>
    <row r="234" spans="1:40" s="164" customFormat="1" x14ac:dyDescent="0.2">
      <c r="A234" s="3"/>
      <c r="B234" s="3"/>
      <c r="C234" s="12"/>
      <c r="D234" s="375"/>
      <c r="E234" s="865">
        <v>2</v>
      </c>
      <c r="F234" s="1168" t="s">
        <v>553</v>
      </c>
      <c r="G234" s="1169"/>
      <c r="H234" s="1169"/>
      <c r="I234" s="1169"/>
      <c r="J234" s="1169"/>
      <c r="K234" s="1169"/>
      <c r="L234" s="1169"/>
      <c r="M234" s="1169"/>
      <c r="N234" s="1169"/>
      <c r="O234" s="1169"/>
      <c r="P234" s="1169"/>
      <c r="Q234" s="1169"/>
      <c r="R234" s="1169"/>
      <c r="S234" s="1169"/>
      <c r="T234" s="1169"/>
      <c r="U234" s="1169"/>
      <c r="V234" s="1169"/>
      <c r="W234" s="1169"/>
      <c r="X234" s="1169"/>
      <c r="Y234" s="1169"/>
      <c r="Z234" s="1170"/>
      <c r="AA234" s="861"/>
      <c r="AB234" s="861"/>
      <c r="AC234" s="861"/>
      <c r="AD234" s="861"/>
      <c r="AE234" s="861"/>
      <c r="AF234" s="861"/>
      <c r="AG234" s="861"/>
      <c r="AH234" s="861"/>
      <c r="AI234" s="861"/>
      <c r="AJ234" s="861"/>
      <c r="AK234" s="861"/>
      <c r="AL234" s="861"/>
      <c r="AM234" s="861"/>
      <c r="AN234" s="861"/>
    </row>
    <row r="235" spans="1:40" ht="38.25" x14ac:dyDescent="0.2">
      <c r="A235" s="3"/>
      <c r="B235" s="3"/>
      <c r="C235" s="12"/>
      <c r="D235" s="26"/>
      <c r="E235" s="26"/>
      <c r="F235" s="311">
        <v>3</v>
      </c>
      <c r="G235" s="311"/>
      <c r="H235" s="311"/>
      <c r="I235" s="311"/>
      <c r="J235" s="596" t="s">
        <v>554</v>
      </c>
      <c r="K235" s="1186" t="s">
        <v>555</v>
      </c>
      <c r="L235" s="179" t="s">
        <v>465</v>
      </c>
      <c r="M235" s="140" t="s">
        <v>2515</v>
      </c>
      <c r="N235" s="204" t="s">
        <v>557</v>
      </c>
      <c r="O235" s="179" t="s">
        <v>558</v>
      </c>
      <c r="P235" s="12"/>
      <c r="Q235" s="12"/>
      <c r="R235" s="12" t="s">
        <v>560</v>
      </c>
      <c r="S235" s="12"/>
      <c r="T235" s="12"/>
      <c r="U235" s="12"/>
      <c r="V235" s="26"/>
      <c r="W235" s="26"/>
      <c r="X235" s="12"/>
      <c r="Y235" s="12"/>
      <c r="Z235" s="12"/>
      <c r="AA235" s="12"/>
      <c r="AB235" s="12"/>
      <c r="AC235" s="12"/>
      <c r="AD235" s="12"/>
      <c r="AE235" s="12"/>
      <c r="AF235" s="12"/>
      <c r="AG235" s="12"/>
      <c r="AH235" s="12"/>
      <c r="AI235" s="12"/>
      <c r="AJ235" s="12"/>
      <c r="AK235" s="12"/>
      <c r="AL235" s="12"/>
      <c r="AM235" s="12"/>
      <c r="AN235" s="12"/>
    </row>
    <row r="236" spans="1:40" ht="59.25" customHeight="1" x14ac:dyDescent="0.2">
      <c r="A236" s="3"/>
      <c r="B236" s="3"/>
      <c r="C236" s="12"/>
      <c r="D236" s="26"/>
      <c r="E236" s="26"/>
      <c r="F236" s="26">
        <v>3</v>
      </c>
      <c r="G236" s="26"/>
      <c r="H236" s="26"/>
      <c r="I236" s="26"/>
      <c r="J236" s="596" t="s">
        <v>561</v>
      </c>
      <c r="K236" s="1187"/>
      <c r="L236" s="179" t="s">
        <v>465</v>
      </c>
      <c r="M236" s="204" t="s">
        <v>2515</v>
      </c>
      <c r="N236" s="204" t="s">
        <v>557</v>
      </c>
      <c r="O236" s="179" t="s">
        <v>558</v>
      </c>
      <c r="P236" s="12"/>
      <c r="Q236" s="12"/>
      <c r="R236" s="12" t="s">
        <v>562</v>
      </c>
      <c r="S236" s="12"/>
      <c r="T236" s="12"/>
      <c r="U236" s="12"/>
      <c r="V236" s="26"/>
      <c r="W236" s="26"/>
      <c r="X236" s="12"/>
      <c r="Y236" s="12"/>
      <c r="Z236" s="12"/>
      <c r="AA236" s="12"/>
      <c r="AB236" s="12"/>
      <c r="AC236" s="12"/>
      <c r="AD236" s="12"/>
      <c r="AE236" s="12"/>
      <c r="AF236" s="12"/>
      <c r="AG236" s="12"/>
      <c r="AH236" s="12"/>
      <c r="AI236" s="12"/>
      <c r="AJ236" s="12"/>
      <c r="AK236" s="12"/>
      <c r="AL236" s="12"/>
      <c r="AM236" s="12"/>
      <c r="AN236" s="12"/>
    </row>
    <row r="237" spans="1:40" s="164" customFormat="1" x14ac:dyDescent="0.2">
      <c r="A237" s="3"/>
      <c r="B237" s="3"/>
      <c r="C237" s="12"/>
      <c r="D237" s="375"/>
      <c r="E237" s="865">
        <v>2</v>
      </c>
      <c r="F237" s="1168" t="s">
        <v>563</v>
      </c>
      <c r="G237" s="1169"/>
      <c r="H237" s="1169"/>
      <c r="I237" s="1169"/>
      <c r="J237" s="1169"/>
      <c r="K237" s="1169"/>
      <c r="L237" s="1169"/>
      <c r="M237" s="1169"/>
      <c r="N237" s="1169"/>
      <c r="O237" s="1169"/>
      <c r="P237" s="1169"/>
      <c r="Q237" s="1169"/>
      <c r="R237" s="1169"/>
      <c r="S237" s="1169"/>
      <c r="T237" s="1169"/>
      <c r="U237" s="1169"/>
      <c r="V237" s="1169"/>
      <c r="W237" s="1169"/>
      <c r="X237" s="1169"/>
      <c r="Y237" s="1169"/>
      <c r="Z237" s="1170"/>
      <c r="AA237" s="861"/>
      <c r="AB237" s="861"/>
      <c r="AC237" s="861"/>
      <c r="AD237" s="861"/>
      <c r="AE237" s="861"/>
      <c r="AF237" s="861"/>
      <c r="AG237" s="861"/>
      <c r="AH237" s="861"/>
      <c r="AI237" s="861"/>
      <c r="AJ237" s="861"/>
      <c r="AK237" s="861"/>
      <c r="AL237" s="861"/>
      <c r="AM237" s="861"/>
      <c r="AN237" s="861"/>
    </row>
    <row r="238" spans="1:40" ht="76.5" x14ac:dyDescent="0.2">
      <c r="A238" s="3"/>
      <c r="B238" s="3"/>
      <c r="C238" s="12"/>
      <c r="D238" s="26"/>
      <c r="E238" s="26"/>
      <c r="F238" s="26">
        <v>3</v>
      </c>
      <c r="G238" s="26"/>
      <c r="H238" s="26"/>
      <c r="I238" s="26"/>
      <c r="J238" s="197" t="s">
        <v>564</v>
      </c>
      <c r="K238" s="472" t="s">
        <v>565</v>
      </c>
      <c r="L238" s="814" t="s">
        <v>358</v>
      </c>
      <c r="M238" s="204" t="s">
        <v>566</v>
      </c>
      <c r="N238" s="204" t="s">
        <v>567</v>
      </c>
      <c r="O238" s="72" t="s">
        <v>546</v>
      </c>
      <c r="P238" s="12"/>
      <c r="Q238" s="12"/>
      <c r="R238" s="12" t="s">
        <v>569</v>
      </c>
      <c r="S238" s="12"/>
      <c r="T238" s="12"/>
      <c r="U238" s="12"/>
      <c r="V238" s="26"/>
      <c r="W238" s="26"/>
      <c r="X238" s="12"/>
      <c r="Y238" s="12"/>
      <c r="Z238" s="12"/>
      <c r="AA238" s="12"/>
      <c r="AB238" s="12"/>
      <c r="AC238" s="12"/>
      <c r="AD238" s="12"/>
      <c r="AE238" s="12"/>
      <c r="AF238" s="12"/>
      <c r="AG238" s="12"/>
      <c r="AH238" s="12"/>
      <c r="AI238" s="12"/>
      <c r="AJ238" s="12"/>
      <c r="AK238" s="12"/>
      <c r="AL238" s="12"/>
      <c r="AM238" s="12"/>
      <c r="AN238" s="12"/>
    </row>
    <row r="239" spans="1:40" ht="127.5" x14ac:dyDescent="0.2">
      <c r="A239" s="3"/>
      <c r="B239" s="3"/>
      <c r="C239" s="12"/>
      <c r="D239" s="26"/>
      <c r="E239" s="26"/>
      <c r="F239" s="26">
        <v>3</v>
      </c>
      <c r="G239" s="26"/>
      <c r="H239" s="26"/>
      <c r="I239" s="26"/>
      <c r="J239" s="197" t="s">
        <v>570</v>
      </c>
      <c r="K239" s="204" t="s">
        <v>571</v>
      </c>
      <c r="L239" s="72" t="s">
        <v>574</v>
      </c>
      <c r="M239" s="204" t="s">
        <v>572</v>
      </c>
      <c r="N239" s="204" t="s">
        <v>573</v>
      </c>
      <c r="O239" s="201" t="s">
        <v>575</v>
      </c>
      <c r="P239" s="12"/>
      <c r="Q239" s="12"/>
      <c r="R239" s="12" t="s">
        <v>577</v>
      </c>
      <c r="S239" s="12"/>
      <c r="T239" s="12"/>
      <c r="U239" s="12"/>
      <c r="V239" s="26"/>
      <c r="W239" s="26"/>
      <c r="X239" s="12"/>
      <c r="Y239" s="12"/>
      <c r="Z239" s="12"/>
      <c r="AA239" s="12"/>
      <c r="AB239" s="12"/>
      <c r="AC239" s="12"/>
      <c r="AD239" s="12"/>
      <c r="AE239" s="12"/>
      <c r="AF239" s="12"/>
      <c r="AG239" s="12"/>
      <c r="AH239" s="12"/>
      <c r="AI239" s="12"/>
      <c r="AJ239" s="12"/>
      <c r="AK239" s="12"/>
      <c r="AL239" s="12"/>
      <c r="AM239" s="12"/>
      <c r="AN239" s="12"/>
    </row>
    <row r="240" spans="1:40" ht="127.5" x14ac:dyDescent="0.2">
      <c r="A240" s="3"/>
      <c r="B240" s="3"/>
      <c r="C240" s="12"/>
      <c r="D240" s="26"/>
      <c r="E240" s="26"/>
      <c r="F240" s="26">
        <v>3</v>
      </c>
      <c r="G240" s="26"/>
      <c r="H240" s="26"/>
      <c r="I240" s="26"/>
      <c r="J240" s="197" t="s">
        <v>578</v>
      </c>
      <c r="K240" s="472" t="s">
        <v>579</v>
      </c>
      <c r="L240" s="72" t="s">
        <v>582</v>
      </c>
      <c r="M240" s="204" t="s">
        <v>580</v>
      </c>
      <c r="N240" s="204" t="s">
        <v>581</v>
      </c>
      <c r="O240" s="201" t="s">
        <v>583</v>
      </c>
      <c r="P240" s="12"/>
      <c r="Q240" s="12"/>
      <c r="R240" s="12" t="s">
        <v>584</v>
      </c>
      <c r="S240" s="12"/>
      <c r="T240" s="12"/>
      <c r="U240" s="12"/>
      <c r="V240" s="26"/>
      <c r="W240" s="26"/>
      <c r="X240" s="12"/>
      <c r="Y240" s="12"/>
      <c r="Z240" s="12"/>
      <c r="AA240" s="12"/>
      <c r="AB240" s="12"/>
      <c r="AC240" s="12"/>
      <c r="AD240" s="12"/>
      <c r="AE240" s="12"/>
      <c r="AF240" s="12"/>
      <c r="AG240" s="12"/>
      <c r="AH240" s="12"/>
      <c r="AI240" s="12"/>
      <c r="AJ240" s="12"/>
      <c r="AK240" s="12"/>
      <c r="AL240" s="12"/>
      <c r="AM240" s="12"/>
      <c r="AN240" s="12"/>
    </row>
    <row r="241" spans="1:40" s="164" customFormat="1" x14ac:dyDescent="0.2">
      <c r="A241" s="3"/>
      <c r="B241" s="3"/>
      <c r="C241" s="12"/>
      <c r="D241" s="375"/>
      <c r="E241" s="865">
        <v>2</v>
      </c>
      <c r="F241" s="1168" t="s">
        <v>585</v>
      </c>
      <c r="G241" s="1169"/>
      <c r="H241" s="1169"/>
      <c r="I241" s="1169"/>
      <c r="J241" s="1169"/>
      <c r="K241" s="1169"/>
      <c r="L241" s="1169"/>
      <c r="M241" s="1169"/>
      <c r="N241" s="1169"/>
      <c r="O241" s="1169"/>
      <c r="P241" s="1169"/>
      <c r="Q241" s="1169"/>
      <c r="R241" s="1169"/>
      <c r="S241" s="1169"/>
      <c r="T241" s="1169"/>
      <c r="U241" s="1169"/>
      <c r="V241" s="1169"/>
      <c r="W241" s="1169"/>
      <c r="X241" s="1169"/>
      <c r="Y241" s="1169"/>
      <c r="Z241" s="1170"/>
      <c r="AA241" s="861"/>
      <c r="AB241" s="861"/>
      <c r="AC241" s="861"/>
      <c r="AD241" s="861"/>
      <c r="AE241" s="861"/>
      <c r="AF241" s="861"/>
      <c r="AG241" s="861"/>
      <c r="AH241" s="861"/>
      <c r="AI241" s="861"/>
      <c r="AJ241" s="861"/>
      <c r="AK241" s="861"/>
      <c r="AL241" s="861"/>
      <c r="AM241" s="861"/>
      <c r="AN241" s="861"/>
    </row>
    <row r="242" spans="1:40" ht="57.75" x14ac:dyDescent="0.2">
      <c r="A242" s="3"/>
      <c r="B242" s="3"/>
      <c r="C242" s="12"/>
      <c r="D242" s="26"/>
      <c r="E242" s="26"/>
      <c r="F242" s="26">
        <v>3</v>
      </c>
      <c r="G242" s="26"/>
      <c r="H242" s="26"/>
      <c r="I242" s="26"/>
      <c r="J242" s="197" t="s">
        <v>586</v>
      </c>
      <c r="K242" s="472" t="s">
        <v>587</v>
      </c>
      <c r="L242" s="813" t="s">
        <v>358</v>
      </c>
      <c r="M242" s="204"/>
      <c r="N242" s="204" t="s">
        <v>588</v>
      </c>
      <c r="O242" s="72" t="s">
        <v>546</v>
      </c>
      <c r="P242" s="12"/>
      <c r="Q242" s="12"/>
      <c r="R242" s="12"/>
      <c r="S242" s="12"/>
      <c r="T242" s="12"/>
      <c r="U242" s="12"/>
      <c r="V242" s="26"/>
      <c r="W242" s="26"/>
      <c r="X242" s="12"/>
      <c r="Y242" s="12"/>
      <c r="Z242" s="12"/>
      <c r="AA242" s="12"/>
      <c r="AB242" s="12"/>
      <c r="AC242" s="12"/>
      <c r="AD242" s="12"/>
      <c r="AE242" s="12"/>
      <c r="AF242" s="12"/>
      <c r="AG242" s="12"/>
      <c r="AH242" s="12"/>
      <c r="AI242" s="12"/>
      <c r="AJ242" s="12"/>
      <c r="AK242" s="12"/>
      <c r="AL242" s="12"/>
      <c r="AM242" s="12"/>
      <c r="AN242" s="12"/>
    </row>
    <row r="243" spans="1:40" ht="63.75" x14ac:dyDescent="0.2">
      <c r="A243" s="3"/>
      <c r="B243" s="3"/>
      <c r="C243" s="12"/>
      <c r="D243" s="26"/>
      <c r="E243" s="26"/>
      <c r="F243" s="26">
        <v>3</v>
      </c>
      <c r="G243" s="26"/>
      <c r="H243" s="26"/>
      <c r="I243" s="26"/>
      <c r="J243" s="197" t="s">
        <v>589</v>
      </c>
      <c r="K243" s="204" t="s">
        <v>590</v>
      </c>
      <c r="L243" s="98" t="s">
        <v>593</v>
      </c>
      <c r="M243" s="204" t="s">
        <v>2516</v>
      </c>
      <c r="N243" s="204" t="s">
        <v>592</v>
      </c>
      <c r="O243" s="72" t="s">
        <v>594</v>
      </c>
      <c r="P243" s="12"/>
      <c r="Q243" s="12"/>
      <c r="R243" s="12" t="s">
        <v>596</v>
      </c>
      <c r="S243" s="12"/>
      <c r="T243" s="12"/>
      <c r="U243" s="12"/>
      <c r="V243" s="26"/>
      <c r="W243" s="26"/>
      <c r="X243" s="12"/>
      <c r="Y243" s="12"/>
      <c r="Z243" s="12"/>
      <c r="AA243" s="12"/>
      <c r="AB243" s="12"/>
      <c r="AC243" s="12"/>
      <c r="AD243" s="12"/>
      <c r="AE243" s="12"/>
      <c r="AF243" s="12"/>
      <c r="AG243" s="12"/>
      <c r="AH243" s="12"/>
      <c r="AI243" s="12"/>
      <c r="AJ243" s="12"/>
      <c r="AK243" s="12"/>
      <c r="AL243" s="12"/>
      <c r="AM243" s="12"/>
      <c r="AN243" s="12"/>
    </row>
    <row r="244" spans="1:40" ht="89.25" x14ac:dyDescent="0.2">
      <c r="A244" s="3"/>
      <c r="B244" s="3"/>
      <c r="C244" s="12"/>
      <c r="D244" s="26"/>
      <c r="E244" s="26"/>
      <c r="F244" s="26">
        <v>3</v>
      </c>
      <c r="G244" s="26"/>
      <c r="H244" s="26"/>
      <c r="I244" s="26"/>
      <c r="J244" s="197" t="s">
        <v>597</v>
      </c>
      <c r="K244" s="204" t="s">
        <v>598</v>
      </c>
      <c r="L244" s="98" t="s">
        <v>601</v>
      </c>
      <c r="M244" s="140" t="s">
        <v>2517</v>
      </c>
      <c r="N244" s="204" t="s">
        <v>600</v>
      </c>
      <c r="O244" s="72" t="s">
        <v>602</v>
      </c>
      <c r="P244" s="12"/>
      <c r="Q244" s="12"/>
      <c r="R244" s="12" t="s">
        <v>603</v>
      </c>
      <c r="S244" s="12"/>
      <c r="T244" s="12"/>
      <c r="U244" s="12"/>
      <c r="V244" s="26"/>
      <c r="W244" s="26"/>
      <c r="X244" s="12"/>
      <c r="Y244" s="12"/>
      <c r="Z244" s="12"/>
      <c r="AA244" s="12"/>
      <c r="AB244" s="12"/>
      <c r="AC244" s="12"/>
      <c r="AD244" s="12"/>
      <c r="AE244" s="12"/>
      <c r="AF244" s="12"/>
      <c r="AG244" s="12"/>
      <c r="AH244" s="12"/>
      <c r="AI244" s="12"/>
      <c r="AJ244" s="12"/>
      <c r="AK244" s="12"/>
      <c r="AL244" s="12"/>
      <c r="AM244" s="12"/>
      <c r="AN244" s="12"/>
    </row>
    <row r="245" spans="1:40" x14ac:dyDescent="0.2">
      <c r="A245" s="3"/>
      <c r="B245" s="3"/>
      <c r="C245" s="89"/>
      <c r="D245" s="860">
        <v>1</v>
      </c>
      <c r="E245" s="1168" t="s">
        <v>604</v>
      </c>
      <c r="F245" s="1169"/>
      <c r="G245" s="1169"/>
      <c r="H245" s="1169"/>
      <c r="I245" s="1169"/>
      <c r="J245" s="1169"/>
      <c r="K245" s="1169"/>
      <c r="L245" s="1169"/>
      <c r="M245" s="1169"/>
      <c r="N245" s="1169"/>
      <c r="O245" s="1169"/>
      <c r="P245" s="1169"/>
      <c r="Q245" s="1169"/>
      <c r="R245" s="1169"/>
      <c r="S245" s="1169"/>
      <c r="T245" s="1169"/>
      <c r="U245" s="1169"/>
      <c r="V245" s="1169"/>
      <c r="W245" s="1169"/>
      <c r="X245" s="1169"/>
      <c r="Y245" s="1169"/>
      <c r="Z245" s="1170"/>
      <c r="AA245" s="861"/>
      <c r="AB245" s="861"/>
      <c r="AC245" s="861"/>
      <c r="AD245" s="861"/>
      <c r="AE245" s="861"/>
      <c r="AF245" s="861"/>
      <c r="AG245" s="861"/>
      <c r="AH245" s="861"/>
      <c r="AI245" s="861"/>
      <c r="AJ245" s="861"/>
      <c r="AK245" s="861"/>
      <c r="AL245" s="861"/>
      <c r="AM245" s="861"/>
      <c r="AN245" s="861"/>
    </row>
    <row r="246" spans="1:40" s="164" customFormat="1" x14ac:dyDescent="0.2">
      <c r="A246" s="3"/>
      <c r="B246" s="3"/>
      <c r="C246" s="12"/>
      <c r="D246" s="375"/>
      <c r="E246" s="865">
        <v>2</v>
      </c>
      <c r="F246" s="1168" t="s">
        <v>609</v>
      </c>
      <c r="G246" s="1169"/>
      <c r="H246" s="1169"/>
      <c r="I246" s="1169"/>
      <c r="J246" s="1169"/>
      <c r="K246" s="1169"/>
      <c r="L246" s="1169"/>
      <c r="M246" s="1169"/>
      <c r="N246" s="1169"/>
      <c r="O246" s="1169"/>
      <c r="P246" s="1169"/>
      <c r="Q246" s="1169"/>
      <c r="R246" s="1169"/>
      <c r="S246" s="1169"/>
      <c r="T246" s="1169"/>
      <c r="U246" s="1169"/>
      <c r="V246" s="1169"/>
      <c r="W246" s="1169"/>
      <c r="X246" s="1169"/>
      <c r="Y246" s="1169"/>
      <c r="Z246" s="1170"/>
      <c r="AA246" s="861"/>
      <c r="AB246" s="861"/>
      <c r="AC246" s="861"/>
      <c r="AD246" s="861"/>
      <c r="AE246" s="861"/>
      <c r="AF246" s="861"/>
      <c r="AG246" s="861"/>
      <c r="AH246" s="861"/>
      <c r="AI246" s="861"/>
      <c r="AJ246" s="861"/>
      <c r="AK246" s="861"/>
      <c r="AL246" s="861"/>
      <c r="AM246" s="861"/>
      <c r="AN246" s="861"/>
    </row>
    <row r="247" spans="1:40" ht="38.25" x14ac:dyDescent="0.2">
      <c r="A247" s="3"/>
      <c r="B247" s="3"/>
      <c r="C247" s="12"/>
      <c r="D247" s="26"/>
      <c r="E247" s="26"/>
      <c r="F247" s="26">
        <v>3</v>
      </c>
      <c r="G247" s="26"/>
      <c r="H247" s="26"/>
      <c r="I247" s="26"/>
      <c r="J247" s="197" t="s">
        <v>610</v>
      </c>
      <c r="K247" s="472" t="s">
        <v>611</v>
      </c>
      <c r="L247" s="811" t="s">
        <v>607</v>
      </c>
      <c r="M247" s="188"/>
      <c r="N247" s="204" t="s">
        <v>606</v>
      </c>
      <c r="O247" s="72" t="s">
        <v>608</v>
      </c>
      <c r="P247" s="12"/>
      <c r="Q247" s="12"/>
      <c r="R247" s="12"/>
      <c r="S247" s="12"/>
      <c r="T247" s="12"/>
      <c r="U247" s="12"/>
      <c r="V247" s="26"/>
      <c r="W247" s="26"/>
      <c r="X247" s="12"/>
      <c r="Y247" s="12"/>
      <c r="Z247" s="12"/>
      <c r="AA247" s="12"/>
      <c r="AB247" s="12"/>
      <c r="AC247" s="12"/>
      <c r="AD247" s="12"/>
      <c r="AE247" s="12"/>
      <c r="AF247" s="12"/>
      <c r="AG247" s="12"/>
      <c r="AH247" s="12"/>
      <c r="AI247" s="12"/>
      <c r="AJ247" s="12"/>
      <c r="AK247" s="12"/>
      <c r="AL247" s="12"/>
      <c r="AM247" s="12"/>
      <c r="AN247" s="12"/>
    </row>
    <row r="248" spans="1:40" s="164" customFormat="1" ht="15.75" customHeight="1" x14ac:dyDescent="0.2">
      <c r="A248" s="3"/>
      <c r="B248" s="3"/>
      <c r="C248" s="12"/>
      <c r="D248" s="375"/>
      <c r="E248" s="865">
        <v>2</v>
      </c>
      <c r="F248" s="1168" t="s">
        <v>612</v>
      </c>
      <c r="G248" s="1169"/>
      <c r="H248" s="1169"/>
      <c r="I248" s="1169"/>
      <c r="J248" s="1169"/>
      <c r="K248" s="1169"/>
      <c r="L248" s="1169"/>
      <c r="M248" s="1169"/>
      <c r="N248" s="1169"/>
      <c r="O248" s="1169"/>
      <c r="P248" s="1169"/>
      <c r="Q248" s="1169"/>
      <c r="R248" s="1169"/>
      <c r="S248" s="1169"/>
      <c r="T248" s="1169"/>
      <c r="U248" s="1169"/>
      <c r="V248" s="1169"/>
      <c r="W248" s="1169"/>
      <c r="X248" s="1169"/>
      <c r="Y248" s="1169"/>
      <c r="Z248" s="1170"/>
      <c r="AA248" s="861"/>
      <c r="AB248" s="861"/>
      <c r="AC248" s="861"/>
      <c r="AD248" s="861"/>
      <c r="AE248" s="861"/>
      <c r="AF248" s="861"/>
      <c r="AG248" s="861"/>
      <c r="AH248" s="861"/>
      <c r="AI248" s="861"/>
      <c r="AJ248" s="861"/>
      <c r="AK248" s="861"/>
      <c r="AL248" s="861"/>
      <c r="AM248" s="861"/>
      <c r="AN248" s="861"/>
    </row>
    <row r="249" spans="1:40" ht="165.75" x14ac:dyDescent="0.2">
      <c r="A249" s="3"/>
      <c r="B249" s="3"/>
      <c r="C249" s="12"/>
      <c r="D249" s="26"/>
      <c r="E249" s="26"/>
      <c r="F249" s="26">
        <v>3</v>
      </c>
      <c r="G249" s="26"/>
      <c r="H249" s="26"/>
      <c r="I249" s="26"/>
      <c r="J249" s="197" t="s">
        <v>613</v>
      </c>
      <c r="K249" s="204" t="s">
        <v>614</v>
      </c>
      <c r="L249" s="128" t="s">
        <v>617</v>
      </c>
      <c r="M249" s="140" t="s">
        <v>615</v>
      </c>
      <c r="N249" s="204" t="s">
        <v>616</v>
      </c>
      <c r="O249" s="72" t="s">
        <v>618</v>
      </c>
      <c r="P249" s="12"/>
      <c r="Q249" s="12"/>
      <c r="R249" s="12" t="s">
        <v>620</v>
      </c>
      <c r="S249" s="12"/>
      <c r="T249" s="12"/>
      <c r="U249" s="12"/>
      <c r="V249" s="26"/>
      <c r="W249" s="26"/>
      <c r="X249" s="12"/>
      <c r="Y249" s="12"/>
      <c r="Z249" s="12"/>
      <c r="AA249" s="12"/>
      <c r="AB249" s="12"/>
      <c r="AC249" s="12"/>
      <c r="AD249" s="12"/>
      <c r="AE249" s="12"/>
      <c r="AF249" s="12"/>
      <c r="AG249" s="12"/>
      <c r="AH249" s="12"/>
      <c r="AI249" s="12"/>
      <c r="AJ249" s="12"/>
      <c r="AK249" s="12"/>
      <c r="AL249" s="12"/>
      <c r="AM249" s="12"/>
      <c r="AN249" s="12"/>
    </row>
    <row r="250" spans="1:40" ht="89.25" x14ac:dyDescent="0.2">
      <c r="A250" s="3"/>
      <c r="B250" s="3"/>
      <c r="C250" s="12"/>
      <c r="D250" s="26"/>
      <c r="E250" s="26"/>
      <c r="F250" s="26">
        <v>3</v>
      </c>
      <c r="G250" s="26"/>
      <c r="H250" s="26"/>
      <c r="I250" s="26"/>
      <c r="J250" s="197" t="s">
        <v>621</v>
      </c>
      <c r="K250" s="204" t="s">
        <v>622</v>
      </c>
      <c r="L250" s="813" t="s">
        <v>358</v>
      </c>
      <c r="M250" s="140" t="s">
        <v>623</v>
      </c>
      <c r="N250" s="204" t="s">
        <v>624</v>
      </c>
      <c r="O250" s="72" t="s">
        <v>546</v>
      </c>
      <c r="P250" s="12"/>
      <c r="Q250" s="12"/>
      <c r="R250" s="12" t="s">
        <v>626</v>
      </c>
      <c r="S250" s="12"/>
      <c r="T250" s="12"/>
      <c r="U250" s="12"/>
      <c r="V250" s="26"/>
      <c r="W250" s="26"/>
      <c r="X250" s="12"/>
      <c r="Y250" s="12"/>
      <c r="Z250" s="12"/>
      <c r="AA250" s="12"/>
      <c r="AB250" s="12"/>
      <c r="AC250" s="12"/>
      <c r="AD250" s="12"/>
      <c r="AE250" s="12"/>
      <c r="AF250" s="12"/>
      <c r="AG250" s="12"/>
      <c r="AH250" s="12"/>
      <c r="AI250" s="12"/>
      <c r="AJ250" s="12"/>
      <c r="AK250" s="12"/>
      <c r="AL250" s="12"/>
      <c r="AM250" s="12"/>
      <c r="AN250" s="12"/>
    </row>
    <row r="251" spans="1:40" ht="45" x14ac:dyDescent="0.2">
      <c r="A251" s="3"/>
      <c r="B251" s="3"/>
      <c r="C251" s="12"/>
      <c r="D251" s="26"/>
      <c r="E251" s="26"/>
      <c r="F251" s="26">
        <v>3</v>
      </c>
      <c r="G251" s="26"/>
      <c r="H251" s="26"/>
      <c r="I251" s="26"/>
      <c r="J251" s="197" t="s">
        <v>627</v>
      </c>
      <c r="K251" s="472" t="s">
        <v>628</v>
      </c>
      <c r="L251" s="813" t="s">
        <v>358</v>
      </c>
      <c r="M251" s="140" t="s">
        <v>629</v>
      </c>
      <c r="N251" s="204" t="s">
        <v>624</v>
      </c>
      <c r="O251" s="72" t="s">
        <v>546</v>
      </c>
      <c r="P251" s="12"/>
      <c r="Q251" s="12"/>
      <c r="R251" s="12" t="s">
        <v>630</v>
      </c>
      <c r="S251" s="12"/>
      <c r="T251" s="12"/>
      <c r="U251" s="12"/>
      <c r="V251" s="26"/>
      <c r="W251" s="26"/>
      <c r="X251" s="12"/>
      <c r="Y251" s="12"/>
      <c r="Z251" s="12"/>
      <c r="AA251" s="12"/>
      <c r="AB251" s="12"/>
      <c r="AC251" s="12"/>
      <c r="AD251" s="12"/>
      <c r="AE251" s="12"/>
      <c r="AF251" s="12"/>
      <c r="AG251" s="12"/>
      <c r="AH251" s="12"/>
      <c r="AI251" s="12"/>
      <c r="AJ251" s="12"/>
      <c r="AK251" s="12"/>
      <c r="AL251" s="12"/>
      <c r="AM251" s="12"/>
      <c r="AN251" s="12"/>
    </row>
    <row r="252" spans="1:40" x14ac:dyDescent="0.2">
      <c r="A252" s="3"/>
      <c r="B252" s="3"/>
      <c r="C252" s="89"/>
      <c r="D252" s="860">
        <v>1</v>
      </c>
      <c r="E252" s="1168" t="s">
        <v>631</v>
      </c>
      <c r="F252" s="1169"/>
      <c r="G252" s="1169"/>
      <c r="H252" s="1169"/>
      <c r="I252" s="1169"/>
      <c r="J252" s="1169"/>
      <c r="K252" s="1169"/>
      <c r="L252" s="1169"/>
      <c r="M252" s="1169"/>
      <c r="N252" s="1169"/>
      <c r="O252" s="1169"/>
      <c r="P252" s="1169"/>
      <c r="Q252" s="1169"/>
      <c r="R252" s="1169"/>
      <c r="S252" s="1169"/>
      <c r="T252" s="1169"/>
      <c r="U252" s="1169"/>
      <c r="V252" s="1169"/>
      <c r="W252" s="1169"/>
      <c r="X252" s="1169"/>
      <c r="Y252" s="1169"/>
      <c r="Z252" s="1170"/>
      <c r="AA252" s="861"/>
      <c r="AB252" s="861"/>
      <c r="AC252" s="861"/>
      <c r="AD252" s="861"/>
      <c r="AE252" s="861"/>
      <c r="AF252" s="861"/>
      <c r="AG252" s="861"/>
      <c r="AH252" s="861"/>
      <c r="AI252" s="861"/>
      <c r="AJ252" s="861"/>
      <c r="AK252" s="861"/>
      <c r="AL252" s="861"/>
      <c r="AM252" s="861"/>
      <c r="AN252" s="861"/>
    </row>
    <row r="253" spans="1:40" x14ac:dyDescent="0.2">
      <c r="A253" s="3"/>
      <c r="B253" s="3"/>
      <c r="C253" s="12"/>
      <c r="D253" s="375"/>
      <c r="E253" s="865">
        <v>2</v>
      </c>
      <c r="F253" s="1168" t="s">
        <v>634</v>
      </c>
      <c r="G253" s="1169"/>
      <c r="H253" s="1169"/>
      <c r="I253" s="1169"/>
      <c r="J253" s="1169"/>
      <c r="K253" s="1169"/>
      <c r="L253" s="1169"/>
      <c r="M253" s="1169"/>
      <c r="N253" s="1169"/>
      <c r="O253" s="1169"/>
      <c r="P253" s="1169"/>
      <c r="Q253" s="1169"/>
      <c r="R253" s="1169"/>
      <c r="S253" s="1169"/>
      <c r="T253" s="1169"/>
      <c r="U253" s="1169"/>
      <c r="V253" s="1169"/>
      <c r="W253" s="1169"/>
      <c r="X253" s="1169"/>
      <c r="Y253" s="1169"/>
      <c r="Z253" s="1170"/>
      <c r="AA253" s="861"/>
      <c r="AB253" s="861"/>
      <c r="AC253" s="861"/>
      <c r="AD253" s="861"/>
      <c r="AE253" s="861"/>
      <c r="AF253" s="861"/>
      <c r="AG253" s="861"/>
      <c r="AH253" s="861"/>
      <c r="AI253" s="861"/>
      <c r="AJ253" s="861"/>
      <c r="AK253" s="861"/>
      <c r="AL253" s="861"/>
      <c r="AM253" s="861"/>
      <c r="AN253" s="861"/>
    </row>
    <row r="254" spans="1:40" ht="186.75" x14ac:dyDescent="0.2">
      <c r="A254" s="3" t="s">
        <v>1106</v>
      </c>
      <c r="B254" s="3"/>
      <c r="C254" s="12"/>
      <c r="D254" s="26"/>
      <c r="E254" s="26"/>
      <c r="F254" s="26">
        <v>3</v>
      </c>
      <c r="G254" s="26"/>
      <c r="H254" s="26"/>
      <c r="I254" s="26"/>
      <c r="J254" s="595" t="s">
        <v>635</v>
      </c>
      <c r="K254" s="204" t="s">
        <v>2518</v>
      </c>
      <c r="L254" s="813" t="s">
        <v>358</v>
      </c>
      <c r="M254" s="140" t="s">
        <v>637</v>
      </c>
      <c r="N254" s="605" t="s">
        <v>638</v>
      </c>
      <c r="O254" s="72" t="s">
        <v>546</v>
      </c>
      <c r="P254" s="12"/>
      <c r="Q254" s="12"/>
      <c r="R254" s="12" t="s">
        <v>640</v>
      </c>
      <c r="S254" s="12"/>
      <c r="T254" s="12"/>
      <c r="U254" s="12"/>
      <c r="V254" s="26"/>
      <c r="W254" s="26"/>
      <c r="X254" s="12"/>
      <c r="Y254" s="12"/>
      <c r="Z254" s="12"/>
      <c r="AA254" s="12"/>
      <c r="AB254" s="12"/>
      <c r="AC254" s="12"/>
      <c r="AD254" s="12"/>
      <c r="AE254" s="12"/>
      <c r="AF254" s="12"/>
      <c r="AG254" s="12"/>
      <c r="AH254" s="12"/>
      <c r="AI254" s="12"/>
      <c r="AJ254" s="12"/>
      <c r="AK254" s="12"/>
      <c r="AL254" s="12"/>
      <c r="AM254" s="12"/>
      <c r="AN254" s="12"/>
    </row>
    <row r="255" spans="1:40" ht="102" x14ac:dyDescent="0.2">
      <c r="A255" s="3" t="s">
        <v>1106</v>
      </c>
      <c r="B255" s="3"/>
      <c r="C255" s="12"/>
      <c r="D255" s="26"/>
      <c r="E255" s="26"/>
      <c r="F255" s="26">
        <v>3</v>
      </c>
      <c r="G255" s="26"/>
      <c r="H255" s="26"/>
      <c r="I255" s="26"/>
      <c r="J255" s="192" t="s">
        <v>641</v>
      </c>
      <c r="K255" s="204" t="s">
        <v>642</v>
      </c>
      <c r="L255" s="128" t="s">
        <v>214</v>
      </c>
      <c r="M255" s="140" t="s">
        <v>643</v>
      </c>
      <c r="N255" s="204" t="s">
        <v>644</v>
      </c>
      <c r="O255" s="72" t="s">
        <v>438</v>
      </c>
      <c r="P255" s="12"/>
      <c r="Q255" s="12"/>
      <c r="R255" s="12" t="s">
        <v>646</v>
      </c>
      <c r="S255" s="12"/>
      <c r="T255" s="12"/>
      <c r="U255" s="12"/>
      <c r="V255" s="26"/>
      <c r="W255" s="26"/>
      <c r="X255" s="12"/>
      <c r="Y255" s="12"/>
      <c r="Z255" s="12"/>
      <c r="AA255" s="12"/>
      <c r="AB255" s="12"/>
      <c r="AC255" s="12"/>
      <c r="AD255" s="12"/>
      <c r="AE255" s="12"/>
      <c r="AF255" s="12"/>
      <c r="AG255" s="12"/>
      <c r="AH255" s="12"/>
      <c r="AI255" s="12"/>
      <c r="AJ255" s="12"/>
      <c r="AK255" s="12"/>
      <c r="AL255" s="12"/>
      <c r="AM255" s="12"/>
      <c r="AN255" s="12"/>
    </row>
    <row r="256" spans="1:40" x14ac:dyDescent="0.2">
      <c r="A256" s="3"/>
      <c r="B256" s="3"/>
      <c r="C256" s="12"/>
      <c r="D256" s="375"/>
      <c r="E256" s="865">
        <v>2</v>
      </c>
      <c r="F256" s="1168" t="s">
        <v>647</v>
      </c>
      <c r="G256" s="1169"/>
      <c r="H256" s="1169"/>
      <c r="I256" s="1169"/>
      <c r="J256" s="1169"/>
      <c r="K256" s="1169"/>
      <c r="L256" s="1169"/>
      <c r="M256" s="1169"/>
      <c r="N256" s="1169"/>
      <c r="O256" s="1169"/>
      <c r="P256" s="1169"/>
      <c r="Q256" s="1169"/>
      <c r="R256" s="1169"/>
      <c r="S256" s="1169"/>
      <c r="T256" s="1169"/>
      <c r="U256" s="1169"/>
      <c r="V256" s="1169"/>
      <c r="W256" s="1169"/>
      <c r="X256" s="1169"/>
      <c r="Y256" s="1169"/>
      <c r="Z256" s="1170"/>
      <c r="AA256" s="861"/>
      <c r="AB256" s="861"/>
      <c r="AC256" s="861"/>
      <c r="AD256" s="861"/>
      <c r="AE256" s="861"/>
      <c r="AF256" s="861"/>
      <c r="AG256" s="861"/>
      <c r="AH256" s="861"/>
      <c r="AI256" s="861"/>
      <c r="AJ256" s="861"/>
      <c r="AK256" s="861"/>
      <c r="AL256" s="861"/>
      <c r="AM256" s="861"/>
      <c r="AN256" s="861"/>
    </row>
    <row r="257" spans="1:40" ht="76.5" x14ac:dyDescent="0.2">
      <c r="A257" s="3" t="s">
        <v>1098</v>
      </c>
      <c r="B257" s="3"/>
      <c r="C257" s="12"/>
      <c r="D257" s="26"/>
      <c r="E257" s="26"/>
      <c r="F257" s="26">
        <v>3</v>
      </c>
      <c r="G257" s="26"/>
      <c r="H257" s="26"/>
      <c r="I257" s="26"/>
      <c r="J257" s="192" t="s">
        <v>648</v>
      </c>
      <c r="K257" s="204" t="s">
        <v>649</v>
      </c>
      <c r="L257" s="72" t="s">
        <v>652</v>
      </c>
      <c r="M257" s="472" t="s">
        <v>650</v>
      </c>
      <c r="N257" s="204" t="s">
        <v>651</v>
      </c>
      <c r="O257" s="72" t="s">
        <v>653</v>
      </c>
      <c r="P257" s="12"/>
      <c r="Q257" s="12"/>
      <c r="R257" s="12" t="s">
        <v>654</v>
      </c>
      <c r="S257" s="12"/>
      <c r="T257" s="12"/>
      <c r="U257" s="12"/>
      <c r="V257" s="26"/>
      <c r="W257" s="26"/>
      <c r="X257" s="12"/>
      <c r="Y257" s="12"/>
      <c r="Z257" s="12"/>
      <c r="AA257" s="12"/>
      <c r="AB257" s="12"/>
      <c r="AC257" s="12"/>
      <c r="AD257" s="12"/>
      <c r="AE257" s="12"/>
      <c r="AF257" s="12"/>
      <c r="AG257" s="12"/>
      <c r="AH257" s="12"/>
      <c r="AI257" s="12"/>
      <c r="AJ257" s="12"/>
      <c r="AK257" s="12"/>
      <c r="AL257" s="12"/>
      <c r="AM257" s="12"/>
      <c r="AN257" s="12"/>
    </row>
    <row r="258" spans="1:40" ht="120" x14ac:dyDescent="0.2">
      <c r="A258" s="3" t="s">
        <v>1098</v>
      </c>
      <c r="B258" s="3"/>
      <c r="C258" s="12"/>
      <c r="D258" s="26"/>
      <c r="E258" s="26"/>
      <c r="F258" s="26">
        <v>3</v>
      </c>
      <c r="G258" s="26"/>
      <c r="H258" s="26"/>
      <c r="I258" s="26"/>
      <c r="J258" s="192" t="s">
        <v>657</v>
      </c>
      <c r="K258" s="140" t="s">
        <v>2519</v>
      </c>
      <c r="L258" s="72" t="s">
        <v>661</v>
      </c>
      <c r="M258" s="140" t="s">
        <v>659</v>
      </c>
      <c r="N258" s="204" t="s">
        <v>660</v>
      </c>
      <c r="O258" s="72" t="s">
        <v>662</v>
      </c>
      <c r="P258" s="12"/>
      <c r="Q258" s="12"/>
      <c r="R258" s="12" t="s">
        <v>663</v>
      </c>
      <c r="S258" s="12"/>
      <c r="T258" s="12"/>
      <c r="U258" s="12"/>
      <c r="V258" s="26"/>
      <c r="W258" s="26"/>
      <c r="X258" s="12"/>
      <c r="Y258" s="12"/>
      <c r="Z258" s="12"/>
      <c r="AA258" s="12"/>
      <c r="AB258" s="12"/>
      <c r="AC258" s="12"/>
      <c r="AD258" s="12"/>
      <c r="AE258" s="12"/>
      <c r="AF258" s="12"/>
      <c r="AG258" s="12"/>
      <c r="AH258" s="12"/>
      <c r="AI258" s="12"/>
      <c r="AJ258" s="12"/>
      <c r="AK258" s="12"/>
      <c r="AL258" s="12"/>
      <c r="AM258" s="12"/>
      <c r="AN258" s="12"/>
    </row>
    <row r="259" spans="1:40" s="164" customFormat="1" x14ac:dyDescent="0.2">
      <c r="A259" s="3"/>
      <c r="B259" s="3"/>
      <c r="C259" s="12"/>
      <c r="D259" s="375"/>
      <c r="E259" s="865">
        <v>2</v>
      </c>
      <c r="F259" s="1168" t="s">
        <v>664</v>
      </c>
      <c r="G259" s="1169"/>
      <c r="H259" s="1169"/>
      <c r="I259" s="1169"/>
      <c r="J259" s="1169"/>
      <c r="K259" s="1169"/>
      <c r="L259" s="1169"/>
      <c r="M259" s="1169"/>
      <c r="N259" s="1169"/>
      <c r="O259" s="1169"/>
      <c r="P259" s="1169"/>
      <c r="Q259" s="1169"/>
      <c r="R259" s="1169"/>
      <c r="S259" s="1169"/>
      <c r="T259" s="1169"/>
      <c r="U259" s="1169"/>
      <c r="V259" s="1169"/>
      <c r="W259" s="1169"/>
      <c r="X259" s="1169"/>
      <c r="Y259" s="1169"/>
      <c r="Z259" s="1170"/>
      <c r="AA259" s="861"/>
      <c r="AB259" s="861"/>
      <c r="AC259" s="861"/>
      <c r="AD259" s="861"/>
      <c r="AE259" s="861"/>
      <c r="AF259" s="861"/>
      <c r="AG259" s="861"/>
      <c r="AH259" s="861"/>
      <c r="AI259" s="861"/>
      <c r="AJ259" s="861"/>
      <c r="AK259" s="861"/>
      <c r="AL259" s="861"/>
      <c r="AM259" s="861"/>
      <c r="AN259" s="861"/>
    </row>
    <row r="260" spans="1:40" ht="89.25" x14ac:dyDescent="0.2">
      <c r="A260" s="3" t="s">
        <v>1106</v>
      </c>
      <c r="B260" s="3"/>
      <c r="C260" s="12"/>
      <c r="D260" s="26"/>
      <c r="E260" s="26"/>
      <c r="F260" s="26">
        <v>3</v>
      </c>
      <c r="G260" s="26"/>
      <c r="H260" s="26"/>
      <c r="I260" s="26"/>
      <c r="J260" s="595" t="s">
        <v>665</v>
      </c>
      <c r="K260" s="204" t="s">
        <v>666</v>
      </c>
      <c r="L260" s="72" t="s">
        <v>652</v>
      </c>
      <c r="M260" s="713" t="str">
        <f>HYPERLINK("https://synology.bildungscampus-backnang.de:50823/drive/oo/r/p6baQwu1XCFuarcd9Z2zbi18qxksdUsS", "Vorschlag Patrick zur Eingliederungsbefragung")</f>
        <v>Vorschlag Patrick zur Eingliederungsbefragung</v>
      </c>
      <c r="N260" s="204" t="s">
        <v>667</v>
      </c>
      <c r="O260" s="72" t="s">
        <v>668</v>
      </c>
      <c r="P260" s="12"/>
      <c r="Q260" s="812" t="str">
        <f>HYPERLINK("https://synology.bildungscampus-backnang.de:50823/drive/oo/r/p6baQwu1XCFuarcd9Z2zbi18qxksdUsS", "Vorschlag Patrick zur Integrationsbefragung")</f>
        <v>Vorschlag Patrick zur Integrationsbefragung</v>
      </c>
      <c r="R260" s="12" t="s">
        <v>670</v>
      </c>
      <c r="S260" s="12"/>
      <c r="T260" s="12"/>
      <c r="U260" s="12"/>
      <c r="V260" s="26"/>
      <c r="W260" s="26"/>
      <c r="X260" s="12"/>
      <c r="Y260" s="12"/>
      <c r="Z260" s="12"/>
      <c r="AA260" s="12"/>
      <c r="AB260" s="12"/>
      <c r="AC260" s="12"/>
      <c r="AD260" s="12"/>
      <c r="AE260" s="12"/>
      <c r="AF260" s="12"/>
      <c r="AG260" s="12"/>
      <c r="AH260" s="12"/>
      <c r="AI260" s="12"/>
      <c r="AJ260" s="12"/>
      <c r="AK260" s="12"/>
      <c r="AL260" s="12"/>
      <c r="AM260" s="12"/>
      <c r="AN260" s="12"/>
    </row>
    <row r="261" spans="1:40" ht="60" x14ac:dyDescent="0.2">
      <c r="A261" s="3" t="s">
        <v>1106</v>
      </c>
      <c r="B261" s="3"/>
      <c r="C261" s="12"/>
      <c r="D261" s="26"/>
      <c r="E261" s="26"/>
      <c r="F261" s="26">
        <v>3</v>
      </c>
      <c r="G261" s="26"/>
      <c r="H261" s="26"/>
      <c r="I261" s="26"/>
      <c r="J261" s="595" t="s">
        <v>671</v>
      </c>
      <c r="K261" s="204" t="s">
        <v>672</v>
      </c>
      <c r="L261" s="72" t="s">
        <v>652</v>
      </c>
      <c r="M261" s="140" t="s">
        <v>673</v>
      </c>
      <c r="N261" s="204" t="s">
        <v>674</v>
      </c>
      <c r="O261" s="72" t="s">
        <v>668</v>
      </c>
      <c r="P261" s="12"/>
      <c r="Q261" s="12"/>
      <c r="R261" s="12" t="s">
        <v>675</v>
      </c>
      <c r="S261" s="12"/>
      <c r="T261" s="12"/>
      <c r="U261" s="12"/>
      <c r="V261" s="26"/>
      <c r="W261" s="26"/>
      <c r="X261" s="12"/>
      <c r="Y261" s="12"/>
      <c r="Z261" s="12"/>
      <c r="AA261" s="12"/>
      <c r="AB261" s="12"/>
      <c r="AC261" s="12"/>
      <c r="AD261" s="12"/>
      <c r="AE261" s="12"/>
      <c r="AF261" s="12"/>
      <c r="AG261" s="12"/>
      <c r="AH261" s="12"/>
      <c r="AI261" s="12"/>
      <c r="AJ261" s="12"/>
      <c r="AK261" s="12"/>
      <c r="AL261" s="12"/>
      <c r="AM261" s="12"/>
      <c r="AN261" s="12"/>
    </row>
    <row r="262" spans="1:40" ht="51" x14ac:dyDescent="0.2">
      <c r="A262" s="3" t="s">
        <v>1098</v>
      </c>
      <c r="B262" s="3"/>
      <c r="C262" s="12"/>
      <c r="D262" s="26"/>
      <c r="E262" s="26"/>
      <c r="F262" s="26">
        <v>3</v>
      </c>
      <c r="G262" s="26"/>
      <c r="H262" s="26"/>
      <c r="I262" s="26"/>
      <c r="J262" s="595" t="s">
        <v>676</v>
      </c>
      <c r="K262" s="472" t="s">
        <v>677</v>
      </c>
      <c r="L262" s="72" t="s">
        <v>652</v>
      </c>
      <c r="M262" s="140"/>
      <c r="N262" s="204"/>
      <c r="O262" s="72"/>
      <c r="P262" s="12"/>
      <c r="Q262" s="12"/>
      <c r="R262" s="12"/>
      <c r="S262" s="12"/>
      <c r="T262" s="12"/>
      <c r="U262" s="12"/>
      <c r="V262" s="26"/>
      <c r="W262" s="26"/>
      <c r="X262" s="12"/>
      <c r="Y262" s="12"/>
      <c r="Z262" s="12"/>
      <c r="AA262" s="12"/>
      <c r="AB262" s="12"/>
      <c r="AC262" s="12"/>
      <c r="AD262" s="12"/>
      <c r="AE262" s="12"/>
      <c r="AF262" s="12"/>
      <c r="AG262" s="12"/>
      <c r="AH262" s="12"/>
      <c r="AI262" s="12"/>
      <c r="AJ262" s="12"/>
      <c r="AK262" s="12"/>
      <c r="AL262" s="12"/>
      <c r="AM262" s="12"/>
      <c r="AN262" s="12"/>
    </row>
    <row r="263" spans="1:40" x14ac:dyDescent="0.2">
      <c r="A263" s="3"/>
      <c r="B263" s="3"/>
      <c r="C263" s="89"/>
      <c r="D263" s="860">
        <v>1</v>
      </c>
      <c r="E263" s="1168" t="s">
        <v>678</v>
      </c>
      <c r="F263" s="1169"/>
      <c r="G263" s="1169"/>
      <c r="H263" s="1169"/>
      <c r="I263" s="1169"/>
      <c r="J263" s="1169"/>
      <c r="K263" s="1169"/>
      <c r="L263" s="1169"/>
      <c r="M263" s="1169"/>
      <c r="N263" s="1169"/>
      <c r="O263" s="1169"/>
      <c r="P263" s="1169"/>
      <c r="Q263" s="1169"/>
      <c r="R263" s="1169"/>
      <c r="S263" s="1169"/>
      <c r="T263" s="1169"/>
      <c r="U263" s="1169"/>
      <c r="V263" s="1169"/>
      <c r="W263" s="1169"/>
      <c r="X263" s="1169"/>
      <c r="Y263" s="1169"/>
      <c r="Z263" s="1170"/>
      <c r="AA263" s="861"/>
      <c r="AB263" s="861"/>
      <c r="AC263" s="861"/>
      <c r="AD263" s="861"/>
      <c r="AE263" s="861"/>
      <c r="AF263" s="861"/>
      <c r="AG263" s="861"/>
      <c r="AH263" s="861"/>
      <c r="AI263" s="861"/>
      <c r="AJ263" s="861"/>
      <c r="AK263" s="861"/>
      <c r="AL263" s="861"/>
      <c r="AM263" s="861"/>
      <c r="AN263" s="861"/>
    </row>
    <row r="264" spans="1:40" s="164" customFormat="1" x14ac:dyDescent="0.2">
      <c r="A264" s="3"/>
      <c r="B264" s="3"/>
      <c r="C264" s="12"/>
      <c r="D264" s="375"/>
      <c r="E264" s="865">
        <v>2</v>
      </c>
      <c r="F264" s="1168" t="s">
        <v>680</v>
      </c>
      <c r="G264" s="1169"/>
      <c r="H264" s="1169"/>
      <c r="I264" s="1169"/>
      <c r="J264" s="1169"/>
      <c r="K264" s="1169"/>
      <c r="L264" s="1169"/>
      <c r="M264" s="1169"/>
      <c r="N264" s="1169"/>
      <c r="O264" s="1169"/>
      <c r="P264" s="1169"/>
      <c r="Q264" s="1169"/>
      <c r="R264" s="1169"/>
      <c r="S264" s="1169"/>
      <c r="T264" s="1169"/>
      <c r="U264" s="1169"/>
      <c r="V264" s="1169"/>
      <c r="W264" s="1169"/>
      <c r="X264" s="1169"/>
      <c r="Y264" s="1169"/>
      <c r="Z264" s="1170"/>
      <c r="AA264" s="861"/>
      <c r="AB264" s="861"/>
      <c r="AC264" s="861"/>
      <c r="AD264" s="861"/>
      <c r="AE264" s="861"/>
      <c r="AF264" s="861"/>
      <c r="AG264" s="861"/>
      <c r="AH264" s="861"/>
      <c r="AI264" s="861"/>
      <c r="AJ264" s="861"/>
      <c r="AK264" s="861"/>
      <c r="AL264" s="861"/>
      <c r="AM264" s="861"/>
      <c r="AN264" s="861"/>
    </row>
    <row r="265" spans="1:40" ht="89.25" x14ac:dyDescent="0.2">
      <c r="A265" s="3" t="s">
        <v>1098</v>
      </c>
      <c r="B265" s="3"/>
      <c r="C265" s="12"/>
      <c r="D265" s="26"/>
      <c r="E265" s="26"/>
      <c r="F265" s="26">
        <v>3</v>
      </c>
      <c r="G265" s="26"/>
      <c r="H265" s="26"/>
      <c r="I265" s="26"/>
      <c r="J265" s="192" t="s">
        <v>681</v>
      </c>
      <c r="K265" s="204" t="s">
        <v>682</v>
      </c>
      <c r="L265" s="128" t="s">
        <v>685</v>
      </c>
      <c r="M265" s="140" t="s">
        <v>683</v>
      </c>
      <c r="N265" s="204" t="s">
        <v>684</v>
      </c>
      <c r="O265" s="72" t="s">
        <v>686</v>
      </c>
      <c r="P265" s="12"/>
      <c r="Q265" s="12"/>
      <c r="R265" s="12" t="s">
        <v>688</v>
      </c>
      <c r="S265" s="12"/>
      <c r="T265" s="12"/>
      <c r="U265" s="12"/>
      <c r="V265" s="26"/>
      <c r="W265" s="26"/>
      <c r="X265" s="12"/>
      <c r="Y265" s="12"/>
      <c r="Z265" s="12"/>
      <c r="AA265" s="12"/>
      <c r="AB265" s="12"/>
      <c r="AC265" s="12"/>
      <c r="AD265" s="12"/>
      <c r="AE265" s="12"/>
      <c r="AF265" s="12"/>
      <c r="AG265" s="12"/>
      <c r="AH265" s="12"/>
      <c r="AI265" s="12"/>
      <c r="AJ265" s="12"/>
      <c r="AK265" s="12"/>
      <c r="AL265" s="12"/>
      <c r="AM265" s="12"/>
      <c r="AN265" s="12"/>
    </row>
    <row r="266" spans="1:40" ht="89.25" x14ac:dyDescent="0.2">
      <c r="A266" s="3" t="s">
        <v>1098</v>
      </c>
      <c r="B266" s="3"/>
      <c r="C266" s="12"/>
      <c r="D266" s="26"/>
      <c r="E266" s="26"/>
      <c r="F266" s="26">
        <v>3</v>
      </c>
      <c r="G266" s="26"/>
      <c r="H266" s="26"/>
      <c r="I266" s="26"/>
      <c r="J266" s="192" t="s">
        <v>689</v>
      </c>
      <c r="K266" s="204" t="s">
        <v>690</v>
      </c>
      <c r="L266" s="128" t="s">
        <v>692</v>
      </c>
      <c r="M266" s="140" t="s">
        <v>683</v>
      </c>
      <c r="N266" s="204" t="s">
        <v>691</v>
      </c>
      <c r="O266" s="201" t="s">
        <v>693</v>
      </c>
      <c r="P266" s="12"/>
      <c r="Q266" s="12"/>
      <c r="R266" s="12" t="s">
        <v>695</v>
      </c>
      <c r="S266" s="12"/>
      <c r="T266" s="12"/>
      <c r="U266" s="12"/>
      <c r="V266" s="26"/>
      <c r="W266" s="26"/>
      <c r="X266" s="12"/>
      <c r="Y266" s="12"/>
      <c r="Z266" s="12"/>
      <c r="AA266" s="12"/>
      <c r="AB266" s="12"/>
      <c r="AC266" s="12"/>
      <c r="AD266" s="12"/>
      <c r="AE266" s="12"/>
      <c r="AF266" s="12"/>
      <c r="AG266" s="12"/>
      <c r="AH266" s="12"/>
      <c r="AI266" s="12"/>
      <c r="AJ266" s="12"/>
      <c r="AK266" s="12"/>
      <c r="AL266" s="12"/>
      <c r="AM266" s="12"/>
      <c r="AN266" s="12"/>
    </row>
    <row r="267" spans="1:40" s="212" customFormat="1" ht="63.75" x14ac:dyDescent="0.2">
      <c r="A267" s="3" t="s">
        <v>1098</v>
      </c>
      <c r="B267" s="3"/>
      <c r="C267" s="12"/>
      <c r="D267" s="26"/>
      <c r="E267" s="26"/>
      <c r="F267" s="26">
        <v>3</v>
      </c>
      <c r="G267" s="26"/>
      <c r="H267" s="26"/>
      <c r="I267" s="26"/>
      <c r="J267" s="192" t="s">
        <v>696</v>
      </c>
      <c r="K267" s="204" t="s">
        <v>697</v>
      </c>
      <c r="L267" s="128" t="s">
        <v>358</v>
      </c>
      <c r="M267" s="140" t="s">
        <v>698</v>
      </c>
      <c r="N267" s="140" t="s">
        <v>699</v>
      </c>
      <c r="O267" s="72" t="s">
        <v>608</v>
      </c>
      <c r="P267" s="12"/>
      <c r="Q267" s="12"/>
      <c r="R267" s="12" t="s">
        <v>700</v>
      </c>
      <c r="S267" s="12"/>
      <c r="T267" s="12"/>
      <c r="U267" s="12"/>
      <c r="V267" s="26"/>
      <c r="W267" s="26"/>
      <c r="X267" s="12"/>
      <c r="Y267" s="12"/>
      <c r="Z267" s="12"/>
      <c r="AA267" s="12"/>
      <c r="AB267" s="12"/>
      <c r="AC267" s="12"/>
      <c r="AD267" s="12"/>
      <c r="AE267" s="12"/>
      <c r="AF267" s="12"/>
      <c r="AG267" s="12"/>
      <c r="AH267" s="12"/>
      <c r="AI267" s="12"/>
      <c r="AJ267" s="12"/>
      <c r="AK267" s="12"/>
      <c r="AL267" s="12"/>
      <c r="AM267" s="12"/>
      <c r="AN267" s="12"/>
    </row>
    <row r="268" spans="1:40" s="195" customFormat="1" ht="12.75" x14ac:dyDescent="0.2">
      <c r="A268" s="3" t="s">
        <v>1098</v>
      </c>
      <c r="B268" s="3"/>
      <c r="C268" s="878">
        <v>1</v>
      </c>
      <c r="D268" s="775"/>
      <c r="E268" s="775"/>
      <c r="F268" s="1188" t="s">
        <v>2520</v>
      </c>
      <c r="G268" s="1189"/>
      <c r="H268" s="1189"/>
      <c r="I268" s="1189"/>
      <c r="J268" s="1189"/>
      <c r="K268" s="1190"/>
      <c r="L268" s="1189"/>
      <c r="M268" s="1189"/>
      <c r="N268" s="1189"/>
      <c r="O268" s="1189"/>
      <c r="P268" s="1189"/>
      <c r="Q268" s="1189"/>
      <c r="R268" s="1189"/>
      <c r="S268" s="1189"/>
      <c r="T268" s="1189"/>
      <c r="U268" s="1189"/>
      <c r="V268" s="1189"/>
      <c r="W268" s="1189"/>
      <c r="X268" s="1189"/>
      <c r="Y268" s="1189"/>
      <c r="Z268" s="878"/>
      <c r="AA268" s="878"/>
      <c r="AB268" s="878"/>
      <c r="AC268" s="878"/>
      <c r="AD268" s="878"/>
      <c r="AE268" s="878"/>
      <c r="AF268" s="878"/>
      <c r="AG268" s="878"/>
      <c r="AH268" s="878"/>
      <c r="AI268" s="878"/>
      <c r="AJ268" s="878"/>
      <c r="AK268" s="878"/>
      <c r="AL268" s="878"/>
      <c r="AM268" s="3"/>
      <c r="AN268" s="3"/>
    </row>
    <row r="269" spans="1:40" s="212" customFormat="1" ht="90" x14ac:dyDescent="0.2">
      <c r="A269" s="3" t="s">
        <v>1098</v>
      </c>
      <c r="B269" s="3"/>
      <c r="C269" s="12"/>
      <c r="D269" s="26">
        <v>1</v>
      </c>
      <c r="E269" s="26"/>
      <c r="F269" s="26"/>
      <c r="G269" s="26"/>
      <c r="H269" s="26"/>
      <c r="I269" s="26"/>
      <c r="J269" s="1191" t="s">
        <v>2521</v>
      </c>
      <c r="K269" s="140" t="s">
        <v>2522</v>
      </c>
      <c r="L269" s="72" t="s">
        <v>2523</v>
      </c>
      <c r="M269" s="140" t="s">
        <v>2524</v>
      </c>
      <c r="N269" s="605" t="s">
        <v>2525</v>
      </c>
      <c r="O269" s="72"/>
      <c r="P269" s="12"/>
      <c r="Q269" s="12"/>
      <c r="R269" s="12" t="s">
        <v>2526</v>
      </c>
      <c r="S269" s="12"/>
      <c r="T269" s="12"/>
      <c r="U269" s="12"/>
      <c r="V269" s="26"/>
      <c r="W269" s="26"/>
      <c r="X269" s="12"/>
      <c r="Y269" s="12"/>
      <c r="Z269" s="12"/>
      <c r="AA269" s="12"/>
      <c r="AB269" s="12"/>
      <c r="AC269" s="12"/>
      <c r="AD269" s="12"/>
      <c r="AE269" s="12"/>
      <c r="AF269" s="12"/>
      <c r="AG269" s="12"/>
      <c r="AH269" s="12"/>
      <c r="AI269" s="12"/>
      <c r="AJ269" s="12"/>
      <c r="AK269" s="12"/>
      <c r="AL269" s="12"/>
      <c r="AM269" s="12"/>
      <c r="AN269" s="12"/>
    </row>
    <row r="270" spans="1:40" ht="45" x14ac:dyDescent="0.2">
      <c r="A270" s="3" t="s">
        <v>1098</v>
      </c>
      <c r="B270" s="3"/>
      <c r="C270" s="12"/>
      <c r="D270" s="26"/>
      <c r="E270" s="1192">
        <v>2</v>
      </c>
      <c r="F270" s="26"/>
      <c r="G270" s="26"/>
      <c r="H270" s="26"/>
      <c r="I270" s="26"/>
      <c r="J270" s="1185"/>
      <c r="K270" s="307" t="s">
        <v>2527</v>
      </c>
      <c r="L270" s="72"/>
      <c r="M270" s="140" t="s">
        <v>2524</v>
      </c>
      <c r="N270" s="605" t="s">
        <v>2525</v>
      </c>
      <c r="O270" s="72"/>
      <c r="P270" s="12"/>
      <c r="Q270" s="12"/>
      <c r="R270" s="12" t="s">
        <v>2526</v>
      </c>
      <c r="S270" s="12"/>
      <c r="T270" s="12"/>
      <c r="U270" s="12"/>
      <c r="V270" s="26"/>
      <c r="W270" s="26"/>
      <c r="X270" s="12"/>
      <c r="Y270" s="12"/>
      <c r="Z270" s="12"/>
      <c r="AA270" s="12"/>
      <c r="AB270" s="12"/>
      <c r="AC270" s="12"/>
      <c r="AD270" s="12"/>
      <c r="AE270" s="12"/>
      <c r="AF270" s="12"/>
      <c r="AG270" s="12"/>
      <c r="AH270" s="12"/>
      <c r="AI270" s="12"/>
      <c r="AJ270" s="12"/>
      <c r="AK270" s="12"/>
      <c r="AL270" s="12"/>
      <c r="AM270" s="12"/>
      <c r="AN270" s="12"/>
    </row>
    <row r="271" spans="1:40" ht="45" x14ac:dyDescent="0.2">
      <c r="A271" s="3" t="s">
        <v>1098</v>
      </c>
      <c r="B271" s="3"/>
      <c r="C271" s="12"/>
      <c r="D271" s="26"/>
      <c r="E271" s="1193"/>
      <c r="F271" s="26"/>
      <c r="G271" s="26"/>
      <c r="H271" s="26"/>
      <c r="I271" s="26"/>
      <c r="J271" s="1185"/>
      <c r="K271" s="307" t="s">
        <v>2528</v>
      </c>
      <c r="L271" s="72"/>
      <c r="M271" s="140" t="s">
        <v>2524</v>
      </c>
      <c r="N271" s="605" t="s">
        <v>2525</v>
      </c>
      <c r="O271" s="72"/>
      <c r="P271" s="12"/>
      <c r="Q271" s="12"/>
      <c r="R271" s="12" t="s">
        <v>2526</v>
      </c>
      <c r="S271" s="12"/>
      <c r="T271" s="12"/>
      <c r="U271" s="12"/>
      <c r="V271" s="26"/>
      <c r="W271" s="26"/>
      <c r="X271" s="12"/>
      <c r="Y271" s="12"/>
      <c r="Z271" s="12"/>
      <c r="AA271" s="12"/>
      <c r="AB271" s="12"/>
      <c r="AC271" s="12"/>
      <c r="AD271" s="12"/>
      <c r="AE271" s="12"/>
      <c r="AF271" s="12"/>
      <c r="AG271" s="12"/>
      <c r="AH271" s="12"/>
      <c r="AI271" s="12"/>
      <c r="AJ271" s="12"/>
      <c r="AK271" s="12"/>
      <c r="AL271" s="12"/>
      <c r="AM271" s="12"/>
      <c r="AN271" s="12"/>
    </row>
    <row r="272" spans="1:40" ht="45" x14ac:dyDescent="0.2">
      <c r="A272" s="3" t="s">
        <v>1098</v>
      </c>
      <c r="B272" s="3"/>
      <c r="C272" s="12"/>
      <c r="D272" s="26"/>
      <c r="E272" s="1193"/>
      <c r="F272" s="26"/>
      <c r="G272" s="26"/>
      <c r="H272" s="26"/>
      <c r="I272" s="26"/>
      <c r="J272" s="1185"/>
      <c r="K272" s="140" t="s">
        <v>2529</v>
      </c>
      <c r="L272" s="72"/>
      <c r="M272" s="140" t="s">
        <v>2524</v>
      </c>
      <c r="N272" s="605" t="s">
        <v>2525</v>
      </c>
      <c r="O272" s="72"/>
      <c r="P272" s="12"/>
      <c r="Q272" s="12"/>
      <c r="R272" s="12" t="s">
        <v>2526</v>
      </c>
      <c r="S272" s="12"/>
      <c r="T272" s="12"/>
      <c r="U272" s="12"/>
      <c r="V272" s="26"/>
      <c r="W272" s="26"/>
      <c r="X272" s="12"/>
      <c r="Y272" s="12"/>
      <c r="Z272" s="12"/>
      <c r="AA272" s="12"/>
      <c r="AB272" s="12"/>
      <c r="AC272" s="12"/>
      <c r="AD272" s="12"/>
      <c r="AE272" s="12"/>
      <c r="AF272" s="12"/>
      <c r="AG272" s="12"/>
      <c r="AH272" s="12"/>
      <c r="AI272" s="12"/>
      <c r="AJ272" s="12"/>
      <c r="AK272" s="12"/>
      <c r="AL272" s="12"/>
      <c r="AM272" s="12"/>
      <c r="AN272" s="12"/>
    </row>
    <row r="273" spans="1:40" ht="45" x14ac:dyDescent="0.2">
      <c r="A273" s="3" t="s">
        <v>1098</v>
      </c>
      <c r="B273" s="3"/>
      <c r="C273" s="12"/>
      <c r="D273" s="26"/>
      <c r="E273" s="1193"/>
      <c r="F273" s="26"/>
      <c r="G273" s="26"/>
      <c r="H273" s="26"/>
      <c r="I273" s="26"/>
      <c r="J273" s="1185"/>
      <c r="K273" s="140" t="s">
        <v>2530</v>
      </c>
      <c r="L273" s="72"/>
      <c r="M273" s="140" t="s">
        <v>2524</v>
      </c>
      <c r="N273" s="605" t="s">
        <v>2525</v>
      </c>
      <c r="O273" s="72"/>
      <c r="P273" s="12"/>
      <c r="Q273" s="12"/>
      <c r="R273" s="12" t="s">
        <v>2526</v>
      </c>
      <c r="S273" s="12"/>
      <c r="T273" s="12"/>
      <c r="U273" s="12"/>
      <c r="V273" s="26"/>
      <c r="W273" s="26"/>
      <c r="X273" s="12"/>
      <c r="Y273" s="12"/>
      <c r="Z273" s="12"/>
      <c r="AA273" s="12"/>
      <c r="AB273" s="12"/>
      <c r="AC273" s="12"/>
      <c r="AD273" s="12"/>
      <c r="AE273" s="12"/>
      <c r="AF273" s="12"/>
      <c r="AG273" s="12"/>
      <c r="AH273" s="12"/>
      <c r="AI273" s="12"/>
      <c r="AJ273" s="12"/>
      <c r="AK273" s="12"/>
      <c r="AL273" s="12"/>
      <c r="AM273" s="12"/>
      <c r="AN273" s="12"/>
    </row>
    <row r="274" spans="1:40" ht="135" x14ac:dyDescent="0.2">
      <c r="A274" s="3" t="s">
        <v>1098</v>
      </c>
      <c r="B274" s="3"/>
      <c r="C274" s="12"/>
      <c r="D274" s="26"/>
      <c r="E274" s="1193"/>
      <c r="F274" s="26"/>
      <c r="G274" s="26"/>
      <c r="H274" s="26"/>
      <c r="I274" s="26"/>
      <c r="J274" s="1185"/>
      <c r="K274" s="140" t="s">
        <v>2531</v>
      </c>
      <c r="L274" s="72"/>
      <c r="M274" s="140" t="s">
        <v>2524</v>
      </c>
      <c r="N274" s="605" t="s">
        <v>2525</v>
      </c>
      <c r="O274" s="72"/>
      <c r="P274" s="12"/>
      <c r="Q274" s="12"/>
      <c r="R274" s="12" t="s">
        <v>2526</v>
      </c>
      <c r="S274" s="12"/>
      <c r="T274" s="12"/>
      <c r="U274" s="12"/>
      <c r="V274" s="26"/>
      <c r="W274" s="26"/>
      <c r="X274" s="12"/>
      <c r="Y274" s="12"/>
      <c r="Z274" s="12"/>
      <c r="AA274" s="12"/>
      <c r="AB274" s="12"/>
      <c r="AC274" s="12"/>
      <c r="AD274" s="12"/>
      <c r="AE274" s="12"/>
      <c r="AF274" s="12"/>
      <c r="AG274" s="12"/>
      <c r="AH274" s="12"/>
      <c r="AI274" s="12"/>
      <c r="AJ274" s="12"/>
      <c r="AK274" s="12"/>
      <c r="AL274" s="12"/>
      <c r="AM274" s="12"/>
      <c r="AN274" s="12"/>
    </row>
    <row r="275" spans="1:40" ht="28.5" customHeight="1" x14ac:dyDescent="0.2">
      <c r="A275" s="3"/>
      <c r="B275" s="3"/>
      <c r="C275" s="12"/>
      <c r="D275" s="375"/>
      <c r="E275" s="865">
        <v>2</v>
      </c>
      <c r="F275" s="1168" t="s">
        <v>701</v>
      </c>
      <c r="G275" s="1169"/>
      <c r="H275" s="1169"/>
      <c r="I275" s="1169"/>
      <c r="J275" s="1169"/>
      <c r="K275" s="1169"/>
      <c r="L275" s="1169"/>
      <c r="M275" s="1169"/>
      <c r="N275" s="1169"/>
      <c r="O275" s="1169"/>
      <c r="P275" s="1169"/>
      <c r="Q275" s="1169"/>
      <c r="R275" s="1169"/>
      <c r="S275" s="1169"/>
      <c r="T275" s="1169"/>
      <c r="U275" s="1169"/>
      <c r="V275" s="1169"/>
      <c r="W275" s="1169"/>
      <c r="X275" s="1169"/>
      <c r="Y275" s="1169"/>
      <c r="Z275" s="1170"/>
      <c r="AA275" s="861"/>
      <c r="AB275" s="861"/>
      <c r="AC275" s="861"/>
      <c r="AD275" s="861"/>
      <c r="AE275" s="861"/>
      <c r="AF275" s="861"/>
      <c r="AG275" s="861"/>
      <c r="AH275" s="861"/>
      <c r="AI275" s="861"/>
      <c r="AJ275" s="861"/>
      <c r="AK275" s="861"/>
      <c r="AL275" s="861"/>
      <c r="AM275" s="861"/>
      <c r="AN275" s="861"/>
    </row>
    <row r="276" spans="1:40" ht="114.75" x14ac:dyDescent="0.2">
      <c r="A276" s="3" t="s">
        <v>1098</v>
      </c>
      <c r="B276" s="3"/>
      <c r="C276" s="12"/>
      <c r="D276" s="26"/>
      <c r="E276" s="26"/>
      <c r="F276" s="26">
        <v>3</v>
      </c>
      <c r="G276" s="26"/>
      <c r="H276" s="26"/>
      <c r="I276" s="26"/>
      <c r="J276" s="595" t="s">
        <v>702</v>
      </c>
      <c r="K276" s="472" t="s">
        <v>703</v>
      </c>
      <c r="L276" s="72" t="s">
        <v>706</v>
      </c>
      <c r="M276" s="140" t="s">
        <v>704</v>
      </c>
      <c r="N276" s="204" t="s">
        <v>705</v>
      </c>
      <c r="O276" s="72" t="s">
        <v>707</v>
      </c>
      <c r="P276" s="12"/>
      <c r="Q276" s="12"/>
      <c r="R276" s="12" t="s">
        <v>709</v>
      </c>
      <c r="S276" s="12"/>
      <c r="T276" s="12"/>
      <c r="U276" s="12"/>
      <c r="V276" s="26"/>
      <c r="W276" s="26"/>
      <c r="X276" s="12"/>
      <c r="Y276" s="12"/>
      <c r="Z276" s="12"/>
      <c r="AA276" s="12"/>
      <c r="AB276" s="12"/>
      <c r="AC276" s="12"/>
      <c r="AD276" s="12"/>
      <c r="AE276" s="12"/>
      <c r="AF276" s="12"/>
      <c r="AG276" s="12"/>
      <c r="AH276" s="12"/>
      <c r="AI276" s="12"/>
      <c r="AJ276" s="12"/>
      <c r="AK276" s="12"/>
      <c r="AL276" s="12"/>
      <c r="AM276" s="12"/>
      <c r="AN276" s="12"/>
    </row>
    <row r="277" spans="1:40" ht="102" x14ac:dyDescent="0.2">
      <c r="A277" s="3" t="s">
        <v>1098</v>
      </c>
      <c r="B277" s="3"/>
      <c r="C277" s="12"/>
      <c r="D277" s="26"/>
      <c r="E277" s="26"/>
      <c r="F277" s="26">
        <v>3</v>
      </c>
      <c r="G277" s="26"/>
      <c r="H277" s="26"/>
      <c r="I277" s="26"/>
      <c r="J277" s="192" t="s">
        <v>713</v>
      </c>
      <c r="K277" s="204" t="s">
        <v>714</v>
      </c>
      <c r="L277" s="72" t="s">
        <v>2532</v>
      </c>
      <c r="M277" s="140" t="s">
        <v>715</v>
      </c>
      <c r="N277" s="204" t="s">
        <v>705</v>
      </c>
      <c r="O277" s="72" t="s">
        <v>707</v>
      </c>
      <c r="P277" s="12"/>
      <c r="Q277" s="12"/>
      <c r="R277" s="12" t="s">
        <v>716</v>
      </c>
      <c r="S277" s="12"/>
      <c r="T277" s="12"/>
      <c r="U277" s="12"/>
      <c r="V277" s="26"/>
      <c r="W277" s="26"/>
      <c r="X277" s="12"/>
      <c r="Y277" s="12"/>
      <c r="Z277" s="12"/>
      <c r="AA277" s="12"/>
      <c r="AB277" s="12"/>
      <c r="AC277" s="12"/>
      <c r="AD277" s="12"/>
      <c r="AE277" s="12"/>
      <c r="AF277" s="12"/>
      <c r="AG277" s="12"/>
      <c r="AH277" s="12"/>
      <c r="AI277" s="12"/>
      <c r="AJ277" s="12"/>
      <c r="AK277" s="12"/>
      <c r="AL277" s="12"/>
      <c r="AM277" s="12"/>
      <c r="AN277" s="12"/>
    </row>
    <row r="278" spans="1:40" s="164" customFormat="1" x14ac:dyDescent="0.2">
      <c r="A278" s="3"/>
      <c r="B278" s="3"/>
      <c r="C278" s="12"/>
      <c r="D278" s="375"/>
      <c r="E278" s="865">
        <v>2</v>
      </c>
      <c r="F278" s="1168" t="s">
        <v>717</v>
      </c>
      <c r="G278" s="1169"/>
      <c r="H278" s="1169"/>
      <c r="I278" s="1169"/>
      <c r="J278" s="1169"/>
      <c r="K278" s="1169"/>
      <c r="L278" s="1169"/>
      <c r="M278" s="1169"/>
      <c r="N278" s="1169"/>
      <c r="O278" s="1169"/>
      <c r="P278" s="1169"/>
      <c r="Q278" s="1169"/>
      <c r="R278" s="1169"/>
      <c r="S278" s="1169"/>
      <c r="T278" s="1169"/>
      <c r="U278" s="1169"/>
      <c r="V278" s="1169"/>
      <c r="W278" s="1169"/>
      <c r="X278" s="1169"/>
      <c r="Y278" s="1169"/>
      <c r="Z278" s="1170"/>
      <c r="AA278" s="861"/>
      <c r="AB278" s="861"/>
      <c r="AC278" s="861"/>
      <c r="AD278" s="861"/>
      <c r="AE278" s="861"/>
      <c r="AF278" s="861"/>
      <c r="AG278" s="861"/>
      <c r="AH278" s="861"/>
      <c r="AI278" s="861"/>
      <c r="AJ278" s="861"/>
      <c r="AK278" s="861"/>
      <c r="AL278" s="861"/>
      <c r="AM278" s="861"/>
      <c r="AN278" s="861"/>
    </row>
    <row r="279" spans="1:40" ht="51" x14ac:dyDescent="0.2">
      <c r="A279" s="3" t="s">
        <v>2533</v>
      </c>
      <c r="B279" s="3"/>
      <c r="C279" s="12"/>
      <c r="D279" s="26"/>
      <c r="E279" s="26"/>
      <c r="F279" s="26">
        <v>3</v>
      </c>
      <c r="G279" s="26"/>
      <c r="H279" s="26"/>
      <c r="I279" s="26"/>
      <c r="J279" s="192" t="s">
        <v>718</v>
      </c>
      <c r="K279" s="204" t="s">
        <v>719</v>
      </c>
      <c r="L279" s="128" t="s">
        <v>515</v>
      </c>
      <c r="M279" s="140" t="s">
        <v>720</v>
      </c>
      <c r="N279" s="204" t="s">
        <v>721</v>
      </c>
      <c r="O279" s="72" t="s">
        <v>722</v>
      </c>
      <c r="P279" s="12"/>
      <c r="Q279" s="12"/>
      <c r="R279" s="12" t="s">
        <v>630</v>
      </c>
      <c r="S279" s="12"/>
      <c r="T279" s="12"/>
      <c r="U279" s="12"/>
      <c r="V279" s="26"/>
      <c r="W279" s="26"/>
      <c r="X279" s="12"/>
      <c r="Y279" s="12"/>
      <c r="Z279" s="12"/>
      <c r="AA279" s="12"/>
      <c r="AB279" s="12"/>
      <c r="AC279" s="12"/>
      <c r="AD279" s="12"/>
      <c r="AE279" s="12"/>
      <c r="AF279" s="12"/>
      <c r="AG279" s="12"/>
      <c r="AH279" s="12"/>
      <c r="AI279" s="12"/>
      <c r="AJ279" s="12"/>
      <c r="AK279" s="12"/>
      <c r="AL279" s="12"/>
      <c r="AM279" s="12"/>
      <c r="AN279" s="12"/>
    </row>
    <row r="280" spans="1:40" s="97" customFormat="1" ht="45" x14ac:dyDescent="0.2">
      <c r="A280" s="3" t="s">
        <v>1106</v>
      </c>
      <c r="B280" s="3"/>
      <c r="C280" s="63"/>
      <c r="D280" s="99"/>
      <c r="E280" s="99"/>
      <c r="F280" s="99">
        <v>3</v>
      </c>
      <c r="G280" s="99"/>
      <c r="H280" s="99"/>
      <c r="I280" s="99"/>
      <c r="J280" s="595" t="s">
        <v>723</v>
      </c>
      <c r="K280" s="817" t="s">
        <v>724</v>
      </c>
      <c r="L280" s="128" t="s">
        <v>515</v>
      </c>
      <c r="M280" s="140" t="s">
        <v>725</v>
      </c>
      <c r="N280" s="204" t="s">
        <v>721</v>
      </c>
      <c r="O280" s="72" t="s">
        <v>722</v>
      </c>
      <c r="P280" s="63"/>
      <c r="Q280" s="63"/>
      <c r="R280" s="63" t="s">
        <v>726</v>
      </c>
      <c r="S280" s="63"/>
      <c r="T280" s="63"/>
      <c r="U280" s="63"/>
      <c r="V280" s="99"/>
      <c r="W280" s="99"/>
      <c r="X280" s="63"/>
      <c r="Y280" s="63"/>
      <c r="Z280" s="63"/>
      <c r="AA280" s="63"/>
      <c r="AB280" s="63"/>
      <c r="AC280" s="63"/>
      <c r="AD280" s="63"/>
      <c r="AE280" s="63"/>
      <c r="AF280" s="63"/>
      <c r="AG280" s="63"/>
      <c r="AH280" s="63"/>
      <c r="AI280" s="63"/>
      <c r="AJ280" s="63"/>
      <c r="AK280" s="63"/>
      <c r="AL280" s="63"/>
      <c r="AM280" s="63"/>
      <c r="AN280" s="63"/>
    </row>
    <row r="281" spans="1:40" ht="195" x14ac:dyDescent="0.2">
      <c r="A281" s="3" t="s">
        <v>1106</v>
      </c>
      <c r="B281" s="3"/>
      <c r="C281" s="12"/>
      <c r="D281" s="26"/>
      <c r="E281" s="26"/>
      <c r="F281" s="26">
        <v>3</v>
      </c>
      <c r="G281" s="26"/>
      <c r="H281" s="26"/>
      <c r="I281" s="26"/>
      <c r="J281" s="595" t="s">
        <v>727</v>
      </c>
      <c r="K281" s="140" t="s">
        <v>2534</v>
      </c>
      <c r="L281" s="72" t="s">
        <v>731</v>
      </c>
      <c r="M281" s="140" t="s">
        <v>729</v>
      </c>
      <c r="N281" s="204" t="s">
        <v>730</v>
      </c>
      <c r="O281" s="72" t="s">
        <v>732</v>
      </c>
      <c r="P281" s="12"/>
      <c r="Q281" s="12"/>
      <c r="R281" s="63" t="s">
        <v>734</v>
      </c>
      <c r="S281" s="12"/>
      <c r="T281" s="12"/>
      <c r="U281" s="12"/>
      <c r="V281" s="26"/>
      <c r="W281" s="26"/>
      <c r="X281" s="12"/>
      <c r="Y281" s="12"/>
      <c r="Z281" s="12"/>
      <c r="AA281" s="12"/>
      <c r="AB281" s="12"/>
      <c r="AC281" s="12"/>
      <c r="AD281" s="12"/>
      <c r="AE281" s="12"/>
      <c r="AF281" s="12"/>
      <c r="AG281" s="12"/>
      <c r="AH281" s="12"/>
      <c r="AI281" s="12"/>
      <c r="AJ281" s="12"/>
      <c r="AK281" s="12"/>
      <c r="AL281" s="12"/>
      <c r="AM281" s="12"/>
      <c r="AN281" s="12"/>
    </row>
    <row r="282" spans="1:40" s="164" customFormat="1" x14ac:dyDescent="0.2">
      <c r="A282" s="3"/>
      <c r="B282" s="3"/>
      <c r="C282" s="12"/>
      <c r="D282" s="375"/>
      <c r="E282" s="865">
        <v>2</v>
      </c>
      <c r="F282" s="1168" t="s">
        <v>735</v>
      </c>
      <c r="G282" s="1169"/>
      <c r="H282" s="1169"/>
      <c r="I282" s="1169"/>
      <c r="J282" s="1169"/>
      <c r="K282" s="1169"/>
      <c r="L282" s="1169"/>
      <c r="M282" s="1169"/>
      <c r="N282" s="1169"/>
      <c r="O282" s="1169"/>
      <c r="P282" s="1169"/>
      <c r="Q282" s="1169"/>
      <c r="R282" s="1169"/>
      <c r="S282" s="1169"/>
      <c r="T282" s="1169"/>
      <c r="U282" s="1169"/>
      <c r="V282" s="1169"/>
      <c r="W282" s="1169"/>
      <c r="X282" s="1169"/>
      <c r="Y282" s="1169"/>
      <c r="Z282" s="1170"/>
      <c r="AA282" s="861"/>
      <c r="AB282" s="861"/>
      <c r="AC282" s="861"/>
      <c r="AD282" s="861"/>
      <c r="AE282" s="861"/>
      <c r="AF282" s="861"/>
      <c r="AG282" s="861"/>
      <c r="AH282" s="861"/>
      <c r="AI282" s="861"/>
      <c r="AJ282" s="861"/>
      <c r="AK282" s="861"/>
      <c r="AL282" s="861"/>
      <c r="AM282" s="861"/>
      <c r="AN282" s="861"/>
    </row>
    <row r="283" spans="1:40" s="97" customFormat="1" ht="114.75" x14ac:dyDescent="0.2">
      <c r="A283" s="3" t="s">
        <v>1106</v>
      </c>
      <c r="B283" s="3"/>
      <c r="C283" s="63"/>
      <c r="D283" s="99"/>
      <c r="E283" s="99"/>
      <c r="F283" s="99">
        <v>3</v>
      </c>
      <c r="G283" s="99"/>
      <c r="H283" s="99"/>
      <c r="I283" s="99"/>
      <c r="J283" s="595" t="s">
        <v>736</v>
      </c>
      <c r="K283" s="546" t="s">
        <v>737</v>
      </c>
      <c r="L283" s="72" t="s">
        <v>739</v>
      </c>
      <c r="M283" s="140" t="s">
        <v>725</v>
      </c>
      <c r="N283" s="140" t="s">
        <v>738</v>
      </c>
      <c r="O283" s="72" t="s">
        <v>740</v>
      </c>
      <c r="P283" s="63"/>
      <c r="Q283" s="63"/>
      <c r="R283" s="63" t="s">
        <v>726</v>
      </c>
      <c r="S283" s="63"/>
      <c r="T283" s="63"/>
      <c r="U283" s="63"/>
      <c r="V283" s="99"/>
      <c r="W283" s="99"/>
      <c r="X283" s="63"/>
      <c r="Y283" s="63"/>
      <c r="Z283" s="63"/>
      <c r="AA283" s="63"/>
      <c r="AB283" s="63"/>
      <c r="AC283" s="63"/>
      <c r="AD283" s="63"/>
      <c r="AE283" s="63"/>
      <c r="AF283" s="63"/>
      <c r="AG283" s="63"/>
      <c r="AH283" s="63"/>
      <c r="AI283" s="63"/>
      <c r="AJ283" s="63"/>
      <c r="AK283" s="63"/>
      <c r="AL283" s="63"/>
      <c r="AM283" s="63"/>
      <c r="AN283" s="63"/>
    </row>
    <row r="284" spans="1:40" ht="70.5" customHeight="1" x14ac:dyDescent="0.2">
      <c r="A284" s="3" t="s">
        <v>1106</v>
      </c>
      <c r="B284" s="3"/>
      <c r="C284" s="12"/>
      <c r="D284" s="26"/>
      <c r="E284" s="26"/>
      <c r="F284" s="26">
        <v>3</v>
      </c>
      <c r="G284" s="26"/>
      <c r="H284" s="26"/>
      <c r="I284" s="26"/>
      <c r="J284" s="595" t="s">
        <v>741</v>
      </c>
      <c r="K284" s="204" t="s">
        <v>742</v>
      </c>
      <c r="L284" s="72" t="s">
        <v>739</v>
      </c>
      <c r="M284" s="140" t="s">
        <v>743</v>
      </c>
      <c r="N284" s="140" t="s">
        <v>744</v>
      </c>
      <c r="O284" s="72" t="s">
        <v>740</v>
      </c>
      <c r="P284" s="12"/>
      <c r="Q284" s="12"/>
      <c r="R284" s="63" t="s">
        <v>726</v>
      </c>
      <c r="S284" s="12"/>
      <c r="T284" s="12"/>
      <c r="U284" s="12"/>
      <c r="V284" s="26"/>
      <c r="W284" s="26"/>
      <c r="X284" s="12"/>
      <c r="Y284" s="12"/>
      <c r="Z284" s="12"/>
      <c r="AA284" s="12"/>
      <c r="AB284" s="12"/>
      <c r="AC284" s="12"/>
      <c r="AD284" s="12"/>
      <c r="AE284" s="12"/>
      <c r="AF284" s="12"/>
      <c r="AG284" s="12"/>
      <c r="AH284" s="12"/>
      <c r="AI284" s="12"/>
      <c r="AJ284" s="12"/>
      <c r="AK284" s="12"/>
      <c r="AL284" s="12"/>
      <c r="AM284" s="12"/>
      <c r="AN284" s="12"/>
    </row>
    <row r="285" spans="1:40" ht="38.25" x14ac:dyDescent="0.2">
      <c r="A285" s="3" t="s">
        <v>1106</v>
      </c>
      <c r="B285" s="3"/>
      <c r="C285" s="12"/>
      <c r="D285" s="26"/>
      <c r="E285" s="26"/>
      <c r="F285" s="26">
        <v>3</v>
      </c>
      <c r="G285" s="26"/>
      <c r="H285" s="26"/>
      <c r="I285" s="26"/>
      <c r="J285" s="192" t="s">
        <v>745</v>
      </c>
      <c r="K285" s="472" t="s">
        <v>746</v>
      </c>
      <c r="L285" s="72" t="s">
        <v>739</v>
      </c>
      <c r="M285" s="140"/>
      <c r="N285" s="204"/>
      <c r="O285" s="72"/>
      <c r="P285" s="12"/>
      <c r="Q285" s="12"/>
      <c r="R285" s="12"/>
      <c r="S285" s="12"/>
      <c r="T285" s="12"/>
      <c r="U285" s="12"/>
      <c r="V285" s="26"/>
      <c r="W285" s="26"/>
      <c r="X285" s="12"/>
      <c r="Y285" s="12"/>
      <c r="Z285" s="12"/>
      <c r="AA285" s="12"/>
      <c r="AB285" s="12"/>
      <c r="AC285" s="12"/>
      <c r="AD285" s="12"/>
      <c r="AE285" s="12"/>
      <c r="AF285" s="12"/>
      <c r="AG285" s="12"/>
      <c r="AH285" s="12"/>
      <c r="AI285" s="12"/>
      <c r="AJ285" s="12"/>
      <c r="AK285" s="12"/>
      <c r="AL285" s="12"/>
      <c r="AM285" s="12"/>
      <c r="AN285" s="12"/>
    </row>
    <row r="286" spans="1:40" s="164" customFormat="1" x14ac:dyDescent="0.2">
      <c r="A286" s="3"/>
      <c r="B286" s="3"/>
      <c r="C286" s="12"/>
      <c r="D286" s="375"/>
      <c r="E286" s="865">
        <v>2</v>
      </c>
      <c r="F286" s="1168" t="s">
        <v>747</v>
      </c>
      <c r="G286" s="1169"/>
      <c r="H286" s="1169"/>
      <c r="I286" s="1169"/>
      <c r="J286" s="1169"/>
      <c r="K286" s="1169"/>
      <c r="L286" s="1169"/>
      <c r="M286" s="1169"/>
      <c r="N286" s="1169"/>
      <c r="O286" s="1169"/>
      <c r="P286" s="1169"/>
      <c r="Q286" s="1169"/>
      <c r="R286" s="1169"/>
      <c r="S286" s="1169"/>
      <c r="T286" s="1169"/>
      <c r="U286" s="1169"/>
      <c r="V286" s="1169"/>
      <c r="W286" s="1169"/>
      <c r="X286" s="1169"/>
      <c r="Y286" s="1169"/>
      <c r="Z286" s="1170"/>
      <c r="AA286" s="861"/>
      <c r="AB286" s="861"/>
      <c r="AC286" s="861"/>
      <c r="AD286" s="861"/>
      <c r="AE286" s="861"/>
      <c r="AF286" s="861"/>
      <c r="AG286" s="861"/>
      <c r="AH286" s="861"/>
      <c r="AI286" s="861"/>
      <c r="AJ286" s="861"/>
      <c r="AK286" s="861"/>
      <c r="AL286" s="861"/>
      <c r="AM286" s="861"/>
      <c r="AN286" s="861"/>
    </row>
    <row r="287" spans="1:40" s="97" customFormat="1" ht="90" x14ac:dyDescent="0.2">
      <c r="A287" s="3" t="s">
        <v>1098</v>
      </c>
      <c r="B287" s="3"/>
      <c r="C287" s="63"/>
      <c r="D287" s="99"/>
      <c r="E287" s="99"/>
      <c r="F287" s="99">
        <v>3</v>
      </c>
      <c r="G287" s="99"/>
      <c r="H287" s="99"/>
      <c r="I287" s="99"/>
      <c r="J287" s="192" t="s">
        <v>750</v>
      </c>
      <c r="K287" s="307" t="s">
        <v>2535</v>
      </c>
      <c r="L287" s="98" t="s">
        <v>754</v>
      </c>
      <c r="M287" s="140" t="s">
        <v>752</v>
      </c>
      <c r="N287" s="546" t="s">
        <v>753</v>
      </c>
      <c r="O287" s="98" t="s">
        <v>755</v>
      </c>
      <c r="P287" s="63"/>
      <c r="Q287" s="63"/>
      <c r="R287" s="63" t="s">
        <v>756</v>
      </c>
      <c r="S287" s="63"/>
      <c r="T287" s="63"/>
      <c r="U287" s="63"/>
      <c r="V287" s="99"/>
      <c r="W287" s="99"/>
      <c r="X287" s="63"/>
      <c r="Y287" s="63"/>
      <c r="Z287" s="63"/>
      <c r="AA287" s="63"/>
      <c r="AB287" s="63"/>
      <c r="AC287" s="63"/>
      <c r="AD287" s="63"/>
      <c r="AE287" s="63"/>
      <c r="AF287" s="63"/>
      <c r="AG287" s="63"/>
      <c r="AH287" s="63"/>
      <c r="AI287" s="63"/>
      <c r="AJ287" s="63"/>
      <c r="AK287" s="63"/>
      <c r="AL287" s="63"/>
      <c r="AM287" s="63"/>
      <c r="AN287" s="63"/>
    </row>
    <row r="288" spans="1:40" ht="102" x14ac:dyDescent="0.2">
      <c r="A288" s="3" t="s">
        <v>1098</v>
      </c>
      <c r="B288" s="3"/>
      <c r="C288" s="12"/>
      <c r="D288" s="26"/>
      <c r="E288" s="26"/>
      <c r="F288" s="1192">
        <v>3</v>
      </c>
      <c r="G288" s="26"/>
      <c r="H288" s="26"/>
      <c r="I288" s="26"/>
      <c r="J288" s="1185" t="s">
        <v>757</v>
      </c>
      <c r="K288" s="204" t="s">
        <v>758</v>
      </c>
      <c r="L288" s="98" t="s">
        <v>754</v>
      </c>
      <c r="M288" s="140" t="s">
        <v>752</v>
      </c>
      <c r="N288" s="204" t="s">
        <v>759</v>
      </c>
      <c r="O288" s="98" t="s">
        <v>755</v>
      </c>
      <c r="P288" s="12"/>
      <c r="Q288" s="12"/>
      <c r="R288" s="63" t="s">
        <v>756</v>
      </c>
      <c r="S288" s="12"/>
      <c r="T288" s="12"/>
      <c r="U288" s="12"/>
      <c r="V288" s="26"/>
      <c r="W288" s="26"/>
      <c r="X288" s="12"/>
      <c r="Y288" s="12"/>
      <c r="Z288" s="12"/>
      <c r="AA288" s="12"/>
      <c r="AB288" s="12"/>
      <c r="AC288" s="12"/>
      <c r="AD288" s="12"/>
      <c r="AE288" s="12"/>
      <c r="AF288" s="12"/>
      <c r="AG288" s="12"/>
      <c r="AH288" s="12"/>
      <c r="AI288" s="12"/>
      <c r="AJ288" s="12"/>
      <c r="AK288" s="12"/>
      <c r="AL288" s="12"/>
      <c r="AM288" s="12"/>
      <c r="AN288" s="12"/>
    </row>
    <row r="289" spans="1:40" ht="45" x14ac:dyDescent="0.2">
      <c r="A289" s="3" t="s">
        <v>1098</v>
      </c>
      <c r="B289" s="3"/>
      <c r="C289" s="12"/>
      <c r="D289" s="26"/>
      <c r="E289" s="26"/>
      <c r="F289" s="1195"/>
      <c r="G289" s="26"/>
      <c r="H289" s="26"/>
      <c r="I289" s="26"/>
      <c r="J289" s="1194"/>
      <c r="K289" s="204" t="s">
        <v>761</v>
      </c>
      <c r="L289" s="98" t="s">
        <v>754</v>
      </c>
      <c r="M289" s="140" t="s">
        <v>752</v>
      </c>
      <c r="N289" s="204" t="s">
        <v>762</v>
      </c>
      <c r="O289" s="98" t="s">
        <v>755</v>
      </c>
      <c r="P289" s="12"/>
      <c r="Q289" s="12"/>
      <c r="R289" s="63" t="s">
        <v>756</v>
      </c>
      <c r="S289" s="12"/>
      <c r="T289" s="12"/>
      <c r="U289" s="12"/>
      <c r="V289" s="26"/>
      <c r="W289" s="26"/>
      <c r="X289" s="12"/>
      <c r="Y289" s="12"/>
      <c r="Z289" s="12"/>
      <c r="AA289" s="12"/>
      <c r="AB289" s="12"/>
      <c r="AC289" s="12"/>
      <c r="AD289" s="12"/>
      <c r="AE289" s="12"/>
      <c r="AF289" s="12"/>
      <c r="AG289" s="12"/>
      <c r="AH289" s="12"/>
      <c r="AI289" s="12"/>
      <c r="AJ289" s="12"/>
      <c r="AK289" s="12"/>
      <c r="AL289" s="12"/>
      <c r="AM289" s="12"/>
      <c r="AN289" s="12"/>
    </row>
    <row r="290" spans="1:40" ht="45" x14ac:dyDescent="0.2">
      <c r="A290" s="3" t="s">
        <v>1098</v>
      </c>
      <c r="B290" s="3"/>
      <c r="C290" s="12"/>
      <c r="D290" s="26"/>
      <c r="E290" s="26"/>
      <c r="F290" s="1195"/>
      <c r="G290" s="26"/>
      <c r="H290" s="26"/>
      <c r="I290" s="26"/>
      <c r="J290" s="1194"/>
      <c r="K290" s="472" t="s">
        <v>764</v>
      </c>
      <c r="L290" s="98" t="s">
        <v>754</v>
      </c>
      <c r="M290" s="140" t="s">
        <v>752</v>
      </c>
      <c r="N290" s="204" t="s">
        <v>765</v>
      </c>
      <c r="O290" s="98" t="s">
        <v>755</v>
      </c>
      <c r="P290" s="12"/>
      <c r="Q290" s="12"/>
      <c r="R290" s="63" t="s">
        <v>756</v>
      </c>
      <c r="S290" s="12"/>
      <c r="T290" s="12"/>
      <c r="U290" s="12"/>
      <c r="V290" s="26"/>
      <c r="W290" s="26"/>
      <c r="X290" s="12"/>
      <c r="Y290" s="12"/>
      <c r="Z290" s="12"/>
      <c r="AA290" s="12"/>
      <c r="AB290" s="12"/>
      <c r="AC290" s="12"/>
      <c r="AD290" s="12"/>
      <c r="AE290" s="12"/>
      <c r="AF290" s="12"/>
      <c r="AG290" s="12"/>
      <c r="AH290" s="12"/>
      <c r="AI290" s="12"/>
      <c r="AJ290" s="12"/>
      <c r="AK290" s="12"/>
      <c r="AL290" s="12"/>
      <c r="AM290" s="12"/>
      <c r="AN290" s="12"/>
    </row>
    <row r="291" spans="1:40" s="164" customFormat="1" x14ac:dyDescent="0.2">
      <c r="A291" s="3"/>
      <c r="B291" s="3"/>
      <c r="C291" s="12"/>
      <c r="D291" s="375"/>
      <c r="E291" s="865">
        <v>2</v>
      </c>
      <c r="F291" s="1168" t="s">
        <v>766</v>
      </c>
      <c r="G291" s="1169"/>
      <c r="H291" s="1169"/>
      <c r="I291" s="1169"/>
      <c r="J291" s="1169"/>
      <c r="K291" s="1169"/>
      <c r="L291" s="1169"/>
      <c r="M291" s="1169"/>
      <c r="N291" s="1169"/>
      <c r="O291" s="1169"/>
      <c r="P291" s="1169"/>
      <c r="Q291" s="1169"/>
      <c r="R291" s="1169"/>
      <c r="S291" s="1169"/>
      <c r="T291" s="1169"/>
      <c r="U291" s="1169"/>
      <c r="V291" s="1169"/>
      <c r="W291" s="1169"/>
      <c r="X291" s="1169"/>
      <c r="Y291" s="1169"/>
      <c r="Z291" s="1170"/>
      <c r="AA291" s="861"/>
      <c r="AB291" s="861"/>
      <c r="AC291" s="861"/>
      <c r="AD291" s="861"/>
      <c r="AE291" s="861"/>
      <c r="AF291" s="861"/>
      <c r="AG291" s="861"/>
      <c r="AH291" s="861"/>
      <c r="AI291" s="861"/>
      <c r="AJ291" s="861"/>
      <c r="AK291" s="861"/>
      <c r="AL291" s="861"/>
      <c r="AM291" s="861"/>
      <c r="AN291" s="861"/>
    </row>
    <row r="292" spans="1:40" ht="63.75" x14ac:dyDescent="0.2">
      <c r="A292" s="3" t="s">
        <v>1098</v>
      </c>
      <c r="B292" s="3"/>
      <c r="C292" s="12"/>
      <c r="D292" s="26"/>
      <c r="E292" s="26"/>
      <c r="F292" s="26">
        <v>3</v>
      </c>
      <c r="G292" s="26"/>
      <c r="H292" s="26"/>
      <c r="I292" s="26"/>
      <c r="J292" s="192" t="s">
        <v>767</v>
      </c>
      <c r="K292" s="204" t="s">
        <v>768</v>
      </c>
      <c r="L292" s="128" t="s">
        <v>523</v>
      </c>
      <c r="M292" s="140" t="s">
        <v>769</v>
      </c>
      <c r="N292" s="204" t="s">
        <v>705</v>
      </c>
      <c r="O292" s="72" t="s">
        <v>524</v>
      </c>
      <c r="P292" s="12"/>
      <c r="Q292" s="12"/>
      <c r="R292" s="63" t="s">
        <v>726</v>
      </c>
      <c r="S292" s="12"/>
      <c r="T292" s="12"/>
      <c r="U292" s="12"/>
      <c r="V292" s="26"/>
      <c r="W292" s="26"/>
      <c r="X292" s="12"/>
      <c r="Y292" s="12"/>
      <c r="Z292" s="12"/>
      <c r="AA292" s="12"/>
      <c r="AB292" s="12"/>
      <c r="AC292" s="12"/>
      <c r="AD292" s="12"/>
      <c r="AE292" s="12"/>
      <c r="AF292" s="12"/>
      <c r="AG292" s="12"/>
      <c r="AH292" s="12"/>
      <c r="AI292" s="12"/>
      <c r="AJ292" s="12"/>
      <c r="AK292" s="12"/>
      <c r="AL292" s="12"/>
      <c r="AM292" s="12"/>
      <c r="AN292" s="12"/>
    </row>
    <row r="293" spans="1:40" ht="129.75" x14ac:dyDescent="0.2">
      <c r="A293" s="3" t="s">
        <v>1098</v>
      </c>
      <c r="B293" s="3"/>
      <c r="C293" s="12"/>
      <c r="D293" s="26"/>
      <c r="E293" s="26"/>
      <c r="F293" s="26">
        <v>3</v>
      </c>
      <c r="G293" s="26"/>
      <c r="H293" s="26"/>
      <c r="I293" s="26"/>
      <c r="J293" s="595" t="s">
        <v>770</v>
      </c>
      <c r="K293" s="204" t="s">
        <v>771</v>
      </c>
      <c r="L293" s="72" t="s">
        <v>774</v>
      </c>
      <c r="M293" s="140" t="s">
        <v>772</v>
      </c>
      <c r="N293" s="204" t="s">
        <v>773</v>
      </c>
      <c r="O293" s="72" t="s">
        <v>775</v>
      </c>
      <c r="P293" s="12"/>
      <c r="Q293" s="12"/>
      <c r="R293" s="63" t="s">
        <v>726</v>
      </c>
      <c r="S293" s="12"/>
      <c r="T293" s="12"/>
      <c r="U293" s="12"/>
      <c r="V293" s="26"/>
      <c r="W293" s="26"/>
      <c r="X293" s="12"/>
      <c r="Y293" s="12"/>
      <c r="Z293" s="12"/>
      <c r="AA293" s="12"/>
      <c r="AB293" s="12"/>
      <c r="AC293" s="12"/>
      <c r="AD293" s="12"/>
      <c r="AE293" s="12"/>
      <c r="AF293" s="12"/>
      <c r="AG293" s="12"/>
      <c r="AH293" s="12"/>
      <c r="AI293" s="12"/>
      <c r="AJ293" s="12"/>
      <c r="AK293" s="12"/>
      <c r="AL293" s="12"/>
      <c r="AM293" s="12"/>
      <c r="AN293" s="12"/>
    </row>
    <row r="294" spans="1:40" ht="51" x14ac:dyDescent="0.2">
      <c r="A294" s="3" t="s">
        <v>1098</v>
      </c>
      <c r="B294" s="3"/>
      <c r="C294" s="12"/>
      <c r="D294" s="26"/>
      <c r="E294" s="26"/>
      <c r="F294" s="26">
        <v>3</v>
      </c>
      <c r="G294" s="26"/>
      <c r="H294" s="26"/>
      <c r="I294" s="26"/>
      <c r="J294" s="595" t="s">
        <v>777</v>
      </c>
      <c r="K294" s="204" t="s">
        <v>778</v>
      </c>
      <c r="L294" s="128" t="s">
        <v>779</v>
      </c>
      <c r="M294" s="140" t="s">
        <v>772</v>
      </c>
      <c r="N294" s="204" t="s">
        <v>705</v>
      </c>
      <c r="O294" s="72" t="s">
        <v>780</v>
      </c>
      <c r="P294" s="12"/>
      <c r="Q294" s="12"/>
      <c r="R294" s="63" t="s">
        <v>726</v>
      </c>
      <c r="S294" s="12"/>
      <c r="T294" s="12"/>
      <c r="U294" s="12"/>
      <c r="V294" s="26"/>
      <c r="W294" s="26"/>
      <c r="X294" s="12"/>
      <c r="Y294" s="12"/>
      <c r="Z294" s="12"/>
      <c r="AA294" s="12"/>
      <c r="AB294" s="12"/>
      <c r="AC294" s="12"/>
      <c r="AD294" s="12"/>
      <c r="AE294" s="12"/>
      <c r="AF294" s="12"/>
      <c r="AG294" s="12"/>
      <c r="AH294" s="12"/>
      <c r="AI294" s="12"/>
      <c r="AJ294" s="12"/>
      <c r="AK294" s="12"/>
      <c r="AL294" s="12"/>
      <c r="AM294" s="12"/>
      <c r="AN294" s="12"/>
    </row>
    <row r="295" spans="1:40" s="164" customFormat="1" x14ac:dyDescent="0.2">
      <c r="A295" s="3"/>
      <c r="B295" s="3"/>
      <c r="C295" s="12"/>
      <c r="D295" s="375"/>
      <c r="E295" s="865">
        <v>2</v>
      </c>
      <c r="F295" s="1168" t="s">
        <v>782</v>
      </c>
      <c r="G295" s="1169"/>
      <c r="H295" s="1169"/>
      <c r="I295" s="1169"/>
      <c r="J295" s="1169"/>
      <c r="K295" s="1169"/>
      <c r="L295" s="1169"/>
      <c r="M295" s="1169"/>
      <c r="N295" s="1169"/>
      <c r="O295" s="1169"/>
      <c r="P295" s="1169"/>
      <c r="Q295" s="1169"/>
      <c r="R295" s="1169"/>
      <c r="S295" s="1169"/>
      <c r="T295" s="1169"/>
      <c r="U295" s="1169"/>
      <c r="V295" s="1169"/>
      <c r="W295" s="1169"/>
      <c r="X295" s="1169"/>
      <c r="Y295" s="1169"/>
      <c r="Z295" s="1170"/>
      <c r="AA295" s="861"/>
      <c r="AB295" s="861"/>
      <c r="AC295" s="861"/>
      <c r="AD295" s="861"/>
      <c r="AE295" s="861"/>
      <c r="AF295" s="861"/>
      <c r="AG295" s="861"/>
      <c r="AH295" s="861"/>
      <c r="AI295" s="861"/>
      <c r="AJ295" s="861"/>
      <c r="AK295" s="861"/>
      <c r="AL295" s="861"/>
      <c r="AM295" s="861"/>
      <c r="AN295" s="861"/>
    </row>
    <row r="296" spans="1:40" ht="149.25" customHeight="1" x14ac:dyDescent="0.2">
      <c r="A296" s="3" t="s">
        <v>1098</v>
      </c>
      <c r="B296" s="3"/>
      <c r="C296" s="12"/>
      <c r="D296" s="26"/>
      <c r="E296" s="26"/>
      <c r="F296" s="26">
        <v>3</v>
      </c>
      <c r="G296" s="26"/>
      <c r="H296" s="26"/>
      <c r="I296" s="26"/>
      <c r="J296" s="595" t="s">
        <v>2536</v>
      </c>
      <c r="K296" s="204" t="s">
        <v>784</v>
      </c>
      <c r="L296" s="72" t="s">
        <v>787</v>
      </c>
      <c r="M296" s="140" t="s">
        <v>2537</v>
      </c>
      <c r="N296" s="204" t="s">
        <v>786</v>
      </c>
      <c r="O296" s="72" t="s">
        <v>788</v>
      </c>
      <c r="P296" s="12"/>
      <c r="Q296" s="12"/>
      <c r="R296" s="12" t="s">
        <v>790</v>
      </c>
      <c r="S296" s="12"/>
      <c r="T296" s="12"/>
      <c r="U296" s="12"/>
      <c r="V296" s="26"/>
      <c r="W296" s="26"/>
      <c r="X296" s="12"/>
      <c r="Y296" s="12"/>
      <c r="Z296" s="12"/>
      <c r="AA296" s="12"/>
      <c r="AB296" s="12"/>
      <c r="AC296" s="12"/>
      <c r="AD296" s="12"/>
      <c r="AE296" s="12"/>
      <c r="AF296" s="12"/>
      <c r="AG296" s="12"/>
      <c r="AH296" s="12"/>
      <c r="AI296" s="12"/>
      <c r="AJ296" s="12"/>
      <c r="AK296" s="12"/>
      <c r="AL296" s="12"/>
      <c r="AM296" s="12"/>
      <c r="AN296" s="12"/>
    </row>
    <row r="297" spans="1:40" ht="128.25" customHeight="1" x14ac:dyDescent="0.2">
      <c r="A297" s="3" t="s">
        <v>1098</v>
      </c>
      <c r="B297" s="3"/>
      <c r="C297" s="12"/>
      <c r="D297" s="26"/>
      <c r="E297" s="26"/>
      <c r="F297" s="26">
        <v>3</v>
      </c>
      <c r="G297" s="26"/>
      <c r="H297" s="26"/>
      <c r="I297" s="26"/>
      <c r="J297" s="192" t="s">
        <v>791</v>
      </c>
      <c r="K297" s="472" t="s">
        <v>792</v>
      </c>
      <c r="L297" s="72" t="s">
        <v>427</v>
      </c>
      <c r="M297" s="140" t="s">
        <v>793</v>
      </c>
      <c r="N297" s="879" t="s">
        <v>794</v>
      </c>
      <c r="O297" s="72" t="s">
        <v>795</v>
      </c>
      <c r="P297" s="12"/>
      <c r="Q297" s="12"/>
      <c r="R297" s="12" t="s">
        <v>790</v>
      </c>
      <c r="S297" s="12"/>
      <c r="T297" s="12"/>
      <c r="U297" s="12"/>
      <c r="V297" s="26"/>
      <c r="W297" s="26"/>
      <c r="X297" s="12"/>
      <c r="Y297" s="12"/>
      <c r="Z297" s="12"/>
      <c r="AA297" s="12"/>
      <c r="AB297" s="12"/>
      <c r="AC297" s="12"/>
      <c r="AD297" s="12"/>
      <c r="AE297" s="12"/>
      <c r="AF297" s="12"/>
      <c r="AG297" s="12"/>
      <c r="AH297" s="12"/>
      <c r="AI297" s="12"/>
      <c r="AJ297" s="12"/>
      <c r="AK297" s="12"/>
      <c r="AL297" s="12"/>
      <c r="AM297" s="12"/>
      <c r="AN297" s="12"/>
    </row>
    <row r="298" spans="1:40" s="164" customFormat="1" x14ac:dyDescent="0.2">
      <c r="A298" s="3"/>
      <c r="B298" s="3"/>
      <c r="C298" s="12"/>
      <c r="D298" s="375"/>
      <c r="E298" s="865">
        <v>2</v>
      </c>
      <c r="F298" s="1168" t="s">
        <v>796</v>
      </c>
      <c r="G298" s="1169"/>
      <c r="H298" s="1169"/>
      <c r="I298" s="1169"/>
      <c r="J298" s="1169"/>
      <c r="K298" s="1169"/>
      <c r="L298" s="1169"/>
      <c r="M298" s="1169"/>
      <c r="N298" s="1169"/>
      <c r="O298" s="1169"/>
      <c r="P298" s="1169"/>
      <c r="Q298" s="1169"/>
      <c r="R298" s="1169"/>
      <c r="S298" s="1169"/>
      <c r="T298" s="1169"/>
      <c r="U298" s="1169"/>
      <c r="V298" s="1169"/>
      <c r="W298" s="1169"/>
      <c r="X298" s="1169"/>
      <c r="Y298" s="1169"/>
      <c r="Z298" s="1170"/>
      <c r="AA298" s="861"/>
      <c r="AB298" s="861"/>
      <c r="AC298" s="861"/>
      <c r="AD298" s="861"/>
      <c r="AE298" s="861"/>
      <c r="AF298" s="861"/>
      <c r="AG298" s="861"/>
      <c r="AH298" s="861"/>
      <c r="AI298" s="861"/>
      <c r="AJ298" s="861"/>
      <c r="AK298" s="861"/>
      <c r="AL298" s="861"/>
      <c r="AM298" s="861"/>
      <c r="AN298" s="861"/>
    </row>
    <row r="299" spans="1:40" ht="90" x14ac:dyDescent="0.2">
      <c r="A299" s="3" t="s">
        <v>1098</v>
      </c>
      <c r="B299" s="3"/>
      <c r="C299" s="12"/>
      <c r="D299" s="26"/>
      <c r="E299" s="26"/>
      <c r="F299" s="26">
        <v>3</v>
      </c>
      <c r="G299" s="26"/>
      <c r="H299" s="26"/>
      <c r="I299" s="26"/>
      <c r="J299" s="595" t="s">
        <v>797</v>
      </c>
      <c r="K299" s="204" t="s">
        <v>798</v>
      </c>
      <c r="L299" s="179" t="s">
        <v>801</v>
      </c>
      <c r="M299" s="140" t="s">
        <v>799</v>
      </c>
      <c r="N299" s="605" t="s">
        <v>800</v>
      </c>
      <c r="O299" s="179" t="s">
        <v>801</v>
      </c>
      <c r="P299" s="12"/>
      <c r="Q299" s="12"/>
      <c r="R299" s="63" t="s">
        <v>803</v>
      </c>
      <c r="S299" s="12"/>
      <c r="T299" s="12"/>
      <c r="U299" s="12"/>
      <c r="V299" s="26"/>
      <c r="W299" s="26"/>
      <c r="X299" s="12"/>
      <c r="Y299" s="12"/>
      <c r="Z299" s="12"/>
      <c r="AA299" s="12"/>
      <c r="AB299" s="12"/>
      <c r="AC299" s="12"/>
      <c r="AD299" s="12"/>
      <c r="AE299" s="12"/>
      <c r="AF299" s="12"/>
      <c r="AG299" s="12"/>
      <c r="AH299" s="12"/>
      <c r="AI299" s="12"/>
      <c r="AJ299" s="12"/>
      <c r="AK299" s="12"/>
      <c r="AL299" s="12"/>
      <c r="AM299" s="12"/>
      <c r="AN299" s="12"/>
    </row>
    <row r="300" spans="1:40" x14ac:dyDescent="0.2">
      <c r="A300" s="3"/>
      <c r="B300" s="3"/>
      <c r="C300" s="89"/>
      <c r="D300" s="860">
        <v>1</v>
      </c>
      <c r="E300" s="1168" t="s">
        <v>804</v>
      </c>
      <c r="F300" s="1169"/>
      <c r="G300" s="1169"/>
      <c r="H300" s="1169"/>
      <c r="I300" s="1169"/>
      <c r="J300" s="1169"/>
      <c r="K300" s="1169"/>
      <c r="L300" s="1169"/>
      <c r="M300" s="1169"/>
      <c r="N300" s="1169"/>
      <c r="O300" s="1169"/>
      <c r="P300" s="1169"/>
      <c r="Q300" s="1169"/>
      <c r="R300" s="1169"/>
      <c r="S300" s="1169"/>
      <c r="T300" s="1169"/>
      <c r="U300" s="1169"/>
      <c r="V300" s="1169"/>
      <c r="W300" s="1169"/>
      <c r="X300" s="1169"/>
      <c r="Y300" s="1169"/>
      <c r="Z300" s="1170"/>
      <c r="AA300" s="861"/>
      <c r="AB300" s="861"/>
      <c r="AC300" s="861"/>
      <c r="AD300" s="861"/>
      <c r="AE300" s="861"/>
      <c r="AF300" s="861"/>
      <c r="AG300" s="861"/>
      <c r="AH300" s="861"/>
      <c r="AI300" s="861"/>
      <c r="AJ300" s="861"/>
      <c r="AK300" s="861"/>
      <c r="AL300" s="861"/>
      <c r="AM300" s="861"/>
      <c r="AN300" s="861"/>
    </row>
    <row r="301" spans="1:40" x14ac:dyDescent="0.2">
      <c r="A301" s="3"/>
      <c r="B301" s="3"/>
      <c r="C301" s="12"/>
      <c r="D301" s="375"/>
      <c r="E301" s="865">
        <v>2</v>
      </c>
      <c r="F301" s="1168" t="s">
        <v>806</v>
      </c>
      <c r="G301" s="1169"/>
      <c r="H301" s="1169"/>
      <c r="I301" s="1169"/>
      <c r="J301" s="1169"/>
      <c r="K301" s="1169"/>
      <c r="L301" s="1169"/>
      <c r="M301" s="1169"/>
      <c r="N301" s="1169"/>
      <c r="O301" s="1169"/>
      <c r="P301" s="1169"/>
      <c r="Q301" s="1169"/>
      <c r="R301" s="1169"/>
      <c r="S301" s="1169"/>
      <c r="T301" s="1169"/>
      <c r="U301" s="1169"/>
      <c r="V301" s="1169"/>
      <c r="W301" s="1169"/>
      <c r="X301" s="1169"/>
      <c r="Y301" s="1169"/>
      <c r="Z301" s="1170"/>
      <c r="AA301" s="861"/>
      <c r="AB301" s="861"/>
      <c r="AC301" s="861"/>
      <c r="AD301" s="861"/>
      <c r="AE301" s="861"/>
      <c r="AF301" s="861"/>
      <c r="AG301" s="861"/>
      <c r="AH301" s="861"/>
      <c r="AI301" s="861"/>
      <c r="AJ301" s="861"/>
      <c r="AK301" s="861"/>
      <c r="AL301" s="861"/>
      <c r="AM301" s="861"/>
      <c r="AN301" s="861"/>
    </row>
    <row r="302" spans="1:40" ht="63.75" x14ac:dyDescent="0.2">
      <c r="A302" s="3" t="s">
        <v>1098</v>
      </c>
      <c r="B302" s="3"/>
      <c r="C302" s="12"/>
      <c r="D302" s="26"/>
      <c r="E302" s="26"/>
      <c r="F302" s="26">
        <v>3</v>
      </c>
      <c r="G302" s="26"/>
      <c r="H302" s="26"/>
      <c r="I302" s="26"/>
      <c r="J302" s="595" t="s">
        <v>807</v>
      </c>
      <c r="K302" s="204" t="s">
        <v>808</v>
      </c>
      <c r="L302" s="72" t="s">
        <v>811</v>
      </c>
      <c r="M302" s="140" t="s">
        <v>809</v>
      </c>
      <c r="N302" s="605" t="s">
        <v>810</v>
      </c>
      <c r="O302" s="72" t="s">
        <v>812</v>
      </c>
      <c r="P302" s="12"/>
      <c r="Q302" s="12"/>
      <c r="R302" s="12" t="s">
        <v>814</v>
      </c>
      <c r="S302" s="12"/>
      <c r="T302" s="12"/>
      <c r="U302" s="12"/>
      <c r="V302" s="26"/>
      <c r="W302" s="26"/>
      <c r="X302" s="12"/>
      <c r="Y302" s="12"/>
      <c r="Z302" s="12"/>
      <c r="AA302" s="12"/>
      <c r="AB302" s="12"/>
      <c r="AC302" s="12"/>
      <c r="AD302" s="12"/>
      <c r="AE302" s="12"/>
      <c r="AF302" s="12"/>
      <c r="AG302" s="12"/>
      <c r="AH302" s="12"/>
      <c r="AI302" s="12"/>
      <c r="AJ302" s="12"/>
      <c r="AK302" s="12"/>
      <c r="AL302" s="12"/>
      <c r="AM302" s="12"/>
      <c r="AN302" s="12"/>
    </row>
    <row r="303" spans="1:40" ht="89.25" x14ac:dyDescent="0.2">
      <c r="A303" s="3" t="s">
        <v>1098</v>
      </c>
      <c r="B303" s="3"/>
      <c r="C303" s="12"/>
      <c r="D303" s="26"/>
      <c r="E303" s="26"/>
      <c r="F303" s="26">
        <v>3</v>
      </c>
      <c r="G303" s="26"/>
      <c r="H303" s="26"/>
      <c r="I303" s="26"/>
      <c r="J303" s="596" t="s">
        <v>815</v>
      </c>
      <c r="K303" s="204" t="s">
        <v>816</v>
      </c>
      <c r="L303" s="128" t="s">
        <v>523</v>
      </c>
      <c r="M303" s="140" t="s">
        <v>817</v>
      </c>
      <c r="N303" s="605" t="s">
        <v>818</v>
      </c>
      <c r="O303" s="72" t="s">
        <v>524</v>
      </c>
      <c r="P303" s="12"/>
      <c r="Q303" s="12"/>
      <c r="R303" s="12" t="s">
        <v>819</v>
      </c>
      <c r="S303" s="12"/>
      <c r="T303" s="12"/>
      <c r="U303" s="12"/>
      <c r="V303" s="26"/>
      <c r="W303" s="26"/>
      <c r="X303" s="12"/>
      <c r="Y303" s="12"/>
      <c r="Z303" s="12"/>
      <c r="AA303" s="12"/>
      <c r="AB303" s="12"/>
      <c r="AC303" s="12"/>
      <c r="AD303" s="12"/>
      <c r="AE303" s="12"/>
      <c r="AF303" s="12"/>
      <c r="AG303" s="12"/>
      <c r="AH303" s="12"/>
      <c r="AI303" s="12"/>
      <c r="AJ303" s="12"/>
      <c r="AK303" s="12"/>
      <c r="AL303" s="12"/>
      <c r="AM303" s="12"/>
      <c r="AN303" s="12"/>
    </row>
    <row r="304" spans="1:40" ht="45" x14ac:dyDescent="0.2">
      <c r="A304" s="3" t="s">
        <v>1098</v>
      </c>
      <c r="B304" s="3"/>
      <c r="C304" s="12"/>
      <c r="D304" s="26"/>
      <c r="E304" s="26"/>
      <c r="F304" s="1192">
        <v>3</v>
      </c>
      <c r="G304" s="26"/>
      <c r="H304" s="26"/>
      <c r="I304" s="206"/>
      <c r="J304" s="1126" t="s">
        <v>820</v>
      </c>
      <c r="K304" s="819" t="s">
        <v>821</v>
      </c>
      <c r="L304" s="72" t="s">
        <v>427</v>
      </c>
      <c r="M304" s="140" t="s">
        <v>822</v>
      </c>
      <c r="N304" s="880" t="s">
        <v>794</v>
      </c>
      <c r="O304" s="72" t="s">
        <v>795</v>
      </c>
      <c r="P304" s="12"/>
      <c r="Q304" s="1140" t="s">
        <v>823</v>
      </c>
      <c r="R304" s="12" t="s">
        <v>452</v>
      </c>
      <c r="S304" s="12"/>
      <c r="T304" s="12"/>
      <c r="U304" s="12"/>
      <c r="V304" s="26"/>
      <c r="W304" s="26"/>
      <c r="X304" s="12"/>
      <c r="Y304" s="12"/>
      <c r="Z304" s="12"/>
      <c r="AA304" s="12"/>
      <c r="AB304" s="12"/>
      <c r="AC304" s="12"/>
      <c r="AD304" s="12"/>
      <c r="AE304" s="12"/>
      <c r="AF304" s="12"/>
      <c r="AG304" s="12"/>
      <c r="AH304" s="12"/>
      <c r="AI304" s="12"/>
      <c r="AJ304" s="12"/>
      <c r="AK304" s="12"/>
      <c r="AL304" s="12"/>
      <c r="AM304" s="12"/>
      <c r="AN304" s="12"/>
    </row>
    <row r="305" spans="1:40" ht="45" x14ac:dyDescent="0.2">
      <c r="A305" s="3" t="s">
        <v>1098</v>
      </c>
      <c r="B305" s="3"/>
      <c r="C305" s="12"/>
      <c r="D305" s="26"/>
      <c r="E305" s="26"/>
      <c r="F305" s="1195"/>
      <c r="G305" s="26"/>
      <c r="H305" s="26"/>
      <c r="I305" s="206"/>
      <c r="J305" s="1127"/>
      <c r="K305" s="816" t="s">
        <v>824</v>
      </c>
      <c r="L305" s="72" t="s">
        <v>427</v>
      </c>
      <c r="M305" s="140" t="s">
        <v>822</v>
      </c>
      <c r="N305" s="880" t="s">
        <v>794</v>
      </c>
      <c r="O305" s="72" t="s">
        <v>795</v>
      </c>
      <c r="P305" s="12"/>
      <c r="Q305" s="1196"/>
      <c r="R305" s="12" t="s">
        <v>452</v>
      </c>
      <c r="S305" s="12"/>
      <c r="T305" s="12"/>
      <c r="U305" s="12"/>
      <c r="V305" s="26"/>
      <c r="W305" s="26"/>
      <c r="X305" s="12"/>
      <c r="Y305" s="12"/>
      <c r="Z305" s="12"/>
      <c r="AA305" s="12"/>
      <c r="AB305" s="12"/>
      <c r="AC305" s="12"/>
      <c r="AD305" s="12"/>
      <c r="AE305" s="12"/>
      <c r="AF305" s="12"/>
      <c r="AG305" s="12"/>
      <c r="AH305" s="12"/>
      <c r="AI305" s="12"/>
      <c r="AJ305" s="12"/>
      <c r="AK305" s="12"/>
      <c r="AL305" s="12"/>
      <c r="AM305" s="12"/>
      <c r="AN305" s="12"/>
    </row>
    <row r="306" spans="1:40" ht="24.75" customHeight="1" x14ac:dyDescent="0.2">
      <c r="A306" s="3" t="s">
        <v>1098</v>
      </c>
      <c r="B306" s="3"/>
      <c r="C306" s="12"/>
      <c r="D306" s="26"/>
      <c r="E306" s="26"/>
      <c r="F306" s="1195"/>
      <c r="G306" s="26"/>
      <c r="H306" s="26"/>
      <c r="I306" s="206"/>
      <c r="J306" s="1127"/>
      <c r="K306" s="817" t="s">
        <v>825</v>
      </c>
      <c r="L306" s="72" t="s">
        <v>427</v>
      </c>
      <c r="M306" s="140" t="s">
        <v>822</v>
      </c>
      <c r="N306" s="880" t="s">
        <v>794</v>
      </c>
      <c r="O306" s="72" t="s">
        <v>795</v>
      </c>
      <c r="P306" s="12"/>
      <c r="Q306" s="1196"/>
      <c r="R306" s="12" t="s">
        <v>452</v>
      </c>
      <c r="S306" s="12"/>
      <c r="T306" s="12"/>
      <c r="U306" s="12"/>
      <c r="V306" s="26"/>
      <c r="W306" s="26"/>
      <c r="X306" s="12"/>
      <c r="Y306" s="12"/>
      <c r="Z306" s="12"/>
      <c r="AA306" s="12"/>
      <c r="AB306" s="12"/>
      <c r="AC306" s="12"/>
      <c r="AD306" s="12"/>
      <c r="AE306" s="12"/>
      <c r="AF306" s="12"/>
      <c r="AG306" s="12"/>
      <c r="AH306" s="12"/>
      <c r="AI306" s="12"/>
      <c r="AJ306" s="12"/>
      <c r="AK306" s="12"/>
      <c r="AL306" s="12"/>
      <c r="AM306" s="12"/>
      <c r="AN306" s="12"/>
    </row>
    <row r="307" spans="1:40" ht="45" x14ac:dyDescent="0.2">
      <c r="A307" s="3" t="s">
        <v>1098</v>
      </c>
      <c r="B307" s="3"/>
      <c r="C307" s="12"/>
      <c r="D307" s="26"/>
      <c r="E307" s="26"/>
      <c r="F307" s="1195"/>
      <c r="G307" s="26"/>
      <c r="H307" s="26"/>
      <c r="I307" s="206"/>
      <c r="J307" s="1127"/>
      <c r="K307" s="816" t="s">
        <v>826</v>
      </c>
      <c r="L307" s="72" t="s">
        <v>427</v>
      </c>
      <c r="M307" s="140" t="s">
        <v>822</v>
      </c>
      <c r="N307" s="880" t="s">
        <v>794</v>
      </c>
      <c r="O307" s="72" t="s">
        <v>795</v>
      </c>
      <c r="P307" s="12"/>
      <c r="Q307" s="1196"/>
      <c r="R307" s="12" t="s">
        <v>452</v>
      </c>
      <c r="S307" s="12"/>
      <c r="T307" s="12"/>
      <c r="U307" s="12"/>
      <c r="V307" s="26"/>
      <c r="W307" s="26"/>
      <c r="X307" s="12"/>
      <c r="Y307" s="12"/>
      <c r="Z307" s="12"/>
      <c r="AA307" s="12"/>
      <c r="AB307" s="12"/>
      <c r="AC307" s="12"/>
      <c r="AD307" s="12"/>
      <c r="AE307" s="12"/>
      <c r="AF307" s="12"/>
      <c r="AG307" s="12"/>
      <c r="AH307" s="12"/>
      <c r="AI307" s="12"/>
      <c r="AJ307" s="12"/>
      <c r="AK307" s="12"/>
      <c r="AL307" s="12"/>
      <c r="AM307" s="12"/>
      <c r="AN307" s="12"/>
    </row>
    <row r="308" spans="1:40" ht="51" x14ac:dyDescent="0.2">
      <c r="A308" s="3" t="s">
        <v>1098</v>
      </c>
      <c r="B308" s="3"/>
      <c r="C308" s="12"/>
      <c r="D308" s="26"/>
      <c r="E308" s="26"/>
      <c r="F308" s="1195"/>
      <c r="G308" s="26"/>
      <c r="H308" s="26"/>
      <c r="I308" s="206"/>
      <c r="J308" s="1127"/>
      <c r="K308" s="204" t="s">
        <v>827</v>
      </c>
      <c r="L308" s="72" t="s">
        <v>828</v>
      </c>
      <c r="M308" s="713" t="str">
        <f>HYPERLINK("https://synology.bildungscampus-backnang.de:50823/drive/oo/r/pCdqTALCiyBZs75GKtEbElv1A8zKW4cH", "Prozessvorschlag Patrick Beschwerden AZAV-Doz.")</f>
        <v>Prozessvorschlag Patrick Beschwerden AZAV-Doz.</v>
      </c>
      <c r="N308" s="880" t="s">
        <v>794</v>
      </c>
      <c r="O308" s="72" t="s">
        <v>829</v>
      </c>
      <c r="P308" s="12"/>
      <c r="Q308" s="812" t="str">
        <f>HYPERLINK("https://synology.bildungscampus-backnang.de:50823/drive/oo/r/pCdqTALCiyBZs75GKtEbElv1A8zKW4cH", "Prozessvorschlag Patrick Beschwerden AZAV-Doz.")</f>
        <v>Prozessvorschlag Patrick Beschwerden AZAV-Doz.</v>
      </c>
      <c r="R308" s="12" t="s">
        <v>452</v>
      </c>
      <c r="S308" s="12"/>
      <c r="T308" s="12"/>
      <c r="U308" s="12"/>
      <c r="V308" s="26"/>
      <c r="W308" s="26"/>
      <c r="X308" s="12"/>
      <c r="Y308" s="12"/>
      <c r="Z308" s="12"/>
      <c r="AA308" s="12"/>
      <c r="AB308" s="12"/>
      <c r="AC308" s="12"/>
      <c r="AD308" s="12"/>
      <c r="AE308" s="12"/>
      <c r="AF308" s="12"/>
      <c r="AG308" s="12"/>
      <c r="AH308" s="12"/>
      <c r="AI308" s="12"/>
      <c r="AJ308" s="12"/>
      <c r="AK308" s="12"/>
      <c r="AL308" s="12"/>
      <c r="AM308" s="12"/>
      <c r="AN308" s="12"/>
    </row>
    <row r="309" spans="1:40" ht="82.5" customHeight="1" x14ac:dyDescent="0.2">
      <c r="A309" s="3" t="s">
        <v>1098</v>
      </c>
      <c r="B309" s="3"/>
      <c r="C309" s="12"/>
      <c r="D309" s="26"/>
      <c r="E309" s="26"/>
      <c r="F309" s="26">
        <v>3</v>
      </c>
      <c r="G309" s="26"/>
      <c r="H309" s="26"/>
      <c r="I309" s="206"/>
      <c r="J309" s="1142"/>
      <c r="K309" s="140" t="s">
        <v>2538</v>
      </c>
      <c r="L309" s="72" t="s">
        <v>427</v>
      </c>
      <c r="M309" s="140" t="s">
        <v>822</v>
      </c>
      <c r="N309" s="880" t="s">
        <v>794</v>
      </c>
      <c r="O309" s="72" t="s">
        <v>795</v>
      </c>
      <c r="P309" s="12"/>
      <c r="Q309" s="12"/>
      <c r="R309" s="12" t="s">
        <v>452</v>
      </c>
      <c r="S309" s="12"/>
      <c r="T309" s="12"/>
      <c r="U309" s="12"/>
      <c r="V309" s="26"/>
      <c r="W309" s="26"/>
      <c r="X309" s="12"/>
      <c r="Y309" s="12"/>
      <c r="Z309" s="12"/>
      <c r="AA309" s="12"/>
      <c r="AB309" s="12"/>
      <c r="AC309" s="12"/>
      <c r="AD309" s="12"/>
      <c r="AE309" s="12"/>
      <c r="AF309" s="12"/>
      <c r="AG309" s="12"/>
      <c r="AH309" s="12"/>
      <c r="AI309" s="12"/>
      <c r="AJ309" s="12"/>
      <c r="AK309" s="12"/>
      <c r="AL309" s="12"/>
      <c r="AM309" s="12"/>
      <c r="AN309" s="12"/>
    </row>
    <row r="310" spans="1:40" ht="63.75" x14ac:dyDescent="0.2">
      <c r="A310" s="3" t="s">
        <v>1098</v>
      </c>
      <c r="B310" s="3"/>
      <c r="C310" s="12"/>
      <c r="D310" s="26"/>
      <c r="E310" s="26"/>
      <c r="F310" s="26">
        <v>3</v>
      </c>
      <c r="G310" s="26"/>
      <c r="H310" s="26"/>
      <c r="I310" s="26"/>
      <c r="J310" s="595" t="s">
        <v>833</v>
      </c>
      <c r="K310" s="204" t="s">
        <v>834</v>
      </c>
      <c r="L310" s="128" t="s">
        <v>836</v>
      </c>
      <c r="M310" s="140" t="s">
        <v>822</v>
      </c>
      <c r="N310" s="204" t="s">
        <v>835</v>
      </c>
      <c r="O310" s="72" t="s">
        <v>837</v>
      </c>
      <c r="P310" s="12"/>
      <c r="Q310" s="12"/>
      <c r="R310" s="12" t="s">
        <v>452</v>
      </c>
      <c r="S310" s="12"/>
      <c r="T310" s="12"/>
      <c r="U310" s="12"/>
      <c r="V310" s="26"/>
      <c r="W310" s="26"/>
      <c r="X310" s="12"/>
      <c r="Y310" s="12"/>
      <c r="Z310" s="12"/>
      <c r="AA310" s="12"/>
      <c r="AB310" s="12"/>
      <c r="AC310" s="12"/>
      <c r="AD310" s="12"/>
      <c r="AE310" s="12"/>
      <c r="AF310" s="12"/>
      <c r="AG310" s="12"/>
      <c r="AH310" s="12"/>
      <c r="AI310" s="12"/>
      <c r="AJ310" s="12"/>
      <c r="AK310" s="12"/>
      <c r="AL310" s="12"/>
      <c r="AM310" s="12"/>
      <c r="AN310" s="12"/>
    </row>
    <row r="311" spans="1:40" s="164" customFormat="1" x14ac:dyDescent="0.2">
      <c r="A311" s="3"/>
      <c r="B311" s="3"/>
      <c r="C311" s="12"/>
      <c r="D311" s="375"/>
      <c r="E311" s="865">
        <v>2</v>
      </c>
      <c r="F311" s="1168" t="s">
        <v>519</v>
      </c>
      <c r="G311" s="1169"/>
      <c r="H311" s="1169"/>
      <c r="I311" s="1169"/>
      <c r="J311" s="1169"/>
      <c r="K311" s="1169"/>
      <c r="L311" s="1169"/>
      <c r="M311" s="1169"/>
      <c r="N311" s="1169"/>
      <c r="O311" s="1169"/>
      <c r="P311" s="1169"/>
      <c r="Q311" s="1169"/>
      <c r="R311" s="1169"/>
      <c r="S311" s="1169"/>
      <c r="T311" s="1169"/>
      <c r="U311" s="1169"/>
      <c r="V311" s="1169"/>
      <c r="W311" s="1169"/>
      <c r="X311" s="1169"/>
      <c r="Y311" s="1169"/>
      <c r="Z311" s="1170"/>
      <c r="AA311" s="861"/>
      <c r="AB311" s="861"/>
      <c r="AC311" s="861"/>
      <c r="AD311" s="861"/>
      <c r="AE311" s="861"/>
      <c r="AF311" s="861"/>
      <c r="AG311" s="861"/>
      <c r="AH311" s="861"/>
      <c r="AI311" s="861"/>
      <c r="AJ311" s="861"/>
      <c r="AK311" s="861"/>
      <c r="AL311" s="861"/>
      <c r="AM311" s="861"/>
      <c r="AN311" s="861"/>
    </row>
    <row r="312" spans="1:40" ht="60" x14ac:dyDescent="0.2">
      <c r="A312" s="3" t="s">
        <v>1098</v>
      </c>
      <c r="B312" s="3"/>
      <c r="C312" s="12"/>
      <c r="D312" s="26"/>
      <c r="E312" s="26"/>
      <c r="F312" s="26">
        <v>3</v>
      </c>
      <c r="G312" s="26"/>
      <c r="H312" s="26"/>
      <c r="I312" s="26"/>
      <c r="J312" s="192" t="s">
        <v>838</v>
      </c>
      <c r="K312" s="140" t="s">
        <v>839</v>
      </c>
      <c r="L312" s="72" t="s">
        <v>836</v>
      </c>
      <c r="M312" s="140" t="s">
        <v>840</v>
      </c>
      <c r="N312" s="605" t="s">
        <v>841</v>
      </c>
      <c r="O312" s="72" t="s">
        <v>842</v>
      </c>
      <c r="P312" s="12"/>
      <c r="Q312" s="12"/>
      <c r="R312" s="12" t="s">
        <v>716</v>
      </c>
      <c r="S312" s="12"/>
      <c r="T312" s="12"/>
      <c r="U312" s="12"/>
      <c r="V312" s="26"/>
      <c r="W312" s="26"/>
      <c r="X312" s="12"/>
      <c r="Y312" s="12"/>
      <c r="Z312" s="12"/>
      <c r="AA312" s="12"/>
      <c r="AB312" s="12"/>
      <c r="AC312" s="12"/>
      <c r="AD312" s="12"/>
      <c r="AE312" s="12"/>
      <c r="AF312" s="12"/>
      <c r="AG312" s="12"/>
      <c r="AH312" s="12"/>
      <c r="AI312" s="12"/>
      <c r="AJ312" s="12"/>
      <c r="AK312" s="12"/>
      <c r="AL312" s="12"/>
      <c r="AM312" s="12"/>
      <c r="AN312" s="12"/>
    </row>
    <row r="313" spans="1:40" ht="85.5" customHeight="1" x14ac:dyDescent="0.2">
      <c r="A313" s="3" t="s">
        <v>1098</v>
      </c>
      <c r="B313" s="3"/>
      <c r="C313" s="12"/>
      <c r="D313" s="26"/>
      <c r="E313" s="26"/>
      <c r="F313" s="26">
        <v>3</v>
      </c>
      <c r="G313" s="26"/>
      <c r="H313" s="26"/>
      <c r="I313" s="26"/>
      <c r="J313" s="595" t="s">
        <v>844</v>
      </c>
      <c r="K313" s="140" t="s">
        <v>845</v>
      </c>
      <c r="L313" s="128" t="s">
        <v>836</v>
      </c>
      <c r="M313" s="140" t="s">
        <v>704</v>
      </c>
      <c r="N313" s="605" t="s">
        <v>841</v>
      </c>
      <c r="O313" s="72" t="s">
        <v>842</v>
      </c>
      <c r="P313" s="12"/>
      <c r="Q313" s="12"/>
      <c r="R313" s="12" t="s">
        <v>716</v>
      </c>
      <c r="S313" s="12"/>
      <c r="T313" s="12"/>
      <c r="U313" s="12"/>
      <c r="V313" s="26"/>
      <c r="W313" s="26"/>
      <c r="X313" s="12"/>
      <c r="Y313" s="12"/>
      <c r="Z313" s="12"/>
      <c r="AA313" s="12"/>
      <c r="AB313" s="12"/>
      <c r="AC313" s="12"/>
      <c r="AD313" s="12"/>
      <c r="AE313" s="12"/>
      <c r="AF313" s="12"/>
      <c r="AG313" s="12"/>
      <c r="AH313" s="12"/>
      <c r="AI313" s="12"/>
      <c r="AJ313" s="12"/>
      <c r="AK313" s="12"/>
      <c r="AL313" s="12"/>
      <c r="AM313" s="12"/>
      <c r="AN313" s="12"/>
    </row>
    <row r="314" spans="1:40" ht="89.25" x14ac:dyDescent="0.2">
      <c r="A314" s="3" t="s">
        <v>1098</v>
      </c>
      <c r="B314" s="3"/>
      <c r="C314" s="12"/>
      <c r="D314" s="26"/>
      <c r="E314" s="26"/>
      <c r="F314" s="26">
        <v>3</v>
      </c>
      <c r="G314" s="26"/>
      <c r="H314" s="26"/>
      <c r="I314" s="26"/>
      <c r="J314" s="595" t="s">
        <v>846</v>
      </c>
      <c r="K314" s="204" t="s">
        <v>847</v>
      </c>
      <c r="L314" s="72" t="s">
        <v>849</v>
      </c>
      <c r="M314" s="140" t="s">
        <v>848</v>
      </c>
      <c r="N314" s="605" t="s">
        <v>841</v>
      </c>
      <c r="O314" s="72" t="s">
        <v>850</v>
      </c>
      <c r="P314" s="12"/>
      <c r="Q314" s="12"/>
      <c r="R314" s="12" t="s">
        <v>716</v>
      </c>
      <c r="S314" s="12"/>
      <c r="T314" s="12"/>
      <c r="U314" s="12"/>
      <c r="V314" s="26"/>
      <c r="W314" s="26"/>
      <c r="X314" s="12"/>
      <c r="Y314" s="12"/>
      <c r="Z314" s="12"/>
      <c r="AA314" s="12"/>
      <c r="AB314" s="12"/>
      <c r="AC314" s="12"/>
      <c r="AD314" s="12"/>
      <c r="AE314" s="12"/>
      <c r="AF314" s="12"/>
      <c r="AG314" s="12"/>
      <c r="AH314" s="12"/>
      <c r="AI314" s="12"/>
      <c r="AJ314" s="12"/>
      <c r="AK314" s="12"/>
      <c r="AL314" s="12"/>
      <c r="AM314" s="12"/>
      <c r="AN314" s="12"/>
    </row>
    <row r="315" spans="1:40" s="164" customFormat="1" x14ac:dyDescent="0.2">
      <c r="A315" s="3"/>
      <c r="B315" s="3"/>
      <c r="C315" s="12"/>
      <c r="D315" s="375"/>
      <c r="E315" s="865">
        <v>2</v>
      </c>
      <c r="F315" s="1168" t="s">
        <v>851</v>
      </c>
      <c r="G315" s="1169"/>
      <c r="H315" s="1169"/>
      <c r="I315" s="1169"/>
      <c r="J315" s="1169"/>
      <c r="K315" s="1169"/>
      <c r="L315" s="1169"/>
      <c r="M315" s="1169"/>
      <c r="N315" s="1169"/>
      <c r="O315" s="1169"/>
      <c r="P315" s="1169"/>
      <c r="Q315" s="1169"/>
      <c r="R315" s="1169"/>
      <c r="S315" s="1169"/>
      <c r="T315" s="1169"/>
      <c r="U315" s="1169"/>
      <c r="V315" s="1169"/>
      <c r="W315" s="1169"/>
      <c r="X315" s="1169"/>
      <c r="Y315" s="1169"/>
      <c r="Z315" s="1170"/>
      <c r="AA315" s="861"/>
      <c r="AB315" s="861"/>
      <c r="AC315" s="861"/>
      <c r="AD315" s="861"/>
      <c r="AE315" s="861"/>
      <c r="AF315" s="861"/>
      <c r="AG315" s="861"/>
      <c r="AH315" s="861"/>
      <c r="AI315" s="861"/>
      <c r="AJ315" s="861"/>
      <c r="AK315" s="861"/>
      <c r="AL315" s="861"/>
      <c r="AM315" s="861"/>
      <c r="AN315" s="861"/>
    </row>
    <row r="316" spans="1:40" ht="120" x14ac:dyDescent="0.2">
      <c r="A316" s="3" t="s">
        <v>1098</v>
      </c>
      <c r="B316" s="3"/>
      <c r="C316" s="12"/>
      <c r="D316" s="26"/>
      <c r="E316" s="26"/>
      <c r="F316" s="26">
        <v>3</v>
      </c>
      <c r="G316" s="26"/>
      <c r="H316" s="26"/>
      <c r="I316" s="26"/>
      <c r="J316" s="192" t="s">
        <v>852</v>
      </c>
      <c r="K316" s="140" t="s">
        <v>2539</v>
      </c>
      <c r="L316" s="72" t="s">
        <v>2540</v>
      </c>
      <c r="M316" s="140" t="s">
        <v>822</v>
      </c>
      <c r="N316" s="605" t="s">
        <v>841</v>
      </c>
      <c r="O316" s="72" t="s">
        <v>855</v>
      </c>
      <c r="P316" s="12"/>
      <c r="Q316" s="12"/>
      <c r="R316" s="12" t="s">
        <v>857</v>
      </c>
      <c r="S316" s="12"/>
      <c r="T316" s="12"/>
      <c r="U316" s="12"/>
      <c r="V316" s="26"/>
      <c r="W316" s="26"/>
      <c r="X316" s="12"/>
      <c r="Y316" s="12"/>
      <c r="Z316" s="12"/>
      <c r="AA316" s="12"/>
      <c r="AB316" s="12"/>
      <c r="AC316" s="12"/>
      <c r="AD316" s="12"/>
      <c r="AE316" s="12"/>
      <c r="AF316" s="12"/>
      <c r="AG316" s="12"/>
      <c r="AH316" s="12"/>
      <c r="AI316" s="12"/>
      <c r="AJ316" s="12"/>
      <c r="AK316" s="12"/>
      <c r="AL316" s="12"/>
      <c r="AM316" s="12"/>
      <c r="AN316" s="12"/>
    </row>
    <row r="317" spans="1:40" ht="173.25" x14ac:dyDescent="0.2">
      <c r="A317" s="3" t="s">
        <v>1098</v>
      </c>
      <c r="B317" s="3"/>
      <c r="C317" s="12"/>
      <c r="D317" s="26"/>
      <c r="E317" s="26"/>
      <c r="F317" s="26">
        <v>3</v>
      </c>
      <c r="G317" s="26"/>
      <c r="H317" s="26"/>
      <c r="I317" s="26"/>
      <c r="J317" s="595" t="s">
        <v>858</v>
      </c>
      <c r="K317" s="204" t="s">
        <v>859</v>
      </c>
      <c r="L317" s="72" t="s">
        <v>2541</v>
      </c>
      <c r="M317" s="140" t="s">
        <v>822</v>
      </c>
      <c r="N317" s="605" t="s">
        <v>841</v>
      </c>
      <c r="O317" s="72" t="s">
        <v>855</v>
      </c>
      <c r="P317" s="12"/>
      <c r="Q317" s="12"/>
      <c r="R317" s="12" t="s">
        <v>861</v>
      </c>
      <c r="S317" s="12"/>
      <c r="T317" s="12"/>
      <c r="U317" s="12"/>
      <c r="V317" s="26"/>
      <c r="W317" s="26"/>
      <c r="X317" s="12"/>
      <c r="Y317" s="12"/>
      <c r="Z317" s="12"/>
      <c r="AA317" s="12"/>
      <c r="AB317" s="12"/>
      <c r="AC317" s="12"/>
      <c r="AD317" s="12"/>
      <c r="AE317" s="12"/>
      <c r="AF317" s="12"/>
      <c r="AG317" s="12"/>
      <c r="AH317" s="12"/>
      <c r="AI317" s="12"/>
      <c r="AJ317" s="12"/>
      <c r="AK317" s="12"/>
      <c r="AL317" s="12"/>
      <c r="AM317" s="12"/>
      <c r="AN317" s="12"/>
    </row>
    <row r="318" spans="1:40" ht="102" x14ac:dyDescent="0.2">
      <c r="A318" s="3" t="s">
        <v>1098</v>
      </c>
      <c r="B318" s="3"/>
      <c r="C318" s="12"/>
      <c r="D318" s="26"/>
      <c r="E318" s="26"/>
      <c r="F318" s="26">
        <v>3</v>
      </c>
      <c r="G318" s="26"/>
      <c r="H318" s="26"/>
      <c r="I318" s="26"/>
      <c r="J318" s="595" t="s">
        <v>862</v>
      </c>
      <c r="K318" s="204" t="s">
        <v>863</v>
      </c>
      <c r="L318" s="72" t="s">
        <v>864</v>
      </c>
      <c r="M318" s="140" t="s">
        <v>822</v>
      </c>
      <c r="N318" s="605" t="s">
        <v>841</v>
      </c>
      <c r="O318" s="72" t="s">
        <v>865</v>
      </c>
      <c r="P318" s="12"/>
      <c r="Q318" s="12"/>
      <c r="R318" s="12" t="s">
        <v>866</v>
      </c>
      <c r="S318" s="12"/>
      <c r="T318" s="12"/>
      <c r="U318" s="12"/>
      <c r="V318" s="26"/>
      <c r="W318" s="26"/>
      <c r="X318" s="12"/>
      <c r="Y318" s="12"/>
      <c r="Z318" s="12"/>
      <c r="AA318" s="12"/>
      <c r="AB318" s="12"/>
      <c r="AC318" s="12"/>
      <c r="AD318" s="12"/>
      <c r="AE318" s="12"/>
      <c r="AF318" s="12"/>
      <c r="AG318" s="12"/>
      <c r="AH318" s="12"/>
      <c r="AI318" s="12"/>
      <c r="AJ318" s="12"/>
      <c r="AK318" s="12"/>
      <c r="AL318" s="12"/>
      <c r="AM318" s="12"/>
      <c r="AN318" s="12"/>
    </row>
    <row r="319" spans="1:40" s="164" customFormat="1" x14ac:dyDescent="0.2">
      <c r="A319" s="3"/>
      <c r="B319" s="3"/>
      <c r="C319" s="12"/>
      <c r="D319" s="375"/>
      <c r="E319" s="865">
        <v>2</v>
      </c>
      <c r="F319" s="1168" t="s">
        <v>867</v>
      </c>
      <c r="G319" s="1169"/>
      <c r="H319" s="1169"/>
      <c r="I319" s="1169"/>
      <c r="J319" s="1169"/>
      <c r="K319" s="1169"/>
      <c r="L319" s="1169"/>
      <c r="M319" s="1169"/>
      <c r="N319" s="1169"/>
      <c r="O319" s="1169"/>
      <c r="P319" s="1169"/>
      <c r="Q319" s="1169"/>
      <c r="R319" s="1169"/>
      <c r="S319" s="1169"/>
      <c r="T319" s="1169"/>
      <c r="U319" s="1169"/>
      <c r="V319" s="1169"/>
      <c r="W319" s="1169"/>
      <c r="X319" s="1169"/>
      <c r="Y319" s="1169"/>
      <c r="Z319" s="1170"/>
      <c r="AA319" s="861"/>
      <c r="AB319" s="861"/>
      <c r="AC319" s="861"/>
      <c r="AD319" s="861"/>
      <c r="AE319" s="861"/>
      <c r="AF319" s="861"/>
      <c r="AG319" s="861"/>
      <c r="AH319" s="861"/>
      <c r="AI319" s="861"/>
      <c r="AJ319" s="861"/>
      <c r="AK319" s="861"/>
      <c r="AL319" s="861"/>
      <c r="AM319" s="861"/>
      <c r="AN319" s="861"/>
    </row>
    <row r="320" spans="1:40" ht="129" x14ac:dyDescent="0.2">
      <c r="A320" s="3" t="s">
        <v>1098</v>
      </c>
      <c r="B320" s="3"/>
      <c r="C320" s="12"/>
      <c r="D320" s="26"/>
      <c r="E320" s="26"/>
      <c r="F320" s="26">
        <v>3</v>
      </c>
      <c r="G320" s="26"/>
      <c r="H320" s="26"/>
      <c r="I320" s="26"/>
      <c r="J320" s="595" t="s">
        <v>868</v>
      </c>
      <c r="K320" s="204" t="s">
        <v>869</v>
      </c>
      <c r="L320" s="128" t="s">
        <v>774</v>
      </c>
      <c r="M320" s="140" t="s">
        <v>729</v>
      </c>
      <c r="N320" s="605" t="s">
        <v>841</v>
      </c>
      <c r="O320" s="72" t="s">
        <v>870</v>
      </c>
      <c r="P320" s="12"/>
      <c r="Q320" s="12"/>
      <c r="R320" s="12" t="s">
        <v>872</v>
      </c>
      <c r="S320" s="12"/>
      <c r="T320" s="12"/>
      <c r="U320" s="12"/>
      <c r="V320" s="26"/>
      <c r="W320" s="26"/>
      <c r="X320" s="12"/>
      <c r="Y320" s="12"/>
      <c r="Z320" s="12"/>
      <c r="AA320" s="12"/>
      <c r="AB320" s="12"/>
      <c r="AC320" s="12"/>
      <c r="AD320" s="12"/>
      <c r="AE320" s="12"/>
      <c r="AF320" s="12"/>
      <c r="AG320" s="12"/>
      <c r="AH320" s="12"/>
      <c r="AI320" s="12"/>
      <c r="AJ320" s="12"/>
      <c r="AK320" s="12"/>
      <c r="AL320" s="12"/>
      <c r="AM320" s="12"/>
      <c r="AN320" s="12"/>
    </row>
    <row r="321" spans="1:40" ht="63.75" x14ac:dyDescent="0.2">
      <c r="A321" s="3" t="s">
        <v>1098</v>
      </c>
      <c r="B321" s="3"/>
      <c r="C321" s="12"/>
      <c r="D321" s="26"/>
      <c r="E321" s="26"/>
      <c r="F321" s="26">
        <v>3</v>
      </c>
      <c r="G321" s="26"/>
      <c r="H321" s="26"/>
      <c r="I321" s="26"/>
      <c r="J321" s="595" t="s">
        <v>873</v>
      </c>
      <c r="K321" s="204" t="s">
        <v>874</v>
      </c>
      <c r="L321" s="128" t="s">
        <v>875</v>
      </c>
      <c r="M321" s="140" t="s">
        <v>729</v>
      </c>
      <c r="N321" s="605" t="s">
        <v>841</v>
      </c>
      <c r="O321" s="72" t="s">
        <v>876</v>
      </c>
      <c r="P321" s="12"/>
      <c r="Q321" s="12"/>
      <c r="R321" s="12" t="s">
        <v>878</v>
      </c>
      <c r="S321" s="12"/>
      <c r="T321" s="12"/>
      <c r="U321" s="12"/>
      <c r="V321" s="26"/>
      <c r="W321" s="26"/>
      <c r="X321" s="12"/>
      <c r="Y321" s="12"/>
      <c r="Z321" s="12"/>
      <c r="AA321" s="12"/>
      <c r="AB321" s="12"/>
      <c r="AC321" s="12"/>
      <c r="AD321" s="12"/>
      <c r="AE321" s="12"/>
      <c r="AF321" s="12"/>
      <c r="AG321" s="12"/>
      <c r="AH321" s="12"/>
      <c r="AI321" s="12"/>
      <c r="AJ321" s="12"/>
      <c r="AK321" s="12"/>
      <c r="AL321" s="12"/>
      <c r="AM321" s="12"/>
      <c r="AN321" s="12"/>
    </row>
    <row r="322" spans="1:40" ht="63.75" x14ac:dyDescent="0.2">
      <c r="A322" s="3" t="s">
        <v>1098</v>
      </c>
      <c r="B322" s="3"/>
      <c r="C322" s="12"/>
      <c r="D322" s="26"/>
      <c r="E322" s="26"/>
      <c r="F322" s="26">
        <v>3</v>
      </c>
      <c r="G322" s="26"/>
      <c r="H322" s="26"/>
      <c r="I322" s="26"/>
      <c r="J322" s="192" t="s">
        <v>879</v>
      </c>
      <c r="K322" s="204" t="s">
        <v>880</v>
      </c>
      <c r="L322" s="128" t="s">
        <v>883</v>
      </c>
      <c r="M322" s="140" t="s">
        <v>881</v>
      </c>
      <c r="N322" s="204" t="s">
        <v>882</v>
      </c>
      <c r="O322" s="72" t="s">
        <v>884</v>
      </c>
      <c r="P322" s="12"/>
      <c r="Q322" s="12"/>
      <c r="R322" s="12" t="s">
        <v>630</v>
      </c>
      <c r="S322" s="12"/>
      <c r="T322" s="12"/>
      <c r="U322" s="12"/>
      <c r="V322" s="26"/>
      <c r="W322" s="26"/>
      <c r="X322" s="12"/>
      <c r="Y322" s="12"/>
      <c r="Z322" s="12"/>
      <c r="AA322" s="12"/>
      <c r="AB322" s="12"/>
      <c r="AC322" s="12"/>
      <c r="AD322" s="12"/>
      <c r="AE322" s="12"/>
      <c r="AF322" s="12"/>
      <c r="AG322" s="12"/>
      <c r="AH322" s="12"/>
      <c r="AI322" s="12"/>
      <c r="AJ322" s="12"/>
      <c r="AK322" s="12"/>
      <c r="AL322" s="12"/>
      <c r="AM322" s="12"/>
      <c r="AN322" s="12"/>
    </row>
    <row r="323" spans="1:40" x14ac:dyDescent="0.2">
      <c r="A323" s="3"/>
      <c r="B323" s="3"/>
      <c r="C323" s="89"/>
      <c r="D323" s="860">
        <v>1</v>
      </c>
      <c r="E323" s="1168" t="s">
        <v>886</v>
      </c>
      <c r="F323" s="1169"/>
      <c r="G323" s="1169"/>
      <c r="H323" s="1169"/>
      <c r="I323" s="1169"/>
      <c r="J323" s="1169"/>
      <c r="K323" s="1169"/>
      <c r="L323" s="1169"/>
      <c r="M323" s="1169"/>
      <c r="N323" s="1169"/>
      <c r="O323" s="1169"/>
      <c r="P323" s="1169"/>
      <c r="Q323" s="1169"/>
      <c r="R323" s="1169"/>
      <c r="S323" s="1169"/>
      <c r="T323" s="1169"/>
      <c r="U323" s="1169"/>
      <c r="V323" s="1169"/>
      <c r="W323" s="1169"/>
      <c r="X323" s="1169"/>
      <c r="Y323" s="1169"/>
      <c r="Z323" s="1170"/>
      <c r="AA323" s="861"/>
      <c r="AB323" s="861"/>
      <c r="AC323" s="861"/>
      <c r="AD323" s="861"/>
      <c r="AE323" s="861"/>
      <c r="AF323" s="861"/>
      <c r="AG323" s="861"/>
      <c r="AH323" s="861"/>
      <c r="AI323" s="861"/>
      <c r="AJ323" s="861"/>
      <c r="AK323" s="861"/>
      <c r="AL323" s="861"/>
      <c r="AM323" s="861"/>
      <c r="AN323" s="861"/>
    </row>
    <row r="324" spans="1:40" s="164" customFormat="1" x14ac:dyDescent="0.2">
      <c r="A324" s="3"/>
      <c r="B324" s="3"/>
      <c r="C324" s="12"/>
      <c r="D324" s="375"/>
      <c r="E324" s="865">
        <v>2</v>
      </c>
      <c r="F324" s="1168" t="s">
        <v>888</v>
      </c>
      <c r="G324" s="1169"/>
      <c r="H324" s="1169"/>
      <c r="I324" s="1169"/>
      <c r="J324" s="1169"/>
      <c r="K324" s="1169"/>
      <c r="L324" s="1169"/>
      <c r="M324" s="1169"/>
      <c r="N324" s="1169"/>
      <c r="O324" s="1169"/>
      <c r="P324" s="1169"/>
      <c r="Q324" s="1169"/>
      <c r="R324" s="1169"/>
      <c r="S324" s="1169"/>
      <c r="T324" s="1169"/>
      <c r="U324" s="1169"/>
      <c r="V324" s="1169"/>
      <c r="W324" s="1169"/>
      <c r="X324" s="1169"/>
      <c r="Y324" s="1169"/>
      <c r="Z324" s="1170"/>
      <c r="AA324" s="861"/>
      <c r="AB324" s="861"/>
      <c r="AC324" s="861"/>
      <c r="AD324" s="861"/>
      <c r="AE324" s="861"/>
      <c r="AF324" s="861"/>
      <c r="AG324" s="861"/>
      <c r="AH324" s="861"/>
      <c r="AI324" s="861"/>
      <c r="AJ324" s="861"/>
      <c r="AK324" s="861"/>
      <c r="AL324" s="861"/>
      <c r="AM324" s="861"/>
      <c r="AN324" s="861"/>
    </row>
    <row r="325" spans="1:40" ht="76.5" x14ac:dyDescent="0.2">
      <c r="A325" s="3" t="s">
        <v>1098</v>
      </c>
      <c r="B325" s="3"/>
      <c r="C325" s="12"/>
      <c r="D325" s="26"/>
      <c r="E325" s="26"/>
      <c r="F325" s="26">
        <v>3</v>
      </c>
      <c r="G325" s="26"/>
      <c r="H325" s="26"/>
      <c r="I325" s="26"/>
      <c r="J325" s="595" t="s">
        <v>889</v>
      </c>
      <c r="K325" s="204" t="s">
        <v>890</v>
      </c>
      <c r="L325" s="72" t="s">
        <v>892</v>
      </c>
      <c r="M325" s="140" t="s">
        <v>891</v>
      </c>
      <c r="N325" s="881" t="str">
        <f>HYPERLINK("http://wiki.academyofsports.online/tiki-index.php?page=%C3%9Cberpr%C3%BCfung-und-Festlegung-der-Qualit%C3%A4ts--und-Unternehmensziele", "WIKI: Überprüfung und Festlegung der Qualitäts- und Unternehmensziele")</f>
        <v>WIKI: Überprüfung und Festlegung der Qualitäts- und Unternehmensziele</v>
      </c>
      <c r="O325" s="72" t="s">
        <v>893</v>
      </c>
      <c r="P325" s="12"/>
      <c r="Q325" s="12"/>
      <c r="R325" s="12" t="s">
        <v>895</v>
      </c>
      <c r="S325" s="12"/>
      <c r="T325" s="12"/>
      <c r="U325" s="12"/>
      <c r="V325" s="26"/>
      <c r="W325" s="26"/>
      <c r="X325" s="12"/>
      <c r="Y325" s="12"/>
      <c r="Z325" s="12"/>
      <c r="AA325" s="12"/>
      <c r="AB325" s="12"/>
      <c r="AC325" s="12"/>
      <c r="AD325" s="12"/>
      <c r="AE325" s="12"/>
      <c r="AF325" s="12"/>
      <c r="AG325" s="12"/>
      <c r="AH325" s="12"/>
      <c r="AI325" s="12"/>
      <c r="AJ325" s="12"/>
      <c r="AK325" s="12"/>
      <c r="AL325" s="12"/>
      <c r="AM325" s="12"/>
      <c r="AN325" s="12"/>
    </row>
    <row r="326" spans="1:40" ht="71.25" customHeight="1" x14ac:dyDescent="0.2">
      <c r="A326" s="3" t="s">
        <v>1098</v>
      </c>
      <c r="B326" s="3"/>
      <c r="C326" s="12"/>
      <c r="D326" s="26"/>
      <c r="E326" s="26"/>
      <c r="F326" s="26">
        <v>3</v>
      </c>
      <c r="G326" s="26"/>
      <c r="H326" s="26"/>
      <c r="I326" s="26"/>
      <c r="J326" s="595" t="s">
        <v>896</v>
      </c>
      <c r="K326" s="472" t="s">
        <v>897</v>
      </c>
      <c r="L326" s="72" t="s">
        <v>892</v>
      </c>
      <c r="M326" s="140" t="s">
        <v>891</v>
      </c>
      <c r="N326" s="881" t="str">
        <f>HYPERLINK("http://wiki.academyofsports.online/tiki-index.php?page=%C3%9Cberpr%C3%BCfung-und-Festlegung-der-Qualit%C3%A4ts--und-Unternehmensziele", "WIKI: Überprüfung und Festlegung der Qualitäts- und Unternehmensziele")</f>
        <v>WIKI: Überprüfung und Festlegung der Qualitäts- und Unternehmensziele</v>
      </c>
      <c r="O326" s="72" t="s">
        <v>893</v>
      </c>
      <c r="P326" s="12"/>
      <c r="Q326" s="12"/>
      <c r="R326" s="12" t="s">
        <v>895</v>
      </c>
      <c r="S326" s="12"/>
      <c r="T326" s="12"/>
      <c r="U326" s="12"/>
      <c r="V326" s="26"/>
      <c r="W326" s="26"/>
      <c r="X326" s="12"/>
      <c r="Y326" s="12"/>
      <c r="Z326" s="12"/>
      <c r="AA326" s="12"/>
      <c r="AB326" s="12"/>
      <c r="AC326" s="12"/>
      <c r="AD326" s="12"/>
      <c r="AE326" s="12"/>
      <c r="AF326" s="12"/>
      <c r="AG326" s="12"/>
      <c r="AH326" s="12"/>
      <c r="AI326" s="12"/>
      <c r="AJ326" s="12"/>
      <c r="AK326" s="12"/>
      <c r="AL326" s="12"/>
      <c r="AM326" s="12"/>
      <c r="AN326" s="12"/>
    </row>
    <row r="327" spans="1:40" ht="60" x14ac:dyDescent="0.2">
      <c r="A327" s="3" t="s">
        <v>1098</v>
      </c>
      <c r="B327" s="3"/>
      <c r="C327" s="12"/>
      <c r="D327" s="26"/>
      <c r="E327" s="26"/>
      <c r="F327" s="26">
        <v>3</v>
      </c>
      <c r="G327" s="26"/>
      <c r="H327" s="26"/>
      <c r="I327" s="26"/>
      <c r="J327" s="595" t="s">
        <v>899</v>
      </c>
      <c r="K327" s="472" t="s">
        <v>900</v>
      </c>
      <c r="L327" s="72" t="s">
        <v>892</v>
      </c>
      <c r="M327" s="140" t="s">
        <v>891</v>
      </c>
      <c r="N327" s="881" t="str">
        <f>HYPERLINK("http://wiki.academyofsports.online/tiki-index.php?page=%C3%9Cberpr%C3%BCfung-und-Festlegung-der-Qualit%C3%A4ts--und-Unternehmensziele", "WIKI: Überprüfung und Festlegung der Qualitäts- und Unternehmensziele")</f>
        <v>WIKI: Überprüfung und Festlegung der Qualitäts- und Unternehmensziele</v>
      </c>
      <c r="O327" s="72" t="s">
        <v>893</v>
      </c>
      <c r="P327" s="12"/>
      <c r="Q327" s="12"/>
      <c r="R327" s="12" t="s">
        <v>895</v>
      </c>
      <c r="S327" s="12"/>
      <c r="T327" s="12"/>
      <c r="U327" s="12"/>
      <c r="V327" s="26"/>
      <c r="W327" s="26"/>
      <c r="X327" s="12"/>
      <c r="Y327" s="12"/>
      <c r="Z327" s="12"/>
      <c r="AA327" s="12"/>
      <c r="AB327" s="12"/>
      <c r="AC327" s="12"/>
      <c r="AD327" s="12"/>
      <c r="AE327" s="12"/>
      <c r="AF327" s="12"/>
      <c r="AG327" s="12"/>
      <c r="AH327" s="12"/>
      <c r="AI327" s="12"/>
      <c r="AJ327" s="12"/>
      <c r="AK327" s="12"/>
      <c r="AL327" s="12"/>
      <c r="AM327" s="12"/>
      <c r="AN327" s="12"/>
    </row>
    <row r="328" spans="1:40" s="164" customFormat="1" x14ac:dyDescent="0.2">
      <c r="A328" s="3"/>
      <c r="B328" s="3"/>
      <c r="C328" s="12"/>
      <c r="D328" s="375"/>
      <c r="E328" s="865">
        <v>2</v>
      </c>
      <c r="F328" s="1168" t="s">
        <v>901</v>
      </c>
      <c r="G328" s="1169"/>
      <c r="H328" s="1169"/>
      <c r="I328" s="1169"/>
      <c r="J328" s="1169"/>
      <c r="K328" s="1169"/>
      <c r="L328" s="1169"/>
      <c r="M328" s="1169"/>
      <c r="N328" s="1169"/>
      <c r="O328" s="1169"/>
      <c r="P328" s="1169"/>
      <c r="Q328" s="1169"/>
      <c r="R328" s="1169"/>
      <c r="S328" s="1169"/>
      <c r="T328" s="1169"/>
      <c r="U328" s="1169"/>
      <c r="V328" s="1169"/>
      <c r="W328" s="1169"/>
      <c r="X328" s="1169"/>
      <c r="Y328" s="1169"/>
      <c r="Z328" s="1170"/>
      <c r="AA328" s="861"/>
      <c r="AB328" s="861"/>
      <c r="AC328" s="861"/>
      <c r="AD328" s="861"/>
      <c r="AE328" s="861"/>
      <c r="AF328" s="861"/>
      <c r="AG328" s="861"/>
      <c r="AH328" s="861"/>
      <c r="AI328" s="861"/>
      <c r="AJ328" s="861"/>
      <c r="AK328" s="861"/>
      <c r="AL328" s="861"/>
      <c r="AM328" s="861"/>
      <c r="AN328" s="861"/>
    </row>
    <row r="329" spans="1:40" ht="63.75" x14ac:dyDescent="0.2">
      <c r="A329" s="3" t="s">
        <v>1098</v>
      </c>
      <c r="B329" s="3"/>
      <c r="C329" s="12"/>
      <c r="D329" s="26"/>
      <c r="E329" s="26"/>
      <c r="F329" s="26">
        <v>3</v>
      </c>
      <c r="G329" s="26"/>
      <c r="H329" s="26"/>
      <c r="I329" s="26"/>
      <c r="J329" s="192" t="s">
        <v>902</v>
      </c>
      <c r="K329" s="204" t="s">
        <v>903</v>
      </c>
      <c r="L329" s="128" t="s">
        <v>905</v>
      </c>
      <c r="M329" s="140" t="s">
        <v>891</v>
      </c>
      <c r="N329" s="882" t="s">
        <v>904</v>
      </c>
      <c r="O329" s="72" t="s">
        <v>906</v>
      </c>
      <c r="P329" s="12"/>
      <c r="Q329" s="12"/>
      <c r="R329" s="12" t="s">
        <v>895</v>
      </c>
      <c r="S329" s="12"/>
      <c r="T329" s="12"/>
      <c r="U329" s="12"/>
      <c r="V329" s="26"/>
      <c r="W329" s="26"/>
      <c r="X329" s="12"/>
      <c r="Y329" s="12"/>
      <c r="Z329" s="12"/>
      <c r="AA329" s="12"/>
      <c r="AB329" s="12"/>
      <c r="AC329" s="12"/>
      <c r="AD329" s="12"/>
      <c r="AE329" s="12"/>
      <c r="AF329" s="12"/>
      <c r="AG329" s="12"/>
      <c r="AH329" s="12"/>
      <c r="AI329" s="12"/>
      <c r="AJ329" s="12"/>
      <c r="AK329" s="12"/>
      <c r="AL329" s="12"/>
      <c r="AM329" s="12"/>
      <c r="AN329" s="12"/>
    </row>
    <row r="330" spans="1:40" x14ac:dyDescent="0.2">
      <c r="A330" s="3"/>
      <c r="B330" s="3"/>
      <c r="C330" s="89"/>
      <c r="D330" s="860">
        <v>1</v>
      </c>
      <c r="E330" s="1168" t="s">
        <v>907</v>
      </c>
      <c r="F330" s="1169"/>
      <c r="G330" s="1169"/>
      <c r="H330" s="1169"/>
      <c r="I330" s="1169"/>
      <c r="J330" s="1169"/>
      <c r="K330" s="1169"/>
      <c r="L330" s="1169"/>
      <c r="M330" s="1169"/>
      <c r="N330" s="1169"/>
      <c r="O330" s="1169"/>
      <c r="P330" s="1169"/>
      <c r="Q330" s="1169"/>
      <c r="R330" s="1169"/>
      <c r="S330" s="1169"/>
      <c r="T330" s="1169"/>
      <c r="U330" s="1169"/>
      <c r="V330" s="1169"/>
      <c r="W330" s="1169"/>
      <c r="X330" s="1169"/>
      <c r="Y330" s="1169"/>
      <c r="Z330" s="1170"/>
      <c r="AA330" s="861"/>
      <c r="AB330" s="861"/>
      <c r="AC330" s="861"/>
      <c r="AD330" s="861"/>
      <c r="AE330" s="861"/>
      <c r="AF330" s="861"/>
      <c r="AG330" s="861"/>
      <c r="AH330" s="861"/>
      <c r="AI330" s="861"/>
      <c r="AJ330" s="861"/>
      <c r="AK330" s="861"/>
      <c r="AL330" s="861"/>
      <c r="AM330" s="861"/>
      <c r="AN330" s="861"/>
    </row>
    <row r="331" spans="1:40" s="164" customFormat="1" x14ac:dyDescent="0.2">
      <c r="A331" s="3"/>
      <c r="B331" s="3"/>
      <c r="C331" s="12"/>
      <c r="D331" s="375"/>
      <c r="E331" s="865">
        <v>2</v>
      </c>
      <c r="F331" s="1168" t="s">
        <v>908</v>
      </c>
      <c r="G331" s="1169"/>
      <c r="H331" s="1169"/>
      <c r="I331" s="1169"/>
      <c r="J331" s="1169"/>
      <c r="K331" s="1169"/>
      <c r="L331" s="1169"/>
      <c r="M331" s="1169"/>
      <c r="N331" s="1169"/>
      <c r="O331" s="1169"/>
      <c r="P331" s="1169"/>
      <c r="Q331" s="1169"/>
      <c r="R331" s="1169"/>
      <c r="S331" s="1169"/>
      <c r="T331" s="1169"/>
      <c r="U331" s="1169"/>
      <c r="V331" s="1169"/>
      <c r="W331" s="1169"/>
      <c r="X331" s="1169"/>
      <c r="Y331" s="1169"/>
      <c r="Z331" s="1170"/>
      <c r="AA331" s="861"/>
      <c r="AB331" s="861"/>
      <c r="AC331" s="861"/>
      <c r="AD331" s="861"/>
      <c r="AE331" s="861"/>
      <c r="AF331" s="861"/>
      <c r="AG331" s="861"/>
      <c r="AH331" s="861"/>
      <c r="AI331" s="861"/>
      <c r="AJ331" s="861"/>
      <c r="AK331" s="861"/>
      <c r="AL331" s="861"/>
      <c r="AM331" s="861"/>
      <c r="AN331" s="861"/>
    </row>
    <row r="332" spans="1:40" ht="150" x14ac:dyDescent="0.2">
      <c r="A332" s="3" t="s">
        <v>1098</v>
      </c>
      <c r="B332" s="3"/>
      <c r="C332" s="12"/>
      <c r="D332" s="26"/>
      <c r="E332" s="26"/>
      <c r="F332" s="26">
        <v>3</v>
      </c>
      <c r="G332" s="26"/>
      <c r="H332" s="26"/>
      <c r="I332" s="26"/>
      <c r="J332" s="192" t="s">
        <v>909</v>
      </c>
      <c r="K332" s="140" t="s">
        <v>910</v>
      </c>
      <c r="L332" s="72" t="s">
        <v>913</v>
      </c>
      <c r="M332" s="140" t="s">
        <v>911</v>
      </c>
      <c r="N332" s="605" t="s">
        <v>912</v>
      </c>
      <c r="O332" s="72" t="s">
        <v>914</v>
      </c>
      <c r="P332" s="12"/>
      <c r="Q332" s="12"/>
      <c r="R332" s="12" t="s">
        <v>916</v>
      </c>
      <c r="S332" s="12"/>
      <c r="T332" s="12"/>
      <c r="U332" s="12"/>
      <c r="V332" s="26"/>
      <c r="W332" s="26"/>
      <c r="X332" s="12"/>
      <c r="Y332" s="12"/>
      <c r="Z332" s="12"/>
      <c r="AA332" s="12"/>
      <c r="AB332" s="12"/>
      <c r="AC332" s="12"/>
      <c r="AD332" s="12"/>
      <c r="AE332" s="12"/>
      <c r="AF332" s="12"/>
      <c r="AG332" s="12"/>
      <c r="AH332" s="12"/>
      <c r="AI332" s="12"/>
      <c r="AJ332" s="12"/>
      <c r="AK332" s="12"/>
      <c r="AL332" s="12"/>
      <c r="AM332" s="12"/>
      <c r="AN332" s="12"/>
    </row>
    <row r="333" spans="1:40" ht="120" x14ac:dyDescent="0.2">
      <c r="A333" s="3" t="s">
        <v>1098</v>
      </c>
      <c r="B333" s="3"/>
      <c r="C333" s="12"/>
      <c r="D333" s="26"/>
      <c r="E333" s="26"/>
      <c r="F333" s="26">
        <v>3</v>
      </c>
      <c r="G333" s="26"/>
      <c r="H333" s="26"/>
      <c r="I333" s="26"/>
      <c r="J333" s="595" t="s">
        <v>917</v>
      </c>
      <c r="K333" s="204" t="s">
        <v>918</v>
      </c>
      <c r="L333" s="72" t="s">
        <v>913</v>
      </c>
      <c r="M333" s="140" t="s">
        <v>919</v>
      </c>
      <c r="N333" s="605" t="s">
        <v>912</v>
      </c>
      <c r="O333" s="72" t="s">
        <v>914</v>
      </c>
      <c r="P333" s="12"/>
      <c r="Q333" s="12"/>
      <c r="R333" s="12" t="s">
        <v>916</v>
      </c>
      <c r="S333" s="12"/>
      <c r="T333" s="12"/>
      <c r="U333" s="12"/>
      <c r="V333" s="26"/>
      <c r="W333" s="26"/>
      <c r="X333" s="12"/>
      <c r="Y333" s="12"/>
      <c r="Z333" s="12"/>
      <c r="AA333" s="12"/>
      <c r="AB333" s="12"/>
      <c r="AC333" s="12"/>
      <c r="AD333" s="12"/>
      <c r="AE333" s="12"/>
      <c r="AF333" s="12"/>
      <c r="AG333" s="12"/>
      <c r="AH333" s="12"/>
      <c r="AI333" s="12"/>
      <c r="AJ333" s="12"/>
      <c r="AK333" s="12"/>
      <c r="AL333" s="12"/>
      <c r="AM333" s="12"/>
      <c r="AN333" s="12"/>
    </row>
    <row r="334" spans="1:40" ht="102" x14ac:dyDescent="0.2">
      <c r="A334" s="3" t="s">
        <v>1098</v>
      </c>
      <c r="B334" s="3"/>
      <c r="C334" s="12"/>
      <c r="D334" s="26"/>
      <c r="E334" s="26"/>
      <c r="F334" s="26">
        <v>3</v>
      </c>
      <c r="G334" s="26"/>
      <c r="H334" s="26"/>
      <c r="I334" s="26"/>
      <c r="J334" s="192" t="s">
        <v>920</v>
      </c>
      <c r="K334" s="204" t="s">
        <v>921</v>
      </c>
      <c r="L334" s="72" t="s">
        <v>923</v>
      </c>
      <c r="M334" s="140" t="s">
        <v>922</v>
      </c>
      <c r="N334" s="605" t="s">
        <v>912</v>
      </c>
      <c r="O334" s="72" t="s">
        <v>924</v>
      </c>
      <c r="P334" s="12"/>
      <c r="Q334" s="12"/>
      <c r="R334" s="12" t="s">
        <v>916</v>
      </c>
      <c r="S334" s="12"/>
      <c r="T334" s="12"/>
      <c r="U334" s="12"/>
      <c r="V334" s="26"/>
      <c r="W334" s="26"/>
      <c r="X334" s="12"/>
      <c r="Y334" s="12"/>
      <c r="Z334" s="12"/>
      <c r="AA334" s="12"/>
      <c r="AB334" s="12"/>
      <c r="AC334" s="12"/>
      <c r="AD334" s="12"/>
      <c r="AE334" s="12"/>
      <c r="AF334" s="12"/>
      <c r="AG334" s="12"/>
      <c r="AH334" s="12"/>
      <c r="AI334" s="12"/>
      <c r="AJ334" s="12"/>
      <c r="AK334" s="12"/>
      <c r="AL334" s="12"/>
      <c r="AM334" s="12"/>
      <c r="AN334" s="12"/>
    </row>
    <row r="335" spans="1:40" s="164" customFormat="1" x14ac:dyDescent="0.2">
      <c r="A335" s="3"/>
      <c r="B335" s="3"/>
      <c r="C335" s="12"/>
      <c r="D335" s="375"/>
      <c r="E335" s="865">
        <v>2</v>
      </c>
      <c r="F335" s="1168" t="s">
        <v>926</v>
      </c>
      <c r="G335" s="1169"/>
      <c r="H335" s="1169"/>
      <c r="I335" s="1169"/>
      <c r="J335" s="1169"/>
      <c r="K335" s="1169"/>
      <c r="L335" s="1169"/>
      <c r="M335" s="1169"/>
      <c r="N335" s="1169"/>
      <c r="O335" s="1169"/>
      <c r="P335" s="1169"/>
      <c r="Q335" s="1169"/>
      <c r="R335" s="1169"/>
      <c r="S335" s="1169"/>
      <c r="T335" s="1169"/>
      <c r="U335" s="1169"/>
      <c r="V335" s="1169"/>
      <c r="W335" s="1169"/>
      <c r="X335" s="1169"/>
      <c r="Y335" s="1169"/>
      <c r="Z335" s="1170"/>
      <c r="AA335" s="861"/>
      <c r="AB335" s="861"/>
      <c r="AC335" s="861"/>
      <c r="AD335" s="861"/>
      <c r="AE335" s="861"/>
      <c r="AF335" s="861"/>
      <c r="AG335" s="861"/>
      <c r="AH335" s="861"/>
      <c r="AI335" s="861"/>
      <c r="AJ335" s="861"/>
      <c r="AK335" s="861"/>
      <c r="AL335" s="861"/>
      <c r="AM335" s="861"/>
      <c r="AN335" s="861"/>
    </row>
    <row r="336" spans="1:40" x14ac:dyDescent="0.2">
      <c r="A336" s="3"/>
      <c r="B336" s="3"/>
      <c r="C336" s="12"/>
      <c r="D336" s="26"/>
      <c r="E336" s="26"/>
      <c r="F336" s="26">
        <v>3</v>
      </c>
      <c r="G336" s="26"/>
      <c r="H336" s="26"/>
      <c r="I336" s="26"/>
      <c r="J336" s="192" t="s">
        <v>927</v>
      </c>
      <c r="K336" s="472"/>
      <c r="L336" s="128"/>
      <c r="M336" s="140"/>
      <c r="N336" s="204"/>
      <c r="O336" s="72"/>
      <c r="P336" s="12"/>
      <c r="Q336" s="12"/>
      <c r="R336" s="12"/>
      <c r="S336" s="12"/>
      <c r="T336" s="12"/>
      <c r="U336" s="12"/>
      <c r="V336" s="26"/>
      <c r="W336" s="26"/>
      <c r="X336" s="12"/>
      <c r="Y336" s="12"/>
      <c r="Z336" s="12"/>
      <c r="AA336" s="12"/>
      <c r="AB336" s="12"/>
      <c r="AC336" s="12"/>
      <c r="AD336" s="12"/>
      <c r="AE336" s="12"/>
      <c r="AF336" s="12"/>
      <c r="AG336" s="12"/>
      <c r="AH336" s="12"/>
      <c r="AI336" s="12"/>
      <c r="AJ336" s="12"/>
      <c r="AK336" s="12"/>
      <c r="AL336" s="12"/>
      <c r="AM336" s="12"/>
      <c r="AN336" s="12"/>
    </row>
    <row r="337" spans="1:40" s="74" customFormat="1" ht="60" x14ac:dyDescent="0.2">
      <c r="A337" s="3" t="s">
        <v>1098</v>
      </c>
      <c r="B337" s="3"/>
      <c r="C337" s="69"/>
      <c r="D337" s="188"/>
      <c r="E337" s="188"/>
      <c r="F337" s="188"/>
      <c r="G337" s="188">
        <v>4</v>
      </c>
      <c r="H337" s="188"/>
      <c r="I337" s="205"/>
      <c r="J337" s="192" t="s">
        <v>928</v>
      </c>
      <c r="K337" s="140" t="s">
        <v>929</v>
      </c>
      <c r="L337" s="72" t="s">
        <v>932</v>
      </c>
      <c r="M337" s="140" t="s">
        <v>930</v>
      </c>
      <c r="N337" s="204" t="s">
        <v>931</v>
      </c>
      <c r="O337" s="72" t="s">
        <v>933</v>
      </c>
      <c r="P337" s="69"/>
      <c r="Q337" s="69"/>
      <c r="R337" s="12" t="s">
        <v>935</v>
      </c>
      <c r="S337" s="69"/>
      <c r="T337" s="70"/>
      <c r="U337" s="69"/>
      <c r="V337" s="188" t="s">
        <v>31</v>
      </c>
      <c r="W337" s="188" t="s">
        <v>31</v>
      </c>
      <c r="X337" s="70"/>
      <c r="Y337" s="70"/>
      <c r="Z337" s="70"/>
      <c r="AA337" s="70"/>
      <c r="AB337" s="70"/>
      <c r="AC337" s="70"/>
      <c r="AD337" s="70"/>
      <c r="AE337" s="70"/>
      <c r="AF337" s="70"/>
      <c r="AG337" s="70"/>
      <c r="AH337" s="70"/>
      <c r="AI337" s="70"/>
      <c r="AJ337" s="70"/>
      <c r="AK337" s="70"/>
      <c r="AL337" s="70"/>
      <c r="AM337" s="70"/>
      <c r="AN337" s="70"/>
    </row>
    <row r="338" spans="1:40" ht="45" x14ac:dyDescent="0.2">
      <c r="A338" s="3" t="s">
        <v>1098</v>
      </c>
      <c r="B338" s="3"/>
      <c r="C338" s="12"/>
      <c r="D338" s="26"/>
      <c r="E338" s="26"/>
      <c r="F338" s="26"/>
      <c r="G338" s="26">
        <v>4</v>
      </c>
      <c r="H338" s="26"/>
      <c r="I338" s="26"/>
      <c r="J338" s="192" t="s">
        <v>936</v>
      </c>
      <c r="K338" s="472" t="s">
        <v>937</v>
      </c>
      <c r="L338" s="72" t="s">
        <v>939</v>
      </c>
      <c r="M338" s="140" t="s">
        <v>930</v>
      </c>
      <c r="N338" s="204" t="s">
        <v>938</v>
      </c>
      <c r="O338" s="72" t="s">
        <v>933</v>
      </c>
      <c r="P338" s="12"/>
      <c r="Q338" s="12"/>
      <c r="R338" s="12" t="s">
        <v>941</v>
      </c>
      <c r="S338" s="12"/>
      <c r="T338" s="12"/>
      <c r="U338" s="12"/>
      <c r="V338" s="26"/>
      <c r="W338" s="26"/>
      <c r="X338" s="12"/>
      <c r="Y338" s="12"/>
      <c r="Z338" s="12"/>
      <c r="AA338" s="12"/>
      <c r="AB338" s="12"/>
      <c r="AC338" s="12"/>
      <c r="AD338" s="12"/>
      <c r="AE338" s="12"/>
      <c r="AF338" s="12"/>
      <c r="AG338" s="12"/>
      <c r="AH338" s="12"/>
      <c r="AI338" s="12"/>
      <c r="AJ338" s="12"/>
      <c r="AK338" s="12"/>
      <c r="AL338" s="12"/>
      <c r="AM338" s="12"/>
      <c r="AN338" s="12"/>
    </row>
    <row r="339" spans="1:40" ht="45" x14ac:dyDescent="0.2">
      <c r="A339" s="3" t="s">
        <v>1098</v>
      </c>
      <c r="B339" s="3"/>
      <c r="C339" s="12"/>
      <c r="D339" s="26"/>
      <c r="E339" s="26"/>
      <c r="F339" s="26"/>
      <c r="G339" s="26">
        <v>4</v>
      </c>
      <c r="H339" s="26"/>
      <c r="I339" s="26"/>
      <c r="J339" s="192" t="s">
        <v>942</v>
      </c>
      <c r="K339" s="472" t="s">
        <v>943</v>
      </c>
      <c r="L339" s="72" t="s">
        <v>945</v>
      </c>
      <c r="M339" s="140" t="s">
        <v>944</v>
      </c>
      <c r="N339" s="204" t="s">
        <v>938</v>
      </c>
      <c r="O339" s="72" t="s">
        <v>946</v>
      </c>
      <c r="P339" s="12"/>
      <c r="Q339" s="12"/>
      <c r="R339" s="12" t="s">
        <v>948</v>
      </c>
      <c r="S339" s="12"/>
      <c r="T339" s="12"/>
      <c r="U339" s="12"/>
      <c r="V339" s="26"/>
      <c r="W339" s="26"/>
      <c r="X339" s="12"/>
      <c r="Y339" s="12"/>
      <c r="Z339" s="12"/>
      <c r="AA339" s="12"/>
      <c r="AB339" s="12"/>
      <c r="AC339" s="12"/>
      <c r="AD339" s="12"/>
      <c r="AE339" s="12"/>
      <c r="AF339" s="12"/>
      <c r="AG339" s="12"/>
      <c r="AH339" s="12"/>
      <c r="AI339" s="12"/>
      <c r="AJ339" s="12"/>
      <c r="AK339" s="12"/>
      <c r="AL339" s="12"/>
      <c r="AM339" s="12"/>
      <c r="AN339" s="12"/>
    </row>
    <row r="340" spans="1:40" ht="45" x14ac:dyDescent="0.2">
      <c r="A340" s="3" t="s">
        <v>1098</v>
      </c>
      <c r="B340" s="3"/>
      <c r="C340" s="12"/>
      <c r="D340" s="26"/>
      <c r="E340" s="26"/>
      <c r="F340" s="26"/>
      <c r="G340" s="26">
        <v>4</v>
      </c>
      <c r="H340" s="26"/>
      <c r="I340" s="26"/>
      <c r="J340" s="192" t="s">
        <v>949</v>
      </c>
      <c r="K340" s="472" t="s">
        <v>950</v>
      </c>
      <c r="L340" s="72" t="s">
        <v>945</v>
      </c>
      <c r="M340" s="140" t="s">
        <v>951</v>
      </c>
      <c r="N340" s="204" t="s">
        <v>938</v>
      </c>
      <c r="O340" s="72" t="s">
        <v>946</v>
      </c>
      <c r="P340" s="12"/>
      <c r="Q340" s="12"/>
      <c r="R340" s="12" t="s">
        <v>952</v>
      </c>
      <c r="S340" s="12"/>
      <c r="T340" s="12"/>
      <c r="U340" s="12"/>
      <c r="V340" s="26"/>
      <c r="W340" s="26"/>
      <c r="X340" s="12"/>
      <c r="Y340" s="12"/>
      <c r="Z340" s="12"/>
      <c r="AA340" s="12"/>
      <c r="AB340" s="12"/>
      <c r="AC340" s="12"/>
      <c r="AD340" s="12"/>
      <c r="AE340" s="12"/>
      <c r="AF340" s="12"/>
      <c r="AG340" s="12"/>
      <c r="AH340" s="12"/>
      <c r="AI340" s="12"/>
      <c r="AJ340" s="12"/>
      <c r="AK340" s="12"/>
      <c r="AL340" s="12"/>
      <c r="AM340" s="12"/>
      <c r="AN340" s="12"/>
    </row>
    <row r="341" spans="1:40" x14ac:dyDescent="0.2">
      <c r="A341" s="3" t="s">
        <v>1106</v>
      </c>
      <c r="B341" s="3"/>
      <c r="C341" s="12"/>
      <c r="D341" s="26"/>
      <c r="E341" s="26"/>
      <c r="F341" s="26">
        <v>3</v>
      </c>
      <c r="G341" s="26"/>
      <c r="H341" s="26"/>
      <c r="I341" s="26"/>
      <c r="J341" s="192" t="s">
        <v>953</v>
      </c>
      <c r="K341" s="472" t="s">
        <v>954</v>
      </c>
      <c r="L341" s="128" t="s">
        <v>959</v>
      </c>
      <c r="M341" s="140"/>
      <c r="N341" s="204"/>
      <c r="O341" s="72"/>
      <c r="P341" s="12"/>
      <c r="Q341" s="12"/>
      <c r="R341" s="12"/>
      <c r="S341" s="12"/>
      <c r="T341" s="12"/>
      <c r="U341" s="12"/>
      <c r="V341" s="26"/>
      <c r="W341" s="26"/>
      <c r="X341" s="12"/>
      <c r="Y341" s="12"/>
      <c r="Z341" s="12"/>
      <c r="AA341" s="12"/>
      <c r="AB341" s="12"/>
      <c r="AC341" s="12"/>
      <c r="AD341" s="12"/>
      <c r="AE341" s="12"/>
      <c r="AF341" s="12"/>
      <c r="AG341" s="12"/>
      <c r="AH341" s="12"/>
      <c r="AI341" s="12"/>
      <c r="AJ341" s="12"/>
      <c r="AK341" s="12"/>
      <c r="AL341" s="12"/>
      <c r="AM341" s="12"/>
      <c r="AN341" s="12"/>
    </row>
    <row r="342" spans="1:40" ht="30" x14ac:dyDescent="0.2">
      <c r="A342" s="3" t="s">
        <v>1106</v>
      </c>
      <c r="B342" s="3"/>
      <c r="C342" s="12"/>
      <c r="D342" s="26"/>
      <c r="E342" s="26"/>
      <c r="F342" s="26"/>
      <c r="G342" s="26">
        <v>4</v>
      </c>
      <c r="H342" s="26"/>
      <c r="I342" s="26"/>
      <c r="J342" s="192" t="s">
        <v>955</v>
      </c>
      <c r="K342" s="472" t="s">
        <v>956</v>
      </c>
      <c r="L342" s="128" t="s">
        <v>959</v>
      </c>
      <c r="M342" s="188" t="s">
        <v>957</v>
      </c>
      <c r="N342" s="204" t="s">
        <v>958</v>
      </c>
      <c r="O342" s="72" t="s">
        <v>960</v>
      </c>
      <c r="P342" s="12"/>
      <c r="Q342" s="12"/>
      <c r="R342" s="63" t="s">
        <v>803</v>
      </c>
      <c r="S342" s="12"/>
      <c r="T342" s="12"/>
      <c r="U342" s="12"/>
      <c r="V342" s="26"/>
      <c r="W342" s="26"/>
      <c r="X342" s="12"/>
      <c r="Y342" s="12"/>
      <c r="Z342" s="12"/>
      <c r="AA342" s="12"/>
      <c r="AB342" s="12"/>
      <c r="AC342" s="12"/>
      <c r="AD342" s="12"/>
      <c r="AE342" s="12"/>
      <c r="AF342" s="12"/>
      <c r="AG342" s="12"/>
      <c r="AH342" s="12"/>
      <c r="AI342" s="12"/>
      <c r="AJ342" s="12"/>
      <c r="AK342" s="12"/>
      <c r="AL342" s="12"/>
      <c r="AM342" s="12"/>
      <c r="AN342" s="12"/>
    </row>
    <row r="343" spans="1:40" ht="30" x14ac:dyDescent="0.2">
      <c r="A343" s="3" t="s">
        <v>1098</v>
      </c>
      <c r="B343" s="3"/>
      <c r="C343" s="12"/>
      <c r="D343" s="26"/>
      <c r="E343" s="26"/>
      <c r="F343" s="26"/>
      <c r="G343" s="26">
        <v>4</v>
      </c>
      <c r="H343" s="26"/>
      <c r="I343" s="26"/>
      <c r="J343" s="192" t="s">
        <v>961</v>
      </c>
      <c r="K343" s="472" t="s">
        <v>962</v>
      </c>
      <c r="L343" s="128" t="s">
        <v>959</v>
      </c>
      <c r="M343" s="188" t="s">
        <v>957</v>
      </c>
      <c r="N343" s="204" t="s">
        <v>963</v>
      </c>
      <c r="O343" s="72" t="s">
        <v>960</v>
      </c>
      <c r="P343" s="12"/>
      <c r="Q343" s="12"/>
      <c r="R343" s="63" t="s">
        <v>803</v>
      </c>
      <c r="S343" s="12"/>
      <c r="T343" s="12"/>
      <c r="U343" s="12"/>
      <c r="V343" s="26"/>
      <c r="W343" s="26"/>
      <c r="X343" s="12"/>
      <c r="Y343" s="12"/>
      <c r="Z343" s="12"/>
      <c r="AA343" s="12"/>
      <c r="AB343" s="12"/>
      <c r="AC343" s="12"/>
      <c r="AD343" s="12"/>
      <c r="AE343" s="12"/>
      <c r="AF343" s="12"/>
      <c r="AG343" s="12"/>
      <c r="AH343" s="12"/>
      <c r="AI343" s="12"/>
      <c r="AJ343" s="12"/>
      <c r="AK343" s="12"/>
      <c r="AL343" s="12"/>
      <c r="AM343" s="12"/>
      <c r="AN343" s="12"/>
    </row>
    <row r="344" spans="1:40" s="164" customFormat="1" x14ac:dyDescent="0.2">
      <c r="A344" s="3"/>
      <c r="B344" s="3"/>
      <c r="C344" s="12"/>
      <c r="D344" s="375"/>
      <c r="E344" s="865">
        <v>2</v>
      </c>
      <c r="F344" s="1168" t="s">
        <v>964</v>
      </c>
      <c r="G344" s="1169"/>
      <c r="H344" s="1169"/>
      <c r="I344" s="1169"/>
      <c r="J344" s="1169"/>
      <c r="K344" s="1169"/>
      <c r="L344" s="1169"/>
      <c r="M344" s="1169"/>
      <c r="N344" s="1169"/>
      <c r="O344" s="1169"/>
      <c r="P344" s="1169"/>
      <c r="Q344" s="1169"/>
      <c r="R344" s="1169"/>
      <c r="S344" s="1169"/>
      <c r="T344" s="1169"/>
      <c r="U344" s="1169"/>
      <c r="V344" s="1169"/>
      <c r="W344" s="1169"/>
      <c r="X344" s="1169"/>
      <c r="Y344" s="1169"/>
      <c r="Z344" s="1170"/>
      <c r="AA344" s="861"/>
      <c r="AB344" s="861"/>
      <c r="AC344" s="861"/>
      <c r="AD344" s="861"/>
      <c r="AE344" s="861"/>
      <c r="AF344" s="861"/>
      <c r="AG344" s="861"/>
      <c r="AH344" s="861"/>
      <c r="AI344" s="861"/>
      <c r="AJ344" s="861"/>
      <c r="AK344" s="861"/>
      <c r="AL344" s="861"/>
      <c r="AM344" s="861"/>
      <c r="AN344" s="861"/>
    </row>
    <row r="345" spans="1:40" ht="60" customHeight="1" x14ac:dyDescent="0.2">
      <c r="A345" s="3" t="s">
        <v>1098</v>
      </c>
      <c r="B345" s="3"/>
      <c r="C345" s="12"/>
      <c r="D345" s="26"/>
      <c r="E345" s="26"/>
      <c r="F345" s="26">
        <v>3</v>
      </c>
      <c r="G345" s="26"/>
      <c r="H345" s="26"/>
      <c r="I345" s="26"/>
      <c r="J345" s="192" t="s">
        <v>965</v>
      </c>
      <c r="K345" s="140" t="s">
        <v>2542</v>
      </c>
      <c r="L345" s="128" t="s">
        <v>969</v>
      </c>
      <c r="M345" s="140" t="s">
        <v>967</v>
      </c>
      <c r="N345" s="606" t="s">
        <v>968</v>
      </c>
      <c r="O345" s="128" t="s">
        <v>970</v>
      </c>
      <c r="P345" s="12"/>
      <c r="Q345" s="12"/>
      <c r="R345" s="12" t="s">
        <v>971</v>
      </c>
      <c r="S345" s="12"/>
      <c r="T345" s="12"/>
      <c r="U345" s="12"/>
      <c r="V345" s="26"/>
      <c r="W345" s="26"/>
      <c r="X345" s="12"/>
      <c r="Y345" s="12"/>
      <c r="Z345" s="12"/>
      <c r="AA345" s="12"/>
      <c r="AB345" s="12"/>
      <c r="AC345" s="12"/>
      <c r="AD345" s="12"/>
      <c r="AE345" s="12"/>
      <c r="AF345" s="12"/>
      <c r="AG345" s="12"/>
      <c r="AH345" s="12"/>
      <c r="AI345" s="12"/>
      <c r="AJ345" s="12"/>
      <c r="AK345" s="12"/>
      <c r="AL345" s="12"/>
      <c r="AM345" s="12"/>
      <c r="AN345" s="12"/>
    </row>
    <row r="346" spans="1:40" ht="60" x14ac:dyDescent="0.2">
      <c r="A346" s="3" t="s">
        <v>1098</v>
      </c>
      <c r="B346" s="3"/>
      <c r="C346" s="12"/>
      <c r="D346" s="26"/>
      <c r="E346" s="26"/>
      <c r="F346" s="26">
        <v>3</v>
      </c>
      <c r="G346" s="26"/>
      <c r="H346" s="26"/>
      <c r="I346" s="26"/>
      <c r="J346" s="192" t="s">
        <v>972</v>
      </c>
      <c r="K346" s="472" t="s">
        <v>973</v>
      </c>
      <c r="L346" s="128" t="s">
        <v>969</v>
      </c>
      <c r="M346" s="140" t="s">
        <v>891</v>
      </c>
      <c r="N346" s="606" t="s">
        <v>968</v>
      </c>
      <c r="O346" s="128" t="s">
        <v>970</v>
      </c>
      <c r="P346" s="12"/>
      <c r="Q346" s="12"/>
      <c r="R346" s="12" t="s">
        <v>971</v>
      </c>
      <c r="S346" s="12"/>
      <c r="T346" s="12"/>
      <c r="U346" s="12"/>
      <c r="V346" s="26"/>
      <c r="W346" s="26"/>
      <c r="X346" s="12"/>
      <c r="Y346" s="12"/>
      <c r="Z346" s="12"/>
      <c r="AA346" s="12"/>
      <c r="AB346" s="12"/>
      <c r="AC346" s="12"/>
      <c r="AD346" s="12"/>
      <c r="AE346" s="12"/>
      <c r="AF346" s="12"/>
      <c r="AG346" s="12"/>
      <c r="AH346" s="12"/>
      <c r="AI346" s="12"/>
      <c r="AJ346" s="12"/>
      <c r="AK346" s="12"/>
      <c r="AL346" s="12"/>
      <c r="AM346" s="12"/>
      <c r="AN346" s="12"/>
    </row>
    <row r="347" spans="1:40" ht="60" x14ac:dyDescent="0.2">
      <c r="A347" s="3" t="s">
        <v>1098</v>
      </c>
      <c r="B347" s="3"/>
      <c r="C347" s="12"/>
      <c r="D347" s="26"/>
      <c r="E347" s="26"/>
      <c r="F347" s="26">
        <v>3</v>
      </c>
      <c r="G347" s="26"/>
      <c r="H347" s="26"/>
      <c r="I347" s="26"/>
      <c r="J347" s="192" t="s">
        <v>974</v>
      </c>
      <c r="K347" s="204" t="s">
        <v>975</v>
      </c>
      <c r="L347" s="72" t="s">
        <v>976</v>
      </c>
      <c r="M347" s="140" t="s">
        <v>891</v>
      </c>
      <c r="N347" s="606" t="s">
        <v>968</v>
      </c>
      <c r="O347" s="72" t="s">
        <v>977</v>
      </c>
      <c r="P347" s="12"/>
      <c r="Q347" s="12"/>
      <c r="R347" s="12" t="s">
        <v>971</v>
      </c>
      <c r="S347" s="12"/>
      <c r="T347" s="12"/>
      <c r="U347" s="12"/>
      <c r="V347" s="26"/>
      <c r="W347" s="26"/>
      <c r="X347" s="12"/>
      <c r="Y347" s="12"/>
      <c r="Z347" s="12"/>
      <c r="AA347" s="12"/>
      <c r="AB347" s="12"/>
      <c r="AC347" s="12"/>
      <c r="AD347" s="12"/>
      <c r="AE347" s="12"/>
      <c r="AF347" s="12"/>
      <c r="AG347" s="12"/>
      <c r="AH347" s="12"/>
      <c r="AI347" s="12"/>
      <c r="AJ347" s="12"/>
      <c r="AK347" s="12"/>
      <c r="AL347" s="12"/>
      <c r="AM347" s="12"/>
      <c r="AN347" s="12"/>
    </row>
    <row r="348" spans="1:40" s="164" customFormat="1" x14ac:dyDescent="0.2">
      <c r="A348" s="3"/>
      <c r="B348" s="3"/>
      <c r="C348" s="12"/>
      <c r="D348" s="375"/>
      <c r="E348" s="865">
        <v>2</v>
      </c>
      <c r="F348" s="1168" t="s">
        <v>978</v>
      </c>
      <c r="G348" s="1169"/>
      <c r="H348" s="1169"/>
      <c r="I348" s="1169"/>
      <c r="J348" s="1169"/>
      <c r="K348" s="1169"/>
      <c r="L348" s="1169"/>
      <c r="M348" s="1169"/>
      <c r="N348" s="1169"/>
      <c r="O348" s="1169"/>
      <c r="P348" s="1169"/>
      <c r="Q348" s="1169"/>
      <c r="R348" s="1169"/>
      <c r="S348" s="1169"/>
      <c r="T348" s="1169"/>
      <c r="U348" s="1169"/>
      <c r="V348" s="1169"/>
      <c r="W348" s="1169"/>
      <c r="X348" s="1169"/>
      <c r="Y348" s="1169"/>
      <c r="Z348" s="1170"/>
      <c r="AA348" s="861"/>
      <c r="AB348" s="861"/>
      <c r="AC348" s="861"/>
      <c r="AD348" s="861"/>
      <c r="AE348" s="861"/>
      <c r="AF348" s="861"/>
      <c r="AG348" s="861"/>
      <c r="AH348" s="861"/>
      <c r="AI348" s="861"/>
      <c r="AJ348" s="861"/>
      <c r="AK348" s="861"/>
      <c r="AL348" s="861"/>
      <c r="AM348" s="861"/>
      <c r="AN348" s="861"/>
    </row>
    <row r="349" spans="1:40" ht="45" x14ac:dyDescent="0.2">
      <c r="A349" s="3" t="s">
        <v>1098</v>
      </c>
      <c r="B349" s="3"/>
      <c r="C349" s="12"/>
      <c r="D349" s="26"/>
      <c r="E349" s="26"/>
      <c r="F349" s="26">
        <v>3</v>
      </c>
      <c r="G349" s="26"/>
      <c r="H349" s="26"/>
      <c r="I349" s="26"/>
      <c r="J349" s="192" t="s">
        <v>980</v>
      </c>
      <c r="K349" s="204" t="s">
        <v>981</v>
      </c>
      <c r="L349" s="72" t="s">
        <v>2543</v>
      </c>
      <c r="M349" s="26" t="s">
        <v>2544</v>
      </c>
      <c r="N349" s="879" t="s">
        <v>982</v>
      </c>
      <c r="O349" s="128" t="s">
        <v>983</v>
      </c>
      <c r="P349" s="12"/>
      <c r="Q349" s="12"/>
      <c r="R349" s="12" t="s">
        <v>984</v>
      </c>
      <c r="S349" s="12"/>
      <c r="T349" s="12"/>
      <c r="U349" s="12"/>
      <c r="V349" s="26"/>
      <c r="W349" s="26"/>
      <c r="X349" s="12"/>
      <c r="Y349" s="12"/>
      <c r="Z349" s="12"/>
      <c r="AA349" s="12"/>
      <c r="AB349" s="12"/>
      <c r="AC349" s="12"/>
      <c r="AD349" s="12"/>
      <c r="AE349" s="12"/>
      <c r="AF349" s="12"/>
      <c r="AG349" s="12"/>
      <c r="AH349" s="12"/>
      <c r="AI349" s="12"/>
      <c r="AJ349" s="12"/>
      <c r="AK349" s="12"/>
      <c r="AL349" s="12"/>
      <c r="AM349" s="12"/>
      <c r="AN349" s="12"/>
    </row>
    <row r="350" spans="1:40" s="164" customFormat="1" x14ac:dyDescent="0.2">
      <c r="A350" s="3"/>
      <c r="B350" s="3"/>
      <c r="C350" s="12"/>
      <c r="D350" s="375"/>
      <c r="E350" s="865">
        <v>2</v>
      </c>
      <c r="F350" s="1168" t="s">
        <v>985</v>
      </c>
      <c r="G350" s="1169"/>
      <c r="H350" s="1169"/>
      <c r="I350" s="1169"/>
      <c r="J350" s="1169"/>
      <c r="K350" s="1169"/>
      <c r="L350" s="1169"/>
      <c r="M350" s="1169"/>
      <c r="N350" s="1169"/>
      <c r="O350" s="1169"/>
      <c r="P350" s="1169"/>
      <c r="Q350" s="1169"/>
      <c r="R350" s="1169"/>
      <c r="S350" s="1169"/>
      <c r="T350" s="1169"/>
      <c r="U350" s="1169"/>
      <c r="V350" s="1169"/>
      <c r="W350" s="1169"/>
      <c r="X350" s="1169"/>
      <c r="Y350" s="1169"/>
      <c r="Z350" s="1170"/>
      <c r="AA350" s="861"/>
      <c r="AB350" s="861"/>
      <c r="AC350" s="861"/>
      <c r="AD350" s="861"/>
      <c r="AE350" s="861"/>
      <c r="AF350" s="861"/>
      <c r="AG350" s="861"/>
      <c r="AH350" s="861"/>
      <c r="AI350" s="861"/>
      <c r="AJ350" s="861"/>
      <c r="AK350" s="861"/>
      <c r="AL350" s="861"/>
      <c r="AM350" s="861"/>
      <c r="AN350" s="861"/>
    </row>
    <row r="351" spans="1:40" ht="75" x14ac:dyDescent="0.2">
      <c r="A351" s="3" t="s">
        <v>1098</v>
      </c>
      <c r="B351" s="3"/>
      <c r="C351" s="12"/>
      <c r="D351" s="26"/>
      <c r="E351" s="26"/>
      <c r="F351" s="26">
        <v>3</v>
      </c>
      <c r="G351" s="26"/>
      <c r="H351" s="26"/>
      <c r="I351" s="26"/>
      <c r="J351" s="595" t="s">
        <v>986</v>
      </c>
      <c r="K351" s="140" t="s">
        <v>987</v>
      </c>
      <c r="L351" s="72" t="s">
        <v>989</v>
      </c>
      <c r="M351" s="140" t="s">
        <v>988</v>
      </c>
      <c r="N351" s="880" t="s">
        <v>982</v>
      </c>
      <c r="O351" s="72" t="s">
        <v>990</v>
      </c>
      <c r="P351" s="12"/>
      <c r="Q351" s="12"/>
      <c r="R351" s="12" t="s">
        <v>984</v>
      </c>
      <c r="S351" s="12"/>
      <c r="T351" s="12"/>
      <c r="U351" s="12"/>
      <c r="V351" s="26"/>
      <c r="W351" s="26"/>
      <c r="X351" s="12"/>
      <c r="Y351" s="12"/>
      <c r="Z351" s="12"/>
      <c r="AA351" s="12"/>
      <c r="AB351" s="12"/>
      <c r="AC351" s="12"/>
      <c r="AD351" s="12"/>
      <c r="AE351" s="12"/>
      <c r="AF351" s="12"/>
      <c r="AG351" s="12"/>
      <c r="AH351" s="12"/>
      <c r="AI351" s="12"/>
      <c r="AJ351" s="12"/>
      <c r="AK351" s="12"/>
      <c r="AL351" s="12"/>
      <c r="AM351" s="12"/>
      <c r="AN351" s="12"/>
    </row>
    <row r="352" spans="1:40" ht="165" x14ac:dyDescent="0.2">
      <c r="A352" s="3" t="s">
        <v>1098</v>
      </c>
      <c r="B352" s="3"/>
      <c r="C352" s="12"/>
      <c r="D352" s="26"/>
      <c r="E352" s="26"/>
      <c r="F352" s="26">
        <v>3</v>
      </c>
      <c r="G352" s="26"/>
      <c r="H352" s="26"/>
      <c r="I352" s="26"/>
      <c r="J352" s="595" t="s">
        <v>2545</v>
      </c>
      <c r="K352" s="140" t="s">
        <v>2546</v>
      </c>
      <c r="L352" s="72" t="s">
        <v>989</v>
      </c>
      <c r="M352" s="140" t="s">
        <v>994</v>
      </c>
      <c r="N352" s="880" t="s">
        <v>982</v>
      </c>
      <c r="O352" s="72" t="s">
        <v>995</v>
      </c>
      <c r="P352" s="12"/>
      <c r="Q352" s="12"/>
      <c r="R352" s="12" t="s">
        <v>997</v>
      </c>
      <c r="S352" s="12"/>
      <c r="T352" s="12"/>
      <c r="U352" s="12"/>
      <c r="V352" s="26"/>
      <c r="W352" s="26"/>
      <c r="X352" s="12"/>
      <c r="Y352" s="12"/>
      <c r="Z352" s="12"/>
      <c r="AA352" s="12"/>
      <c r="AB352" s="12"/>
      <c r="AC352" s="12"/>
      <c r="AD352" s="12"/>
      <c r="AE352" s="12"/>
      <c r="AF352" s="12"/>
      <c r="AG352" s="12"/>
      <c r="AH352" s="12"/>
      <c r="AI352" s="12"/>
      <c r="AJ352" s="12"/>
      <c r="AK352" s="12"/>
      <c r="AL352" s="12"/>
      <c r="AM352" s="12"/>
      <c r="AN352" s="12"/>
    </row>
  </sheetData>
  <mergeCells count="81">
    <mergeCell ref="F348:Z348"/>
    <mergeCell ref="F350:Z350"/>
    <mergeCell ref="F328:Z328"/>
    <mergeCell ref="E330:Z330"/>
    <mergeCell ref="F331:Z331"/>
    <mergeCell ref="F335:Z335"/>
    <mergeCell ref="F344:Z344"/>
    <mergeCell ref="F311:Z311"/>
    <mergeCell ref="F315:Z315"/>
    <mergeCell ref="F319:Z319"/>
    <mergeCell ref="E323:Z323"/>
    <mergeCell ref="F324:Z324"/>
    <mergeCell ref="F298:Z298"/>
    <mergeCell ref="E300:Z300"/>
    <mergeCell ref="F301:Z301"/>
    <mergeCell ref="Q304:Q307"/>
    <mergeCell ref="F304:F308"/>
    <mergeCell ref="J304:J309"/>
    <mergeCell ref="F286:Z286"/>
    <mergeCell ref="J288:J290"/>
    <mergeCell ref="F288:F290"/>
    <mergeCell ref="F291:Z291"/>
    <mergeCell ref="F295:Z295"/>
    <mergeCell ref="J269:J274"/>
    <mergeCell ref="E270:E274"/>
    <mergeCell ref="F275:Z275"/>
    <mergeCell ref="F278:Z278"/>
    <mergeCell ref="F282:Z282"/>
    <mergeCell ref="F256:Z256"/>
    <mergeCell ref="F259:Z259"/>
    <mergeCell ref="E263:Z263"/>
    <mergeCell ref="F264:Z264"/>
    <mergeCell ref="F268:Y268"/>
    <mergeCell ref="E245:Z245"/>
    <mergeCell ref="F246:Z246"/>
    <mergeCell ref="F248:Z248"/>
    <mergeCell ref="E252:Z252"/>
    <mergeCell ref="F253:Z253"/>
    <mergeCell ref="F231:Z231"/>
    <mergeCell ref="F234:Z234"/>
    <mergeCell ref="K235:K236"/>
    <mergeCell ref="F237:Z237"/>
    <mergeCell ref="F241:Z241"/>
    <mergeCell ref="F214:Z214"/>
    <mergeCell ref="F218:Z218"/>
    <mergeCell ref="F222:Z222"/>
    <mergeCell ref="F226:Z226"/>
    <mergeCell ref="E230:Z230"/>
    <mergeCell ref="E207:Z207"/>
    <mergeCell ref="F209:Z209"/>
    <mergeCell ref="F210:F212"/>
    <mergeCell ref="J210:J212"/>
    <mergeCell ref="E213:Z213"/>
    <mergeCell ref="F188:Z188"/>
    <mergeCell ref="F195:Z195"/>
    <mergeCell ref="F197:Z197"/>
    <mergeCell ref="F200:Z200"/>
    <mergeCell ref="E205:Z205"/>
    <mergeCell ref="F101:Z101"/>
    <mergeCell ref="F103:Z103"/>
    <mergeCell ref="F116:Z116"/>
    <mergeCell ref="F147:Z147"/>
    <mergeCell ref="F173:Z173"/>
    <mergeCell ref="E39:Z39"/>
    <mergeCell ref="F40:Z40"/>
    <mergeCell ref="F64:Z64"/>
    <mergeCell ref="E71:Z71"/>
    <mergeCell ref="F72:Z72"/>
    <mergeCell ref="F15:Z15"/>
    <mergeCell ref="F20:Z20"/>
    <mergeCell ref="F25:F35"/>
    <mergeCell ref="L25:L35"/>
    <mergeCell ref="J25:J35"/>
    <mergeCell ref="M25:M38"/>
    <mergeCell ref="P25:P38"/>
    <mergeCell ref="N25:N38"/>
    <mergeCell ref="B5:H5"/>
    <mergeCell ref="J5:L5"/>
    <mergeCell ref="D8:Z8"/>
    <mergeCell ref="E10:Z10"/>
    <mergeCell ref="F11:Z11"/>
  </mergeCells>
  <conditionalFormatting sqref="W1:AN8 T9:AN9 T10:T72 V10:AN72 S73:AN208 T209:T267 V209:AN267 T269:T352 V269:AN352">
    <cfRule type="containsText" dxfId="27" priority="1" operator="containsText" text="ja">
      <formula>NOT(ISERROR(SEARCH(("ja"),(W1))))</formula>
    </cfRule>
    <cfRule type="containsText" dxfId="26" priority="2" operator="containsText" text="nein">
      <formula>NOT(ISERROR(SEARCH(("nein"),(W1))))</formula>
    </cfRule>
  </conditionalFormatting>
  <dataValidations count="4">
    <dataValidation type="list" errorStyle="warning" showErrorMessage="1" sqref="A11:A13 A15:A352" xr:uid="{00000000-0002-0000-0800-000000000000}">
      <formula1>"ja,nein"</formula1>
    </dataValidation>
    <dataValidation type="list" errorStyle="warning" showErrorMessage="1" sqref="Z12:AN14 Z16:AN23 Z337:AN337" xr:uid="{00000000-0002-0000-0800-000001000000}">
      <formula1>",Ready, CICD"</formula1>
    </dataValidation>
    <dataValidation type="list" errorStyle="warning" showErrorMessage="1" sqref="W24:W72 W209:W267 W269:W274 W276:W336 W338 W339:W352 V24:V72 V209:V267 V269:V274 V276:V336 V338 V339:V352 V12:W14 V16:W23 V337:W337 T73:U100 T102:U102 T104:U106 T108:U109 T111:U115 U110 U107 T117:U120 T122:U146 U121 T148:U172 T174:U187 T189:U194 T196:U196 T198:U199 T201:U204 T206:U206 T208:U208 V103:W103 V101:W101 V116:W116 V147:W147 V173:W173 V188:W188 V195:W195 V197:W197 V200:W200 V205:W205 V207:W207 V275:W275" xr:uid="{00000000-0002-0000-0800-000002000000}">
      <formula1>"unbestimmt, ja, nein"</formula1>
    </dataValidation>
    <dataValidation type="list" errorStyle="warning" showErrorMessage="1" sqref="B11:B352" xr:uid="{00000000-0002-0000-0800-000003000000}">
      <formula1>"ELA,Meistertask,Cleverreach,Synology,Miro,Google,WhatsApp,Canva,Adobe,Contao,Wiki,ecoDMS,Wiki,Facebook,Instagram,TikTok,LinkedIn,Youtube,Xing,X,SalesForce,Lexware,Volksbank,Articulate,Outlook,easy2book,Domainfactory,1&amp;1"</formula1>
    </dataValidation>
  </dataValidations>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O185"/>
  <sheetViews>
    <sheetView workbookViewId="0">
      <pane ySplit="9" topLeftCell="A10" activePane="bottomLeft" state="frozen"/>
      <selection pane="bottomLeft"/>
    </sheetView>
  </sheetViews>
  <sheetFormatPr baseColWidth="10" defaultColWidth="14.5703125" defaultRowHeight="15" x14ac:dyDescent="0.25"/>
  <cols>
    <col min="1" max="2" width="12" customWidth="1"/>
    <col min="3" max="3" width="7.28515625" customWidth="1"/>
    <col min="4" max="10" width="3.42578125" customWidth="1"/>
    <col min="11" max="11" width="56.28515625" customWidth="1"/>
    <col min="12" max="12" width="59" customWidth="1"/>
    <col min="13" max="13" width="23.140625" customWidth="1"/>
    <col min="14" max="14" width="35.7109375" customWidth="1"/>
    <col min="15" max="15" width="34.140625" customWidth="1"/>
    <col min="16" max="16" width="26.42578125" customWidth="1"/>
    <col min="17" max="17" width="26.85546875" customWidth="1"/>
    <col min="18" max="18" width="17" customWidth="1"/>
    <col min="19" max="19" width="52" customWidth="1"/>
    <col min="21" max="21" width="14.42578125" customWidth="1"/>
    <col min="22" max="22" width="13.85546875" customWidth="1"/>
    <col min="23" max="24" width="31.85546875" customWidth="1"/>
    <col min="25" max="25" width="14.42578125" customWidth="1"/>
  </cols>
  <sheetData>
    <row r="2" spans="1:41" x14ac:dyDescent="0.25">
      <c r="J2" s="736"/>
      <c r="K2" t="s">
        <v>2547</v>
      </c>
    </row>
    <row r="3" spans="1:41" x14ac:dyDescent="0.25">
      <c r="J3" s="43"/>
      <c r="K3" s="44" t="s">
        <v>2548</v>
      </c>
    </row>
    <row r="4" spans="1:41" x14ac:dyDescent="0.25">
      <c r="J4" s="42"/>
      <c r="K4" t="s">
        <v>2</v>
      </c>
    </row>
    <row r="5" spans="1:41" x14ac:dyDescent="0.25">
      <c r="J5" s="106"/>
      <c r="K5" t="s">
        <v>3</v>
      </c>
    </row>
    <row r="6" spans="1:41" x14ac:dyDescent="0.25">
      <c r="J6" s="121"/>
      <c r="K6" t="s">
        <v>4</v>
      </c>
    </row>
    <row r="8" spans="1:41" x14ac:dyDescent="0.25">
      <c r="A8" s="122" t="s">
        <v>5</v>
      </c>
      <c r="B8" s="122" t="s">
        <v>6</v>
      </c>
      <c r="C8" s="883" t="s">
        <v>7</v>
      </c>
      <c r="D8" s="1071" t="s">
        <v>8</v>
      </c>
      <c r="E8" s="1071"/>
      <c r="F8" s="1071"/>
      <c r="G8" s="1071"/>
      <c r="H8" s="1071"/>
      <c r="I8" s="1071"/>
      <c r="J8" s="1071"/>
    </row>
    <row r="9" spans="1:41" s="92" customFormat="1" ht="36.75" customHeight="1" x14ac:dyDescent="0.2">
      <c r="A9" s="7"/>
      <c r="B9" s="7"/>
      <c r="C9" s="116"/>
      <c r="D9" s="116" t="s">
        <v>9</v>
      </c>
      <c r="E9" s="32" t="s">
        <v>10</v>
      </c>
      <c r="F9" s="32" t="s">
        <v>11</v>
      </c>
      <c r="G9" s="32" t="s">
        <v>12</v>
      </c>
      <c r="H9" s="32" t="s">
        <v>13</v>
      </c>
      <c r="I9" s="32" t="s">
        <v>14</v>
      </c>
      <c r="J9" s="32" t="s">
        <v>2549</v>
      </c>
      <c r="K9" s="737" t="s">
        <v>15</v>
      </c>
      <c r="L9" s="738" t="s">
        <v>16</v>
      </c>
      <c r="M9" s="739" t="s">
        <v>17</v>
      </c>
      <c r="N9" s="740" t="s">
        <v>18</v>
      </c>
      <c r="O9" s="740" t="s">
        <v>19</v>
      </c>
      <c r="P9" s="33" t="s">
        <v>20</v>
      </c>
      <c r="Q9" s="740" t="s">
        <v>21</v>
      </c>
      <c r="R9" s="740" t="s">
        <v>22</v>
      </c>
      <c r="S9" s="829" t="s">
        <v>23</v>
      </c>
      <c r="T9" s="741" t="s">
        <v>24</v>
      </c>
      <c r="U9" s="34" t="s">
        <v>25</v>
      </c>
      <c r="V9" s="34" t="s">
        <v>26</v>
      </c>
      <c r="W9" s="35" t="s">
        <v>27</v>
      </c>
      <c r="X9" s="34" t="s">
        <v>28</v>
      </c>
      <c r="Y9" s="34" t="s">
        <v>29</v>
      </c>
    </row>
    <row r="10" spans="1:41" s="3" customFormat="1" ht="19.5" customHeight="1" x14ac:dyDescent="0.25">
      <c r="A10" s="742"/>
      <c r="B10" s="742"/>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row>
    <row r="11" spans="1:41" s="3" customFormat="1" ht="19.5" customHeight="1" x14ac:dyDescent="0.25">
      <c r="C11" s="89" t="s">
        <v>2550</v>
      </c>
      <c r="D11" s="89">
        <v>1</v>
      </c>
      <c r="E11" s="1197" t="s">
        <v>2551</v>
      </c>
      <c r="F11" s="1198"/>
      <c r="G11" s="1198"/>
      <c r="H11" s="1198"/>
      <c r="I11" s="1198"/>
      <c r="J11" s="1198"/>
      <c r="K11" s="1198"/>
      <c r="L11" s="1198"/>
      <c r="M11" s="1198"/>
      <c r="N11" s="1198"/>
      <c r="O11" s="1198"/>
      <c r="P11" s="1198"/>
      <c r="Q11" s="1198"/>
      <c r="R11" s="1198"/>
      <c r="S11" s="1198"/>
      <c r="T11" s="1198"/>
      <c r="U11" s="1198"/>
      <c r="V11" s="1198"/>
      <c r="W11" s="1198"/>
      <c r="X11" s="1198"/>
      <c r="Y11" s="1198"/>
    </row>
    <row r="12" spans="1:41" s="3" customFormat="1" ht="21.75" customHeight="1" x14ac:dyDescent="0.25">
      <c r="A12" s="3" t="s">
        <v>1106</v>
      </c>
      <c r="C12" s="89" t="s">
        <v>2552</v>
      </c>
      <c r="D12" s="1"/>
      <c r="E12" s="61">
        <v>2</v>
      </c>
      <c r="F12" s="61" t="s">
        <v>2553</v>
      </c>
      <c r="G12" s="61"/>
      <c r="H12" s="61"/>
      <c r="I12" s="61"/>
      <c r="J12" s="61"/>
      <c r="K12" s="61"/>
      <c r="L12" s="36"/>
      <c r="M12" s="61"/>
      <c r="N12" s="61"/>
      <c r="O12" s="61"/>
      <c r="P12" s="61"/>
      <c r="Q12" s="1199"/>
      <c r="R12" s="1200"/>
      <c r="S12" s="1200"/>
      <c r="T12" s="1200"/>
      <c r="U12" s="1200"/>
      <c r="V12" s="1200"/>
      <c r="W12" s="64"/>
      <c r="X12" s="64"/>
      <c r="Y12" s="64"/>
    </row>
    <row r="13" spans="1:41" s="3" customFormat="1" ht="40.5" customHeight="1" x14ac:dyDescent="0.25">
      <c r="A13" s="3" t="s">
        <v>1106</v>
      </c>
      <c r="C13" s="89" t="s">
        <v>2554</v>
      </c>
      <c r="D13" s="1144"/>
      <c r="E13" s="1144"/>
      <c r="F13" s="114">
        <v>3</v>
      </c>
      <c r="G13" s="1200" t="s">
        <v>2555</v>
      </c>
      <c r="H13" s="1201"/>
      <c r="I13" s="1201"/>
      <c r="J13" s="1201"/>
      <c r="K13" s="1201"/>
      <c r="L13" s="36" t="s">
        <v>2556</v>
      </c>
      <c r="M13" s="61" t="s">
        <v>81</v>
      </c>
      <c r="N13" s="64" t="s">
        <v>2557</v>
      </c>
      <c r="O13" s="113" t="s">
        <v>2558</v>
      </c>
      <c r="P13" s="61"/>
      <c r="Q13" s="1199" t="s">
        <v>2559</v>
      </c>
      <c r="R13" s="1200"/>
      <c r="S13" s="1200"/>
      <c r="T13" s="1200"/>
      <c r="U13" s="1200"/>
      <c r="V13" s="1200"/>
      <c r="W13" s="61"/>
      <c r="X13" s="61"/>
      <c r="Y13" s="61"/>
      <c r="Z13" s="91"/>
      <c r="AA13" s="89"/>
      <c r="AB13" s="89"/>
      <c r="AC13" s="89"/>
    </row>
    <row r="14" spans="1:41" s="3" customFormat="1" ht="56.25" customHeight="1" x14ac:dyDescent="0.25">
      <c r="A14" s="3" t="s">
        <v>1106</v>
      </c>
      <c r="C14" s="89" t="s">
        <v>2560</v>
      </c>
      <c r="D14" s="1144"/>
      <c r="E14" s="1144"/>
      <c r="F14" s="1144"/>
      <c r="G14" s="113">
        <v>4</v>
      </c>
      <c r="H14" s="1201" t="s">
        <v>2561</v>
      </c>
      <c r="I14" s="1201"/>
      <c r="J14" s="1201"/>
      <c r="K14" s="1201"/>
      <c r="L14" s="36" t="s">
        <v>2562</v>
      </c>
      <c r="M14" s="61" t="s">
        <v>81</v>
      </c>
      <c r="N14" s="64" t="s">
        <v>2563</v>
      </c>
      <c r="O14" s="113" t="s">
        <v>2564</v>
      </c>
      <c r="P14" s="61"/>
      <c r="Q14" s="1199" t="s">
        <v>2559</v>
      </c>
      <c r="R14" s="1200"/>
      <c r="S14" s="1200"/>
      <c r="T14" s="1200"/>
      <c r="U14" s="1200"/>
      <c r="V14" s="1200"/>
      <c r="W14" s="61"/>
      <c r="X14" s="61"/>
      <c r="Y14" s="61"/>
      <c r="Z14" s="91"/>
      <c r="AA14" s="89"/>
      <c r="AB14" s="89"/>
      <c r="AC14" s="89"/>
    </row>
    <row r="15" spans="1:41" s="3" customFormat="1" ht="50.25" customHeight="1" x14ac:dyDescent="0.25">
      <c r="A15" s="3" t="s">
        <v>1106</v>
      </c>
      <c r="C15" s="89" t="s">
        <v>2565</v>
      </c>
      <c r="D15" s="1202"/>
      <c r="E15" s="1203"/>
      <c r="F15" s="1204"/>
      <c r="G15" s="113">
        <v>4</v>
      </c>
      <c r="H15" s="1205" t="s">
        <v>2566</v>
      </c>
      <c r="I15" s="1205"/>
      <c r="J15" s="1205"/>
      <c r="K15" s="1205"/>
      <c r="L15" s="36" t="s">
        <v>2567</v>
      </c>
      <c r="M15" s="61" t="s">
        <v>81</v>
      </c>
      <c r="N15" s="64" t="s">
        <v>2563</v>
      </c>
      <c r="O15" s="113" t="s">
        <v>2568</v>
      </c>
      <c r="P15" s="61"/>
      <c r="Q15" s="61"/>
      <c r="R15" s="61"/>
      <c r="S15" s="61"/>
      <c r="T15" s="61"/>
      <c r="U15" s="61"/>
      <c r="V15" s="61"/>
      <c r="W15" s="61"/>
      <c r="X15" s="61"/>
      <c r="Y15" s="61"/>
      <c r="Z15" s="91"/>
      <c r="AA15" s="89"/>
      <c r="AB15" s="89"/>
      <c r="AC15" s="89"/>
    </row>
    <row r="16" spans="1:41" s="3" customFormat="1" ht="30" customHeight="1" x14ac:dyDescent="0.25">
      <c r="C16" s="89" t="s">
        <v>2569</v>
      </c>
      <c r="D16" s="1"/>
      <c r="E16" s="103">
        <v>2</v>
      </c>
      <c r="F16" s="1206" t="s">
        <v>2570</v>
      </c>
      <c r="G16" s="1207"/>
      <c r="H16" s="1207"/>
      <c r="I16" s="1207"/>
      <c r="J16" s="1207"/>
      <c r="K16" s="1207"/>
      <c r="L16" s="1207"/>
      <c r="M16" s="1207"/>
      <c r="N16" s="1207"/>
      <c r="O16" s="1207"/>
      <c r="P16" s="1207"/>
      <c r="Q16" s="1207"/>
      <c r="R16" s="1207"/>
      <c r="S16" s="1207"/>
      <c r="T16" s="1207"/>
      <c r="U16" s="1207"/>
      <c r="V16" s="1207"/>
      <c r="W16" s="1207"/>
      <c r="X16" s="1207"/>
      <c r="Y16" s="1207"/>
      <c r="Z16" s="91"/>
      <c r="AA16" s="89"/>
      <c r="AB16" s="89"/>
      <c r="AC16" s="89"/>
    </row>
    <row r="17" spans="1:41" s="3" customFormat="1" ht="39.75" customHeight="1" x14ac:dyDescent="0.25">
      <c r="A17" s="3" t="s">
        <v>1106</v>
      </c>
      <c r="C17" s="89" t="s">
        <v>2571</v>
      </c>
      <c r="D17" s="1144"/>
      <c r="E17" s="1144"/>
      <c r="F17" s="61">
        <v>3</v>
      </c>
      <c r="G17" s="1200" t="s">
        <v>2572</v>
      </c>
      <c r="H17" s="1200"/>
      <c r="I17" s="1200"/>
      <c r="J17" s="1200"/>
      <c r="K17" s="1200"/>
      <c r="L17" s="36" t="s">
        <v>2573</v>
      </c>
      <c r="M17" s="64" t="s">
        <v>2574</v>
      </c>
      <c r="N17" s="64" t="s">
        <v>2557</v>
      </c>
      <c r="O17" s="64" t="s">
        <v>2575</v>
      </c>
      <c r="P17" s="884" t="s">
        <v>2576</v>
      </c>
      <c r="Q17" s="64" t="s">
        <v>32</v>
      </c>
      <c r="R17" s="64"/>
      <c r="S17" s="105" t="s">
        <v>2577</v>
      </c>
      <c r="T17" s="64"/>
      <c r="U17" s="64"/>
      <c r="V17" s="64"/>
      <c r="W17" s="64"/>
      <c r="X17" s="64"/>
      <c r="Y17" s="64"/>
    </row>
    <row r="18" spans="1:41" s="3" customFormat="1" ht="51.75" customHeight="1" x14ac:dyDescent="0.25">
      <c r="A18" s="3" t="s">
        <v>1106</v>
      </c>
      <c r="C18" s="89" t="s">
        <v>2578</v>
      </c>
      <c r="D18" s="1144"/>
      <c r="E18" s="1144"/>
      <c r="F18" s="1144"/>
      <c r="G18" s="64">
        <v>4</v>
      </c>
      <c r="H18" s="1201" t="s">
        <v>2561</v>
      </c>
      <c r="I18" s="1201"/>
      <c r="J18" s="1201"/>
      <c r="K18" s="1201"/>
      <c r="L18" s="36" t="s">
        <v>2579</v>
      </c>
      <c r="M18" s="64" t="s">
        <v>2574</v>
      </c>
      <c r="N18" s="64" t="s">
        <v>2563</v>
      </c>
      <c r="O18" s="64" t="s">
        <v>2580</v>
      </c>
      <c r="P18" s="884"/>
      <c r="Q18" s="64"/>
      <c r="R18" s="64"/>
      <c r="S18" s="105"/>
      <c r="T18" s="64"/>
      <c r="U18" s="64"/>
      <c r="V18" s="64"/>
      <c r="W18" s="64"/>
      <c r="X18" s="64"/>
      <c r="Y18" s="64"/>
    </row>
    <row r="19" spans="1:41" s="3" customFormat="1" ht="55.5" customHeight="1" x14ac:dyDescent="0.25">
      <c r="A19" s="3" t="s">
        <v>1106</v>
      </c>
      <c r="C19" s="89" t="s">
        <v>2581</v>
      </c>
      <c r="D19" s="1144"/>
      <c r="E19" s="1144"/>
      <c r="F19" s="1144"/>
      <c r="G19" s="64">
        <v>4</v>
      </c>
      <c r="H19" s="1201" t="s">
        <v>2566</v>
      </c>
      <c r="I19" s="1201"/>
      <c r="J19" s="1201"/>
      <c r="K19" s="1201"/>
      <c r="L19" s="36" t="s">
        <v>2567</v>
      </c>
      <c r="M19" s="64" t="s">
        <v>2574</v>
      </c>
      <c r="N19" s="64" t="s">
        <v>2563</v>
      </c>
      <c r="O19" s="64" t="s">
        <v>2582</v>
      </c>
      <c r="P19" s="884"/>
      <c r="Q19" s="64"/>
      <c r="R19" s="64"/>
      <c r="S19" s="105"/>
      <c r="T19" s="64"/>
      <c r="U19" s="64"/>
      <c r="V19" s="64"/>
      <c r="W19" s="64"/>
      <c r="X19" s="64"/>
      <c r="Y19" s="64"/>
    </row>
    <row r="20" spans="1:41" s="3" customFormat="1" ht="15.75" customHeight="1" x14ac:dyDescent="0.25">
      <c r="C20"/>
      <c r="D20"/>
      <c r="E20"/>
      <c r="F20"/>
      <c r="G20"/>
      <c r="H20"/>
      <c r="I20"/>
      <c r="J20"/>
      <c r="K20"/>
      <c r="L20"/>
      <c r="M20"/>
      <c r="N20"/>
      <c r="O20"/>
      <c r="P20"/>
      <c r="Q20"/>
      <c r="R20"/>
      <c r="S20"/>
      <c r="T20"/>
      <c r="U20"/>
      <c r="V20"/>
      <c r="W20"/>
      <c r="X20"/>
      <c r="Y20"/>
      <c r="Z20" s="30"/>
      <c r="AA20" s="30"/>
      <c r="AB20" s="30"/>
      <c r="AC20" s="30"/>
      <c r="AD20" s="30"/>
      <c r="AE20" s="30"/>
      <c r="AF20" s="30"/>
      <c r="AG20" s="30"/>
      <c r="AH20" s="30"/>
      <c r="AI20" s="30"/>
      <c r="AJ20" s="30"/>
      <c r="AK20" s="30"/>
      <c r="AL20" s="30"/>
      <c r="AM20" s="30"/>
      <c r="AN20" s="30"/>
      <c r="AO20" s="30"/>
    </row>
    <row r="21" spans="1:41" s="3" customFormat="1" ht="19.5" customHeight="1" x14ac:dyDescent="0.25">
      <c r="C21" s="87"/>
      <c r="D21" s="87"/>
      <c r="E21" s="115"/>
      <c r="F21" s="88"/>
      <c r="G21" s="88"/>
      <c r="H21" s="88"/>
      <c r="I21" s="88"/>
      <c r="J21" s="88"/>
      <c r="K21" s="88"/>
      <c r="L21" s="88"/>
      <c r="M21" s="88"/>
      <c r="N21" s="88"/>
      <c r="O21" s="88"/>
      <c r="P21" s="88"/>
      <c r="Q21" s="88"/>
      <c r="R21" s="88"/>
      <c r="S21" s="88"/>
      <c r="T21" s="88"/>
      <c r="U21" s="88"/>
      <c r="V21" s="88"/>
      <c r="W21" s="88"/>
      <c r="X21" s="88"/>
      <c r="Y21" s="87"/>
    </row>
    <row r="22" spans="1:41" s="3" customFormat="1" ht="15.75" customHeight="1" x14ac:dyDescent="0.25">
      <c r="C22" s="47"/>
      <c r="D22" s="47"/>
      <c r="E22"/>
      <c r="F22" s="48"/>
      <c r="G22" s="85"/>
      <c r="H22" s="85"/>
      <c r="I22" s="85"/>
      <c r="J22" s="85"/>
      <c r="K22" s="85"/>
      <c r="L22" s="85"/>
      <c r="M22" s="85"/>
      <c r="N22" s="85"/>
      <c r="O22" s="85"/>
      <c r="P22" s="85"/>
      <c r="Q22" s="85"/>
      <c r="R22" s="85"/>
      <c r="S22" s="85"/>
      <c r="T22" s="85"/>
      <c r="U22" s="85"/>
      <c r="V22" s="85"/>
      <c r="W22" s="85"/>
      <c r="X22" s="85"/>
      <c r="Y22" s="47"/>
      <c r="Z22"/>
      <c r="AA22"/>
      <c r="AB22"/>
      <c r="AC22"/>
      <c r="AD22"/>
      <c r="AE22"/>
      <c r="AF22"/>
      <c r="AG22"/>
      <c r="AH22"/>
      <c r="AI22"/>
      <c r="AJ22"/>
      <c r="AK22"/>
      <c r="AL22"/>
      <c r="AM22"/>
      <c r="AN22"/>
      <c r="AO22"/>
    </row>
    <row r="23" spans="1:41" s="3" customFormat="1" ht="19.5" customHeight="1" x14ac:dyDescent="0.25">
      <c r="C23" s="89" t="s">
        <v>2583</v>
      </c>
      <c r="D23" s="89">
        <v>1</v>
      </c>
      <c r="E23" s="1208" t="s">
        <v>2584</v>
      </c>
      <c r="F23" s="1208"/>
      <c r="G23" s="1208"/>
      <c r="H23" s="1208"/>
      <c r="I23" s="1208"/>
      <c r="J23" s="1208"/>
      <c r="K23" s="1208"/>
      <c r="L23" s="1208"/>
      <c r="M23" s="1208"/>
      <c r="N23" s="1208"/>
      <c r="O23" s="1208"/>
      <c r="P23" s="1208"/>
      <c r="Q23" s="1199" t="s">
        <v>2585</v>
      </c>
      <c r="R23" s="1200"/>
      <c r="S23" s="1200"/>
      <c r="T23" s="1200"/>
      <c r="U23" s="1200"/>
      <c r="V23" s="1200"/>
      <c r="W23" s="64"/>
      <c r="X23" s="64"/>
      <c r="Y23" s="64"/>
    </row>
    <row r="24" spans="1:41" s="3" customFormat="1" ht="40.5" customHeight="1" x14ac:dyDescent="0.25">
      <c r="A24" s="3" t="s">
        <v>1106</v>
      </c>
      <c r="C24" s="89" t="s">
        <v>2586</v>
      </c>
      <c r="D24" s="45"/>
      <c r="E24" s="64">
        <v>2</v>
      </c>
      <c r="F24" s="1209" t="s">
        <v>2587</v>
      </c>
      <c r="G24" s="1209"/>
      <c r="H24" s="1209"/>
      <c r="I24" s="1209"/>
      <c r="J24" s="1209"/>
      <c r="K24" s="1209"/>
      <c r="L24" s="36" t="s">
        <v>2588</v>
      </c>
      <c r="M24" s="64" t="s">
        <v>2574</v>
      </c>
      <c r="N24" s="64" t="s">
        <v>2557</v>
      </c>
      <c r="O24" s="64" t="s">
        <v>2580</v>
      </c>
      <c r="P24" s="884" t="s">
        <v>2576</v>
      </c>
      <c r="Q24" s="64" t="s">
        <v>32</v>
      </c>
      <c r="R24" s="64"/>
      <c r="S24" s="105" t="s">
        <v>2577</v>
      </c>
      <c r="T24" s="64"/>
      <c r="U24" s="64"/>
      <c r="V24" s="64"/>
      <c r="W24" s="64"/>
      <c r="X24" s="64"/>
      <c r="Y24" s="64"/>
    </row>
    <row r="25" spans="1:41" s="3" customFormat="1" ht="19.5" customHeight="1" x14ac:dyDescent="0.25">
      <c r="C25" s="108"/>
      <c r="D25" s="1210"/>
      <c r="E25" s="1211"/>
      <c r="F25" s="104">
        <v>3</v>
      </c>
      <c r="G25" s="1208" t="s">
        <v>2589</v>
      </c>
      <c r="H25" s="1208"/>
      <c r="I25" s="1208"/>
      <c r="J25" s="1208"/>
      <c r="K25" s="1208"/>
      <c r="L25" s="1208"/>
      <c r="M25" s="1208"/>
      <c r="N25" s="1208"/>
      <c r="O25" s="1208"/>
      <c r="P25" s="1208"/>
      <c r="Q25" s="1208"/>
      <c r="R25" s="1208"/>
      <c r="S25" s="1208"/>
      <c r="T25" s="1208"/>
      <c r="U25" s="1208"/>
      <c r="V25" s="1208"/>
      <c r="W25" s="1208"/>
      <c r="X25" s="1208"/>
      <c r="Y25" s="1208"/>
      <c r="Z25" s="117"/>
    </row>
    <row r="26" spans="1:41" s="3" customFormat="1" ht="43.5" customHeight="1" x14ac:dyDescent="0.25">
      <c r="A26" s="3" t="s">
        <v>1098</v>
      </c>
      <c r="C26" s="108"/>
      <c r="D26" s="1210"/>
      <c r="E26" s="1212"/>
      <c r="F26" s="1211"/>
      <c r="G26" s="107">
        <v>4</v>
      </c>
      <c r="H26" s="1213" t="s">
        <v>2590</v>
      </c>
      <c r="I26" s="1213"/>
      <c r="J26" s="1213"/>
      <c r="K26" s="1214"/>
      <c r="L26" s="118" t="s">
        <v>2591</v>
      </c>
      <c r="M26" s="107" t="s">
        <v>2574</v>
      </c>
      <c r="N26" s="118" t="s">
        <v>2592</v>
      </c>
      <c r="O26" s="119" t="s">
        <v>2580</v>
      </c>
      <c r="P26" s="885" t="s">
        <v>2576</v>
      </c>
      <c r="Q26" s="120" t="s">
        <v>2593</v>
      </c>
      <c r="R26" s="90"/>
      <c r="S26" s="90"/>
      <c r="T26" s="90"/>
      <c r="U26" s="90"/>
      <c r="V26" s="90"/>
      <c r="W26" s="90"/>
      <c r="X26" s="90"/>
      <c r="Y26" s="90"/>
    </row>
    <row r="27" spans="1:41" s="3" customFormat="1" ht="48" customHeight="1" x14ac:dyDescent="0.25">
      <c r="A27" s="3" t="s">
        <v>1106</v>
      </c>
      <c r="C27" s="108"/>
      <c r="D27" s="1210"/>
      <c r="E27" s="1212"/>
      <c r="F27" s="1212"/>
      <c r="G27" s="1211"/>
      <c r="H27" s="104">
        <v>5</v>
      </c>
      <c r="I27" s="1215" t="s">
        <v>2594</v>
      </c>
      <c r="J27" s="1216"/>
      <c r="K27" s="1216"/>
      <c r="L27" s="96" t="s">
        <v>2595</v>
      </c>
      <c r="M27" s="104" t="s">
        <v>2574</v>
      </c>
      <c r="N27" s="94" t="s">
        <v>2596</v>
      </c>
      <c r="O27" s="95" t="s">
        <v>2580</v>
      </c>
      <c r="P27" s="884" t="s">
        <v>2576</v>
      </c>
      <c r="Q27" s="93" t="s">
        <v>2597</v>
      </c>
      <c r="R27" s="89"/>
      <c r="S27" s="93" t="s">
        <v>2598</v>
      </c>
      <c r="T27" s="89"/>
      <c r="U27" s="89"/>
      <c r="V27" s="89"/>
      <c r="W27" s="89"/>
      <c r="X27" s="89"/>
      <c r="Y27" s="89"/>
    </row>
    <row r="28" spans="1:41" s="3" customFormat="1" ht="48" customHeight="1" x14ac:dyDescent="0.25">
      <c r="A28" s="3" t="s">
        <v>1098</v>
      </c>
      <c r="C28" s="108"/>
      <c r="D28" s="1210"/>
      <c r="E28" s="1212"/>
      <c r="F28" s="1212"/>
      <c r="G28" s="1211"/>
      <c r="H28" s="104">
        <v>5</v>
      </c>
      <c r="I28" s="1215" t="s">
        <v>2599</v>
      </c>
      <c r="J28" s="1216"/>
      <c r="K28" s="1216"/>
      <c r="L28" s="96" t="s">
        <v>2600</v>
      </c>
      <c r="M28" s="104" t="s">
        <v>2601</v>
      </c>
      <c r="N28" s="94" t="s">
        <v>2602</v>
      </c>
      <c r="O28" s="95" t="s">
        <v>2580</v>
      </c>
      <c r="P28" s="884" t="s">
        <v>2576</v>
      </c>
      <c r="Q28" s="93"/>
      <c r="R28" s="89"/>
      <c r="S28" s="93" t="s">
        <v>2603</v>
      </c>
      <c r="T28" s="89"/>
      <c r="U28" s="89"/>
      <c r="V28" s="89"/>
      <c r="W28" s="89"/>
      <c r="X28" s="89"/>
      <c r="Y28" s="89"/>
    </row>
    <row r="29" spans="1:41" s="3" customFormat="1" ht="48" customHeight="1" x14ac:dyDescent="0.25">
      <c r="A29" s="3" t="s">
        <v>1098</v>
      </c>
      <c r="C29" s="108"/>
      <c r="D29" s="1210"/>
      <c r="E29" s="1212"/>
      <c r="F29" s="1212"/>
      <c r="G29" s="1211"/>
      <c r="H29" s="104">
        <v>5</v>
      </c>
      <c r="I29" s="1215" t="s">
        <v>2604</v>
      </c>
      <c r="J29" s="1216"/>
      <c r="K29" s="1216"/>
      <c r="L29" s="94" t="s">
        <v>2605</v>
      </c>
      <c r="M29" s="95" t="s">
        <v>2606</v>
      </c>
      <c r="N29" s="94" t="s">
        <v>2607</v>
      </c>
      <c r="O29" s="95" t="s">
        <v>2580</v>
      </c>
      <c r="P29" s="89"/>
      <c r="Q29" s="93" t="s">
        <v>2608</v>
      </c>
      <c r="R29" s="89"/>
      <c r="S29" s="89"/>
      <c r="T29" s="89"/>
      <c r="U29" s="89"/>
      <c r="V29" s="89"/>
      <c r="W29" s="89"/>
      <c r="X29" s="89"/>
      <c r="Y29" s="89"/>
    </row>
    <row r="30" spans="1:41" s="92" customFormat="1" ht="15.75" customHeight="1" x14ac:dyDescent="0.25">
      <c r="A30" s="3"/>
      <c r="B30" s="3"/>
      <c r="C30" s="47"/>
      <c r="D30" s="47"/>
      <c r="E30"/>
      <c r="F30" s="48"/>
      <c r="G30" s="85"/>
      <c r="H30" s="85"/>
      <c r="I30" s="85"/>
      <c r="J30" s="85"/>
      <c r="K30" s="85"/>
      <c r="L30" s="85"/>
      <c r="M30" s="85"/>
      <c r="N30" s="85"/>
      <c r="O30" s="85"/>
      <c r="P30" s="85"/>
      <c r="Q30" s="85"/>
      <c r="R30" s="85"/>
      <c r="S30" s="85"/>
      <c r="T30" s="85"/>
      <c r="U30" s="85"/>
      <c r="V30" s="85"/>
      <c r="W30" s="85"/>
      <c r="X30" s="85"/>
      <c r="Y30" s="47"/>
      <c r="Z30" s="30"/>
      <c r="AA30" s="30"/>
      <c r="AB30" s="30"/>
      <c r="AC30" s="30"/>
      <c r="AD30" s="30"/>
      <c r="AE30" s="30"/>
      <c r="AF30" s="30"/>
      <c r="AG30" s="30"/>
      <c r="AH30" s="30"/>
      <c r="AI30" s="30"/>
      <c r="AJ30" s="30"/>
      <c r="AK30" s="30"/>
      <c r="AL30" s="30"/>
      <c r="AM30" s="30"/>
      <c r="AN30" s="30"/>
      <c r="AO30" s="30"/>
    </row>
    <row r="31" spans="1:41" s="2" customFormat="1" ht="15.75" customHeight="1" x14ac:dyDescent="0.25">
      <c r="A31" s="3"/>
      <c r="B31" s="3"/>
      <c r="C31" s="87"/>
      <c r="D31" s="87"/>
      <c r="E31" s="88"/>
      <c r="F31" s="88"/>
      <c r="G31" s="88"/>
      <c r="H31" s="88"/>
      <c r="I31" s="88"/>
      <c r="J31" s="88"/>
      <c r="K31" s="88"/>
      <c r="L31" s="88"/>
      <c r="M31" s="88"/>
      <c r="N31" s="88"/>
      <c r="O31" s="88"/>
      <c r="P31" s="88"/>
      <c r="Q31" s="88"/>
      <c r="R31" s="88"/>
      <c r="S31" s="88"/>
      <c r="T31" s="88"/>
      <c r="U31" s="88"/>
      <c r="V31" s="88"/>
      <c r="W31" s="88"/>
      <c r="X31" s="88"/>
      <c r="Y31" s="87"/>
    </row>
    <row r="32" spans="1:41" s="2" customFormat="1" ht="15.75" customHeight="1" x14ac:dyDescent="0.25">
      <c r="A32" s="3"/>
      <c r="B32" s="3"/>
      <c r="C32" s="47"/>
      <c r="D32" s="47"/>
      <c r="E32"/>
      <c r="F32" s="48"/>
      <c r="G32" s="85"/>
      <c r="H32" s="85"/>
      <c r="I32" s="85"/>
      <c r="J32" s="85"/>
      <c r="K32" s="85"/>
      <c r="L32" s="85"/>
      <c r="M32" s="85"/>
      <c r="N32" s="85"/>
      <c r="O32" s="85"/>
      <c r="P32" s="85"/>
      <c r="Q32" s="85"/>
      <c r="R32" s="85"/>
      <c r="S32" s="85"/>
      <c r="T32" s="85"/>
      <c r="U32" s="85"/>
      <c r="V32" s="85"/>
      <c r="W32" s="85"/>
      <c r="X32" s="85"/>
      <c r="Y32" s="47"/>
      <c r="Z32"/>
      <c r="AA32"/>
      <c r="AB32"/>
      <c r="AC32"/>
      <c r="AD32"/>
      <c r="AE32"/>
      <c r="AF32"/>
      <c r="AG32"/>
      <c r="AH32"/>
      <c r="AI32"/>
      <c r="AJ32"/>
      <c r="AK32"/>
      <c r="AL32"/>
      <c r="AM32"/>
      <c r="AN32"/>
      <c r="AO32"/>
    </row>
    <row r="33" spans="1:25" x14ac:dyDescent="0.25">
      <c r="A33" s="3"/>
      <c r="B33" s="3"/>
      <c r="C33" s="89"/>
      <c r="D33" s="89">
        <v>1</v>
      </c>
      <c r="E33" s="1208" t="s">
        <v>2609</v>
      </c>
      <c r="F33" s="1208"/>
      <c r="G33" s="1208"/>
      <c r="H33" s="1208"/>
      <c r="I33" s="1208"/>
      <c r="J33" s="1208"/>
      <c r="K33" s="1208"/>
      <c r="L33" s="1208"/>
      <c r="M33" s="1208"/>
      <c r="N33" s="1208"/>
      <c r="O33" s="1208"/>
      <c r="P33" s="1208"/>
      <c r="Q33" s="1199" t="s">
        <v>2585</v>
      </c>
      <c r="R33" s="1200"/>
      <c r="S33" s="1200"/>
      <c r="T33" s="1200"/>
      <c r="U33" s="1200"/>
      <c r="V33" s="1200"/>
      <c r="W33" s="64"/>
      <c r="X33" s="64"/>
      <c r="Y33" s="64"/>
    </row>
    <row r="34" spans="1:25" ht="45" x14ac:dyDescent="0.25">
      <c r="A34" s="3" t="s">
        <v>1106</v>
      </c>
      <c r="B34" s="3"/>
      <c r="C34" s="45"/>
      <c r="D34" s="45"/>
      <c r="E34" s="113">
        <v>2</v>
      </c>
      <c r="F34" s="1217" t="s">
        <v>2610</v>
      </c>
      <c r="G34" s="1217"/>
      <c r="H34" s="1217"/>
      <c r="I34" s="1217"/>
      <c r="J34" s="1217"/>
      <c r="K34" s="1217"/>
      <c r="L34" s="36" t="s">
        <v>2573</v>
      </c>
      <c r="M34" s="64"/>
      <c r="N34" s="64" t="s">
        <v>2557</v>
      </c>
      <c r="O34" s="113" t="s">
        <v>2558</v>
      </c>
      <c r="P34" s="884"/>
      <c r="Q34" s="64"/>
      <c r="R34" s="64"/>
      <c r="S34" s="105"/>
      <c r="T34" s="64"/>
      <c r="U34" s="64"/>
      <c r="V34" s="64"/>
      <c r="W34" s="64"/>
      <c r="X34" s="64"/>
      <c r="Y34" s="64"/>
    </row>
    <row r="35" spans="1:25" ht="45" x14ac:dyDescent="0.25">
      <c r="A35" s="3" t="s">
        <v>1106</v>
      </c>
      <c r="B35" s="3"/>
      <c r="C35" s="45"/>
      <c r="D35" s="45"/>
      <c r="E35" s="64">
        <v>2</v>
      </c>
      <c r="F35" s="1200" t="s">
        <v>2611</v>
      </c>
      <c r="G35" s="1200"/>
      <c r="H35" s="1200"/>
      <c r="I35" s="1200"/>
      <c r="J35" s="1200"/>
      <c r="K35" s="1200"/>
      <c r="L35" s="36" t="s">
        <v>2588</v>
      </c>
      <c r="M35" s="64" t="s">
        <v>2574</v>
      </c>
      <c r="N35" s="64" t="s">
        <v>2557</v>
      </c>
      <c r="O35" s="64" t="s">
        <v>2580</v>
      </c>
      <c r="P35" s="884" t="s">
        <v>2576</v>
      </c>
      <c r="Q35" s="64" t="s">
        <v>32</v>
      </c>
      <c r="R35" s="64"/>
      <c r="S35" s="105" t="s">
        <v>2577</v>
      </c>
      <c r="T35" s="64"/>
      <c r="U35" s="64"/>
      <c r="V35" s="64"/>
      <c r="W35" s="64"/>
      <c r="X35" s="64"/>
      <c r="Y35" s="64"/>
    </row>
    <row r="36" spans="1:25" x14ac:dyDescent="0.25">
      <c r="A36" s="3"/>
      <c r="B36" s="3"/>
      <c r="C36" s="108"/>
      <c r="D36" s="1210"/>
      <c r="E36" s="1211"/>
      <c r="F36" s="89">
        <v>3</v>
      </c>
      <c r="G36" s="1208" t="s">
        <v>2589</v>
      </c>
      <c r="H36" s="1208"/>
      <c r="I36" s="1208"/>
      <c r="J36" s="1208"/>
      <c r="K36" s="1208"/>
      <c r="L36" s="1208"/>
      <c r="M36" s="1208"/>
      <c r="N36" s="1208"/>
      <c r="O36" s="1208"/>
      <c r="P36" s="1208"/>
      <c r="Q36" s="1208"/>
      <c r="R36" s="1208"/>
      <c r="S36" s="1208"/>
      <c r="T36" s="1208"/>
      <c r="U36" s="1208"/>
      <c r="V36" s="1208"/>
      <c r="W36" s="1208"/>
      <c r="X36" s="1208"/>
      <c r="Y36" s="1208"/>
    </row>
    <row r="37" spans="1:25" ht="26.25" x14ac:dyDescent="0.25">
      <c r="A37" s="3"/>
      <c r="B37" s="3"/>
      <c r="C37" s="108"/>
      <c r="D37" s="1210"/>
      <c r="E37" s="1212"/>
      <c r="F37" s="1211"/>
      <c r="G37" s="107">
        <v>4</v>
      </c>
      <c r="H37" s="1213" t="s">
        <v>2612</v>
      </c>
      <c r="I37" s="1213"/>
      <c r="J37" s="1213"/>
      <c r="K37" s="1214"/>
      <c r="L37" s="118" t="s">
        <v>2591</v>
      </c>
      <c r="M37" s="107" t="s">
        <v>2574</v>
      </c>
      <c r="N37" s="118" t="s">
        <v>2592</v>
      </c>
      <c r="O37" s="119" t="s">
        <v>2580</v>
      </c>
      <c r="P37" s="885" t="s">
        <v>2576</v>
      </c>
      <c r="Q37" s="120" t="s">
        <v>2593</v>
      </c>
      <c r="R37" s="90"/>
      <c r="S37" s="90"/>
      <c r="T37" s="90"/>
      <c r="U37" s="90"/>
      <c r="V37" s="90"/>
      <c r="W37" s="90"/>
      <c r="X37" s="90"/>
      <c r="Y37" s="90"/>
    </row>
    <row r="38" spans="1:25" x14ac:dyDescent="0.25">
      <c r="A38" s="3"/>
      <c r="B38" s="3"/>
      <c r="C38" s="47"/>
      <c r="D38" s="47"/>
      <c r="F38" s="48"/>
      <c r="G38" s="85"/>
      <c r="H38" s="85"/>
      <c r="I38" s="85"/>
      <c r="J38" s="85"/>
      <c r="K38" s="85"/>
      <c r="L38" s="85"/>
      <c r="M38" s="85"/>
      <c r="N38" s="85"/>
      <c r="O38" s="85"/>
      <c r="P38" s="85"/>
      <c r="Q38" s="85"/>
      <c r="R38" s="85"/>
      <c r="S38" s="85"/>
      <c r="T38" s="85"/>
      <c r="U38" s="85"/>
      <c r="V38" s="85"/>
      <c r="W38" s="85"/>
      <c r="X38" s="85"/>
      <c r="Y38" s="47"/>
    </row>
    <row r="39" spans="1:25" x14ac:dyDescent="0.25">
      <c r="A39" s="3"/>
      <c r="B39" s="3"/>
      <c r="C39" s="87"/>
      <c r="D39" s="87"/>
      <c r="E39" s="88"/>
      <c r="F39" s="88"/>
      <c r="G39" s="88"/>
      <c r="H39" s="88"/>
      <c r="I39" s="88"/>
      <c r="J39" s="88"/>
      <c r="K39" s="88"/>
      <c r="L39" s="88"/>
      <c r="M39" s="88"/>
      <c r="N39" s="88"/>
      <c r="O39" s="88"/>
      <c r="P39" s="88"/>
      <c r="Q39" s="88"/>
      <c r="R39" s="88"/>
      <c r="S39" s="88"/>
      <c r="T39" s="88"/>
      <c r="U39" s="88"/>
      <c r="V39" s="88"/>
      <c r="W39" s="88"/>
      <c r="X39" s="88"/>
      <c r="Y39" s="87"/>
    </row>
    <row r="40" spans="1:25" x14ac:dyDescent="0.25">
      <c r="A40" s="3"/>
      <c r="B40" s="3"/>
    </row>
    <row r="41" spans="1:25" x14ac:dyDescent="0.25">
      <c r="A41" s="3"/>
      <c r="B41" s="3"/>
      <c r="K41" s="2"/>
      <c r="M41" s="2"/>
    </row>
    <row r="42" spans="1:25" x14ac:dyDescent="0.25">
      <c r="A42" s="3"/>
      <c r="B42" s="3"/>
    </row>
    <row r="43" spans="1:25" x14ac:dyDescent="0.25">
      <c r="A43" s="3"/>
      <c r="B43" s="3"/>
      <c r="K43" s="2"/>
      <c r="M43" s="2"/>
    </row>
    <row r="44" spans="1:25" x14ac:dyDescent="0.25">
      <c r="A44" s="3"/>
      <c r="B44" s="3"/>
    </row>
    <row r="45" spans="1:25" x14ac:dyDescent="0.25">
      <c r="A45" s="3"/>
      <c r="B45" s="3"/>
      <c r="K45" s="2"/>
      <c r="M45" s="2"/>
    </row>
    <row r="46" spans="1:25" x14ac:dyDescent="0.25">
      <c r="A46" s="3"/>
      <c r="B46" s="3"/>
    </row>
    <row r="47" spans="1:25" x14ac:dyDescent="0.25">
      <c r="A47" s="3"/>
      <c r="B47" s="3"/>
      <c r="K47" s="2"/>
      <c r="M47" s="2"/>
    </row>
    <row r="48" spans="1:25" x14ac:dyDescent="0.25">
      <c r="A48" s="3"/>
      <c r="B48" s="3"/>
    </row>
    <row r="49" spans="1:13" x14ac:dyDescent="0.25">
      <c r="A49" s="3"/>
      <c r="B49" s="3"/>
      <c r="K49" s="2"/>
      <c r="M49" s="2"/>
    </row>
    <row r="50" spans="1:13" x14ac:dyDescent="0.25">
      <c r="A50" s="3"/>
      <c r="B50" s="3"/>
    </row>
    <row r="51" spans="1:13" x14ac:dyDescent="0.25">
      <c r="A51" s="3"/>
      <c r="B51" s="3"/>
    </row>
    <row r="52" spans="1:13" x14ac:dyDescent="0.25">
      <c r="A52" s="3"/>
      <c r="B52" s="3"/>
    </row>
    <row r="53" spans="1:13" x14ac:dyDescent="0.25">
      <c r="A53" s="3"/>
      <c r="B53" s="3"/>
    </row>
    <row r="54" spans="1:13" x14ac:dyDescent="0.25">
      <c r="A54" s="3"/>
      <c r="B54" s="3"/>
    </row>
    <row r="55" spans="1:13" x14ac:dyDescent="0.25">
      <c r="A55" s="3"/>
      <c r="B55" s="3"/>
    </row>
    <row r="56" spans="1:13" x14ac:dyDescent="0.25">
      <c r="A56" s="3"/>
      <c r="B56" s="3"/>
    </row>
    <row r="57" spans="1:13" x14ac:dyDescent="0.25">
      <c r="A57" s="3"/>
      <c r="B57" s="3"/>
    </row>
    <row r="58" spans="1:13" x14ac:dyDescent="0.25">
      <c r="A58" s="3"/>
      <c r="B58" s="3"/>
    </row>
    <row r="59" spans="1:13" x14ac:dyDescent="0.25">
      <c r="A59" s="3"/>
      <c r="B59" s="3"/>
    </row>
    <row r="60" spans="1:13" x14ac:dyDescent="0.25">
      <c r="A60" s="3"/>
      <c r="B60" s="3"/>
    </row>
    <row r="61" spans="1:13" x14ac:dyDescent="0.25">
      <c r="A61" s="3"/>
      <c r="B61" s="3"/>
    </row>
    <row r="62" spans="1:13" x14ac:dyDescent="0.25">
      <c r="A62" s="3"/>
      <c r="B62" s="3"/>
    </row>
    <row r="63" spans="1:13" x14ac:dyDescent="0.25">
      <c r="A63" s="3"/>
      <c r="B63" s="3"/>
    </row>
    <row r="64" spans="1:13" x14ac:dyDescent="0.25">
      <c r="A64" s="3"/>
      <c r="B64" s="3"/>
    </row>
    <row r="65" spans="1:2" x14ac:dyDescent="0.25">
      <c r="A65" s="3"/>
      <c r="B65" s="3"/>
    </row>
    <row r="66" spans="1:2" x14ac:dyDescent="0.25">
      <c r="A66" s="3"/>
      <c r="B66" s="3"/>
    </row>
    <row r="67" spans="1:2" x14ac:dyDescent="0.25">
      <c r="A67" s="3"/>
      <c r="B67" s="3"/>
    </row>
    <row r="68" spans="1:2" x14ac:dyDescent="0.25">
      <c r="A68" s="3"/>
      <c r="B68" s="3"/>
    </row>
    <row r="69" spans="1:2" x14ac:dyDescent="0.25">
      <c r="A69" s="3"/>
      <c r="B69" s="3"/>
    </row>
    <row r="70" spans="1:2" x14ac:dyDescent="0.25">
      <c r="A70" s="3"/>
      <c r="B70" s="3"/>
    </row>
    <row r="71" spans="1:2" x14ac:dyDescent="0.25">
      <c r="A71" s="3"/>
      <c r="B71" s="3"/>
    </row>
    <row r="72" spans="1:2" x14ac:dyDescent="0.25">
      <c r="A72" s="3"/>
      <c r="B72" s="3"/>
    </row>
    <row r="73" spans="1:2" x14ac:dyDescent="0.25">
      <c r="A73" s="3"/>
      <c r="B73" s="3"/>
    </row>
    <row r="74" spans="1:2" x14ac:dyDescent="0.25">
      <c r="A74" s="3"/>
      <c r="B74" s="3"/>
    </row>
    <row r="75" spans="1:2" x14ac:dyDescent="0.25">
      <c r="A75" s="3"/>
      <c r="B75" s="3"/>
    </row>
    <row r="76" spans="1:2" x14ac:dyDescent="0.25">
      <c r="A76" s="3"/>
      <c r="B76" s="3"/>
    </row>
    <row r="77" spans="1:2" x14ac:dyDescent="0.25">
      <c r="A77" s="3"/>
      <c r="B77" s="3"/>
    </row>
    <row r="78" spans="1:2" x14ac:dyDescent="0.25">
      <c r="A78" s="3"/>
      <c r="B78" s="3"/>
    </row>
    <row r="79" spans="1:2" x14ac:dyDescent="0.25">
      <c r="A79" s="3"/>
      <c r="B79" s="3"/>
    </row>
    <row r="80" spans="1:2" x14ac:dyDescent="0.25">
      <c r="A80" s="3"/>
      <c r="B80" s="3"/>
    </row>
    <row r="81" spans="1:2" x14ac:dyDescent="0.25">
      <c r="A81" s="3"/>
      <c r="B81" s="3"/>
    </row>
    <row r="82" spans="1:2" x14ac:dyDescent="0.25">
      <c r="A82" s="3"/>
      <c r="B82" s="3"/>
    </row>
    <row r="83" spans="1:2" x14ac:dyDescent="0.25">
      <c r="A83" s="3"/>
      <c r="B83" s="3"/>
    </row>
    <row r="84" spans="1:2" x14ac:dyDescent="0.25">
      <c r="A84" s="3"/>
      <c r="B84" s="3"/>
    </row>
    <row r="85" spans="1:2" x14ac:dyDescent="0.25">
      <c r="A85" s="3"/>
      <c r="B85" s="3"/>
    </row>
    <row r="86" spans="1:2" x14ac:dyDescent="0.25">
      <c r="A86" s="3"/>
      <c r="B86" s="3"/>
    </row>
    <row r="87" spans="1:2" x14ac:dyDescent="0.25">
      <c r="A87" s="3"/>
      <c r="B87" s="3"/>
    </row>
    <row r="88" spans="1:2" x14ac:dyDescent="0.25">
      <c r="A88" s="3"/>
      <c r="B88" s="3"/>
    </row>
    <row r="89" spans="1:2" x14ac:dyDescent="0.25">
      <c r="A89" s="3"/>
      <c r="B89" s="3"/>
    </row>
    <row r="90" spans="1:2" x14ac:dyDescent="0.25">
      <c r="A90" s="3"/>
      <c r="B90" s="3"/>
    </row>
    <row r="91" spans="1:2" x14ac:dyDescent="0.25">
      <c r="A91" s="3"/>
      <c r="B91" s="3"/>
    </row>
    <row r="92" spans="1:2" x14ac:dyDescent="0.25">
      <c r="A92" s="3"/>
      <c r="B92" s="3"/>
    </row>
    <row r="93" spans="1:2" x14ac:dyDescent="0.25">
      <c r="A93" s="3"/>
      <c r="B93" s="3"/>
    </row>
    <row r="94" spans="1:2" x14ac:dyDescent="0.25">
      <c r="A94" s="3"/>
      <c r="B94" s="3"/>
    </row>
    <row r="95" spans="1:2" x14ac:dyDescent="0.25">
      <c r="A95" s="3"/>
      <c r="B95" s="3"/>
    </row>
    <row r="96" spans="1:2" x14ac:dyDescent="0.25">
      <c r="A96" s="3"/>
      <c r="B96" s="3"/>
    </row>
    <row r="97" spans="1:26" x14ac:dyDescent="0.25">
      <c r="A97" s="3"/>
      <c r="B97" s="3"/>
    </row>
    <row r="98" spans="1:26" x14ac:dyDescent="0.25">
      <c r="A98" s="3"/>
      <c r="B98" s="3"/>
    </row>
    <row r="99" spans="1:26" x14ac:dyDescent="0.25">
      <c r="A99" s="3"/>
      <c r="B99" s="3"/>
    </row>
    <row r="100" spans="1:26" x14ac:dyDescent="0.25">
      <c r="A100" s="3"/>
      <c r="B100" s="3"/>
    </row>
    <row r="101" spans="1:26" x14ac:dyDescent="0.25">
      <c r="A101" s="3"/>
      <c r="B101" s="3"/>
    </row>
    <row r="102" spans="1:26" s="2" customFormat="1" x14ac:dyDescent="0.25">
      <c r="A102" s="3"/>
      <c r="B102" s="3"/>
      <c r="C102"/>
      <c r="D102"/>
      <c r="E102"/>
      <c r="F102"/>
      <c r="G102"/>
      <c r="H102"/>
      <c r="I102"/>
      <c r="J102"/>
      <c r="K102"/>
      <c r="L102"/>
      <c r="M102"/>
      <c r="N102"/>
      <c r="O102"/>
      <c r="P102"/>
      <c r="Q102"/>
      <c r="R102"/>
      <c r="S102"/>
      <c r="T102"/>
      <c r="U102"/>
      <c r="V102"/>
      <c r="W102"/>
      <c r="X102"/>
      <c r="Y102"/>
      <c r="Z102"/>
    </row>
    <row r="103" spans="1:26" x14ac:dyDescent="0.25">
      <c r="A103" s="3"/>
      <c r="B103" s="3"/>
    </row>
    <row r="104" spans="1:26" x14ac:dyDescent="0.25">
      <c r="A104" s="3"/>
      <c r="B104" s="3"/>
    </row>
    <row r="105" spans="1:26" x14ac:dyDescent="0.25">
      <c r="A105" s="3"/>
      <c r="B105" s="3"/>
    </row>
    <row r="106" spans="1:26" x14ac:dyDescent="0.25">
      <c r="A106" s="3"/>
      <c r="B106" s="3"/>
    </row>
    <row r="107" spans="1:26" x14ac:dyDescent="0.25">
      <c r="A107" s="3"/>
      <c r="B107" s="3"/>
    </row>
    <row r="108" spans="1:26" x14ac:dyDescent="0.25">
      <c r="A108" s="3"/>
      <c r="B108" s="3"/>
    </row>
    <row r="109" spans="1:26" x14ac:dyDescent="0.25">
      <c r="A109" s="3"/>
      <c r="B109" s="3"/>
    </row>
    <row r="110" spans="1:26" s="2" customFormat="1" x14ac:dyDescent="0.25">
      <c r="A110" s="3"/>
      <c r="B110" s="3"/>
      <c r="C110"/>
      <c r="D110"/>
      <c r="E110"/>
      <c r="F110"/>
      <c r="G110"/>
      <c r="H110"/>
      <c r="I110"/>
      <c r="J110"/>
      <c r="K110"/>
      <c r="L110"/>
      <c r="M110"/>
      <c r="N110"/>
      <c r="O110"/>
      <c r="P110"/>
      <c r="Q110"/>
      <c r="R110"/>
      <c r="S110"/>
      <c r="T110"/>
      <c r="U110"/>
      <c r="V110"/>
      <c r="W110"/>
      <c r="X110"/>
      <c r="Y110"/>
      <c r="Z110"/>
    </row>
    <row r="111" spans="1:26" x14ac:dyDescent="0.25">
      <c r="A111" s="3"/>
      <c r="B111" s="3"/>
    </row>
    <row r="112" spans="1:26" x14ac:dyDescent="0.25">
      <c r="A112" s="3"/>
      <c r="B112" s="3"/>
    </row>
    <row r="113" spans="1:2" x14ac:dyDescent="0.25">
      <c r="A113" s="3"/>
      <c r="B113" s="3"/>
    </row>
    <row r="114" spans="1:2" x14ac:dyDescent="0.25">
      <c r="A114" s="3"/>
      <c r="B114" s="3"/>
    </row>
    <row r="115" spans="1:2" x14ac:dyDescent="0.25">
      <c r="A115" s="3"/>
      <c r="B115" s="3"/>
    </row>
    <row r="116" spans="1:2" x14ac:dyDescent="0.25">
      <c r="A116" s="3"/>
      <c r="B116" s="3"/>
    </row>
    <row r="117" spans="1:2" x14ac:dyDescent="0.25">
      <c r="A117" s="3"/>
      <c r="B117" s="3"/>
    </row>
    <row r="118" spans="1:2" x14ac:dyDescent="0.25">
      <c r="A118" s="3"/>
      <c r="B118" s="3"/>
    </row>
    <row r="119" spans="1:2" x14ac:dyDescent="0.25">
      <c r="A119" s="3"/>
      <c r="B119" s="3"/>
    </row>
    <row r="120" spans="1:2" x14ac:dyDescent="0.25">
      <c r="A120" s="3"/>
      <c r="B120" s="3"/>
    </row>
    <row r="121" spans="1:2" x14ac:dyDescent="0.25">
      <c r="A121" s="3"/>
      <c r="B121" s="3"/>
    </row>
    <row r="122" spans="1:2" x14ac:dyDescent="0.25">
      <c r="A122" s="3"/>
      <c r="B122" s="3"/>
    </row>
    <row r="123" spans="1:2" x14ac:dyDescent="0.25">
      <c r="A123" s="3"/>
      <c r="B123" s="3"/>
    </row>
    <row r="124" spans="1:2" x14ac:dyDescent="0.25">
      <c r="A124" s="3"/>
      <c r="B124" s="3"/>
    </row>
    <row r="125" spans="1:2" x14ac:dyDescent="0.25">
      <c r="A125" s="3"/>
      <c r="B125" s="3"/>
    </row>
    <row r="126" spans="1:2" x14ac:dyDescent="0.25">
      <c r="A126" s="3"/>
      <c r="B126" s="3"/>
    </row>
    <row r="127" spans="1:2" x14ac:dyDescent="0.25">
      <c r="A127" s="3"/>
      <c r="B127" s="3"/>
    </row>
    <row r="128" spans="1:2" x14ac:dyDescent="0.25">
      <c r="A128" s="3"/>
      <c r="B128" s="3"/>
    </row>
    <row r="129" spans="1:2" x14ac:dyDescent="0.25">
      <c r="A129" s="3"/>
      <c r="B129" s="3"/>
    </row>
    <row r="130" spans="1:2" x14ac:dyDescent="0.25">
      <c r="A130" s="3"/>
      <c r="B130" s="3"/>
    </row>
    <row r="131" spans="1:2" x14ac:dyDescent="0.25">
      <c r="A131" s="3"/>
      <c r="B131" s="3"/>
    </row>
    <row r="132" spans="1:2" x14ac:dyDescent="0.25">
      <c r="A132" s="3"/>
      <c r="B132" s="3"/>
    </row>
    <row r="133" spans="1:2" x14ac:dyDescent="0.25">
      <c r="A133" s="3"/>
      <c r="B133" s="3"/>
    </row>
    <row r="134" spans="1:2" x14ac:dyDescent="0.25">
      <c r="A134" s="3"/>
      <c r="B134" s="3"/>
    </row>
    <row r="135" spans="1:2" x14ac:dyDescent="0.25">
      <c r="A135" s="3"/>
      <c r="B135" s="3"/>
    </row>
    <row r="136" spans="1:2" x14ac:dyDescent="0.25">
      <c r="A136" s="3"/>
      <c r="B136" s="3"/>
    </row>
    <row r="137" spans="1:2" x14ac:dyDescent="0.25">
      <c r="A137" s="3"/>
      <c r="B137" s="3"/>
    </row>
    <row r="138" spans="1:2" x14ac:dyDescent="0.25">
      <c r="A138" s="3"/>
      <c r="B138" s="3"/>
    </row>
    <row r="139" spans="1:2" x14ac:dyDescent="0.25">
      <c r="A139" s="3"/>
      <c r="B139" s="3"/>
    </row>
    <row r="140" spans="1:2" x14ac:dyDescent="0.25">
      <c r="A140" s="3"/>
      <c r="B140" s="3"/>
    </row>
    <row r="141" spans="1:2" x14ac:dyDescent="0.25">
      <c r="A141" s="3"/>
      <c r="B141" s="3"/>
    </row>
    <row r="142" spans="1:2" x14ac:dyDescent="0.25">
      <c r="A142" s="3"/>
      <c r="B142" s="3"/>
    </row>
    <row r="143" spans="1:2" x14ac:dyDescent="0.25">
      <c r="A143" s="3"/>
      <c r="B143" s="3"/>
    </row>
    <row r="144" spans="1:2" x14ac:dyDescent="0.25">
      <c r="A144" s="3"/>
      <c r="B144" s="3"/>
    </row>
    <row r="145" spans="1:26" x14ac:dyDescent="0.25">
      <c r="A145" s="3"/>
      <c r="B145" s="3"/>
    </row>
    <row r="146" spans="1:26" x14ac:dyDescent="0.25">
      <c r="A146" s="3"/>
      <c r="B146" s="3"/>
    </row>
    <row r="147" spans="1:26" x14ac:dyDescent="0.25">
      <c r="A147" s="3"/>
      <c r="B147" s="3"/>
    </row>
    <row r="148" spans="1:26" x14ac:dyDescent="0.25">
      <c r="A148" s="3"/>
      <c r="B148" s="3"/>
    </row>
    <row r="149" spans="1:26" x14ac:dyDescent="0.25">
      <c r="A149" s="3"/>
      <c r="B149" s="3"/>
    </row>
    <row r="150" spans="1:26" x14ac:dyDescent="0.25">
      <c r="A150" s="3"/>
      <c r="B150" s="3"/>
    </row>
    <row r="151" spans="1:26" x14ac:dyDescent="0.25">
      <c r="A151" s="3"/>
      <c r="B151" s="3"/>
    </row>
    <row r="152" spans="1:26" x14ac:dyDescent="0.25">
      <c r="A152" s="3"/>
      <c r="B152" s="3"/>
    </row>
    <row r="153" spans="1:26" x14ac:dyDescent="0.25">
      <c r="A153" s="3"/>
      <c r="B153" s="3"/>
    </row>
    <row r="154" spans="1:26" x14ac:dyDescent="0.25">
      <c r="A154" s="3"/>
      <c r="B154" s="3"/>
    </row>
    <row r="155" spans="1:26" x14ac:dyDescent="0.25">
      <c r="A155" s="3"/>
      <c r="B155" s="3"/>
    </row>
    <row r="156" spans="1:26" x14ac:dyDescent="0.25">
      <c r="A156" s="3"/>
      <c r="B156" s="3"/>
    </row>
    <row r="157" spans="1:26" s="2" customFormat="1" x14ac:dyDescent="0.25">
      <c r="A157" s="3"/>
      <c r="B157" s="3"/>
      <c r="C157"/>
      <c r="D157"/>
      <c r="E157"/>
      <c r="F157"/>
      <c r="G157"/>
      <c r="H157"/>
      <c r="I157"/>
      <c r="J157"/>
      <c r="K157"/>
      <c r="L157"/>
      <c r="M157"/>
      <c r="N157"/>
      <c r="O157"/>
      <c r="P157"/>
      <c r="Q157"/>
      <c r="R157"/>
      <c r="S157"/>
      <c r="T157"/>
      <c r="U157"/>
      <c r="V157"/>
      <c r="W157"/>
      <c r="X157"/>
      <c r="Y157"/>
      <c r="Z157"/>
    </row>
    <row r="158" spans="1:26" x14ac:dyDescent="0.25">
      <c r="A158" s="3"/>
      <c r="B158" s="3"/>
    </row>
    <row r="159" spans="1:26" x14ac:dyDescent="0.25">
      <c r="A159" s="3"/>
      <c r="B159" s="3"/>
    </row>
    <row r="160" spans="1:26" x14ac:dyDescent="0.25">
      <c r="A160" s="3"/>
      <c r="B160" s="3"/>
    </row>
    <row r="161" spans="1:2" x14ac:dyDescent="0.25">
      <c r="A161" s="3"/>
      <c r="B161" s="3"/>
    </row>
    <row r="162" spans="1:2" x14ac:dyDescent="0.25">
      <c r="A162" s="3"/>
      <c r="B162" s="3"/>
    </row>
    <row r="163" spans="1:2" x14ac:dyDescent="0.25">
      <c r="A163" s="3"/>
      <c r="B163" s="3"/>
    </row>
    <row r="164" spans="1:2" x14ac:dyDescent="0.25">
      <c r="A164" s="3"/>
      <c r="B164" s="3"/>
    </row>
    <row r="165" spans="1:2" x14ac:dyDescent="0.25">
      <c r="A165" s="3"/>
      <c r="B165" s="3"/>
    </row>
    <row r="166" spans="1:2" x14ac:dyDescent="0.25">
      <c r="A166" s="3"/>
      <c r="B166" s="3"/>
    </row>
    <row r="167" spans="1:2" x14ac:dyDescent="0.25">
      <c r="A167" s="3"/>
      <c r="B167" s="3"/>
    </row>
    <row r="168" spans="1:2" x14ac:dyDescent="0.25">
      <c r="A168" s="3"/>
      <c r="B168" s="3"/>
    </row>
    <row r="169" spans="1:2" x14ac:dyDescent="0.25">
      <c r="A169" s="3"/>
      <c r="B169" s="3"/>
    </row>
    <row r="170" spans="1:2" x14ac:dyDescent="0.25">
      <c r="A170" s="3"/>
      <c r="B170" s="3"/>
    </row>
    <row r="171" spans="1:2" x14ac:dyDescent="0.25">
      <c r="A171" s="3"/>
      <c r="B171" s="3"/>
    </row>
    <row r="172" spans="1:2" x14ac:dyDescent="0.25">
      <c r="A172" s="3"/>
      <c r="B172" s="3"/>
    </row>
    <row r="173" spans="1:2" x14ac:dyDescent="0.25">
      <c r="A173" s="3"/>
      <c r="B173" s="3"/>
    </row>
    <row r="174" spans="1:2" x14ac:dyDescent="0.25">
      <c r="A174" s="3"/>
      <c r="B174" s="3"/>
    </row>
    <row r="175" spans="1:2" x14ac:dyDescent="0.25">
      <c r="A175" s="3"/>
      <c r="B175" s="3"/>
    </row>
    <row r="176" spans="1:2" x14ac:dyDescent="0.25">
      <c r="A176" s="3"/>
      <c r="B176" s="3"/>
    </row>
    <row r="177" spans="1:2" x14ac:dyDescent="0.25">
      <c r="A177" s="3"/>
      <c r="B177" s="3"/>
    </row>
    <row r="178" spans="1:2" x14ac:dyDescent="0.25">
      <c r="A178" s="3"/>
      <c r="B178" s="3"/>
    </row>
    <row r="179" spans="1:2" x14ac:dyDescent="0.25">
      <c r="A179" s="3"/>
      <c r="B179" s="3"/>
    </row>
    <row r="180" spans="1:2" x14ac:dyDescent="0.25">
      <c r="A180" s="3"/>
      <c r="B180" s="3"/>
    </row>
    <row r="181" spans="1:2" x14ac:dyDescent="0.25">
      <c r="A181" s="3"/>
      <c r="B181" s="3"/>
    </row>
    <row r="182" spans="1:2" x14ac:dyDescent="0.25">
      <c r="A182" s="3"/>
      <c r="B182" s="3"/>
    </row>
    <row r="183" spans="1:2" x14ac:dyDescent="0.25">
      <c r="A183" s="3"/>
      <c r="B183" s="3"/>
    </row>
    <row r="184" spans="1:2" x14ac:dyDescent="0.25">
      <c r="A184" s="3"/>
      <c r="B184" s="3"/>
    </row>
    <row r="185" spans="1:2" x14ac:dyDescent="0.25">
      <c r="A185" s="3"/>
      <c r="B185" s="3"/>
    </row>
  </sheetData>
  <mergeCells count="39">
    <mergeCell ref="D37:F37"/>
    <mergeCell ref="H37:K37"/>
    <mergeCell ref="Q33:V33"/>
    <mergeCell ref="F34:K34"/>
    <mergeCell ref="F35:K35"/>
    <mergeCell ref="G36:Y36"/>
    <mergeCell ref="D36:E36"/>
    <mergeCell ref="D28:G28"/>
    <mergeCell ref="I28:K28"/>
    <mergeCell ref="D29:G29"/>
    <mergeCell ref="I29:K29"/>
    <mergeCell ref="E33:P33"/>
    <mergeCell ref="G25:Y25"/>
    <mergeCell ref="D25:E25"/>
    <mergeCell ref="D26:F26"/>
    <mergeCell ref="H26:K26"/>
    <mergeCell ref="D27:G27"/>
    <mergeCell ref="I27:K27"/>
    <mergeCell ref="D19:F19"/>
    <mergeCell ref="H19:K19"/>
    <mergeCell ref="E23:P23"/>
    <mergeCell ref="Q23:V23"/>
    <mergeCell ref="F24:K24"/>
    <mergeCell ref="F16:Y16"/>
    <mergeCell ref="D17:E17"/>
    <mergeCell ref="G17:K17"/>
    <mergeCell ref="D18:F18"/>
    <mergeCell ref="H18:K18"/>
    <mergeCell ref="H14:K14"/>
    <mergeCell ref="D14:F14"/>
    <mergeCell ref="Q14:V14"/>
    <mergeCell ref="D15:F15"/>
    <mergeCell ref="H15:K15"/>
    <mergeCell ref="D8:J8"/>
    <mergeCell ref="E11:Y11"/>
    <mergeCell ref="Q12:V12"/>
    <mergeCell ref="Q13:V13"/>
    <mergeCell ref="D13:E13"/>
    <mergeCell ref="G13:K13"/>
  </mergeCells>
  <conditionalFormatting sqref="V1:Y8 T9:Y39 U40:Y278">
    <cfRule type="containsText" dxfId="25" priority="1" operator="containsText" text="ja">
      <formula>NOT(ISERROR(SEARCH(("ja"),(V1))))</formula>
    </cfRule>
    <cfRule type="containsText" dxfId="24" priority="2" operator="containsText" text="nein">
      <formula>NOT(ISERROR(SEARCH(("nein"),(V1))))</formula>
    </cfRule>
  </conditionalFormatting>
  <dataValidations count="2">
    <dataValidation type="list" errorStyle="warning" showErrorMessage="1" sqref="A11:A14 A15:A185" xr:uid="{00000000-0002-0000-0900-000000000000}">
      <formula1>"ja,nein"</formula1>
    </dataValidation>
    <dataValidation type="list" errorStyle="warning" showErrorMessage="1" sqref="B11:B185" xr:uid="{00000000-0002-0000-0900-000001000000}">
      <formula1>"ELA,Meistertask,Cleverreach,Synology,Miro,Google,WhatsApp,Canva,Adobe,Contao,Wiki,ecoDMS,Wiki,Facebook,Instagram,TikTok,LinkedIn,Youtube,Xing,X,SalesForce,Lexware,Volksbank,Articulate,Outlook,easy2book,Domainfactory,1&amp;1"</formula1>
    </dataValidation>
  </dataValidation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AN289"/>
  <sheetViews>
    <sheetView tabSelected="1" workbookViewId="0">
      <pane ySplit="9" topLeftCell="A10" activePane="bottomLeft" state="frozen"/>
      <selection pane="bottomLeft" activeCell="C14" sqref="C14"/>
    </sheetView>
  </sheetViews>
  <sheetFormatPr baseColWidth="10" defaultColWidth="14.5703125" defaultRowHeight="15" x14ac:dyDescent="0.25"/>
  <cols>
    <col min="1" max="1" width="12.42578125" customWidth="1"/>
    <col min="2" max="2" width="12.28515625" customWidth="1"/>
    <col min="3" max="9" width="3.42578125" customWidth="1"/>
    <col min="10" max="10" width="62.28515625" customWidth="1"/>
    <col min="11" max="11" width="118.5703125" customWidth="1"/>
    <col min="12" max="12" width="23.140625" customWidth="1"/>
    <col min="13" max="13" width="40" customWidth="1"/>
    <col min="14" max="14" width="34.140625" customWidth="1"/>
    <col min="15" max="15" width="26.42578125" customWidth="1"/>
    <col min="16" max="16" width="26.85546875" customWidth="1"/>
    <col min="17" max="17" width="17" customWidth="1"/>
    <col min="18" max="18" width="52" customWidth="1"/>
    <col min="20" max="20" width="14.42578125" customWidth="1"/>
    <col min="21" max="21" width="13.85546875" customWidth="1"/>
    <col min="22" max="23" width="31.85546875" customWidth="1"/>
    <col min="24" max="24" width="14.42578125" customWidth="1"/>
  </cols>
  <sheetData>
    <row r="2" spans="1:40" x14ac:dyDescent="0.25">
      <c r="I2" s="736"/>
      <c r="J2" t="s">
        <v>2547</v>
      </c>
    </row>
    <row r="3" spans="1:40" x14ac:dyDescent="0.25">
      <c r="I3" s="43"/>
      <c r="J3" s="44" t="s">
        <v>2548</v>
      </c>
    </row>
    <row r="4" spans="1:40" x14ac:dyDescent="0.25">
      <c r="I4" s="42"/>
      <c r="J4" t="s">
        <v>2</v>
      </c>
    </row>
    <row r="5" spans="1:40" x14ac:dyDescent="0.25">
      <c r="I5" s="106"/>
      <c r="J5" t="s">
        <v>2613</v>
      </c>
    </row>
    <row r="6" spans="1:40" x14ac:dyDescent="0.25">
      <c r="I6" s="121"/>
      <c r="J6" t="s">
        <v>2614</v>
      </c>
    </row>
    <row r="8" spans="1:40" x14ac:dyDescent="0.25">
      <c r="A8" s="122" t="s">
        <v>5</v>
      </c>
      <c r="B8" s="122" t="s">
        <v>6</v>
      </c>
      <c r="C8" s="1071" t="s">
        <v>8</v>
      </c>
      <c r="D8" s="1071"/>
      <c r="E8" s="1071"/>
      <c r="F8" s="1071"/>
      <c r="G8" s="1071"/>
      <c r="H8" s="1071"/>
      <c r="I8" s="1071"/>
    </row>
    <row r="9" spans="1:40" s="92" customFormat="1" ht="36.75" customHeight="1" x14ac:dyDescent="0.2">
      <c r="A9" s="7"/>
      <c r="B9" s="7"/>
      <c r="C9" s="116" t="s">
        <v>9</v>
      </c>
      <c r="D9" s="32" t="s">
        <v>10</v>
      </c>
      <c r="E9" s="32" t="s">
        <v>11</v>
      </c>
      <c r="F9" s="32" t="s">
        <v>12</v>
      </c>
      <c r="G9" s="32" t="s">
        <v>13</v>
      </c>
      <c r="H9" s="32" t="s">
        <v>14</v>
      </c>
      <c r="I9" s="32" t="s">
        <v>2549</v>
      </c>
      <c r="J9" s="737" t="s">
        <v>15</v>
      </c>
      <c r="K9" s="738" t="s">
        <v>16</v>
      </c>
      <c r="L9" s="739" t="s">
        <v>17</v>
      </c>
      <c r="M9" s="740" t="s">
        <v>18</v>
      </c>
      <c r="N9" s="740" t="s">
        <v>19</v>
      </c>
      <c r="O9" s="33" t="s">
        <v>20</v>
      </c>
      <c r="P9" s="740" t="s">
        <v>21</v>
      </c>
      <c r="Q9" s="740" t="s">
        <v>22</v>
      </c>
      <c r="R9" s="829" t="s">
        <v>23</v>
      </c>
      <c r="S9" s="741" t="s">
        <v>24</v>
      </c>
      <c r="T9" s="34" t="s">
        <v>25</v>
      </c>
      <c r="U9" s="34" t="s">
        <v>26</v>
      </c>
      <c r="V9" s="35" t="s">
        <v>27</v>
      </c>
      <c r="W9" s="34" t="s">
        <v>28</v>
      </c>
      <c r="X9" s="34" t="s">
        <v>29</v>
      </c>
    </row>
    <row r="10" spans="1:40" s="3" customFormat="1" ht="19.5" customHeight="1" x14ac:dyDescent="0.25">
      <c r="A10" s="742"/>
      <c r="B10" s="742"/>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row>
    <row r="11" spans="1:40" s="3" customFormat="1" ht="19.5" customHeight="1" x14ac:dyDescent="0.2">
      <c r="C11" s="742">
        <v>1</v>
      </c>
      <c r="D11" s="1072" t="s">
        <v>2615</v>
      </c>
      <c r="E11" s="1072"/>
      <c r="F11" s="1072"/>
      <c r="G11" s="1072"/>
      <c r="H11" s="1072"/>
      <c r="I11" s="1072"/>
      <c r="J11" s="1073"/>
      <c r="K11" s="1074"/>
      <c r="L11" s="1075"/>
      <c r="M11" s="1075"/>
      <c r="N11" s="1075"/>
      <c r="O11" s="1075"/>
      <c r="P11" s="1075"/>
      <c r="Q11" s="1075"/>
      <c r="R11" s="1075"/>
      <c r="S11" s="1075"/>
      <c r="T11" s="1075"/>
      <c r="U11" s="1075"/>
      <c r="V11" s="1075"/>
      <c r="W11" s="1076"/>
      <c r="X11" s="89"/>
    </row>
    <row r="12" spans="1:40" s="3" customFormat="1" ht="19.5" customHeight="1" x14ac:dyDescent="0.2">
      <c r="C12" s="3" t="s">
        <v>91</v>
      </c>
      <c r="J12" s="89" t="s">
        <v>2616</v>
      </c>
      <c r="K12" s="344"/>
      <c r="L12" s="344"/>
      <c r="M12" s="344"/>
      <c r="N12" s="344"/>
      <c r="O12" s="344"/>
      <c r="P12" s="344"/>
      <c r="Q12" s="344"/>
      <c r="R12" s="344"/>
      <c r="S12" s="344"/>
      <c r="T12" s="344"/>
      <c r="U12" s="344"/>
      <c r="V12" s="344"/>
      <c r="W12" s="344"/>
      <c r="X12" s="344"/>
      <c r="Y12" s="381"/>
      <c r="Z12" s="381"/>
      <c r="AA12" s="381"/>
      <c r="AB12" s="381"/>
      <c r="AC12" s="381"/>
    </row>
    <row r="13" spans="1:40" s="3" customFormat="1" ht="21.75" customHeight="1" x14ac:dyDescent="0.2">
      <c r="D13" s="3" t="s">
        <v>91</v>
      </c>
      <c r="J13" s="351" t="s">
        <v>2617</v>
      </c>
      <c r="K13" s="381"/>
      <c r="L13" s="381"/>
      <c r="M13" s="381"/>
      <c r="N13" s="381"/>
      <c r="O13" s="381"/>
      <c r="P13" s="381"/>
      <c r="Q13" s="381"/>
      <c r="R13" s="381"/>
      <c r="S13" s="381"/>
      <c r="T13" s="381"/>
      <c r="U13" s="381"/>
      <c r="V13" s="381"/>
      <c r="W13" s="381"/>
      <c r="X13" s="381"/>
      <c r="Y13" s="381"/>
      <c r="Z13" s="381"/>
      <c r="AA13" s="381"/>
      <c r="AB13" s="381"/>
      <c r="AC13" s="381"/>
    </row>
    <row r="14" spans="1:40" s="3" customFormat="1" ht="24" customHeight="1" x14ac:dyDescent="0.25">
      <c r="A14" s="3" t="s">
        <v>1106</v>
      </c>
      <c r="E14" s="3" t="s">
        <v>91</v>
      </c>
      <c r="J14" s="45" t="s">
        <v>2618</v>
      </c>
      <c r="K14" s="396" t="s">
        <v>2619</v>
      </c>
      <c r="L14" s="396" t="s">
        <v>2620</v>
      </c>
      <c r="M14" s="396" t="s">
        <v>2621</v>
      </c>
      <c r="N14" s="396"/>
      <c r="O14" s="396"/>
      <c r="P14" s="396"/>
      <c r="Q14" s="396"/>
      <c r="R14" s="396"/>
      <c r="S14" s="396"/>
      <c r="T14" s="396"/>
      <c r="U14" s="396"/>
      <c r="V14" s="396"/>
      <c r="W14" s="396"/>
      <c r="X14" s="396"/>
      <c r="Y14" s="478"/>
      <c r="Z14" s="478"/>
      <c r="AA14" s="478"/>
      <c r="AB14" s="478"/>
      <c r="AC14" s="478"/>
    </row>
    <row r="15" spans="1:40" s="3" customFormat="1" ht="19.5" customHeight="1" x14ac:dyDescent="0.25">
      <c r="A15" s="3" t="s">
        <v>1106</v>
      </c>
      <c r="E15" s="3" t="s">
        <v>91</v>
      </c>
      <c r="J15" s="45" t="s">
        <v>2622</v>
      </c>
      <c r="K15" s="594" t="s">
        <v>2623</v>
      </c>
      <c r="L15" s="45" t="s">
        <v>2620</v>
      </c>
      <c r="M15" s="62" t="s">
        <v>2624</v>
      </c>
      <c r="N15" s="62"/>
      <c r="O15" s="45"/>
      <c r="P15" s="62"/>
      <c r="Q15" s="45"/>
      <c r="R15" s="45"/>
      <c r="S15" s="45"/>
      <c r="T15" s="45"/>
      <c r="U15" s="45"/>
      <c r="V15" s="45"/>
      <c r="W15" s="45"/>
      <c r="X15" s="45"/>
      <c r="Y15" s="477"/>
      <c r="Z15" s="344"/>
      <c r="AA15" s="344"/>
      <c r="AB15" s="344"/>
    </row>
    <row r="16" spans="1:40" s="3" customFormat="1" ht="18.75" customHeight="1" x14ac:dyDescent="0.25">
      <c r="A16" s="3" t="s">
        <v>1098</v>
      </c>
      <c r="F16" s="3" t="s">
        <v>91</v>
      </c>
      <c r="J16" s="45" t="s">
        <v>2625</v>
      </c>
      <c r="K16" s="45" t="s">
        <v>2626</v>
      </c>
      <c r="L16" s="45" t="s">
        <v>2627</v>
      </c>
      <c r="M16" s="62" t="s">
        <v>2628</v>
      </c>
      <c r="N16" s="715" t="str">
        <f>HYPERLINK("http://wiki.academyofsports.online/tiki-index.php?page=Leitfaden-Bildungsberatung", "http://wiki.academyofsports.online/tiki-index.php?page=Leitfaden-Bildungsberatung")</f>
        <v>http://wiki.academyofsports.online/tiki-index.php?page=Leitfaden-Bildungsberatung</v>
      </c>
      <c r="O16" s="45"/>
      <c r="P16" s="62"/>
      <c r="Q16" s="45"/>
      <c r="R16" s="45"/>
      <c r="S16" s="45"/>
      <c r="T16" s="45"/>
      <c r="U16" s="45"/>
      <c r="V16" s="45"/>
      <c r="W16" s="45"/>
      <c r="X16" s="45"/>
      <c r="Y16" s="477"/>
      <c r="Z16" s="344"/>
      <c r="AA16" s="344"/>
      <c r="AB16" s="344"/>
    </row>
    <row r="17" spans="1:28" s="3" customFormat="1" ht="17.25" customHeight="1" x14ac:dyDescent="0.25">
      <c r="A17" s="3" t="s">
        <v>1098</v>
      </c>
      <c r="G17" s="3" t="s">
        <v>91</v>
      </c>
      <c r="J17" s="45" t="s">
        <v>2629</v>
      </c>
      <c r="K17" s="45" t="s">
        <v>2630</v>
      </c>
      <c r="L17" s="45" t="s">
        <v>2631</v>
      </c>
      <c r="M17" s="62" t="s">
        <v>2632</v>
      </c>
      <c r="N17" s="62" t="s">
        <v>2633</v>
      </c>
      <c r="O17" s="45"/>
      <c r="P17" s="62" t="s">
        <v>2634</v>
      </c>
      <c r="Q17" s="45"/>
      <c r="R17" s="45"/>
      <c r="S17" s="45"/>
      <c r="T17" s="45"/>
      <c r="U17" s="45"/>
      <c r="V17" s="45"/>
      <c r="W17" s="45"/>
      <c r="X17" s="45"/>
      <c r="Y17" s="477"/>
      <c r="Z17" s="344"/>
      <c r="AA17" s="344"/>
      <c r="AB17" s="344"/>
    </row>
    <row r="18" spans="1:28" s="3" customFormat="1" ht="19.5" customHeight="1" x14ac:dyDescent="0.25">
      <c r="A18" s="3" t="s">
        <v>1098</v>
      </c>
      <c r="H18" s="3" t="s">
        <v>91</v>
      </c>
      <c r="J18" s="24" t="s">
        <v>1406</v>
      </c>
      <c r="K18" s="6" t="s">
        <v>1407</v>
      </c>
      <c r="L18" s="20" t="s">
        <v>2620</v>
      </c>
      <c r="M18" s="6" t="s">
        <v>2635</v>
      </c>
      <c r="N18" s="10" t="s">
        <v>1408</v>
      </c>
      <c r="O18" s="45"/>
      <c r="P18" s="62"/>
      <c r="Q18" s="45"/>
      <c r="R18" s="45"/>
      <c r="S18" s="45"/>
      <c r="T18" s="45"/>
      <c r="U18" s="45"/>
      <c r="V18" s="45"/>
      <c r="W18" s="45"/>
      <c r="X18" s="45"/>
      <c r="Y18" s="477"/>
      <c r="Z18" s="344"/>
      <c r="AA18" s="344"/>
      <c r="AB18" s="344"/>
    </row>
    <row r="19" spans="1:28" s="3" customFormat="1" ht="18" customHeight="1" x14ac:dyDescent="0.25">
      <c r="A19" s="3" t="s">
        <v>1098</v>
      </c>
      <c r="G19" s="3" t="s">
        <v>91</v>
      </c>
      <c r="J19" s="45" t="s">
        <v>2636</v>
      </c>
      <c r="K19" s="45" t="s">
        <v>2637</v>
      </c>
      <c r="L19" s="45" t="s">
        <v>2627</v>
      </c>
      <c r="M19" s="62" t="s">
        <v>2638</v>
      </c>
      <c r="N19" s="715" t="str">
        <f>HYPERLINK("http://wiki.academyofsports.online/tiki-index.php?page=Vertriebsweg+9+-+Telefongespr%C3%A4ch+eingehend+%280413%29", "http://wiki.academyofsports.online/tiki-index.php?page=Vertriebsweg+9+-+Telefongespr%C3%A4ch+eingehend+%280413%29")</f>
        <v>http://wiki.academyofsports.online/tiki-index.php?page=Vertriebsweg+9+-+Telefongespr%C3%A4ch+eingehend+%280413%29</v>
      </c>
      <c r="O19" s="45"/>
      <c r="P19" s="62"/>
      <c r="Q19" s="45"/>
      <c r="R19" s="45"/>
      <c r="S19" s="45"/>
      <c r="T19" s="45"/>
      <c r="U19" s="45"/>
      <c r="V19" s="45"/>
      <c r="W19" s="45"/>
      <c r="X19" s="45"/>
      <c r="Y19" s="477"/>
      <c r="Z19" s="344"/>
      <c r="AA19" s="344"/>
      <c r="AB19" s="344"/>
    </row>
    <row r="20" spans="1:28" s="3" customFormat="1" ht="17.25" customHeight="1" x14ac:dyDescent="0.25">
      <c r="A20" s="3" t="s">
        <v>1106</v>
      </c>
      <c r="H20" s="3" t="s">
        <v>91</v>
      </c>
      <c r="J20" s="45" t="s">
        <v>2639</v>
      </c>
      <c r="K20" s="45" t="s">
        <v>2640</v>
      </c>
      <c r="L20" s="45" t="s">
        <v>2641</v>
      </c>
      <c r="M20" s="62" t="s">
        <v>2632</v>
      </c>
      <c r="N20" s="715" t="str">
        <f>HYPERLINK("http://wiki.academyofsports.online/tiki-index.php?page=Vertriebsweg+9+-+Telefongespr%C3%A4ch+eingehend+%280413%29", "http://wiki.academyofsports.online/tiki-index.php?page=Vertriebsweg+9+-+Telefongespr%C3%A4ch+eingehend+%280413%29")</f>
        <v>http://wiki.academyofsports.online/tiki-index.php?page=Vertriebsweg+9+-+Telefongespr%C3%A4ch+eingehend+%280413%29</v>
      </c>
      <c r="O20" s="45"/>
      <c r="P20" s="62"/>
      <c r="Q20" s="45"/>
      <c r="R20" s="45"/>
      <c r="S20" s="45"/>
      <c r="T20" s="45"/>
      <c r="U20" s="45"/>
      <c r="V20" s="45"/>
      <c r="W20" s="45"/>
      <c r="X20" s="45"/>
      <c r="Y20" s="477"/>
      <c r="Z20" s="344"/>
      <c r="AA20" s="344"/>
      <c r="AB20" s="344"/>
    </row>
    <row r="21" spans="1:28" s="3" customFormat="1" ht="18" customHeight="1" x14ac:dyDescent="0.25">
      <c r="A21" s="3" t="s">
        <v>1098</v>
      </c>
      <c r="H21" s="3" t="s">
        <v>91</v>
      </c>
      <c r="J21" s="45" t="s">
        <v>2642</v>
      </c>
      <c r="K21" s="45" t="s">
        <v>2643</v>
      </c>
      <c r="L21" s="45" t="s">
        <v>2641</v>
      </c>
      <c r="M21" s="62" t="s">
        <v>2632</v>
      </c>
      <c r="N21" s="62"/>
      <c r="O21" s="45"/>
      <c r="P21" s="62"/>
      <c r="Q21" s="45"/>
      <c r="R21" s="45"/>
      <c r="S21" s="45"/>
      <c r="T21" s="45"/>
      <c r="U21" s="45"/>
      <c r="V21" s="45"/>
      <c r="W21" s="45"/>
      <c r="X21" s="45"/>
      <c r="Y21" s="477"/>
      <c r="Z21" s="344"/>
      <c r="AA21" s="344"/>
      <c r="AB21" s="344"/>
    </row>
    <row r="22" spans="1:28" s="3" customFormat="1" ht="17.25" customHeight="1" x14ac:dyDescent="0.25">
      <c r="A22" s="3" t="s">
        <v>1098</v>
      </c>
      <c r="H22" s="3" t="s">
        <v>91</v>
      </c>
      <c r="J22" s="45" t="s">
        <v>2644</v>
      </c>
      <c r="K22" s="594" t="s">
        <v>2645</v>
      </c>
      <c r="L22" s="45" t="s">
        <v>2641</v>
      </c>
      <c r="M22" s="62" t="s">
        <v>2638</v>
      </c>
      <c r="N22" s="62"/>
      <c r="O22" s="45"/>
      <c r="P22" s="62"/>
      <c r="Q22" s="45"/>
      <c r="R22" s="45"/>
      <c r="S22" s="45"/>
      <c r="T22" s="45"/>
      <c r="U22" s="45"/>
      <c r="V22" s="45"/>
      <c r="W22" s="45"/>
      <c r="X22" s="45"/>
      <c r="Y22" s="477"/>
      <c r="Z22" s="344"/>
      <c r="AA22" s="344"/>
      <c r="AB22" s="344"/>
    </row>
    <row r="23" spans="1:28" s="3" customFormat="1" ht="18" customHeight="1" x14ac:dyDescent="0.25">
      <c r="A23" s="3" t="s">
        <v>1098</v>
      </c>
      <c r="H23" s="3" t="s">
        <v>91</v>
      </c>
      <c r="J23" s="45" t="s">
        <v>2646</v>
      </c>
      <c r="K23" s="45" t="s">
        <v>2647</v>
      </c>
      <c r="L23" s="45" t="s">
        <v>2641</v>
      </c>
      <c r="M23" s="62" t="s">
        <v>2632</v>
      </c>
      <c r="N23" s="715" t="str">
        <f>HYPERLINK("http://wiki.academyofsports.online/tiki-index.php?page=Vertriebsweg+21+-+WhatsApp+im+Vertrieb", "http://wiki.academyofsports.online/tiki-index.php?page=Vertriebsweg+21+-+WhatsApp+im+Vertrieb")</f>
        <v>http://wiki.academyofsports.online/tiki-index.php?page=Vertriebsweg+21+-+WhatsApp+im+Vertrieb</v>
      </c>
      <c r="O23" s="45"/>
      <c r="P23" s="62"/>
      <c r="Q23" s="45"/>
      <c r="R23" s="45"/>
      <c r="S23" s="45"/>
      <c r="T23" s="45"/>
      <c r="U23" s="45"/>
      <c r="V23" s="45"/>
      <c r="W23" s="45"/>
      <c r="X23" s="45"/>
      <c r="Y23" s="477"/>
      <c r="Z23" s="344"/>
      <c r="AA23" s="344"/>
      <c r="AB23" s="344"/>
    </row>
    <row r="24" spans="1:28" s="3" customFormat="1" ht="18.75" customHeight="1" x14ac:dyDescent="0.25">
      <c r="A24" s="3" t="s">
        <v>1106</v>
      </c>
      <c r="I24" s="3" t="s">
        <v>91</v>
      </c>
      <c r="J24" s="45" t="s">
        <v>2648</v>
      </c>
      <c r="K24" s="45" t="s">
        <v>2649</v>
      </c>
      <c r="L24" s="45" t="s">
        <v>2641</v>
      </c>
      <c r="M24" s="62" t="s">
        <v>2632</v>
      </c>
      <c r="N24" s="715" t="str">
        <f>HYPERLINK("http://wiki.academyofsports.online/tiki-index.php?page=Vertriebsweg+21+-+WhatsApp+im+Vertrieb", "http://wiki.academyofsports.online/tiki-index.php?page=Vertriebsweg+21+-+WhatsApp+im+Vertrieb")</f>
        <v>http://wiki.academyofsports.online/tiki-index.php?page=Vertriebsweg+21+-+WhatsApp+im+Vertrieb</v>
      </c>
      <c r="O24" s="45"/>
      <c r="P24" s="62"/>
      <c r="Q24" s="45"/>
      <c r="R24" s="45"/>
      <c r="S24" s="45"/>
      <c r="T24" s="45"/>
      <c r="U24" s="45"/>
      <c r="V24" s="45"/>
      <c r="W24" s="45"/>
      <c r="X24" s="45"/>
      <c r="Y24" s="477"/>
      <c r="Z24" s="344"/>
      <c r="AA24" s="344"/>
      <c r="AB24" s="344"/>
    </row>
    <row r="25" spans="1:28" s="3" customFormat="1" ht="21" customHeight="1" x14ac:dyDescent="0.25">
      <c r="A25" s="3" t="s">
        <v>1098</v>
      </c>
      <c r="I25" s="3" t="s">
        <v>91</v>
      </c>
      <c r="J25" s="45" t="s">
        <v>2650</v>
      </c>
      <c r="K25" s="45" t="s">
        <v>2651</v>
      </c>
      <c r="L25" s="45"/>
      <c r="M25" s="62"/>
      <c r="N25" s="62"/>
      <c r="O25" s="45"/>
      <c r="P25" s="62"/>
      <c r="Q25" s="45"/>
      <c r="R25" s="45"/>
      <c r="S25" s="45"/>
      <c r="T25" s="45"/>
      <c r="U25" s="45"/>
      <c r="V25" s="45"/>
      <c r="W25" s="45"/>
      <c r="X25" s="45"/>
      <c r="Y25" s="477"/>
      <c r="Z25" s="344"/>
      <c r="AA25" s="344"/>
      <c r="AB25" s="344"/>
    </row>
    <row r="26" spans="1:28" s="3" customFormat="1" ht="18.75" customHeight="1" x14ac:dyDescent="0.25">
      <c r="A26" s="3" t="s">
        <v>1098</v>
      </c>
      <c r="I26" s="3" t="s">
        <v>91</v>
      </c>
      <c r="J26" s="45" t="s">
        <v>2652</v>
      </c>
      <c r="K26" s="45" t="s">
        <v>2653</v>
      </c>
      <c r="L26" s="855" t="s">
        <v>2620</v>
      </c>
      <c r="M26" s="62" t="s">
        <v>2654</v>
      </c>
      <c r="N26" s="62"/>
      <c r="O26" s="45"/>
      <c r="P26" s="62"/>
      <c r="Q26" s="45"/>
      <c r="R26" s="45"/>
      <c r="S26" s="45"/>
      <c r="T26" s="45"/>
      <c r="U26" s="45"/>
      <c r="V26" s="45"/>
      <c r="W26" s="45"/>
      <c r="X26" s="45"/>
      <c r="Y26" s="477"/>
      <c r="Z26" s="344"/>
      <c r="AA26" s="344"/>
      <c r="AB26" s="344"/>
    </row>
    <row r="27" spans="1:28" s="3" customFormat="1" ht="17.25" customHeight="1" x14ac:dyDescent="0.25">
      <c r="J27" s="351" t="s">
        <v>2655</v>
      </c>
      <c r="Q27" s="45"/>
      <c r="R27" s="45"/>
      <c r="S27" s="45"/>
      <c r="T27" s="45"/>
      <c r="U27" s="45"/>
      <c r="V27" s="45"/>
      <c r="W27" s="45"/>
      <c r="X27" s="45"/>
      <c r="Y27" s="91"/>
      <c r="Z27" s="89"/>
      <c r="AA27" s="89"/>
      <c r="AB27" s="89"/>
    </row>
    <row r="28" spans="1:28" s="3" customFormat="1" ht="23.25" customHeight="1" x14ac:dyDescent="0.25">
      <c r="A28" s="3" t="s">
        <v>1106</v>
      </c>
      <c r="C28" s="3" t="s">
        <v>91</v>
      </c>
      <c r="J28" s="45" t="s">
        <v>2618</v>
      </c>
      <c r="K28" s="396" t="s">
        <v>2619</v>
      </c>
      <c r="L28" s="396" t="s">
        <v>2620</v>
      </c>
      <c r="M28" s="396" t="s">
        <v>2621</v>
      </c>
      <c r="Q28" s="45"/>
      <c r="R28" s="45"/>
      <c r="S28" s="45"/>
      <c r="T28" s="45"/>
      <c r="U28" s="45"/>
      <c r="V28" s="45"/>
      <c r="W28" s="45"/>
      <c r="X28" s="45"/>
      <c r="Y28" s="91"/>
      <c r="Z28" s="89"/>
      <c r="AA28" s="89"/>
      <c r="AB28" s="89"/>
    </row>
    <row r="29" spans="1:28" s="3" customFormat="1" ht="26.25" customHeight="1" x14ac:dyDescent="0.25">
      <c r="A29" s="3" t="s">
        <v>1106</v>
      </c>
      <c r="D29" s="3" t="s">
        <v>91</v>
      </c>
      <c r="J29" s="45" t="s">
        <v>2622</v>
      </c>
      <c r="K29" s="594" t="s">
        <v>2656</v>
      </c>
      <c r="L29" s="45" t="s">
        <v>2620</v>
      </c>
      <c r="M29" s="62" t="s">
        <v>2624</v>
      </c>
      <c r="Q29" s="45"/>
      <c r="R29" s="45"/>
      <c r="S29" s="45"/>
      <c r="T29" s="45"/>
      <c r="U29" s="45"/>
      <c r="V29" s="45"/>
      <c r="W29" s="45"/>
      <c r="X29" s="45"/>
    </row>
    <row r="30" spans="1:28" s="3" customFormat="1" ht="22.5" customHeight="1" x14ac:dyDescent="0.25">
      <c r="A30" s="3" t="s">
        <v>1106</v>
      </c>
      <c r="E30" s="3" t="s">
        <v>91</v>
      </c>
      <c r="J30" s="1" t="s">
        <v>2657</v>
      </c>
      <c r="K30" s="309" t="s">
        <v>2658</v>
      </c>
      <c r="L30" s="45" t="s">
        <v>2641</v>
      </c>
      <c r="M30" s="396" t="s">
        <v>2659</v>
      </c>
      <c r="Q30" s="45"/>
      <c r="R30" s="45"/>
      <c r="S30" s="45"/>
      <c r="T30" s="45"/>
      <c r="U30" s="45"/>
      <c r="V30" s="45"/>
      <c r="W30" s="45"/>
      <c r="X30" s="45"/>
    </row>
    <row r="31" spans="1:28" s="3" customFormat="1" ht="21.75" customHeight="1" x14ac:dyDescent="0.25">
      <c r="A31" s="3" t="s">
        <v>1106</v>
      </c>
      <c r="F31" s="3" t="s">
        <v>91</v>
      </c>
      <c r="J31" s="309" t="s">
        <v>2660</v>
      </c>
      <c r="K31" s="309" t="s">
        <v>2661</v>
      </c>
      <c r="L31" s="45" t="s">
        <v>2620</v>
      </c>
      <c r="M31" s="45" t="s">
        <v>2662</v>
      </c>
      <c r="N31" s="716" t="str">
        <f>HYPERLINK("http://wiki.academyofsports.online/tiki-index.php?page=Vertriebsweg-21---WhatsApp-im-Vertrieb", "http://wiki.academyofsports.online/tiki-index.php?page=Vertriebsweg-21---WhatsApp-im-Vertrieb")</f>
        <v>http://wiki.academyofsports.online/tiki-index.php?page=Vertriebsweg-21---WhatsApp-im-Vertrieb</v>
      </c>
      <c r="Q31" s="45"/>
      <c r="R31" s="45"/>
      <c r="S31" s="45"/>
      <c r="T31" s="45"/>
      <c r="U31" s="45"/>
      <c r="V31" s="45"/>
      <c r="W31" s="45"/>
      <c r="X31" s="45"/>
    </row>
    <row r="32" spans="1:28" s="3" customFormat="1" ht="21.75" customHeight="1" x14ac:dyDescent="0.25">
      <c r="A32" s="3" t="s">
        <v>1098</v>
      </c>
      <c r="G32" s="3" t="s">
        <v>91</v>
      </c>
      <c r="J32" s="309" t="s">
        <v>2663</v>
      </c>
      <c r="K32" s="1" t="s">
        <v>2664</v>
      </c>
      <c r="L32" s="45" t="s">
        <v>2620</v>
      </c>
      <c r="M32" s="309" t="s">
        <v>2665</v>
      </c>
      <c r="N32" s="716" t="str">
        <f>HYPERLINK("http://wiki.academyofsports.online/tiki-index.php?page=Vertriebsweg-21---WhatsApp-im-Vertrieb", "http://wiki.academyofsports.online/tiki-index.php?page=Vertriebsweg-21---WhatsApp-im-Vertrieb")</f>
        <v>http://wiki.academyofsports.online/tiki-index.php?page=Vertriebsweg-21---WhatsApp-im-Vertrieb</v>
      </c>
      <c r="Q32" s="45"/>
      <c r="R32" s="45"/>
      <c r="S32" s="45"/>
      <c r="T32" s="45"/>
      <c r="U32" s="45"/>
      <c r="V32" s="45"/>
      <c r="W32" s="45"/>
      <c r="X32" s="45"/>
    </row>
    <row r="33" spans="1:40" s="3" customFormat="1" ht="15.75" customHeight="1" x14ac:dyDescent="0.25">
      <c r="A33" s="3" t="s">
        <v>1098</v>
      </c>
      <c r="H33" s="3" t="s">
        <v>91</v>
      </c>
      <c r="J33" s="886" t="s">
        <v>2666</v>
      </c>
      <c r="K33" s="887" t="s">
        <v>2667</v>
      </c>
      <c r="L33" s="45" t="s">
        <v>2620</v>
      </c>
      <c r="M33" s="62" t="s">
        <v>2668</v>
      </c>
      <c r="Q33" s="45"/>
      <c r="R33" s="45"/>
      <c r="S33" s="45"/>
      <c r="T33" s="45"/>
      <c r="U33" s="45"/>
      <c r="V33" s="45"/>
      <c r="W33" s="45"/>
      <c r="X33" s="45"/>
      <c r="Y33" s="30"/>
      <c r="Z33" s="30"/>
      <c r="AA33" s="30"/>
      <c r="AB33" s="30"/>
      <c r="AC33" s="30"/>
      <c r="AD33" s="30"/>
      <c r="AE33" s="30"/>
      <c r="AF33" s="30"/>
      <c r="AG33" s="30"/>
      <c r="AH33" s="30"/>
      <c r="AI33" s="30"/>
      <c r="AJ33" s="30"/>
      <c r="AK33" s="30"/>
      <c r="AL33" s="30"/>
      <c r="AM33" s="30"/>
      <c r="AN33" s="30"/>
    </row>
    <row r="34" spans="1:40" s="3" customFormat="1" ht="15.75" customHeight="1" x14ac:dyDescent="0.25">
      <c r="A34" s="3" t="s">
        <v>1098</v>
      </c>
      <c r="I34" s="3" t="s">
        <v>91</v>
      </c>
      <c r="J34" s="887" t="s">
        <v>2669</v>
      </c>
      <c r="K34" s="887" t="s">
        <v>2670</v>
      </c>
      <c r="L34" s="45" t="s">
        <v>2620</v>
      </c>
      <c r="M34" s="62" t="s">
        <v>2671</v>
      </c>
      <c r="Q34" s="45"/>
      <c r="R34" s="45"/>
      <c r="S34" s="45"/>
      <c r="T34" s="45"/>
      <c r="U34" s="45"/>
      <c r="V34" s="45"/>
      <c r="W34" s="45"/>
      <c r="X34" s="45"/>
      <c r="Y34" s="30"/>
      <c r="Z34" s="30"/>
      <c r="AA34" s="30"/>
      <c r="AB34" s="30"/>
      <c r="AC34" s="30"/>
      <c r="AD34" s="30"/>
      <c r="AE34" s="30"/>
      <c r="AF34" s="30"/>
      <c r="AG34" s="30"/>
      <c r="AH34" s="30"/>
      <c r="AI34" s="30"/>
      <c r="AJ34" s="30"/>
      <c r="AK34" s="30"/>
      <c r="AL34" s="30"/>
      <c r="AM34" s="30"/>
      <c r="AN34" s="30"/>
    </row>
    <row r="35" spans="1:40" s="3" customFormat="1" ht="15.75" customHeight="1" x14ac:dyDescent="0.25">
      <c r="A35" s="3" t="s">
        <v>1098</v>
      </c>
      <c r="I35" s="3" t="s">
        <v>91</v>
      </c>
      <c r="J35" s="887" t="s">
        <v>2672</v>
      </c>
      <c r="K35" s="887" t="s">
        <v>2673</v>
      </c>
      <c r="L35" s="45" t="s">
        <v>2620</v>
      </c>
      <c r="M35" s="62" t="s">
        <v>2674</v>
      </c>
      <c r="Q35" s="45"/>
      <c r="R35" s="45"/>
      <c r="S35" s="45"/>
      <c r="T35" s="45"/>
      <c r="U35" s="45"/>
      <c r="V35" s="45"/>
      <c r="W35" s="45"/>
      <c r="X35" s="45"/>
      <c r="Y35" s="30"/>
      <c r="Z35" s="30"/>
      <c r="AA35" s="30"/>
      <c r="AB35" s="30"/>
      <c r="AC35" s="30"/>
      <c r="AD35" s="30"/>
      <c r="AE35" s="30"/>
      <c r="AF35" s="30"/>
      <c r="AG35" s="30"/>
      <c r="AH35" s="30"/>
      <c r="AI35" s="30"/>
      <c r="AJ35" s="30"/>
      <c r="AK35" s="30"/>
      <c r="AL35" s="30"/>
      <c r="AM35" s="30"/>
      <c r="AN35" s="30"/>
    </row>
    <row r="36" spans="1:40" s="3" customFormat="1" ht="15.75" customHeight="1" x14ac:dyDescent="0.25">
      <c r="A36" s="3" t="s">
        <v>1098</v>
      </c>
      <c r="I36" s="3" t="s">
        <v>91</v>
      </c>
      <c r="J36" s="887" t="s">
        <v>2675</v>
      </c>
      <c r="K36" s="887" t="s">
        <v>2676</v>
      </c>
      <c r="L36" s="45" t="s">
        <v>2620</v>
      </c>
      <c r="M36" s="62" t="s">
        <v>2677</v>
      </c>
      <c r="Q36" s="45"/>
      <c r="R36" s="45"/>
      <c r="S36" s="45"/>
      <c r="T36" s="45"/>
      <c r="U36" s="45"/>
      <c r="V36" s="45"/>
      <c r="W36" s="45"/>
      <c r="X36" s="45"/>
      <c r="Y36" s="30"/>
      <c r="Z36" s="30"/>
      <c r="AA36" s="30"/>
      <c r="AB36" s="30"/>
      <c r="AC36" s="30"/>
      <c r="AD36" s="30"/>
      <c r="AE36" s="30"/>
      <c r="AF36" s="30"/>
      <c r="AG36" s="30"/>
      <c r="AH36" s="30"/>
      <c r="AI36" s="30"/>
      <c r="AJ36" s="30"/>
      <c r="AK36" s="30"/>
      <c r="AL36" s="30"/>
      <c r="AM36" s="30"/>
      <c r="AN36" s="30"/>
    </row>
    <row r="37" spans="1:40" s="3" customFormat="1" ht="21" customHeight="1" x14ac:dyDescent="0.25">
      <c r="A37" s="3" t="s">
        <v>1106</v>
      </c>
      <c r="H37" s="3" t="s">
        <v>91</v>
      </c>
      <c r="J37" s="309" t="s">
        <v>2677</v>
      </c>
      <c r="K37" s="888" t="s">
        <v>2678</v>
      </c>
      <c r="L37" s="45" t="s">
        <v>2620</v>
      </c>
      <c r="M37" s="62" t="s">
        <v>2677</v>
      </c>
      <c r="Q37" s="45"/>
      <c r="R37" s="45"/>
      <c r="S37" s="45"/>
      <c r="T37" s="45"/>
      <c r="U37" s="45"/>
      <c r="V37" s="45"/>
      <c r="W37" s="45"/>
      <c r="X37" s="45"/>
    </row>
    <row r="38" spans="1:40" s="3" customFormat="1" ht="15.75" customHeight="1" x14ac:dyDescent="0.25">
      <c r="A38" s="3" t="s">
        <v>1106</v>
      </c>
      <c r="H38" s="3" t="s">
        <v>91</v>
      </c>
      <c r="J38" s="309" t="s">
        <v>2679</v>
      </c>
      <c r="K38" s="309" t="s">
        <v>2680</v>
      </c>
      <c r="L38" s="45" t="s">
        <v>2620</v>
      </c>
      <c r="M38" s="309" t="s">
        <v>2681</v>
      </c>
      <c r="Q38" s="45"/>
      <c r="R38" s="45"/>
      <c r="S38" s="45"/>
      <c r="T38" s="45"/>
      <c r="U38" s="45"/>
      <c r="V38" s="45"/>
      <c r="W38" s="45"/>
      <c r="X38" s="45"/>
      <c r="Y38"/>
      <c r="Z38"/>
      <c r="AA38"/>
      <c r="AB38"/>
      <c r="AC38"/>
      <c r="AD38"/>
      <c r="AE38"/>
      <c r="AF38"/>
      <c r="AG38"/>
      <c r="AH38"/>
      <c r="AI38"/>
      <c r="AJ38"/>
      <c r="AK38"/>
      <c r="AL38"/>
      <c r="AM38"/>
      <c r="AN38"/>
    </row>
    <row r="39" spans="1:40" s="3" customFormat="1" x14ac:dyDescent="0.25">
      <c r="A39" s="3" t="s">
        <v>1098</v>
      </c>
      <c r="I39" s="3" t="s">
        <v>91</v>
      </c>
      <c r="J39" s="309" t="s">
        <v>2682</v>
      </c>
      <c r="K39" s="309" t="s">
        <v>2683</v>
      </c>
      <c r="L39" s="45" t="s">
        <v>2620</v>
      </c>
      <c r="M39" s="309" t="s">
        <v>2684</v>
      </c>
      <c r="Q39" s="45"/>
      <c r="R39" s="45"/>
      <c r="S39" s="45"/>
      <c r="T39" s="45"/>
      <c r="U39" s="45"/>
      <c r="V39" s="45"/>
      <c r="W39" s="45"/>
      <c r="X39" s="45"/>
      <c r="Y39"/>
      <c r="Z39"/>
      <c r="AA39"/>
      <c r="AB39"/>
      <c r="AC39"/>
      <c r="AD39"/>
      <c r="AE39"/>
      <c r="AF39"/>
      <c r="AG39"/>
      <c r="AH39"/>
      <c r="AI39"/>
      <c r="AJ39"/>
      <c r="AK39"/>
      <c r="AL39"/>
      <c r="AM39"/>
      <c r="AN39"/>
    </row>
    <row r="40" spans="1:40" s="3" customFormat="1" x14ac:dyDescent="0.25">
      <c r="A40" s="3" t="s">
        <v>1106</v>
      </c>
      <c r="I40" s="3" t="s">
        <v>91</v>
      </c>
      <c r="J40" s="309" t="s">
        <v>2685</v>
      </c>
      <c r="K40" s="309" t="s">
        <v>2686</v>
      </c>
      <c r="L40" s="309" t="s">
        <v>2641</v>
      </c>
      <c r="M40" s="396" t="s">
        <v>2659</v>
      </c>
      <c r="Q40" s="45"/>
      <c r="R40" s="45"/>
      <c r="S40" s="45"/>
      <c r="T40" s="45"/>
      <c r="U40" s="45"/>
      <c r="V40" s="45"/>
      <c r="W40" s="45"/>
      <c r="X40" s="45"/>
      <c r="Y40"/>
      <c r="Z40"/>
      <c r="AA40"/>
      <c r="AB40"/>
      <c r="AC40"/>
      <c r="AD40"/>
      <c r="AE40"/>
      <c r="AF40"/>
      <c r="AG40"/>
      <c r="AH40"/>
      <c r="AI40"/>
      <c r="AJ40"/>
      <c r="AK40"/>
      <c r="AL40"/>
      <c r="AM40"/>
      <c r="AN40"/>
    </row>
    <row r="41" spans="1:40" s="3" customFormat="1" x14ac:dyDescent="0.25">
      <c r="J41" s="351" t="s">
        <v>2687</v>
      </c>
      <c r="K41" s="309"/>
      <c r="Q41" s="45"/>
      <c r="R41" s="45"/>
      <c r="S41" s="45"/>
      <c r="T41" s="45"/>
      <c r="U41" s="45"/>
      <c r="V41" s="45"/>
      <c r="W41" s="45"/>
      <c r="X41" s="45"/>
      <c r="Y41"/>
      <c r="Z41"/>
      <c r="AA41"/>
      <c r="AB41"/>
      <c r="AC41"/>
      <c r="AD41"/>
      <c r="AE41"/>
      <c r="AF41"/>
      <c r="AG41"/>
      <c r="AH41"/>
      <c r="AI41"/>
      <c r="AJ41"/>
      <c r="AK41"/>
      <c r="AL41"/>
      <c r="AM41"/>
      <c r="AN41"/>
    </row>
    <row r="42" spans="1:40" s="3" customFormat="1" x14ac:dyDescent="0.25">
      <c r="A42" s="3" t="s">
        <v>1106</v>
      </c>
      <c r="C42" s="3" t="s">
        <v>91</v>
      </c>
      <c r="J42" s="45" t="s">
        <v>2618</v>
      </c>
      <c r="K42" s="396" t="s">
        <v>2619</v>
      </c>
      <c r="L42" s="396" t="s">
        <v>2620</v>
      </c>
      <c r="M42" s="396" t="s">
        <v>2621</v>
      </c>
      <c r="Q42" s="45"/>
      <c r="R42" s="45"/>
      <c r="S42" s="45"/>
      <c r="T42" s="45"/>
      <c r="U42" s="45"/>
      <c r="V42" s="45"/>
      <c r="W42" s="45"/>
      <c r="X42" s="45"/>
      <c r="Y42"/>
      <c r="Z42"/>
      <c r="AA42"/>
      <c r="AB42"/>
      <c r="AC42"/>
      <c r="AD42"/>
      <c r="AE42"/>
      <c r="AF42"/>
      <c r="AG42"/>
      <c r="AH42"/>
      <c r="AI42"/>
      <c r="AJ42"/>
      <c r="AK42"/>
      <c r="AL42"/>
      <c r="AM42"/>
      <c r="AN42"/>
    </row>
    <row r="43" spans="1:40" s="3" customFormat="1" x14ac:dyDescent="0.25">
      <c r="A43" s="3" t="s">
        <v>1106</v>
      </c>
      <c r="D43" s="3" t="s">
        <v>91</v>
      </c>
      <c r="J43" s="45" t="s">
        <v>2622</v>
      </c>
      <c r="K43" s="594" t="s">
        <v>2656</v>
      </c>
      <c r="L43" s="45" t="s">
        <v>2620</v>
      </c>
      <c r="M43" s="62" t="s">
        <v>2624</v>
      </c>
      <c r="Q43" s="45"/>
      <c r="R43" s="45"/>
      <c r="S43" s="45"/>
      <c r="T43" s="45"/>
      <c r="U43" s="45"/>
      <c r="V43" s="45"/>
      <c r="W43" s="45"/>
      <c r="X43" s="45"/>
      <c r="Y43"/>
      <c r="Z43"/>
      <c r="AA43"/>
      <c r="AB43"/>
      <c r="AC43"/>
      <c r="AD43"/>
      <c r="AE43"/>
      <c r="AF43"/>
      <c r="AG43"/>
      <c r="AH43"/>
      <c r="AI43"/>
      <c r="AJ43"/>
      <c r="AK43"/>
      <c r="AL43"/>
      <c r="AM43"/>
      <c r="AN43"/>
    </row>
    <row r="44" spans="1:40" s="3" customFormat="1" x14ac:dyDescent="0.25">
      <c r="A44" s="3" t="s">
        <v>1106</v>
      </c>
      <c r="E44" s="3" t="s">
        <v>91</v>
      </c>
      <c r="J44" s="1" t="s">
        <v>2657</v>
      </c>
      <c r="K44" s="1" t="s">
        <v>2688</v>
      </c>
      <c r="L44" s="45" t="s">
        <v>2641</v>
      </c>
      <c r="M44" s="396" t="s">
        <v>2659</v>
      </c>
      <c r="Q44" s="45"/>
      <c r="R44" s="45"/>
      <c r="S44" s="45"/>
      <c r="T44" s="45"/>
      <c r="U44" s="45"/>
      <c r="V44" s="45"/>
      <c r="W44" s="45"/>
      <c r="X44" s="45"/>
      <c r="Y44"/>
      <c r="Z44"/>
      <c r="AA44"/>
      <c r="AB44"/>
      <c r="AC44"/>
      <c r="AD44"/>
      <c r="AE44"/>
      <c r="AF44"/>
      <c r="AG44"/>
      <c r="AH44"/>
      <c r="AI44"/>
      <c r="AJ44"/>
      <c r="AK44"/>
      <c r="AL44"/>
      <c r="AM44"/>
      <c r="AN44"/>
    </row>
    <row r="45" spans="1:40" s="3" customFormat="1" ht="15.75" customHeight="1" x14ac:dyDescent="0.25">
      <c r="A45" s="3" t="s">
        <v>1106</v>
      </c>
      <c r="F45" s="3" t="s">
        <v>91</v>
      </c>
      <c r="J45" s="309" t="s">
        <v>2689</v>
      </c>
      <c r="K45" s="1" t="s">
        <v>2690</v>
      </c>
      <c r="L45" s="45"/>
      <c r="Q45" s="45"/>
      <c r="R45" s="45"/>
      <c r="S45" s="45"/>
      <c r="T45" s="45"/>
      <c r="U45" s="45"/>
      <c r="V45" s="45"/>
      <c r="W45" s="45"/>
      <c r="X45" s="45"/>
      <c r="Y45"/>
      <c r="Z45"/>
      <c r="AA45"/>
      <c r="AB45"/>
      <c r="AC45"/>
      <c r="AD45"/>
      <c r="AE45"/>
      <c r="AF45"/>
      <c r="AG45"/>
      <c r="AH45"/>
      <c r="AI45"/>
      <c r="AJ45"/>
      <c r="AK45"/>
      <c r="AL45"/>
      <c r="AM45"/>
      <c r="AN45"/>
    </row>
    <row r="46" spans="1:40" s="3" customFormat="1" ht="15.75" customHeight="1" x14ac:dyDescent="0.25">
      <c r="A46" s="3" t="s">
        <v>1098</v>
      </c>
      <c r="F46" s="3" t="s">
        <v>91</v>
      </c>
      <c r="J46" s="1" t="s">
        <v>2691</v>
      </c>
      <c r="K46" s="309" t="s">
        <v>2692</v>
      </c>
      <c r="L46" s="45" t="s">
        <v>2620</v>
      </c>
      <c r="Q46" s="45"/>
      <c r="R46" s="45"/>
      <c r="S46" s="45"/>
      <c r="T46" s="45"/>
      <c r="U46" s="45"/>
      <c r="V46" s="45"/>
      <c r="W46" s="45"/>
      <c r="X46" s="45"/>
      <c r="Y46"/>
      <c r="Z46"/>
      <c r="AA46"/>
      <c r="AB46"/>
      <c r="AC46"/>
      <c r="AD46"/>
      <c r="AE46"/>
      <c r="AF46"/>
      <c r="AG46"/>
      <c r="AH46"/>
      <c r="AI46"/>
      <c r="AJ46"/>
      <c r="AK46"/>
      <c r="AL46"/>
      <c r="AM46"/>
      <c r="AN46"/>
    </row>
    <row r="47" spans="1:40" s="3" customFormat="1" ht="15.75" customHeight="1" x14ac:dyDescent="0.25">
      <c r="A47" s="3" t="s">
        <v>1106</v>
      </c>
      <c r="G47" s="3" t="s">
        <v>91</v>
      </c>
      <c r="J47" s="309" t="s">
        <v>2693</v>
      </c>
      <c r="K47" s="309" t="s">
        <v>2694</v>
      </c>
      <c r="L47" s="45" t="s">
        <v>2641</v>
      </c>
      <c r="Q47" s="45"/>
      <c r="R47" s="45"/>
      <c r="S47" s="45"/>
      <c r="T47" s="45"/>
      <c r="U47" s="45"/>
      <c r="V47" s="45"/>
      <c r="W47" s="45"/>
      <c r="X47" s="45"/>
      <c r="Y47"/>
      <c r="Z47"/>
      <c r="AA47"/>
      <c r="AB47"/>
      <c r="AC47"/>
      <c r="AD47"/>
      <c r="AE47"/>
      <c r="AF47"/>
      <c r="AG47"/>
      <c r="AH47"/>
      <c r="AI47"/>
      <c r="AJ47"/>
      <c r="AK47"/>
      <c r="AL47"/>
      <c r="AM47"/>
      <c r="AN47"/>
    </row>
    <row r="48" spans="1:40" s="3" customFormat="1" x14ac:dyDescent="0.25">
      <c r="A48" s="3" t="s">
        <v>1106</v>
      </c>
      <c r="G48" s="3" t="s">
        <v>91</v>
      </c>
      <c r="J48" s="309" t="s">
        <v>2695</v>
      </c>
      <c r="K48" s="309" t="s">
        <v>2696</v>
      </c>
      <c r="L48" s="45" t="s">
        <v>2641</v>
      </c>
      <c r="Q48" s="45"/>
      <c r="R48" s="45"/>
      <c r="S48" s="45"/>
      <c r="T48" s="45"/>
      <c r="U48" s="45"/>
      <c r="V48" s="45"/>
      <c r="W48" s="45"/>
      <c r="X48" s="45"/>
      <c r="Y48"/>
      <c r="Z48"/>
      <c r="AA48"/>
      <c r="AB48"/>
      <c r="AC48"/>
      <c r="AD48"/>
      <c r="AE48"/>
      <c r="AF48"/>
      <c r="AG48"/>
      <c r="AH48"/>
      <c r="AI48"/>
      <c r="AJ48"/>
      <c r="AK48"/>
      <c r="AL48"/>
      <c r="AM48"/>
      <c r="AN48"/>
    </row>
    <row r="49" spans="1:40" s="92" customFormat="1" x14ac:dyDescent="0.25">
      <c r="A49" s="3" t="s">
        <v>1098</v>
      </c>
      <c r="B49" s="3"/>
      <c r="C49" s="3"/>
      <c r="D49" s="3"/>
      <c r="E49" s="3"/>
      <c r="F49" s="3"/>
      <c r="G49" s="3" t="s">
        <v>91</v>
      </c>
      <c r="H49" s="3"/>
      <c r="I49" s="3"/>
      <c r="J49" s="1" t="s">
        <v>2697</v>
      </c>
      <c r="K49" s="1" t="s">
        <v>2698</v>
      </c>
      <c r="L49" s="45" t="s">
        <v>2641</v>
      </c>
      <c r="M49" s="3"/>
      <c r="N49" s="3"/>
      <c r="O49" s="3"/>
      <c r="P49" s="3"/>
      <c r="Q49" s="45"/>
      <c r="R49" s="45"/>
      <c r="S49" s="45"/>
      <c r="T49" s="45"/>
      <c r="U49" s="45"/>
      <c r="V49" s="45"/>
      <c r="W49" s="45"/>
      <c r="X49" s="45"/>
      <c r="Y49"/>
      <c r="Z49"/>
      <c r="AA49"/>
      <c r="AB49"/>
      <c r="AC49"/>
      <c r="AD49"/>
      <c r="AE49"/>
      <c r="AF49"/>
      <c r="AG49"/>
      <c r="AH49"/>
      <c r="AI49"/>
      <c r="AJ49"/>
      <c r="AK49"/>
      <c r="AL49"/>
      <c r="AM49"/>
      <c r="AN49"/>
    </row>
    <row r="50" spans="1:40" s="92" customFormat="1" x14ac:dyDescent="0.25">
      <c r="A50" s="3" t="s">
        <v>1098</v>
      </c>
      <c r="B50" s="3"/>
      <c r="C50" s="3"/>
      <c r="D50" s="3"/>
      <c r="E50" s="3"/>
      <c r="F50" s="3"/>
      <c r="G50" s="3"/>
      <c r="H50" s="3" t="s">
        <v>91</v>
      </c>
      <c r="I50" s="3"/>
      <c r="J50" s="309" t="s">
        <v>2699</v>
      </c>
      <c r="K50" s="309" t="s">
        <v>2700</v>
      </c>
      <c r="L50" s="45" t="s">
        <v>2620</v>
      </c>
      <c r="M50" s="3"/>
      <c r="N50" s="3"/>
      <c r="O50" s="3"/>
      <c r="P50" s="3"/>
      <c r="Q50" s="45"/>
      <c r="R50" s="45"/>
      <c r="S50" s="45"/>
      <c r="T50" s="45"/>
      <c r="U50" s="45"/>
      <c r="V50" s="45"/>
      <c r="W50" s="45"/>
      <c r="X50" s="45"/>
      <c r="Y50"/>
      <c r="Z50"/>
      <c r="AA50"/>
      <c r="AB50"/>
      <c r="AC50"/>
      <c r="AD50"/>
      <c r="AE50"/>
      <c r="AF50"/>
      <c r="AG50"/>
      <c r="AH50"/>
      <c r="AI50"/>
      <c r="AJ50"/>
      <c r="AK50"/>
      <c r="AL50"/>
      <c r="AM50"/>
      <c r="AN50"/>
    </row>
    <row r="51" spans="1:40" s="92" customFormat="1" ht="15.75" customHeight="1" x14ac:dyDescent="0.25">
      <c r="A51" s="3" t="s">
        <v>1098</v>
      </c>
      <c r="B51" s="3"/>
      <c r="C51" s="3"/>
      <c r="D51" s="3"/>
      <c r="E51" s="3"/>
      <c r="F51" s="3"/>
      <c r="G51" s="3"/>
      <c r="H51" s="3" t="s">
        <v>91</v>
      </c>
      <c r="I51" s="3"/>
      <c r="J51" s="1" t="s">
        <v>2701</v>
      </c>
      <c r="K51" s="309" t="s">
        <v>2702</v>
      </c>
      <c r="L51" s="45" t="s">
        <v>2620</v>
      </c>
      <c r="M51" s="3"/>
      <c r="N51" s="3"/>
      <c r="O51" s="3"/>
      <c r="P51" s="3"/>
      <c r="Q51" s="45"/>
      <c r="R51" s="45"/>
      <c r="S51" s="45"/>
      <c r="T51" s="45"/>
      <c r="U51" s="45"/>
      <c r="V51" s="45"/>
      <c r="W51" s="45"/>
      <c r="X51" s="45"/>
      <c r="Y51"/>
      <c r="Z51"/>
      <c r="AA51"/>
      <c r="AB51"/>
      <c r="AC51"/>
      <c r="AD51"/>
      <c r="AE51"/>
      <c r="AF51"/>
      <c r="AG51"/>
      <c r="AH51"/>
      <c r="AI51"/>
      <c r="AJ51"/>
      <c r="AK51"/>
      <c r="AL51"/>
      <c r="AM51"/>
      <c r="AN51"/>
    </row>
    <row r="52" spans="1:40" s="92" customFormat="1" ht="15.75" customHeight="1" x14ac:dyDescent="0.25">
      <c r="A52" s="3" t="s">
        <v>1098</v>
      </c>
      <c r="B52" s="3"/>
      <c r="C52" s="3"/>
      <c r="D52" s="3"/>
      <c r="E52" s="3"/>
      <c r="F52" s="3"/>
      <c r="G52" s="3"/>
      <c r="H52" s="3" t="s">
        <v>91</v>
      </c>
      <c r="I52" s="3"/>
      <c r="J52" s="309" t="s">
        <v>2703</v>
      </c>
      <c r="K52" s="848" t="s">
        <v>2704</v>
      </c>
      <c r="L52" s="45"/>
      <c r="M52" s="3"/>
      <c r="N52" s="11"/>
      <c r="O52" s="3"/>
      <c r="P52" s="3"/>
      <c r="Q52" s="45"/>
      <c r="R52" s="45"/>
      <c r="S52" s="45"/>
      <c r="T52" s="45"/>
      <c r="U52" s="45"/>
      <c r="V52" s="45"/>
      <c r="W52" s="45"/>
      <c r="X52" s="45"/>
      <c r="Y52"/>
      <c r="Z52"/>
      <c r="AA52"/>
      <c r="AB52"/>
      <c r="AC52"/>
      <c r="AD52"/>
      <c r="AE52"/>
      <c r="AF52"/>
      <c r="AG52"/>
      <c r="AH52"/>
      <c r="AI52"/>
      <c r="AJ52"/>
      <c r="AK52"/>
      <c r="AL52"/>
      <c r="AM52"/>
      <c r="AN52"/>
    </row>
    <row r="53" spans="1:40" s="92" customFormat="1" ht="15.75" customHeight="1" x14ac:dyDescent="0.25">
      <c r="A53" s="3" t="s">
        <v>1106</v>
      </c>
      <c r="B53" s="3"/>
      <c r="C53" s="3"/>
      <c r="D53" s="3"/>
      <c r="E53" s="3"/>
      <c r="F53" s="3"/>
      <c r="G53" s="3"/>
      <c r="H53" s="3"/>
      <c r="I53" s="3" t="s">
        <v>91</v>
      </c>
      <c r="J53" s="309" t="s">
        <v>2705</v>
      </c>
      <c r="K53" s="1" t="s">
        <v>2706</v>
      </c>
      <c r="L53" s="45" t="s">
        <v>2620</v>
      </c>
      <c r="M53" s="3"/>
      <c r="N53" s="717" t="str">
        <f>HYPERLINK("https://synology.bildungscampus-backnang.de:50823/d/f/iC8CAIGN8Nw52U0lM5oyQBhVw2ALND8J", "https://synology.bildungscampus-backnang.de:50823/d/f/iC8CAIGN8Nw52U0lM5oyQBhVw2ALND8J")</f>
        <v>https://synology.bildungscampus-backnang.de:50823/d/f/iC8CAIGN8Nw52U0lM5oyQBhVw2ALND8J</v>
      </c>
      <c r="O53" s="3"/>
      <c r="P53" s="3"/>
      <c r="Q53" s="45"/>
      <c r="R53" s="45"/>
      <c r="S53" s="45"/>
      <c r="T53" s="45"/>
      <c r="U53" s="45"/>
      <c r="V53" s="45"/>
      <c r="W53" s="45"/>
      <c r="X53" s="45"/>
      <c r="Y53"/>
      <c r="Z53"/>
      <c r="AA53"/>
      <c r="AB53"/>
      <c r="AC53"/>
      <c r="AD53"/>
      <c r="AE53"/>
      <c r="AF53"/>
      <c r="AG53"/>
      <c r="AH53"/>
      <c r="AI53"/>
      <c r="AJ53"/>
      <c r="AK53"/>
      <c r="AL53"/>
      <c r="AM53"/>
      <c r="AN53"/>
    </row>
    <row r="54" spans="1:40" s="92" customFormat="1" ht="15.75" customHeight="1" x14ac:dyDescent="0.25">
      <c r="A54" s="3" t="s">
        <v>1098</v>
      </c>
      <c r="B54" s="3"/>
      <c r="C54" s="3"/>
      <c r="D54" s="3"/>
      <c r="E54" s="3"/>
      <c r="F54" s="3"/>
      <c r="G54" s="3"/>
      <c r="H54" s="3"/>
      <c r="I54" s="3" t="s">
        <v>91</v>
      </c>
      <c r="J54" s="309" t="s">
        <v>2707</v>
      </c>
      <c r="K54" s="309" t="s">
        <v>2708</v>
      </c>
      <c r="L54" s="45" t="s">
        <v>2641</v>
      </c>
      <c r="M54" s="3"/>
      <c r="N54" s="11"/>
      <c r="O54" s="3"/>
      <c r="P54" s="3"/>
      <c r="Q54" s="45"/>
      <c r="R54" s="45"/>
      <c r="S54" s="45"/>
      <c r="T54" s="45"/>
      <c r="U54" s="45"/>
      <c r="V54" s="45"/>
      <c r="W54" s="45"/>
      <c r="X54" s="45"/>
      <c r="Y54"/>
      <c r="Z54"/>
      <c r="AA54"/>
      <c r="AB54"/>
      <c r="AC54"/>
      <c r="AD54"/>
      <c r="AE54"/>
      <c r="AF54"/>
      <c r="AG54"/>
      <c r="AH54"/>
      <c r="AI54"/>
      <c r="AJ54"/>
      <c r="AK54"/>
      <c r="AL54"/>
      <c r="AM54"/>
      <c r="AN54"/>
    </row>
    <row r="55" spans="1:40" s="92" customFormat="1" ht="15.75" customHeight="1" x14ac:dyDescent="0.25">
      <c r="A55" s="3" t="s">
        <v>1098</v>
      </c>
      <c r="B55" s="3"/>
      <c r="C55" s="3"/>
      <c r="D55" s="3"/>
      <c r="E55" s="3"/>
      <c r="F55" s="3"/>
      <c r="G55" s="3"/>
      <c r="H55" s="3" t="s">
        <v>91</v>
      </c>
      <c r="I55" s="3"/>
      <c r="J55" s="309" t="s">
        <v>2709</v>
      </c>
      <c r="K55" s="309" t="s">
        <v>2710</v>
      </c>
      <c r="L55" s="45" t="s">
        <v>2620</v>
      </c>
      <c r="M55" s="3"/>
      <c r="N55" s="3"/>
      <c r="O55" s="3"/>
      <c r="P55" s="3"/>
      <c r="Q55" s="45"/>
      <c r="R55" s="45"/>
      <c r="S55" s="45"/>
      <c r="T55" s="45"/>
      <c r="U55" s="45"/>
      <c r="V55" s="45"/>
      <c r="W55" s="45"/>
      <c r="X55" s="45"/>
      <c r="Y55"/>
      <c r="Z55"/>
      <c r="AA55"/>
      <c r="AB55"/>
      <c r="AC55"/>
      <c r="AD55"/>
      <c r="AE55"/>
      <c r="AF55"/>
      <c r="AG55"/>
      <c r="AH55"/>
      <c r="AI55"/>
      <c r="AJ55"/>
      <c r="AK55"/>
      <c r="AL55"/>
      <c r="AM55"/>
      <c r="AN55"/>
    </row>
    <row r="56" spans="1:40" s="92" customFormat="1" ht="15.75" customHeight="1" x14ac:dyDescent="0.25">
      <c r="A56" s="3" t="s">
        <v>1098</v>
      </c>
      <c r="B56" s="3"/>
      <c r="C56" s="3"/>
      <c r="D56" s="3"/>
      <c r="E56" s="3"/>
      <c r="F56" s="3"/>
      <c r="G56" s="3"/>
      <c r="H56" s="3"/>
      <c r="I56" s="3" t="s">
        <v>91</v>
      </c>
      <c r="J56" s="1" t="s">
        <v>2711</v>
      </c>
      <c r="K56" s="848" t="s">
        <v>2712</v>
      </c>
      <c r="L56" s="45" t="s">
        <v>2620</v>
      </c>
      <c r="M56" s="3"/>
      <c r="N56" s="3"/>
      <c r="O56" s="3"/>
      <c r="P56" s="3"/>
      <c r="Q56" s="45"/>
      <c r="R56" s="45"/>
      <c r="S56" s="45"/>
      <c r="T56" s="45"/>
      <c r="U56" s="45"/>
      <c r="V56" s="45"/>
      <c r="W56" s="45"/>
      <c r="X56" s="45"/>
      <c r="Y56"/>
      <c r="Z56"/>
      <c r="AA56"/>
      <c r="AB56"/>
      <c r="AC56"/>
      <c r="AD56"/>
      <c r="AE56"/>
      <c r="AF56"/>
      <c r="AG56"/>
      <c r="AH56"/>
      <c r="AI56"/>
      <c r="AJ56"/>
      <c r="AK56"/>
      <c r="AL56"/>
      <c r="AM56"/>
      <c r="AN56"/>
    </row>
    <row r="57" spans="1:40" s="92" customFormat="1" ht="15.75" customHeight="1" x14ac:dyDescent="0.25">
      <c r="A57" s="3" t="s">
        <v>1098</v>
      </c>
      <c r="B57" s="3"/>
      <c r="C57" s="3"/>
      <c r="D57" s="3"/>
      <c r="E57" s="3"/>
      <c r="F57" s="3"/>
      <c r="G57" s="3"/>
      <c r="H57" s="3"/>
      <c r="I57" s="3" t="s">
        <v>91</v>
      </c>
      <c r="J57" s="1" t="s">
        <v>2713</v>
      </c>
      <c r="K57" s="848" t="s">
        <v>2714</v>
      </c>
      <c r="L57" s="45" t="s">
        <v>2620</v>
      </c>
      <c r="M57" s="3"/>
      <c r="N57" s="3"/>
      <c r="O57" s="3"/>
      <c r="P57" s="3"/>
      <c r="Q57" s="45"/>
      <c r="R57" s="45"/>
      <c r="S57" s="45"/>
      <c r="T57" s="45"/>
      <c r="U57" s="45"/>
      <c r="V57" s="45"/>
      <c r="W57" s="45"/>
      <c r="X57" s="45"/>
      <c r="Y57"/>
      <c r="Z57"/>
      <c r="AA57"/>
      <c r="AB57"/>
      <c r="AC57"/>
      <c r="AD57"/>
      <c r="AE57"/>
      <c r="AF57"/>
      <c r="AG57"/>
      <c r="AH57"/>
      <c r="AI57"/>
      <c r="AJ57"/>
      <c r="AK57"/>
      <c r="AL57"/>
      <c r="AM57"/>
      <c r="AN57"/>
    </row>
    <row r="58" spans="1:40" s="2" customFormat="1" x14ac:dyDescent="0.25">
      <c r="A58" s="3"/>
      <c r="B58" s="3"/>
      <c r="C58" s="3"/>
      <c r="D58" s="3"/>
      <c r="E58" s="3"/>
      <c r="F58" s="3"/>
      <c r="G58" s="3"/>
      <c r="H58" s="3"/>
      <c r="I58" s="3"/>
      <c r="J58" s="351" t="s">
        <v>2715</v>
      </c>
      <c r="K58" s="309"/>
      <c r="L58" s="3"/>
      <c r="M58" s="3"/>
      <c r="N58" s="3"/>
      <c r="O58" s="3"/>
      <c r="P58" s="3"/>
      <c r="Q58" s="45"/>
      <c r="R58" s="45"/>
      <c r="S58" s="45"/>
      <c r="T58" s="45"/>
      <c r="U58" s="45"/>
      <c r="V58" s="45"/>
      <c r="W58" s="45"/>
      <c r="X58" s="45"/>
      <c r="Y58"/>
      <c r="Z58"/>
      <c r="AA58"/>
      <c r="AB58"/>
      <c r="AC58"/>
      <c r="AD58"/>
      <c r="AE58"/>
      <c r="AF58"/>
      <c r="AG58"/>
      <c r="AH58"/>
      <c r="AI58"/>
      <c r="AJ58"/>
      <c r="AK58"/>
      <c r="AL58"/>
      <c r="AM58"/>
      <c r="AN58"/>
    </row>
    <row r="59" spans="1:40" s="2" customFormat="1" x14ac:dyDescent="0.25">
      <c r="A59" s="3" t="s">
        <v>1106</v>
      </c>
      <c r="B59" s="3"/>
      <c r="C59" s="3" t="s">
        <v>91</v>
      </c>
      <c r="D59" s="3"/>
      <c r="E59" s="3"/>
      <c r="F59" s="3"/>
      <c r="G59" s="3"/>
      <c r="H59" s="3"/>
      <c r="I59" s="3"/>
      <c r="J59" s="45" t="s">
        <v>2618</v>
      </c>
      <c r="K59" s="396" t="s">
        <v>2619</v>
      </c>
      <c r="L59" s="396" t="s">
        <v>2620</v>
      </c>
      <c r="M59" s="396" t="s">
        <v>2621</v>
      </c>
      <c r="N59" s="3"/>
      <c r="O59" s="3"/>
      <c r="P59" s="3"/>
      <c r="Q59" s="45"/>
      <c r="R59" s="45"/>
      <c r="S59" s="45"/>
      <c r="T59" s="45"/>
      <c r="U59" s="45"/>
      <c r="V59" s="45"/>
      <c r="W59" s="45"/>
      <c r="X59" s="45"/>
      <c r="Y59"/>
      <c r="Z59"/>
      <c r="AA59"/>
      <c r="AB59"/>
      <c r="AC59"/>
      <c r="AD59"/>
      <c r="AE59"/>
      <c r="AF59"/>
      <c r="AG59"/>
      <c r="AH59"/>
      <c r="AI59"/>
      <c r="AJ59"/>
      <c r="AK59"/>
      <c r="AL59"/>
      <c r="AM59"/>
      <c r="AN59"/>
    </row>
    <row r="60" spans="1:40" s="2" customFormat="1" x14ac:dyDescent="0.25">
      <c r="A60" s="3" t="s">
        <v>1106</v>
      </c>
      <c r="B60" s="3"/>
      <c r="C60" s="3"/>
      <c r="D60" s="3" t="s">
        <v>91</v>
      </c>
      <c r="E60" s="3"/>
      <c r="F60" s="3"/>
      <c r="G60" s="3"/>
      <c r="H60" s="3"/>
      <c r="I60" s="3"/>
      <c r="J60" s="45" t="s">
        <v>2622</v>
      </c>
      <c r="K60" s="594" t="s">
        <v>2656</v>
      </c>
      <c r="L60" s="45" t="s">
        <v>2620</v>
      </c>
      <c r="M60" s="62" t="s">
        <v>2624</v>
      </c>
      <c r="N60" s="3"/>
      <c r="O60" s="3"/>
      <c r="P60" s="3"/>
      <c r="Q60" s="45"/>
      <c r="R60" s="45"/>
      <c r="S60" s="45"/>
      <c r="T60" s="45"/>
      <c r="U60" s="45"/>
      <c r="V60" s="45"/>
      <c r="W60" s="45"/>
      <c r="X60" s="45"/>
      <c r="Y60"/>
      <c r="Z60"/>
      <c r="AA60"/>
      <c r="AB60"/>
      <c r="AC60"/>
      <c r="AD60"/>
      <c r="AE60"/>
      <c r="AF60"/>
      <c r="AG60"/>
      <c r="AH60"/>
      <c r="AI60"/>
      <c r="AJ60"/>
      <c r="AK60"/>
      <c r="AL60"/>
      <c r="AM60"/>
      <c r="AN60"/>
    </row>
    <row r="61" spans="1:40" s="2" customFormat="1" x14ac:dyDescent="0.25">
      <c r="A61" s="3" t="s">
        <v>1106</v>
      </c>
      <c r="B61" s="3"/>
      <c r="C61" s="3"/>
      <c r="D61" s="3"/>
      <c r="E61" s="3" t="s">
        <v>91</v>
      </c>
      <c r="F61" s="3"/>
      <c r="G61" s="3"/>
      <c r="H61" s="3"/>
      <c r="I61" s="3"/>
      <c r="J61" s="1" t="s">
        <v>2657</v>
      </c>
      <c r="K61" s="1" t="s">
        <v>2688</v>
      </c>
      <c r="L61" s="45" t="s">
        <v>2641</v>
      </c>
      <c r="M61" s="396" t="s">
        <v>2659</v>
      </c>
      <c r="N61" s="3"/>
      <c r="O61" s="3"/>
      <c r="P61" s="3"/>
      <c r="Q61" s="45"/>
      <c r="R61" s="45"/>
      <c r="S61" s="45"/>
      <c r="T61" s="45"/>
      <c r="U61" s="45"/>
      <c r="V61" s="45"/>
      <c r="W61" s="45"/>
      <c r="X61" s="45"/>
      <c r="Y61"/>
      <c r="Z61"/>
      <c r="AA61"/>
      <c r="AB61"/>
      <c r="AC61"/>
      <c r="AD61"/>
      <c r="AE61"/>
      <c r="AF61"/>
      <c r="AG61"/>
      <c r="AH61"/>
      <c r="AI61"/>
      <c r="AJ61"/>
      <c r="AK61"/>
      <c r="AL61"/>
      <c r="AM61"/>
      <c r="AN61"/>
    </row>
    <row r="62" spans="1:40" x14ac:dyDescent="0.25">
      <c r="A62" s="3" t="s">
        <v>1098</v>
      </c>
      <c r="B62" s="3"/>
      <c r="C62" s="3"/>
      <c r="D62" s="3"/>
      <c r="E62" s="3"/>
      <c r="F62" s="3" t="s">
        <v>91</v>
      </c>
      <c r="G62" s="3"/>
      <c r="H62" s="3"/>
      <c r="I62" s="3"/>
      <c r="J62" s="855" t="s">
        <v>2716</v>
      </c>
      <c r="K62" s="309" t="s">
        <v>2692</v>
      </c>
      <c r="L62" s="45" t="s">
        <v>2620</v>
      </c>
      <c r="M62" s="3"/>
      <c r="N62" s="3"/>
      <c r="O62" s="3"/>
      <c r="P62" s="3"/>
      <c r="Q62" s="45"/>
      <c r="R62" s="45"/>
      <c r="S62" s="45"/>
      <c r="T62" s="45"/>
      <c r="U62" s="45"/>
      <c r="V62" s="45"/>
      <c r="W62" s="45"/>
      <c r="X62" s="45"/>
    </row>
    <row r="63" spans="1:40" x14ac:dyDescent="0.25">
      <c r="A63" s="3" t="s">
        <v>1106</v>
      </c>
      <c r="B63" s="3"/>
      <c r="C63" s="3"/>
      <c r="D63" s="3"/>
      <c r="E63" s="3"/>
      <c r="F63" s="3" t="s">
        <v>91</v>
      </c>
      <c r="G63" s="3"/>
      <c r="H63" s="3"/>
      <c r="I63" s="3"/>
      <c r="J63" s="309" t="s">
        <v>2693</v>
      </c>
      <c r="K63" s="309" t="s">
        <v>2694</v>
      </c>
      <c r="L63" s="45" t="s">
        <v>2641</v>
      </c>
      <c r="M63" s="3"/>
      <c r="N63" s="3"/>
      <c r="O63" s="3"/>
      <c r="P63" s="3"/>
      <c r="Q63" s="45"/>
      <c r="R63" s="45"/>
      <c r="S63" s="45"/>
      <c r="T63" s="45"/>
      <c r="U63" s="45"/>
      <c r="V63" s="45"/>
      <c r="W63" s="45"/>
      <c r="X63" s="45"/>
    </row>
    <row r="64" spans="1:40" x14ac:dyDescent="0.25">
      <c r="A64" s="3" t="s">
        <v>1106</v>
      </c>
      <c r="B64" s="3"/>
      <c r="C64" s="3"/>
      <c r="D64" s="3"/>
      <c r="E64" s="3"/>
      <c r="F64" s="3"/>
      <c r="G64" s="3" t="s">
        <v>91</v>
      </c>
      <c r="H64" s="3"/>
      <c r="I64" s="3"/>
      <c r="J64" s="309" t="s">
        <v>2695</v>
      </c>
      <c r="K64" s="309" t="s">
        <v>2696</v>
      </c>
      <c r="L64" s="45" t="s">
        <v>2641</v>
      </c>
      <c r="M64" s="3"/>
      <c r="N64" s="3"/>
      <c r="O64" s="3"/>
      <c r="P64" s="3"/>
      <c r="Q64" s="45"/>
      <c r="R64" s="45"/>
      <c r="S64" s="45"/>
      <c r="T64" s="45"/>
      <c r="U64" s="45"/>
      <c r="V64" s="45"/>
      <c r="W64" s="45"/>
      <c r="X64" s="45"/>
    </row>
    <row r="65" spans="1:24" x14ac:dyDescent="0.25">
      <c r="A65" s="3" t="s">
        <v>1098</v>
      </c>
      <c r="B65" s="3"/>
      <c r="C65" s="3"/>
      <c r="D65" s="3"/>
      <c r="E65" s="3"/>
      <c r="F65" s="3"/>
      <c r="G65" s="3" t="s">
        <v>91</v>
      </c>
      <c r="H65" s="3"/>
      <c r="I65" s="3"/>
      <c r="J65" s="1" t="s">
        <v>2697</v>
      </c>
      <c r="K65" s="1" t="s">
        <v>2698</v>
      </c>
      <c r="L65" s="45" t="s">
        <v>2641</v>
      </c>
      <c r="M65" s="3"/>
      <c r="N65" s="3"/>
      <c r="O65" s="3"/>
      <c r="P65" s="3"/>
      <c r="Q65" s="45"/>
      <c r="R65" s="45"/>
      <c r="S65" s="45"/>
      <c r="T65" s="45"/>
      <c r="U65" s="45"/>
      <c r="V65" s="45"/>
      <c r="W65" s="45"/>
      <c r="X65" s="45"/>
    </row>
    <row r="66" spans="1:24" x14ac:dyDescent="0.25">
      <c r="A66" s="3" t="s">
        <v>1098</v>
      </c>
      <c r="B66" s="3"/>
      <c r="C66" s="3"/>
      <c r="D66" s="3"/>
      <c r="E66" s="3"/>
      <c r="F66" s="3"/>
      <c r="G66" s="3"/>
      <c r="H66" s="3" t="s">
        <v>91</v>
      </c>
      <c r="I66" s="3"/>
      <c r="J66" s="309" t="s">
        <v>2699</v>
      </c>
      <c r="K66" s="309" t="s">
        <v>2700</v>
      </c>
      <c r="L66" s="45" t="s">
        <v>2620</v>
      </c>
      <c r="M66" s="3"/>
      <c r="N66" s="3"/>
      <c r="O66" s="3"/>
      <c r="P66" s="3"/>
      <c r="Q66" s="45"/>
      <c r="R66" s="45"/>
      <c r="S66" s="45"/>
      <c r="T66" s="45"/>
      <c r="U66" s="45"/>
      <c r="V66" s="45"/>
      <c r="W66" s="45"/>
      <c r="X66" s="45"/>
    </row>
    <row r="67" spans="1:24" x14ac:dyDescent="0.25">
      <c r="A67" s="3" t="s">
        <v>1098</v>
      </c>
      <c r="B67" s="3"/>
      <c r="C67" s="3"/>
      <c r="D67" s="3"/>
      <c r="E67" s="3"/>
      <c r="F67" s="3"/>
      <c r="G67" s="3"/>
      <c r="H67" s="3" t="s">
        <v>91</v>
      </c>
      <c r="I67" s="3"/>
      <c r="J67" s="309" t="s">
        <v>2705</v>
      </c>
      <c r="K67" s="1" t="s">
        <v>2717</v>
      </c>
      <c r="L67" s="45" t="s">
        <v>2620</v>
      </c>
      <c r="M67" s="3"/>
      <c r="N67" s="3"/>
      <c r="O67" s="3"/>
      <c r="P67" s="3"/>
      <c r="Q67" s="45"/>
      <c r="R67" s="45"/>
      <c r="S67" s="45"/>
      <c r="T67" s="45"/>
      <c r="U67" s="45"/>
      <c r="V67" s="45"/>
      <c r="W67" s="45"/>
      <c r="X67" s="45"/>
    </row>
    <row r="68" spans="1:24" x14ac:dyDescent="0.25">
      <c r="A68" s="3" t="s">
        <v>1098</v>
      </c>
      <c r="B68" s="3"/>
      <c r="C68" s="3"/>
      <c r="D68" s="3"/>
      <c r="E68" s="3"/>
      <c r="F68" s="3"/>
      <c r="G68" s="3"/>
      <c r="H68" s="3" t="s">
        <v>91</v>
      </c>
      <c r="I68" s="3"/>
      <c r="J68" s="1" t="s">
        <v>2718</v>
      </c>
      <c r="K68" s="848" t="s">
        <v>2714</v>
      </c>
      <c r="L68" s="45" t="s">
        <v>2620</v>
      </c>
      <c r="M68" s="3"/>
      <c r="N68" s="3"/>
      <c r="O68" s="3"/>
      <c r="P68" s="3"/>
      <c r="Q68" s="45"/>
      <c r="R68" s="45"/>
      <c r="S68" s="45"/>
      <c r="T68" s="45"/>
      <c r="U68" s="45"/>
      <c r="V68" s="45"/>
      <c r="W68" s="45"/>
      <c r="X68" s="45"/>
    </row>
    <row r="69" spans="1:24" x14ac:dyDescent="0.25">
      <c r="A69" s="3"/>
      <c r="B69" s="3"/>
      <c r="C69" s="3"/>
      <c r="D69" s="3"/>
      <c r="E69" s="3"/>
      <c r="F69" s="3"/>
      <c r="G69" s="3"/>
      <c r="H69" s="3"/>
      <c r="I69" s="3"/>
      <c r="J69" s="351" t="s">
        <v>2719</v>
      </c>
      <c r="K69" s="309"/>
      <c r="L69" s="3"/>
      <c r="M69" s="3"/>
      <c r="N69" s="718" t="str">
        <f>HYPERLINK("http://wiki.academyofsports.online/tiki-index.php?page=Vertriebsweg-8---Nachricht-via-Email-oder-Kontaktformular---mit-Telefon", "http://wiki.academyofsports.online/tiki-index.php?page=Vertriebsweg-8---Nachricht-via-Email-oder-Kontaktformular---mit-Telefon")</f>
        <v>http://wiki.academyofsports.online/tiki-index.php?page=Vertriebsweg-8---Nachricht-via-Email-oder-Kontaktformular---mit-Telefon</v>
      </c>
      <c r="O69" s="3"/>
      <c r="P69" s="3"/>
      <c r="Q69" s="45"/>
      <c r="R69" s="45"/>
      <c r="S69" s="45"/>
      <c r="T69" s="45"/>
      <c r="U69" s="45"/>
      <c r="V69" s="45"/>
      <c r="W69" s="45"/>
      <c r="X69" s="45"/>
    </row>
    <row r="70" spans="1:24" x14ac:dyDescent="0.25">
      <c r="A70" s="3" t="s">
        <v>1106</v>
      </c>
      <c r="B70" s="3"/>
      <c r="C70" s="3" t="s">
        <v>91</v>
      </c>
      <c r="D70" s="3"/>
      <c r="E70" s="3"/>
      <c r="F70" s="3"/>
      <c r="G70" s="3"/>
      <c r="H70" s="3"/>
      <c r="I70" s="3"/>
      <c r="J70" s="309" t="s">
        <v>2689</v>
      </c>
      <c r="K70" s="1" t="s">
        <v>2690</v>
      </c>
      <c r="L70" s="45"/>
      <c r="M70" s="3"/>
      <c r="N70" s="3"/>
      <c r="O70" s="3"/>
      <c r="P70" s="3"/>
      <c r="Q70" s="45"/>
      <c r="R70" s="45"/>
      <c r="S70" s="45"/>
      <c r="T70" s="45"/>
      <c r="U70" s="45"/>
      <c r="V70" s="45"/>
      <c r="W70" s="45"/>
      <c r="X70" s="45"/>
    </row>
    <row r="71" spans="1:24" x14ac:dyDescent="0.25">
      <c r="A71" s="3" t="s">
        <v>1106</v>
      </c>
      <c r="B71" s="3"/>
      <c r="C71" s="3"/>
      <c r="D71" s="3" t="s">
        <v>91</v>
      </c>
      <c r="E71" s="3"/>
      <c r="F71" s="3"/>
      <c r="G71" s="3"/>
      <c r="H71" s="3"/>
      <c r="I71" s="3"/>
      <c r="J71" s="1" t="s">
        <v>2720</v>
      </c>
      <c r="K71" s="1" t="s">
        <v>2721</v>
      </c>
      <c r="L71" s="45" t="s">
        <v>2620</v>
      </c>
      <c r="M71" s="3"/>
      <c r="N71" s="3"/>
      <c r="O71" s="3"/>
      <c r="P71" s="3"/>
      <c r="Q71" s="45"/>
      <c r="R71" s="45"/>
      <c r="S71" s="45"/>
      <c r="T71" s="45"/>
      <c r="U71" s="45"/>
      <c r="V71" s="45"/>
      <c r="W71" s="45"/>
      <c r="X71" s="45"/>
    </row>
    <row r="72" spans="1:24" x14ac:dyDescent="0.25">
      <c r="A72" s="3" t="s">
        <v>1106</v>
      </c>
      <c r="B72" s="3"/>
      <c r="C72" s="3"/>
      <c r="D72" s="3"/>
      <c r="E72" s="3" t="s">
        <v>91</v>
      </c>
      <c r="F72" s="3"/>
      <c r="G72" s="3"/>
      <c r="H72" s="3"/>
      <c r="I72" s="3"/>
      <c r="J72" s="309" t="s">
        <v>2693</v>
      </c>
      <c r="K72" s="309" t="s">
        <v>2694</v>
      </c>
      <c r="L72" s="45" t="s">
        <v>2641</v>
      </c>
      <c r="M72" s="3"/>
      <c r="N72" s="3"/>
      <c r="O72" s="3"/>
      <c r="P72" s="3"/>
      <c r="Q72" s="45"/>
      <c r="R72" s="45"/>
      <c r="S72" s="45"/>
      <c r="T72" s="45"/>
      <c r="U72" s="45"/>
      <c r="V72" s="45"/>
      <c r="W72" s="45"/>
      <c r="X72" s="45"/>
    </row>
    <row r="73" spans="1:24" x14ac:dyDescent="0.25">
      <c r="A73" s="3" t="s">
        <v>1106</v>
      </c>
      <c r="B73" s="3"/>
      <c r="C73" s="3"/>
      <c r="D73" s="3"/>
      <c r="E73" s="3" t="s">
        <v>91</v>
      </c>
      <c r="F73" s="3"/>
      <c r="G73" s="3"/>
      <c r="H73" s="3"/>
      <c r="I73" s="3"/>
      <c r="J73" s="309" t="s">
        <v>2695</v>
      </c>
      <c r="K73" s="309" t="s">
        <v>2696</v>
      </c>
      <c r="L73" s="45" t="s">
        <v>2641</v>
      </c>
      <c r="M73" s="3"/>
      <c r="N73" s="3"/>
      <c r="O73" s="3"/>
      <c r="P73" s="3"/>
      <c r="Q73" s="45"/>
      <c r="R73" s="45"/>
      <c r="S73" s="45"/>
      <c r="T73" s="45"/>
      <c r="U73" s="45"/>
      <c r="V73" s="45"/>
      <c r="W73" s="45"/>
      <c r="X73" s="45"/>
    </row>
    <row r="74" spans="1:24" x14ac:dyDescent="0.25">
      <c r="A74" s="3" t="s">
        <v>1106</v>
      </c>
      <c r="B74" s="3"/>
      <c r="C74" s="3"/>
      <c r="D74" s="3"/>
      <c r="E74" s="3"/>
      <c r="F74" s="3" t="s">
        <v>91</v>
      </c>
      <c r="G74" s="3"/>
      <c r="H74" s="3"/>
      <c r="I74" s="3"/>
      <c r="J74" s="1" t="s">
        <v>2697</v>
      </c>
      <c r="K74" s="1" t="s">
        <v>2698</v>
      </c>
      <c r="L74" s="45" t="s">
        <v>2641</v>
      </c>
      <c r="M74" s="3"/>
      <c r="N74" s="3"/>
      <c r="O74" s="3"/>
      <c r="P74" s="3"/>
      <c r="Q74" s="45"/>
      <c r="R74" s="45"/>
      <c r="S74" s="45"/>
      <c r="T74" s="45"/>
      <c r="U74" s="45"/>
      <c r="V74" s="45"/>
      <c r="W74" s="45"/>
      <c r="X74" s="45"/>
    </row>
    <row r="75" spans="1:24" x14ac:dyDescent="0.25">
      <c r="A75" s="3" t="s">
        <v>1098</v>
      </c>
      <c r="B75" s="3"/>
      <c r="C75" s="3"/>
      <c r="D75" s="3"/>
      <c r="E75" s="3"/>
      <c r="F75" s="3" t="s">
        <v>91</v>
      </c>
      <c r="G75" s="3"/>
      <c r="H75" s="3"/>
      <c r="I75" s="3"/>
      <c r="J75" s="309" t="s">
        <v>2699</v>
      </c>
      <c r="K75" s="309" t="s">
        <v>2700</v>
      </c>
      <c r="L75" s="45" t="s">
        <v>2620</v>
      </c>
      <c r="M75" s="3"/>
      <c r="N75" s="3"/>
      <c r="O75" s="3"/>
      <c r="P75" s="3"/>
      <c r="Q75" s="45"/>
      <c r="R75" s="45"/>
      <c r="S75" s="45"/>
      <c r="T75" s="45"/>
      <c r="U75" s="45"/>
      <c r="V75" s="45"/>
      <c r="W75" s="45"/>
      <c r="X75" s="45"/>
    </row>
    <row r="76" spans="1:24" x14ac:dyDescent="0.25">
      <c r="A76" s="3" t="s">
        <v>1098</v>
      </c>
      <c r="B76" s="3"/>
      <c r="C76" s="3"/>
      <c r="D76" s="3"/>
      <c r="E76" s="3"/>
      <c r="F76" s="3"/>
      <c r="G76" s="3" t="s">
        <v>91</v>
      </c>
      <c r="H76" s="3"/>
      <c r="I76" s="3"/>
      <c r="J76" s="1" t="s">
        <v>2701</v>
      </c>
      <c r="K76" s="309" t="s">
        <v>2702</v>
      </c>
      <c r="L76" s="45" t="s">
        <v>2620</v>
      </c>
      <c r="M76" s="3"/>
      <c r="N76" s="3"/>
      <c r="O76" s="3"/>
      <c r="P76" s="3"/>
      <c r="Q76" s="45"/>
      <c r="R76" s="45"/>
      <c r="S76" s="45"/>
      <c r="T76" s="45"/>
      <c r="U76" s="45"/>
      <c r="V76" s="45"/>
      <c r="W76" s="45"/>
      <c r="X76" s="45"/>
    </row>
    <row r="77" spans="1:24" x14ac:dyDescent="0.25">
      <c r="A77" s="3" t="s">
        <v>1098</v>
      </c>
      <c r="B77" s="3"/>
      <c r="C77" s="3"/>
      <c r="D77" s="3"/>
      <c r="E77" s="3"/>
      <c r="F77" s="3"/>
      <c r="G77" s="3" t="s">
        <v>91</v>
      </c>
      <c r="H77" s="3"/>
      <c r="I77" s="3"/>
      <c r="J77" s="309" t="s">
        <v>2703</v>
      </c>
      <c r="K77" s="848" t="s">
        <v>2704</v>
      </c>
      <c r="L77" s="45"/>
      <c r="M77" s="3"/>
      <c r="N77" s="3"/>
      <c r="O77" s="3"/>
      <c r="P77" s="3"/>
      <c r="Q77" s="45"/>
      <c r="R77" s="45"/>
      <c r="S77" s="45"/>
      <c r="T77" s="45"/>
      <c r="U77" s="45"/>
      <c r="V77" s="45"/>
      <c r="W77" s="45"/>
      <c r="X77" s="45"/>
    </row>
    <row r="78" spans="1:24" x14ac:dyDescent="0.25">
      <c r="A78" s="3" t="s">
        <v>1106</v>
      </c>
      <c r="B78" s="3"/>
      <c r="C78" s="3"/>
      <c r="D78" s="3"/>
      <c r="E78" s="3"/>
      <c r="F78" s="3"/>
      <c r="G78" s="3" t="s">
        <v>91</v>
      </c>
      <c r="H78" s="3"/>
      <c r="I78" s="3"/>
      <c r="J78" s="309" t="s">
        <v>2705</v>
      </c>
      <c r="K78" s="1" t="s">
        <v>2706</v>
      </c>
      <c r="L78" s="45" t="s">
        <v>2620</v>
      </c>
      <c r="M78" s="3"/>
      <c r="N78" s="3"/>
      <c r="O78" s="3"/>
      <c r="P78" s="3"/>
      <c r="Q78" s="45"/>
      <c r="R78" s="45"/>
      <c r="S78" s="45"/>
      <c r="T78" s="45"/>
      <c r="U78" s="45"/>
      <c r="V78" s="45"/>
      <c r="W78" s="45"/>
      <c r="X78" s="45"/>
    </row>
    <row r="79" spans="1:24" x14ac:dyDescent="0.25">
      <c r="A79" s="3" t="s">
        <v>1106</v>
      </c>
      <c r="B79" s="3"/>
      <c r="C79" s="3"/>
      <c r="D79" s="3"/>
      <c r="E79" s="3"/>
      <c r="F79" s="3"/>
      <c r="G79" s="3"/>
      <c r="H79" s="3" t="s">
        <v>91</v>
      </c>
      <c r="I79" s="3"/>
      <c r="J79" s="309" t="s">
        <v>2707</v>
      </c>
      <c r="K79" s="309" t="s">
        <v>2708</v>
      </c>
      <c r="L79" s="45" t="s">
        <v>2641</v>
      </c>
      <c r="M79" s="3"/>
      <c r="N79" s="3"/>
      <c r="O79" s="3"/>
      <c r="P79" s="3"/>
      <c r="Q79" s="45"/>
      <c r="R79" s="45"/>
      <c r="S79" s="45"/>
      <c r="T79" s="45"/>
      <c r="U79" s="45"/>
      <c r="V79" s="45"/>
      <c r="W79" s="45"/>
      <c r="X79" s="45"/>
    </row>
    <row r="80" spans="1:24" x14ac:dyDescent="0.25">
      <c r="A80" s="3" t="s">
        <v>1098</v>
      </c>
      <c r="B80" s="3"/>
      <c r="C80" s="3"/>
      <c r="D80" s="3"/>
      <c r="E80" s="3"/>
      <c r="F80" s="3"/>
      <c r="G80" s="3"/>
      <c r="H80" s="3"/>
      <c r="I80" s="3" t="s">
        <v>91</v>
      </c>
      <c r="J80" s="309" t="s">
        <v>2709</v>
      </c>
      <c r="K80" s="309" t="s">
        <v>2710</v>
      </c>
      <c r="L80" s="45" t="s">
        <v>2620</v>
      </c>
      <c r="M80" s="3"/>
      <c r="N80" s="3"/>
      <c r="O80" s="3"/>
      <c r="P80" s="3"/>
      <c r="Q80" s="45"/>
      <c r="R80" s="45"/>
      <c r="S80" s="45"/>
      <c r="T80" s="45"/>
      <c r="U80" s="45"/>
      <c r="V80" s="45"/>
      <c r="W80" s="45"/>
      <c r="X80" s="45"/>
    </row>
    <row r="81" spans="1:24" x14ac:dyDescent="0.25">
      <c r="A81" s="3" t="s">
        <v>1098</v>
      </c>
      <c r="B81" s="3"/>
      <c r="C81" s="3"/>
      <c r="D81" s="3"/>
      <c r="E81" s="3"/>
      <c r="F81" s="3"/>
      <c r="G81" s="3"/>
      <c r="H81" s="3"/>
      <c r="I81" s="3" t="s">
        <v>91</v>
      </c>
      <c r="J81" s="1" t="s">
        <v>2711</v>
      </c>
      <c r="K81" s="848" t="s">
        <v>2712</v>
      </c>
      <c r="L81" s="45" t="s">
        <v>2620</v>
      </c>
      <c r="M81" s="3"/>
      <c r="N81" s="3"/>
      <c r="O81" s="3"/>
      <c r="P81" s="3"/>
      <c r="Q81" s="45"/>
      <c r="R81" s="45"/>
      <c r="S81" s="45"/>
      <c r="T81" s="45"/>
      <c r="U81" s="45"/>
      <c r="V81" s="45"/>
      <c r="W81" s="45"/>
      <c r="X81" s="45"/>
    </row>
    <row r="82" spans="1:24" x14ac:dyDescent="0.25">
      <c r="A82" s="3" t="s">
        <v>1098</v>
      </c>
      <c r="B82" s="3"/>
      <c r="C82" s="3"/>
      <c r="D82" s="3"/>
      <c r="E82" s="3"/>
      <c r="F82" s="3"/>
      <c r="G82" s="3"/>
      <c r="H82" s="3"/>
      <c r="I82" s="3" t="s">
        <v>91</v>
      </c>
      <c r="J82" s="1" t="s">
        <v>2713</v>
      </c>
      <c r="K82" s="848" t="s">
        <v>2714</v>
      </c>
      <c r="L82" s="45" t="s">
        <v>2620</v>
      </c>
      <c r="M82" s="3"/>
      <c r="N82" s="3"/>
      <c r="O82" s="3"/>
      <c r="P82" s="3"/>
      <c r="Q82" s="45"/>
      <c r="R82" s="45"/>
      <c r="S82" s="45"/>
      <c r="T82" s="45"/>
      <c r="U82" s="45"/>
      <c r="V82" s="45"/>
      <c r="W82" s="45"/>
      <c r="X82" s="45"/>
    </row>
    <row r="83" spans="1:24" x14ac:dyDescent="0.25">
      <c r="A83" s="3"/>
      <c r="B83" s="3"/>
      <c r="C83" s="3"/>
      <c r="D83" s="3"/>
      <c r="E83" s="3"/>
      <c r="F83" s="3"/>
      <c r="G83" s="3"/>
      <c r="H83" s="3"/>
      <c r="I83" s="3"/>
      <c r="J83" s="351" t="s">
        <v>2722</v>
      </c>
      <c r="K83" s="309"/>
      <c r="L83" s="3"/>
      <c r="M83" s="3"/>
      <c r="N83" s="3"/>
      <c r="O83" s="3"/>
      <c r="P83" s="3"/>
      <c r="Q83" s="45"/>
      <c r="R83" s="45"/>
      <c r="S83" s="45"/>
      <c r="T83" s="45"/>
      <c r="U83" s="45"/>
      <c r="V83" s="45"/>
      <c r="W83" s="45"/>
      <c r="X83" s="45"/>
    </row>
    <row r="84" spans="1:24" x14ac:dyDescent="0.25">
      <c r="A84" s="3" t="s">
        <v>1098</v>
      </c>
      <c r="B84" s="3"/>
      <c r="C84" s="3" t="s">
        <v>91</v>
      </c>
      <c r="D84" s="3"/>
      <c r="E84" s="3"/>
      <c r="F84" s="3"/>
      <c r="G84" s="3"/>
      <c r="H84" s="3"/>
      <c r="I84" s="3"/>
      <c r="J84" s="848" t="s">
        <v>2723</v>
      </c>
      <c r="K84" s="1" t="s">
        <v>2724</v>
      </c>
      <c r="L84" s="45" t="s">
        <v>2620</v>
      </c>
      <c r="M84" s="3"/>
      <c r="N84" s="3"/>
      <c r="O84" s="3"/>
      <c r="P84" s="3"/>
      <c r="Q84" s="45"/>
      <c r="R84" s="45"/>
      <c r="S84" s="45"/>
      <c r="T84" s="45"/>
      <c r="U84" s="45"/>
      <c r="V84" s="45"/>
      <c r="W84" s="45"/>
      <c r="X84" s="45"/>
    </row>
    <row r="85" spans="1:24" x14ac:dyDescent="0.25">
      <c r="A85" s="3" t="s">
        <v>1106</v>
      </c>
      <c r="B85" s="3"/>
      <c r="C85" s="3"/>
      <c r="D85" s="3" t="s">
        <v>91</v>
      </c>
      <c r="E85" s="3"/>
      <c r="F85" s="3"/>
      <c r="G85" s="3"/>
      <c r="H85" s="3"/>
      <c r="I85" s="3"/>
      <c r="J85" s="309" t="s">
        <v>2693</v>
      </c>
      <c r="K85" s="309" t="s">
        <v>2694</v>
      </c>
      <c r="L85" s="45" t="s">
        <v>2641</v>
      </c>
      <c r="M85" s="3"/>
      <c r="N85" s="3"/>
      <c r="O85" s="3"/>
      <c r="P85" s="3"/>
      <c r="Q85" s="45"/>
      <c r="R85" s="45"/>
      <c r="S85" s="45"/>
      <c r="T85" s="45"/>
      <c r="U85" s="45"/>
      <c r="V85" s="45"/>
      <c r="W85" s="45"/>
      <c r="X85" s="45"/>
    </row>
    <row r="86" spans="1:24" x14ac:dyDescent="0.25">
      <c r="A86" s="3" t="s">
        <v>1106</v>
      </c>
      <c r="B86" s="3"/>
      <c r="C86" s="3"/>
      <c r="D86" s="3"/>
      <c r="E86" s="3" t="s">
        <v>91</v>
      </c>
      <c r="F86" s="3"/>
      <c r="G86" s="3"/>
      <c r="H86" s="3"/>
      <c r="I86" s="3"/>
      <c r="J86" s="309" t="s">
        <v>2695</v>
      </c>
      <c r="K86" s="309" t="s">
        <v>2696</v>
      </c>
      <c r="L86" s="45" t="s">
        <v>2641</v>
      </c>
      <c r="M86" s="3"/>
      <c r="N86" s="3"/>
      <c r="O86" s="3"/>
      <c r="P86" s="3"/>
      <c r="Q86" s="45"/>
      <c r="R86" s="45"/>
      <c r="S86" s="45"/>
      <c r="T86" s="45"/>
      <c r="U86" s="45"/>
      <c r="V86" s="45"/>
      <c r="W86" s="45"/>
      <c r="X86" s="45"/>
    </row>
    <row r="87" spans="1:24" x14ac:dyDescent="0.25">
      <c r="A87" s="3" t="s">
        <v>1098</v>
      </c>
      <c r="B87" s="3"/>
      <c r="C87" s="3"/>
      <c r="D87" s="3"/>
      <c r="E87" s="3"/>
      <c r="F87" s="3" t="s">
        <v>91</v>
      </c>
      <c r="G87" s="3"/>
      <c r="H87" s="3"/>
      <c r="I87" s="3"/>
      <c r="J87" s="1" t="s">
        <v>2697</v>
      </c>
      <c r="K87" s="1" t="s">
        <v>2698</v>
      </c>
      <c r="L87" s="45" t="s">
        <v>2641</v>
      </c>
      <c r="M87" s="3"/>
      <c r="N87" s="3"/>
      <c r="O87" s="3"/>
      <c r="P87" s="3"/>
      <c r="Q87" s="45"/>
      <c r="R87" s="45"/>
      <c r="S87" s="45"/>
      <c r="T87" s="45"/>
      <c r="U87" s="45"/>
      <c r="V87" s="45"/>
      <c r="W87" s="45"/>
      <c r="X87" s="45"/>
    </row>
    <row r="88" spans="1:24" x14ac:dyDescent="0.25">
      <c r="A88" s="3" t="s">
        <v>1098</v>
      </c>
      <c r="B88" s="3"/>
      <c r="C88" s="3"/>
      <c r="D88" s="3"/>
      <c r="E88" s="3"/>
      <c r="F88" s="3" t="s">
        <v>91</v>
      </c>
      <c r="G88" s="3"/>
      <c r="H88" s="3"/>
      <c r="I88" s="3"/>
      <c r="J88" s="309" t="s">
        <v>2699</v>
      </c>
      <c r="K88" s="309" t="s">
        <v>2700</v>
      </c>
      <c r="L88" s="45" t="s">
        <v>2620</v>
      </c>
      <c r="M88" s="3"/>
      <c r="N88" s="3"/>
      <c r="O88" s="3"/>
      <c r="P88" s="3"/>
      <c r="Q88" s="45"/>
      <c r="R88" s="45"/>
      <c r="S88" s="45"/>
      <c r="T88" s="45"/>
      <c r="U88" s="45"/>
      <c r="V88" s="45"/>
      <c r="W88" s="45"/>
      <c r="X88" s="45"/>
    </row>
    <row r="89" spans="1:24" x14ac:dyDescent="0.25">
      <c r="A89" s="3" t="s">
        <v>1106</v>
      </c>
      <c r="B89" s="3"/>
      <c r="C89" s="3"/>
      <c r="D89" s="3"/>
      <c r="E89" s="3"/>
      <c r="F89" s="3"/>
      <c r="G89" s="3" t="s">
        <v>91</v>
      </c>
      <c r="H89" s="3"/>
      <c r="I89" s="3"/>
      <c r="J89" s="309" t="s">
        <v>2705</v>
      </c>
      <c r="K89" s="1" t="s">
        <v>2717</v>
      </c>
      <c r="L89" s="45" t="s">
        <v>2620</v>
      </c>
      <c r="M89" s="3"/>
      <c r="N89" s="3"/>
      <c r="O89" s="3"/>
      <c r="P89" s="3"/>
      <c r="Q89" s="45"/>
      <c r="R89" s="45"/>
      <c r="S89" s="45"/>
      <c r="T89" s="45"/>
      <c r="U89" s="45"/>
      <c r="V89" s="45"/>
      <c r="W89" s="45"/>
      <c r="X89" s="45"/>
    </row>
    <row r="90" spans="1:24" x14ac:dyDescent="0.25">
      <c r="A90" s="3" t="s">
        <v>1098</v>
      </c>
      <c r="B90" s="3"/>
      <c r="C90" s="3"/>
      <c r="D90" s="3"/>
      <c r="E90" s="3"/>
      <c r="F90" s="3"/>
      <c r="G90" s="3" t="s">
        <v>91</v>
      </c>
      <c r="H90" s="3"/>
      <c r="I90" s="3"/>
      <c r="J90" s="1" t="s">
        <v>2718</v>
      </c>
      <c r="K90" s="848" t="s">
        <v>2714</v>
      </c>
      <c r="L90" s="45" t="s">
        <v>2620</v>
      </c>
      <c r="M90" s="3"/>
      <c r="N90" s="3"/>
      <c r="O90" s="3"/>
      <c r="P90" s="3"/>
      <c r="Q90" s="45"/>
      <c r="R90" s="45"/>
      <c r="S90" s="45"/>
      <c r="T90" s="45"/>
      <c r="U90" s="45"/>
      <c r="V90" s="45"/>
      <c r="W90" s="45"/>
      <c r="X90" s="45"/>
    </row>
    <row r="91" spans="1:24" x14ac:dyDescent="0.25">
      <c r="A91" s="3"/>
      <c r="B91" s="3"/>
      <c r="C91" s="3"/>
      <c r="D91" s="3"/>
      <c r="E91" s="3"/>
      <c r="F91" s="3"/>
      <c r="G91" s="3"/>
      <c r="H91" s="3"/>
      <c r="I91" s="3"/>
      <c r="J91" s="351" t="s">
        <v>2725</v>
      </c>
      <c r="K91" s="309"/>
      <c r="L91" s="3"/>
      <c r="M91" s="3"/>
      <c r="N91" s="718" t="str">
        <f>HYPERLINK("http://wiki.academyofsports.online/tiki-index.php?page=Vertriebsweg-23---Website-Chat-im-Vertrieb", "http://wiki.academyofsports.online/tiki-index.php?page=Vertriebsweg-23---Website-Chat-im-Vertrieb")</f>
        <v>http://wiki.academyofsports.online/tiki-index.php?page=Vertriebsweg-23---Website-Chat-im-Vertrieb</v>
      </c>
      <c r="O91" s="3"/>
      <c r="P91" s="3"/>
      <c r="Q91" s="45"/>
      <c r="R91" s="45"/>
      <c r="S91" s="45"/>
      <c r="T91" s="45"/>
      <c r="U91" s="45"/>
      <c r="V91" s="45"/>
      <c r="W91" s="45"/>
      <c r="X91" s="45"/>
    </row>
    <row r="92" spans="1:24" x14ac:dyDescent="0.25">
      <c r="A92" s="3" t="s">
        <v>1098</v>
      </c>
      <c r="B92" s="3"/>
      <c r="C92" s="3" t="s">
        <v>91</v>
      </c>
      <c r="D92" s="3"/>
      <c r="E92" s="3"/>
      <c r="F92" s="3"/>
      <c r="G92" s="3"/>
      <c r="H92" s="3"/>
      <c r="I92" s="3"/>
      <c r="J92" s="309" t="s">
        <v>2726</v>
      </c>
      <c r="K92" s="309" t="s">
        <v>2727</v>
      </c>
      <c r="L92" s="45" t="s">
        <v>2620</v>
      </c>
      <c r="M92" s="3"/>
      <c r="N92" s="3"/>
      <c r="O92" s="3"/>
      <c r="P92" s="3"/>
      <c r="Q92" s="45"/>
      <c r="R92" s="45"/>
      <c r="S92" s="45"/>
      <c r="T92" s="45"/>
      <c r="U92" s="45"/>
      <c r="V92" s="45"/>
      <c r="W92" s="45"/>
      <c r="X92" s="45"/>
    </row>
    <row r="93" spans="1:24" x14ac:dyDescent="0.25">
      <c r="A93" s="3" t="s">
        <v>1098</v>
      </c>
      <c r="B93" s="3"/>
      <c r="C93" s="3" t="s">
        <v>91</v>
      </c>
      <c r="D93" s="3"/>
      <c r="E93" s="3"/>
      <c r="F93" s="3"/>
      <c r="G93" s="3"/>
      <c r="H93" s="3"/>
      <c r="I93" s="3"/>
      <c r="J93" s="309" t="s">
        <v>2728</v>
      </c>
      <c r="K93" s="309" t="s">
        <v>2729</v>
      </c>
      <c r="L93" s="45" t="s">
        <v>2620</v>
      </c>
      <c r="M93" s="3"/>
      <c r="N93" s="3"/>
      <c r="O93" s="3"/>
      <c r="P93" s="3"/>
      <c r="Q93" s="45"/>
      <c r="R93" s="45"/>
      <c r="S93" s="45"/>
      <c r="T93" s="45"/>
      <c r="U93" s="45"/>
      <c r="V93" s="45"/>
      <c r="W93" s="45"/>
      <c r="X93" s="45"/>
    </row>
    <row r="94" spans="1:24" x14ac:dyDescent="0.25">
      <c r="A94" s="3" t="s">
        <v>1106</v>
      </c>
      <c r="B94" s="3"/>
      <c r="C94" s="3"/>
      <c r="D94" s="3" t="s">
        <v>91</v>
      </c>
      <c r="E94" s="3"/>
      <c r="F94" s="3"/>
      <c r="G94" s="3"/>
      <c r="H94" s="3"/>
      <c r="I94" s="3"/>
      <c r="J94" s="309" t="s">
        <v>2730</v>
      </c>
      <c r="K94" s="309" t="s">
        <v>2731</v>
      </c>
      <c r="L94" s="45" t="s">
        <v>2620</v>
      </c>
      <c r="M94" s="3"/>
      <c r="N94" s="3"/>
      <c r="O94" s="3"/>
      <c r="P94" s="3"/>
      <c r="Q94" s="45"/>
      <c r="R94" s="45"/>
      <c r="S94" s="45"/>
      <c r="T94" s="45"/>
      <c r="U94" s="45"/>
      <c r="V94" s="45"/>
      <c r="W94" s="45"/>
      <c r="X94" s="45"/>
    </row>
    <row r="95" spans="1:24" x14ac:dyDescent="0.25">
      <c r="A95" s="3" t="s">
        <v>1106</v>
      </c>
      <c r="B95" s="3"/>
      <c r="C95" s="3"/>
      <c r="D95" s="3" t="s">
        <v>91</v>
      </c>
      <c r="E95" s="3"/>
      <c r="F95" s="3"/>
      <c r="G95" s="3"/>
      <c r="H95" s="3"/>
      <c r="I95" s="3"/>
      <c r="J95" s="45" t="s">
        <v>2732</v>
      </c>
      <c r="K95" s="396" t="s">
        <v>2619</v>
      </c>
      <c r="L95" s="396" t="s">
        <v>2620</v>
      </c>
      <c r="M95" s="396" t="s">
        <v>2621</v>
      </c>
      <c r="N95" s="3"/>
      <c r="O95" s="3"/>
      <c r="P95" s="3"/>
      <c r="Q95" s="45"/>
      <c r="R95" s="45"/>
      <c r="S95" s="45"/>
      <c r="T95" s="45"/>
      <c r="U95" s="45"/>
      <c r="V95" s="45"/>
      <c r="W95" s="45"/>
      <c r="X95" s="45"/>
    </row>
    <row r="96" spans="1:24" x14ac:dyDescent="0.25">
      <c r="A96" s="3" t="s">
        <v>1106</v>
      </c>
      <c r="B96" s="3"/>
      <c r="C96" s="3"/>
      <c r="D96" s="3" t="s">
        <v>91</v>
      </c>
      <c r="E96" s="3"/>
      <c r="F96" s="3"/>
      <c r="G96" s="3"/>
      <c r="H96" s="3"/>
      <c r="I96" s="3"/>
      <c r="J96" s="45" t="s">
        <v>2733</v>
      </c>
      <c r="K96" s="594" t="s">
        <v>2656</v>
      </c>
      <c r="L96" s="45" t="s">
        <v>2620</v>
      </c>
      <c r="M96" s="62" t="s">
        <v>2624</v>
      </c>
      <c r="N96" s="3"/>
      <c r="O96" s="3"/>
      <c r="P96" s="3"/>
      <c r="Q96" s="45"/>
      <c r="R96" s="45"/>
      <c r="S96" s="45"/>
      <c r="T96" s="45"/>
      <c r="U96" s="45"/>
      <c r="V96" s="45"/>
      <c r="W96" s="45"/>
      <c r="X96" s="45"/>
    </row>
    <row r="97" spans="1:24" x14ac:dyDescent="0.25">
      <c r="A97" s="3" t="s">
        <v>1106</v>
      </c>
      <c r="B97" s="3"/>
      <c r="C97" s="3"/>
      <c r="D97" s="3" t="s">
        <v>91</v>
      </c>
      <c r="E97" s="3"/>
      <c r="F97" s="3"/>
      <c r="G97" s="3"/>
      <c r="H97" s="3"/>
      <c r="I97" s="3"/>
      <c r="J97" s="1" t="s">
        <v>2734</v>
      </c>
      <c r="K97" s="1" t="s">
        <v>2735</v>
      </c>
      <c r="L97" s="45" t="s">
        <v>2641</v>
      </c>
      <c r="M97" s="396" t="s">
        <v>2659</v>
      </c>
      <c r="N97" s="3"/>
      <c r="O97" s="3"/>
      <c r="P97" s="3"/>
      <c r="Q97" s="45"/>
      <c r="R97" s="45"/>
      <c r="S97" s="45"/>
      <c r="T97" s="45"/>
      <c r="U97" s="45"/>
      <c r="V97" s="45"/>
      <c r="W97" s="45"/>
      <c r="X97" s="45"/>
    </row>
    <row r="98" spans="1:24" x14ac:dyDescent="0.25">
      <c r="A98" s="3" t="s">
        <v>1098</v>
      </c>
      <c r="B98" s="3"/>
      <c r="C98" s="3"/>
      <c r="D98" s="3"/>
      <c r="E98" s="3" t="s">
        <v>91</v>
      </c>
      <c r="F98" s="3"/>
      <c r="G98" s="3"/>
      <c r="H98" s="3"/>
      <c r="I98" s="3"/>
      <c r="J98" s="1" t="s">
        <v>2736</v>
      </c>
      <c r="K98" s="309" t="s">
        <v>2737</v>
      </c>
      <c r="L98" s="45" t="s">
        <v>2620</v>
      </c>
      <c r="M98" s="3"/>
      <c r="N98" s="3"/>
      <c r="O98" s="3"/>
      <c r="P98" s="3"/>
      <c r="Q98" s="45"/>
      <c r="R98" s="45"/>
      <c r="S98" s="45"/>
      <c r="T98" s="45"/>
      <c r="U98" s="45"/>
      <c r="V98" s="45"/>
      <c r="W98" s="45"/>
      <c r="X98" s="45"/>
    </row>
    <row r="99" spans="1:24" x14ac:dyDescent="0.25">
      <c r="A99" s="3" t="s">
        <v>1098</v>
      </c>
      <c r="B99" s="3"/>
      <c r="C99" s="3"/>
      <c r="D99" s="3"/>
      <c r="E99" s="3" t="s">
        <v>91</v>
      </c>
      <c r="F99" s="3"/>
      <c r="G99" s="3"/>
      <c r="H99" s="3"/>
      <c r="I99" s="3"/>
      <c r="J99" s="1" t="s">
        <v>2738</v>
      </c>
      <c r="K99" s="1" t="s">
        <v>2739</v>
      </c>
      <c r="L99" s="45" t="s">
        <v>2620</v>
      </c>
      <c r="M99" s="3"/>
      <c r="N99" s="3"/>
      <c r="O99" s="3"/>
      <c r="P99" s="3"/>
      <c r="Q99" s="45"/>
      <c r="R99" s="45"/>
      <c r="S99" s="45"/>
      <c r="T99" s="45"/>
      <c r="U99" s="45"/>
      <c r="V99" s="45"/>
      <c r="W99" s="45"/>
      <c r="X99" s="45"/>
    </row>
    <row r="100" spans="1:24" x14ac:dyDescent="0.25">
      <c r="A100" s="3" t="s">
        <v>1098</v>
      </c>
      <c r="B100" s="3"/>
      <c r="C100" s="3"/>
      <c r="D100" s="3"/>
      <c r="E100" s="3"/>
      <c r="F100" s="3" t="s">
        <v>91</v>
      </c>
      <c r="G100" s="3"/>
      <c r="H100" s="3"/>
      <c r="I100" s="3"/>
      <c r="J100" s="309" t="s">
        <v>2740</v>
      </c>
      <c r="K100" s="309" t="s">
        <v>2741</v>
      </c>
      <c r="L100" s="45" t="s">
        <v>2620</v>
      </c>
      <c r="M100" s="3"/>
      <c r="N100" s="3"/>
      <c r="O100" s="3"/>
      <c r="P100" s="3"/>
      <c r="Q100" s="45"/>
      <c r="R100" s="45"/>
      <c r="S100" s="45"/>
      <c r="T100" s="45"/>
      <c r="U100" s="45"/>
      <c r="V100" s="45"/>
      <c r="W100" s="45"/>
      <c r="X100" s="45"/>
    </row>
    <row r="101" spans="1:24" x14ac:dyDescent="0.25">
      <c r="A101" s="3"/>
      <c r="B101" s="3"/>
      <c r="C101" s="3"/>
      <c r="D101" s="3"/>
      <c r="E101" s="3"/>
      <c r="F101" s="3"/>
      <c r="G101" s="3"/>
      <c r="H101" s="3"/>
      <c r="I101" s="3"/>
      <c r="J101" s="351" t="s">
        <v>2742</v>
      </c>
      <c r="K101" s="309"/>
      <c r="L101" s="45"/>
      <c r="M101" s="3"/>
      <c r="N101" s="3"/>
      <c r="O101" s="3"/>
      <c r="P101" s="3"/>
      <c r="Q101" s="45"/>
      <c r="R101" s="45"/>
      <c r="S101" s="45"/>
      <c r="T101" s="45"/>
      <c r="U101" s="45"/>
      <c r="V101" s="45"/>
      <c r="W101" s="45"/>
      <c r="X101" s="45"/>
    </row>
    <row r="102" spans="1:24" x14ac:dyDescent="0.25">
      <c r="A102" s="3" t="s">
        <v>1106</v>
      </c>
      <c r="B102" s="3"/>
      <c r="C102" s="3" t="s">
        <v>91</v>
      </c>
      <c r="D102" s="3"/>
      <c r="E102" s="3"/>
      <c r="F102" s="3"/>
      <c r="G102" s="3"/>
      <c r="H102" s="3"/>
      <c r="I102" s="3"/>
      <c r="J102" s="1" t="s">
        <v>2743</v>
      </c>
      <c r="K102" s="309" t="s">
        <v>2744</v>
      </c>
      <c r="L102" s="45" t="s">
        <v>2620</v>
      </c>
      <c r="M102" s="3"/>
      <c r="N102" s="3"/>
      <c r="O102" s="3"/>
      <c r="P102" s="3"/>
      <c r="Q102" s="45"/>
      <c r="R102" s="45"/>
      <c r="S102" s="45"/>
      <c r="T102" s="45"/>
      <c r="U102" s="45"/>
      <c r="V102" s="45"/>
      <c r="W102" s="45"/>
      <c r="X102" s="45"/>
    </row>
    <row r="103" spans="1:24" x14ac:dyDescent="0.25">
      <c r="A103" s="3" t="s">
        <v>1106</v>
      </c>
      <c r="B103" s="3"/>
      <c r="C103" s="3"/>
      <c r="D103" s="3" t="s">
        <v>91</v>
      </c>
      <c r="E103" s="3"/>
      <c r="F103" s="3"/>
      <c r="G103" s="3"/>
      <c r="H103" s="3"/>
      <c r="I103" s="3"/>
      <c r="J103" s="45" t="s">
        <v>2745</v>
      </c>
      <c r="K103" s="396" t="s">
        <v>2746</v>
      </c>
      <c r="L103" s="45" t="s">
        <v>2620</v>
      </c>
      <c r="M103" s="396"/>
      <c r="N103" s="3"/>
      <c r="O103" s="3"/>
      <c r="P103" s="3"/>
      <c r="Q103" s="45"/>
      <c r="R103" s="45"/>
      <c r="S103" s="45"/>
      <c r="T103" s="45"/>
      <c r="U103" s="45"/>
      <c r="V103" s="45"/>
      <c r="W103" s="45"/>
      <c r="X103" s="45"/>
    </row>
    <row r="104" spans="1:24" x14ac:dyDescent="0.25">
      <c r="A104" s="3" t="s">
        <v>1106</v>
      </c>
      <c r="B104" s="3"/>
      <c r="C104" s="3"/>
      <c r="D104" s="3" t="s">
        <v>91</v>
      </c>
      <c r="E104" s="3"/>
      <c r="F104" s="3"/>
      <c r="G104" s="3"/>
      <c r="H104" s="3"/>
      <c r="I104" s="3"/>
      <c r="J104" s="45" t="s">
        <v>2618</v>
      </c>
      <c r="K104" s="396" t="s">
        <v>2619</v>
      </c>
      <c r="L104" s="396" t="s">
        <v>2620</v>
      </c>
      <c r="M104" s="396" t="s">
        <v>2621</v>
      </c>
      <c r="N104" s="3"/>
      <c r="O104" s="3"/>
      <c r="P104" s="3"/>
      <c r="Q104" s="45"/>
      <c r="R104" s="45"/>
      <c r="S104" s="45"/>
      <c r="T104" s="45"/>
      <c r="U104" s="45"/>
      <c r="V104" s="45"/>
      <c r="W104" s="45"/>
      <c r="X104" s="45"/>
    </row>
    <row r="105" spans="1:24" x14ac:dyDescent="0.25">
      <c r="A105" s="3" t="s">
        <v>1106</v>
      </c>
      <c r="B105" s="3"/>
      <c r="C105" s="3"/>
      <c r="D105" s="3"/>
      <c r="E105" s="3" t="s">
        <v>91</v>
      </c>
      <c r="F105" s="3"/>
      <c r="G105" s="3"/>
      <c r="H105" s="3"/>
      <c r="I105" s="3"/>
      <c r="J105" s="45" t="s">
        <v>2622</v>
      </c>
      <c r="K105" s="594" t="s">
        <v>2656</v>
      </c>
      <c r="L105" s="45" t="s">
        <v>2620</v>
      </c>
      <c r="M105" s="62" t="s">
        <v>2624</v>
      </c>
      <c r="N105" s="3"/>
      <c r="O105" s="3"/>
      <c r="P105" s="3"/>
      <c r="Q105" s="45"/>
      <c r="R105" s="45"/>
      <c r="S105" s="45"/>
      <c r="T105" s="45"/>
      <c r="U105" s="45"/>
      <c r="V105" s="45"/>
      <c r="W105" s="45"/>
      <c r="X105" s="45"/>
    </row>
    <row r="106" spans="1:24" x14ac:dyDescent="0.25">
      <c r="A106" s="3" t="s">
        <v>1106</v>
      </c>
      <c r="B106" s="3"/>
      <c r="C106" s="3"/>
      <c r="D106" s="3"/>
      <c r="E106" s="3" t="s">
        <v>91</v>
      </c>
      <c r="F106" s="3"/>
      <c r="G106" s="3"/>
      <c r="H106" s="3"/>
      <c r="I106" s="3"/>
      <c r="J106" s="1" t="s">
        <v>2657</v>
      </c>
      <c r="K106" s="1" t="s">
        <v>2747</v>
      </c>
      <c r="L106" s="45" t="s">
        <v>2641</v>
      </c>
      <c r="M106" s="396" t="s">
        <v>2659</v>
      </c>
      <c r="N106" s="3"/>
      <c r="O106" s="3"/>
      <c r="P106" s="3"/>
      <c r="Q106" s="45"/>
      <c r="R106" s="45"/>
      <c r="S106" s="45"/>
      <c r="T106" s="45"/>
      <c r="U106" s="45"/>
      <c r="V106" s="45"/>
      <c r="W106" s="45"/>
      <c r="X106" s="45"/>
    </row>
    <row r="107" spans="1:24" x14ac:dyDescent="0.25">
      <c r="A107" s="3" t="s">
        <v>1098</v>
      </c>
      <c r="B107" s="3"/>
      <c r="C107" s="3"/>
      <c r="D107" s="3"/>
      <c r="E107" s="3"/>
      <c r="F107" s="3" t="s">
        <v>91</v>
      </c>
      <c r="G107" s="3"/>
      <c r="H107" s="3"/>
      <c r="I107" s="3"/>
      <c r="J107" s="1" t="s">
        <v>2748</v>
      </c>
      <c r="K107" s="734" t="s">
        <v>2749</v>
      </c>
      <c r="L107" s="734" t="s">
        <v>2620</v>
      </c>
      <c r="M107" s="3"/>
      <c r="N107" s="3"/>
      <c r="O107" s="3"/>
      <c r="P107" s="3"/>
      <c r="Q107" s="45"/>
      <c r="R107" s="45"/>
      <c r="S107" s="45"/>
      <c r="T107" s="45"/>
      <c r="U107" s="45"/>
      <c r="V107" s="45"/>
      <c r="W107" s="45"/>
      <c r="X107" s="45"/>
    </row>
    <row r="108" spans="1:24" x14ac:dyDescent="0.25">
      <c r="A108" s="3" t="s">
        <v>1098</v>
      </c>
      <c r="B108" s="3"/>
      <c r="C108" s="3"/>
      <c r="D108" s="3"/>
      <c r="E108" s="3"/>
      <c r="F108" s="3"/>
      <c r="G108" s="3" t="s">
        <v>91</v>
      </c>
      <c r="H108" s="3"/>
      <c r="I108" s="3"/>
      <c r="J108" s="1" t="s">
        <v>2701</v>
      </c>
      <c r="K108" s="309" t="s">
        <v>2750</v>
      </c>
      <c r="L108" s="45" t="s">
        <v>2620</v>
      </c>
      <c r="M108" s="3"/>
      <c r="N108" s="3"/>
      <c r="O108" s="3"/>
      <c r="P108" s="3"/>
      <c r="Q108" s="45"/>
      <c r="R108" s="45"/>
      <c r="S108" s="45"/>
      <c r="T108" s="45"/>
      <c r="U108" s="45"/>
      <c r="V108" s="45"/>
      <c r="W108" s="45"/>
      <c r="X108" s="45"/>
    </row>
    <row r="109" spans="1:24" x14ac:dyDescent="0.25">
      <c r="A109" s="3" t="s">
        <v>1098</v>
      </c>
      <c r="B109" s="3"/>
      <c r="C109" s="3"/>
      <c r="D109" s="3"/>
      <c r="E109" s="3"/>
      <c r="F109" s="3"/>
      <c r="G109" s="3" t="s">
        <v>91</v>
      </c>
      <c r="H109" s="3"/>
      <c r="I109" s="3"/>
      <c r="J109" s="309" t="s">
        <v>2703</v>
      </c>
      <c r="K109" s="848" t="s">
        <v>2751</v>
      </c>
      <c r="L109" s="45" t="s">
        <v>2620</v>
      </c>
      <c r="M109" s="3"/>
      <c r="N109" s="3"/>
      <c r="O109" s="3"/>
      <c r="P109" s="3"/>
      <c r="Q109" s="45"/>
      <c r="R109" s="45"/>
      <c r="S109" s="45"/>
      <c r="T109" s="45"/>
      <c r="U109" s="45"/>
      <c r="V109" s="45"/>
      <c r="W109" s="45"/>
      <c r="X109" s="45"/>
    </row>
    <row r="110" spans="1:24" x14ac:dyDescent="0.25">
      <c r="A110" s="3" t="s">
        <v>1098</v>
      </c>
      <c r="B110" s="3"/>
      <c r="C110" s="3"/>
      <c r="D110" s="3"/>
      <c r="E110" s="3"/>
      <c r="F110" s="3"/>
      <c r="G110" s="3" t="s">
        <v>91</v>
      </c>
      <c r="H110" s="3"/>
      <c r="I110" s="3"/>
      <c r="J110" s="309" t="s">
        <v>2752</v>
      </c>
      <c r="K110" s="1" t="s">
        <v>2753</v>
      </c>
      <c r="L110" s="45" t="s">
        <v>2620</v>
      </c>
      <c r="M110" s="3"/>
      <c r="N110" s="3"/>
      <c r="O110" s="3"/>
      <c r="P110" s="3"/>
      <c r="Q110" s="45"/>
      <c r="R110" s="45"/>
      <c r="S110" s="45"/>
      <c r="T110" s="45"/>
      <c r="U110" s="45"/>
      <c r="V110" s="45"/>
      <c r="W110" s="45"/>
      <c r="X110" s="45"/>
    </row>
    <row r="111" spans="1:24" x14ac:dyDescent="0.25">
      <c r="A111" s="3" t="s">
        <v>1098</v>
      </c>
      <c r="B111" s="3"/>
      <c r="C111" s="3"/>
      <c r="D111" s="3"/>
      <c r="E111" s="3"/>
      <c r="F111" s="3"/>
      <c r="G111" s="3"/>
      <c r="H111" s="3" t="s">
        <v>91</v>
      </c>
      <c r="I111" s="3"/>
      <c r="J111" s="1" t="s">
        <v>2754</v>
      </c>
      <c r="K111" s="309" t="s">
        <v>2755</v>
      </c>
      <c r="L111" s="45" t="s">
        <v>2641</v>
      </c>
      <c r="M111" s="3"/>
      <c r="N111" s="3"/>
      <c r="O111" s="3"/>
      <c r="P111" s="3"/>
      <c r="Q111" s="45"/>
      <c r="R111" s="45"/>
      <c r="S111" s="45"/>
      <c r="T111" s="45"/>
      <c r="U111" s="45"/>
      <c r="V111" s="45"/>
      <c r="W111" s="45"/>
      <c r="X111" s="45"/>
    </row>
    <row r="112" spans="1:24" x14ac:dyDescent="0.25">
      <c r="A112" s="3" t="s">
        <v>1098</v>
      </c>
      <c r="B112" s="3"/>
      <c r="C112" s="3"/>
      <c r="D112" s="3"/>
      <c r="E112" s="3"/>
      <c r="F112" s="3"/>
      <c r="G112" s="3"/>
      <c r="H112" s="3" t="s">
        <v>91</v>
      </c>
      <c r="I112" s="3"/>
      <c r="J112" s="1" t="s">
        <v>2756</v>
      </c>
      <c r="K112" s="309" t="s">
        <v>2757</v>
      </c>
      <c r="L112" s="45" t="s">
        <v>2641</v>
      </c>
      <c r="M112" s="3"/>
      <c r="N112" s="3"/>
      <c r="O112" s="3"/>
      <c r="P112" s="3"/>
      <c r="Q112" s="45"/>
      <c r="R112" s="45"/>
      <c r="S112" s="45"/>
      <c r="T112" s="45"/>
      <c r="U112" s="45"/>
      <c r="V112" s="45"/>
      <c r="W112" s="45"/>
      <c r="X112" s="45"/>
    </row>
    <row r="113" spans="1:24" x14ac:dyDescent="0.25">
      <c r="A113" s="3" t="s">
        <v>1098</v>
      </c>
      <c r="B113" s="3"/>
      <c r="C113" s="3"/>
      <c r="D113" s="3"/>
      <c r="E113" s="3"/>
      <c r="F113" s="3"/>
      <c r="G113" s="3"/>
      <c r="H113" s="3"/>
      <c r="I113" s="3" t="s">
        <v>91</v>
      </c>
      <c r="J113" s="309" t="s">
        <v>2758</v>
      </c>
      <c r="K113" s="333" t="s">
        <v>2759</v>
      </c>
      <c r="L113" s="45" t="s">
        <v>2620</v>
      </c>
      <c r="M113" s="3"/>
      <c r="N113" s="3"/>
      <c r="O113" s="3"/>
      <c r="P113" s="3"/>
      <c r="Q113" s="45"/>
      <c r="R113" s="45"/>
      <c r="S113" s="45"/>
      <c r="T113" s="45"/>
      <c r="U113" s="45"/>
      <c r="V113" s="45"/>
      <c r="W113" s="45"/>
      <c r="X113" s="45"/>
    </row>
    <row r="114" spans="1:24" ht="15.75" customHeight="1" x14ac:dyDescent="0.25">
      <c r="A114" s="3"/>
      <c r="B114" s="3"/>
      <c r="C114" s="3"/>
      <c r="D114" s="3"/>
      <c r="E114" s="3"/>
      <c r="F114" s="3"/>
      <c r="G114" s="3"/>
      <c r="H114" s="3"/>
      <c r="I114" s="3"/>
      <c r="J114" s="351" t="s">
        <v>2760</v>
      </c>
      <c r="K114" s="309"/>
      <c r="L114" s="45"/>
      <c r="M114" s="3"/>
      <c r="N114" s="3"/>
      <c r="O114" s="3"/>
      <c r="P114" s="3"/>
      <c r="Q114" s="45"/>
      <c r="R114" s="45"/>
      <c r="S114" s="45"/>
      <c r="T114" s="45"/>
      <c r="U114" s="45"/>
      <c r="V114" s="45"/>
      <c r="W114" s="45"/>
      <c r="X114" s="45"/>
    </row>
    <row r="115" spans="1:24" ht="15.75" customHeight="1" x14ac:dyDescent="0.25">
      <c r="A115" s="3" t="s">
        <v>1106</v>
      </c>
      <c r="B115" s="3"/>
      <c r="C115" s="3" t="s">
        <v>91</v>
      </c>
      <c r="D115" s="3"/>
      <c r="E115" s="3"/>
      <c r="F115" s="3"/>
      <c r="G115" s="3"/>
      <c r="H115" s="3"/>
      <c r="I115" s="3"/>
      <c r="J115" s="1" t="s">
        <v>2761</v>
      </c>
      <c r="K115" s="1" t="s">
        <v>2762</v>
      </c>
      <c r="L115" s="45" t="s">
        <v>2620</v>
      </c>
      <c r="M115" s="3"/>
      <c r="N115" s="3"/>
      <c r="O115" s="3"/>
      <c r="P115" s="3"/>
      <c r="Q115" s="45"/>
      <c r="R115" s="45"/>
      <c r="S115" s="45"/>
      <c r="T115" s="45"/>
      <c r="U115" s="45"/>
      <c r="V115" s="45"/>
      <c r="W115" s="45"/>
      <c r="X115" s="45"/>
    </row>
    <row r="116" spans="1:24" ht="15.75" customHeight="1" x14ac:dyDescent="0.25">
      <c r="A116" s="3" t="s">
        <v>1106</v>
      </c>
      <c r="B116" s="3"/>
      <c r="C116" s="3"/>
      <c r="D116" s="3" t="s">
        <v>91</v>
      </c>
      <c r="E116" s="3"/>
      <c r="F116" s="3"/>
      <c r="G116" s="3"/>
      <c r="H116" s="3"/>
      <c r="I116" s="3"/>
      <c r="J116" s="45" t="s">
        <v>2745</v>
      </c>
      <c r="K116" s="396" t="s">
        <v>2746</v>
      </c>
      <c r="L116" s="45" t="s">
        <v>2620</v>
      </c>
      <c r="M116" s="396"/>
      <c r="N116" s="3"/>
      <c r="O116" s="3"/>
      <c r="P116" s="3"/>
      <c r="Q116" s="45"/>
      <c r="R116" s="45"/>
      <c r="S116" s="45"/>
      <c r="T116" s="45"/>
      <c r="U116" s="45"/>
      <c r="V116" s="45"/>
      <c r="W116" s="45"/>
      <c r="X116" s="45"/>
    </row>
    <row r="117" spans="1:24" ht="15.75" customHeight="1" x14ac:dyDescent="0.25">
      <c r="A117" s="3" t="s">
        <v>1106</v>
      </c>
      <c r="B117" s="3"/>
      <c r="C117" s="3"/>
      <c r="D117" s="3" t="s">
        <v>91</v>
      </c>
      <c r="E117" s="3"/>
      <c r="F117" s="3"/>
      <c r="G117" s="3"/>
      <c r="H117" s="3"/>
      <c r="I117" s="3"/>
      <c r="J117" s="45" t="s">
        <v>2618</v>
      </c>
      <c r="K117" s="396" t="s">
        <v>2619</v>
      </c>
      <c r="L117" s="396" t="s">
        <v>2620</v>
      </c>
      <c r="M117" s="396" t="s">
        <v>2621</v>
      </c>
      <c r="N117" s="3"/>
      <c r="O117" s="3"/>
      <c r="P117" s="3"/>
      <c r="Q117" s="45"/>
      <c r="R117" s="45"/>
      <c r="S117" s="45"/>
      <c r="T117" s="45"/>
      <c r="U117" s="45"/>
      <c r="V117" s="45"/>
      <c r="W117" s="45"/>
      <c r="X117" s="45"/>
    </row>
    <row r="118" spans="1:24" ht="15.75" customHeight="1" x14ac:dyDescent="0.25">
      <c r="A118" s="3" t="s">
        <v>1106</v>
      </c>
      <c r="B118" s="3"/>
      <c r="C118" s="3"/>
      <c r="D118" s="3"/>
      <c r="E118" s="3" t="s">
        <v>91</v>
      </c>
      <c r="F118" s="3"/>
      <c r="G118" s="3"/>
      <c r="H118" s="3"/>
      <c r="I118" s="3"/>
      <c r="J118" s="45" t="s">
        <v>2622</v>
      </c>
      <c r="K118" s="594" t="s">
        <v>2656</v>
      </c>
      <c r="L118" s="45" t="s">
        <v>2620</v>
      </c>
      <c r="M118" s="62" t="s">
        <v>2624</v>
      </c>
      <c r="N118" s="3"/>
      <c r="O118" s="3"/>
      <c r="P118" s="3"/>
      <c r="Q118" s="45"/>
      <c r="R118" s="45"/>
      <c r="S118" s="45"/>
      <c r="T118" s="45"/>
      <c r="U118" s="45"/>
      <c r="V118" s="45"/>
      <c r="W118" s="45"/>
      <c r="X118" s="45"/>
    </row>
    <row r="119" spans="1:24" ht="15.75" customHeight="1" x14ac:dyDescent="0.25">
      <c r="A119" s="3" t="s">
        <v>1106</v>
      </c>
      <c r="B119" s="3"/>
      <c r="C119" s="3"/>
      <c r="D119" s="3"/>
      <c r="E119" s="3" t="s">
        <v>91</v>
      </c>
      <c r="F119" s="3"/>
      <c r="G119" s="3"/>
      <c r="H119" s="3"/>
      <c r="I119" s="3"/>
      <c r="J119" s="1" t="s">
        <v>2657</v>
      </c>
      <c r="K119" s="1" t="s">
        <v>2763</v>
      </c>
      <c r="L119" s="45" t="s">
        <v>2641</v>
      </c>
      <c r="M119" s="396" t="s">
        <v>2659</v>
      </c>
      <c r="N119" s="3"/>
      <c r="O119" s="3"/>
      <c r="P119" s="3"/>
      <c r="Q119" s="45"/>
      <c r="R119" s="45"/>
      <c r="S119" s="45"/>
      <c r="T119" s="45"/>
      <c r="U119" s="45"/>
      <c r="V119" s="45"/>
      <c r="W119" s="45"/>
      <c r="X119" s="45"/>
    </row>
    <row r="120" spans="1:24" ht="15.75" customHeight="1" x14ac:dyDescent="0.25">
      <c r="A120" s="3" t="s">
        <v>1098</v>
      </c>
      <c r="B120" s="3"/>
      <c r="C120" s="3"/>
      <c r="D120" s="3"/>
      <c r="E120" s="3"/>
      <c r="F120" s="3" t="s">
        <v>91</v>
      </c>
      <c r="G120" s="3"/>
      <c r="H120" s="3"/>
      <c r="I120" s="3"/>
      <c r="J120" s="1" t="s">
        <v>2748</v>
      </c>
      <c r="K120" s="734" t="s">
        <v>2749</v>
      </c>
      <c r="L120" s="734" t="s">
        <v>2620</v>
      </c>
      <c r="M120" s="3"/>
      <c r="N120" s="3"/>
      <c r="O120" s="3"/>
      <c r="P120" s="3"/>
      <c r="Q120" s="45"/>
      <c r="R120" s="45"/>
      <c r="S120" s="45"/>
      <c r="T120" s="45"/>
      <c r="U120" s="45"/>
      <c r="V120" s="45"/>
      <c r="W120" s="45"/>
      <c r="X120" s="45"/>
    </row>
    <row r="121" spans="1:24" ht="15.75" customHeight="1" x14ac:dyDescent="0.25">
      <c r="A121" s="3" t="s">
        <v>1098</v>
      </c>
      <c r="B121" s="3"/>
      <c r="C121" s="3"/>
      <c r="D121" s="3"/>
      <c r="E121" s="3"/>
      <c r="F121" s="3"/>
      <c r="G121" s="3" t="s">
        <v>91</v>
      </c>
      <c r="H121" s="3"/>
      <c r="I121" s="3"/>
      <c r="J121" s="309" t="s">
        <v>2764</v>
      </c>
      <c r="K121" s="1" t="s">
        <v>2765</v>
      </c>
      <c r="L121" s="734" t="s">
        <v>2620</v>
      </c>
      <c r="M121" s="3"/>
      <c r="N121" s="3"/>
      <c r="O121" s="3"/>
      <c r="P121" s="3"/>
      <c r="Q121" s="45"/>
      <c r="R121" s="45"/>
      <c r="S121" s="45"/>
      <c r="T121" s="45"/>
      <c r="U121" s="45"/>
      <c r="V121" s="45"/>
      <c r="W121" s="45"/>
      <c r="X121" s="45"/>
    </row>
    <row r="122" spans="1:24" ht="15.75" customHeight="1" x14ac:dyDescent="0.25">
      <c r="A122" s="3" t="s">
        <v>1098</v>
      </c>
      <c r="B122" s="3"/>
      <c r="C122" s="3"/>
      <c r="D122" s="3"/>
      <c r="E122" s="3"/>
      <c r="F122" s="3"/>
      <c r="G122" s="3"/>
      <c r="H122" s="3" t="s">
        <v>91</v>
      </c>
      <c r="I122" s="3"/>
      <c r="J122" s="1" t="s">
        <v>2766</v>
      </c>
      <c r="K122" s="848" t="s">
        <v>2767</v>
      </c>
      <c r="L122" s="734" t="s">
        <v>2620</v>
      </c>
      <c r="M122" s="3"/>
      <c r="N122" s="3"/>
      <c r="O122" s="3"/>
      <c r="P122" s="3"/>
      <c r="Q122" s="45"/>
      <c r="R122" s="45"/>
      <c r="S122" s="45"/>
      <c r="T122" s="45"/>
      <c r="U122" s="45"/>
      <c r="V122" s="45"/>
      <c r="W122" s="45"/>
      <c r="X122" s="45"/>
    </row>
    <row r="123" spans="1:24" ht="15.75" customHeight="1" x14ac:dyDescent="0.25">
      <c r="A123" s="3" t="s">
        <v>1098</v>
      </c>
      <c r="B123" s="3"/>
      <c r="C123" s="3"/>
      <c r="D123" s="3"/>
      <c r="E123" s="3"/>
      <c r="F123" s="3"/>
      <c r="G123" s="3"/>
      <c r="H123" s="3" t="s">
        <v>91</v>
      </c>
      <c r="I123" s="3"/>
      <c r="J123" s="309" t="s">
        <v>2768</v>
      </c>
      <c r="K123" s="309" t="s">
        <v>2769</v>
      </c>
      <c r="L123" s="734" t="s">
        <v>2620</v>
      </c>
      <c r="M123" s="3"/>
      <c r="N123" s="3"/>
      <c r="O123" s="3"/>
      <c r="P123" s="3"/>
      <c r="Q123" s="45"/>
      <c r="R123" s="45"/>
      <c r="S123" s="45"/>
      <c r="T123" s="45"/>
      <c r="U123" s="45"/>
      <c r="V123" s="45"/>
      <c r="W123" s="45"/>
      <c r="X123" s="45"/>
    </row>
    <row r="124" spans="1:24" ht="15.75" customHeight="1" x14ac:dyDescent="0.25">
      <c r="A124" s="3" t="s">
        <v>1098</v>
      </c>
      <c r="B124" s="3"/>
      <c r="C124" s="3"/>
      <c r="D124" s="3"/>
      <c r="E124" s="3"/>
      <c r="F124" s="3"/>
      <c r="G124" s="3"/>
      <c r="H124" s="3"/>
      <c r="I124" s="3" t="s">
        <v>91</v>
      </c>
      <c r="J124" s="1" t="s">
        <v>2754</v>
      </c>
      <c r="K124" s="309" t="s">
        <v>2755</v>
      </c>
      <c r="L124" s="734" t="s">
        <v>2641</v>
      </c>
      <c r="M124" s="3"/>
      <c r="N124" s="3"/>
      <c r="O124" s="3"/>
      <c r="P124" s="3"/>
      <c r="Q124" s="45"/>
      <c r="R124" s="45"/>
      <c r="S124" s="45"/>
      <c r="T124" s="45"/>
      <c r="U124" s="45"/>
      <c r="V124" s="45"/>
      <c r="W124" s="45"/>
      <c r="X124" s="45"/>
    </row>
    <row r="125" spans="1:24" ht="15.75" customHeight="1" x14ac:dyDescent="0.25">
      <c r="A125" s="3" t="s">
        <v>1098</v>
      </c>
      <c r="B125" s="3"/>
      <c r="C125" s="3"/>
      <c r="D125" s="3"/>
      <c r="E125" s="3"/>
      <c r="F125" s="3"/>
      <c r="G125" s="3"/>
      <c r="H125" s="3"/>
      <c r="I125" s="3" t="s">
        <v>91</v>
      </c>
      <c r="J125" s="1" t="s">
        <v>2756</v>
      </c>
      <c r="K125" s="309" t="s">
        <v>2757</v>
      </c>
      <c r="L125" s="734" t="s">
        <v>2641</v>
      </c>
      <c r="M125" s="3"/>
      <c r="N125" s="3"/>
      <c r="O125" s="3"/>
      <c r="P125" s="3"/>
      <c r="Q125" s="45"/>
      <c r="R125" s="45"/>
      <c r="S125" s="45"/>
      <c r="T125" s="45"/>
      <c r="U125" s="45"/>
      <c r="V125" s="45"/>
      <c r="W125" s="45"/>
      <c r="X125" s="45"/>
    </row>
    <row r="126" spans="1:24" ht="15.75" customHeight="1" x14ac:dyDescent="0.25">
      <c r="A126" s="3" t="s">
        <v>1098</v>
      </c>
      <c r="B126" s="3"/>
      <c r="C126" s="3"/>
      <c r="D126" s="3"/>
      <c r="E126" s="3"/>
      <c r="F126" s="3"/>
      <c r="G126" s="3"/>
      <c r="H126" s="3"/>
      <c r="I126" s="3" t="s">
        <v>91</v>
      </c>
      <c r="J126" s="309" t="s">
        <v>2758</v>
      </c>
      <c r="K126" s="333" t="s">
        <v>2759</v>
      </c>
      <c r="L126" s="734" t="s">
        <v>2641</v>
      </c>
      <c r="M126" s="3"/>
      <c r="N126" s="3"/>
      <c r="O126" s="3"/>
      <c r="P126" s="3"/>
      <c r="Q126" s="45"/>
      <c r="R126" s="45"/>
      <c r="S126" s="45"/>
      <c r="T126" s="45"/>
      <c r="U126" s="45"/>
      <c r="V126" s="45"/>
      <c r="W126" s="45"/>
      <c r="X126" s="45"/>
    </row>
    <row r="127" spans="1:24" ht="15.75" customHeight="1" x14ac:dyDescent="0.25">
      <c r="A127" s="3"/>
      <c r="B127" s="3"/>
      <c r="C127" s="3"/>
      <c r="D127" s="3"/>
      <c r="E127" s="3"/>
      <c r="F127" s="3"/>
      <c r="G127" s="3"/>
      <c r="H127" s="3"/>
      <c r="I127" s="3"/>
      <c r="J127" s="89" t="s">
        <v>2770</v>
      </c>
      <c r="K127" s="333"/>
      <c r="L127" s="45"/>
      <c r="M127" s="3"/>
      <c r="N127" s="3"/>
      <c r="O127" s="3"/>
      <c r="P127" s="3"/>
      <c r="Q127" s="45"/>
      <c r="R127" s="45"/>
      <c r="S127" s="45"/>
      <c r="T127" s="45"/>
      <c r="U127" s="45"/>
      <c r="V127" s="45"/>
      <c r="W127" s="45"/>
      <c r="X127" s="45"/>
    </row>
    <row r="128" spans="1:24" ht="15.75" customHeight="1" x14ac:dyDescent="0.25">
      <c r="A128" s="3" t="s">
        <v>1106</v>
      </c>
      <c r="B128" s="3"/>
      <c r="C128" s="3" t="s">
        <v>91</v>
      </c>
      <c r="D128" s="3"/>
      <c r="E128" s="3"/>
      <c r="F128" s="3"/>
      <c r="G128" s="3"/>
      <c r="H128" s="3"/>
      <c r="I128" s="3"/>
      <c r="J128" s="1" t="s">
        <v>2771</v>
      </c>
      <c r="K128" s="334" t="s">
        <v>2772</v>
      </c>
      <c r="L128" s="734" t="s">
        <v>2773</v>
      </c>
      <c r="M128" s="3"/>
      <c r="N128" s="3"/>
      <c r="O128" s="3"/>
      <c r="P128" s="3"/>
      <c r="Q128" s="45"/>
      <c r="R128" s="45"/>
      <c r="S128" s="45"/>
      <c r="T128" s="45"/>
      <c r="U128" s="45"/>
      <c r="V128" s="45"/>
      <c r="W128" s="45"/>
      <c r="X128" s="45"/>
    </row>
    <row r="129" spans="1:24" ht="15.75" customHeight="1" x14ac:dyDescent="0.25">
      <c r="A129" s="3" t="s">
        <v>1106</v>
      </c>
      <c r="B129" s="3"/>
      <c r="C129" s="3"/>
      <c r="D129" s="3" t="s">
        <v>91</v>
      </c>
      <c r="E129" s="3"/>
      <c r="F129" s="3"/>
      <c r="G129" s="3"/>
      <c r="H129" s="3"/>
      <c r="I129" s="3"/>
      <c r="J129" s="309" t="s">
        <v>2774</v>
      </c>
      <c r="K129" s="333" t="s">
        <v>2775</v>
      </c>
      <c r="L129" s="45" t="s">
        <v>2773</v>
      </c>
      <c r="M129" s="3"/>
      <c r="N129" s="3"/>
      <c r="O129" s="3"/>
      <c r="P129" s="3"/>
      <c r="Q129" s="45"/>
      <c r="R129" s="45"/>
      <c r="S129" s="45"/>
      <c r="T129" s="45"/>
      <c r="U129" s="45"/>
      <c r="V129" s="45"/>
      <c r="W129" s="45"/>
      <c r="X129" s="45"/>
    </row>
    <row r="130" spans="1:24" ht="15.75" customHeight="1" x14ac:dyDescent="0.25">
      <c r="A130" s="3" t="s">
        <v>1106</v>
      </c>
      <c r="B130" s="3"/>
      <c r="C130" s="3"/>
      <c r="D130" s="3"/>
      <c r="E130" s="3" t="s">
        <v>91</v>
      </c>
      <c r="F130" s="3"/>
      <c r="G130" s="3"/>
      <c r="H130" s="3"/>
      <c r="I130" s="3"/>
      <c r="J130" s="309" t="s">
        <v>2776</v>
      </c>
      <c r="K130" s="334" t="s">
        <v>2777</v>
      </c>
      <c r="L130" s="833" t="s">
        <v>2620</v>
      </c>
      <c r="M130" s="3"/>
      <c r="N130" s="3"/>
      <c r="O130" s="3"/>
      <c r="P130" s="3"/>
      <c r="Q130" s="45"/>
      <c r="R130" s="45"/>
      <c r="S130" s="45"/>
      <c r="T130" s="45"/>
      <c r="U130" s="45"/>
      <c r="V130" s="45"/>
      <c r="W130" s="45"/>
      <c r="X130" s="45"/>
    </row>
    <row r="131" spans="1:24" ht="15.75" customHeight="1" x14ac:dyDescent="0.25">
      <c r="A131" s="3" t="s">
        <v>1106</v>
      </c>
      <c r="B131" s="3"/>
      <c r="C131" s="3"/>
      <c r="D131" s="3"/>
      <c r="E131" s="3"/>
      <c r="F131" s="3" t="s">
        <v>91</v>
      </c>
      <c r="G131" s="3"/>
      <c r="H131" s="3"/>
      <c r="I131" s="3"/>
      <c r="J131" s="309" t="s">
        <v>2778</v>
      </c>
      <c r="K131" s="1" t="s">
        <v>2779</v>
      </c>
      <c r="L131" s="833" t="s">
        <v>2620</v>
      </c>
      <c r="M131" s="3"/>
      <c r="N131" s="3"/>
      <c r="O131" s="3"/>
      <c r="P131" s="3"/>
      <c r="Q131" s="45"/>
      <c r="R131" s="45"/>
      <c r="S131" s="45"/>
      <c r="T131" s="45"/>
      <c r="U131" s="45"/>
      <c r="V131" s="45"/>
      <c r="W131" s="45"/>
      <c r="X131" s="45"/>
    </row>
    <row r="132" spans="1:24" ht="15.75" customHeight="1" x14ac:dyDescent="0.25">
      <c r="A132" s="3" t="s">
        <v>1106</v>
      </c>
      <c r="B132" s="3"/>
      <c r="C132" s="3"/>
      <c r="D132" s="3"/>
      <c r="E132" s="3"/>
      <c r="F132" s="3"/>
      <c r="G132" s="3" t="s">
        <v>91</v>
      </c>
      <c r="H132" s="3"/>
      <c r="I132" s="3"/>
      <c r="J132" s="309" t="s">
        <v>2780</v>
      </c>
      <c r="K132" s="1" t="s">
        <v>2781</v>
      </c>
      <c r="L132" s="848" t="s">
        <v>2773</v>
      </c>
      <c r="M132" s="3"/>
      <c r="N132" s="718" t="str">
        <f>HYPERLINK("http://wiki.academyofsports.online/tiki-index.php?page=Angebotserstellung-(0202)", "http://wiki.academyofsports.online/tiki-index.php?page=Angebotserstellung-(0202)")</f>
        <v>http://wiki.academyofsports.online/tiki-index.php?page=Angebotserstellung-(0202)</v>
      </c>
      <c r="O132" s="3"/>
      <c r="P132" s="3"/>
      <c r="Q132" s="45"/>
      <c r="R132" s="45"/>
      <c r="S132" s="45"/>
      <c r="T132" s="45"/>
      <c r="U132" s="45"/>
      <c r="V132" s="45"/>
      <c r="W132" s="45"/>
      <c r="X132" s="45"/>
    </row>
    <row r="133" spans="1:24" ht="15.75" customHeight="1" x14ac:dyDescent="0.25">
      <c r="A133" s="3" t="s">
        <v>1106</v>
      </c>
      <c r="B133" s="3"/>
      <c r="C133" s="3"/>
      <c r="D133" s="3"/>
      <c r="E133" s="3"/>
      <c r="F133" s="3"/>
      <c r="G133" s="3"/>
      <c r="H133" s="3" t="s">
        <v>91</v>
      </c>
      <c r="I133" s="3"/>
      <c r="J133" s="1" t="s">
        <v>2782</v>
      </c>
      <c r="K133" s="1" t="s">
        <v>2783</v>
      </c>
      <c r="L133" s="833" t="s">
        <v>2620</v>
      </c>
      <c r="M133" s="3"/>
      <c r="N133" s="3"/>
      <c r="O133" s="3"/>
      <c r="P133" s="3"/>
      <c r="Q133" s="45"/>
      <c r="R133" s="45"/>
      <c r="S133" s="45"/>
      <c r="T133" s="45"/>
      <c r="U133" s="45"/>
      <c r="V133" s="45"/>
      <c r="W133" s="45"/>
      <c r="X133" s="45"/>
    </row>
    <row r="134" spans="1:24" ht="15.75" customHeight="1" x14ac:dyDescent="0.25">
      <c r="A134" s="3" t="s">
        <v>1106</v>
      </c>
      <c r="B134" s="3"/>
      <c r="C134" s="3"/>
      <c r="D134" s="3"/>
      <c r="E134" s="3"/>
      <c r="F134" s="3"/>
      <c r="G134" s="3"/>
      <c r="H134" s="3" t="s">
        <v>91</v>
      </c>
      <c r="I134" s="3"/>
      <c r="J134" s="1" t="s">
        <v>2784</v>
      </c>
      <c r="K134" s="1" t="s">
        <v>2785</v>
      </c>
      <c r="L134" s="833" t="s">
        <v>2620</v>
      </c>
      <c r="M134" s="3"/>
      <c r="N134" s="3"/>
      <c r="O134" s="3"/>
      <c r="P134" s="3"/>
      <c r="Q134" s="45"/>
      <c r="R134" s="45"/>
      <c r="S134" s="45"/>
      <c r="T134" s="45"/>
      <c r="U134" s="45"/>
      <c r="V134" s="45"/>
      <c r="W134" s="45"/>
      <c r="X134" s="45"/>
    </row>
    <row r="135" spans="1:24" ht="15.75" customHeight="1" x14ac:dyDescent="0.25">
      <c r="A135" s="3" t="s">
        <v>1106</v>
      </c>
      <c r="B135" s="3"/>
      <c r="C135" s="3"/>
      <c r="D135" s="3"/>
      <c r="E135" s="3"/>
      <c r="F135" s="3"/>
      <c r="G135" s="3"/>
      <c r="H135" s="3"/>
      <c r="I135" s="3" t="s">
        <v>91</v>
      </c>
      <c r="J135" s="309" t="s">
        <v>2786</v>
      </c>
      <c r="K135" s="334" t="s">
        <v>2787</v>
      </c>
      <c r="L135" s="833" t="s">
        <v>2620</v>
      </c>
      <c r="M135" s="3"/>
      <c r="N135" s="3"/>
      <c r="O135" s="3"/>
      <c r="P135" s="3"/>
      <c r="Q135" s="45"/>
      <c r="R135" s="45"/>
      <c r="S135" s="45"/>
      <c r="T135" s="45"/>
      <c r="U135" s="45"/>
      <c r="V135" s="45"/>
      <c r="W135" s="45"/>
      <c r="X135" s="45"/>
    </row>
    <row r="136" spans="1:24" x14ac:dyDescent="0.25">
      <c r="A136" s="3"/>
      <c r="B136" s="3"/>
      <c r="C136" s="3"/>
      <c r="D136" s="3"/>
      <c r="E136" s="3"/>
      <c r="F136" s="3"/>
      <c r="G136" s="3"/>
      <c r="H136" s="3"/>
      <c r="I136" s="3"/>
      <c r="J136" s="89" t="s">
        <v>2788</v>
      </c>
      <c r="K136" s="309"/>
      <c r="L136" s="3"/>
      <c r="M136" s="3"/>
      <c r="N136" s="3"/>
      <c r="O136" s="3"/>
      <c r="P136" s="3"/>
      <c r="Q136" s="45"/>
      <c r="R136" s="45"/>
      <c r="S136" s="45"/>
      <c r="T136" s="45"/>
      <c r="U136" s="45"/>
      <c r="V136" s="45"/>
      <c r="W136" s="45"/>
      <c r="X136" s="45"/>
    </row>
    <row r="137" spans="1:24" x14ac:dyDescent="0.25">
      <c r="A137" s="3"/>
      <c r="B137" s="3"/>
      <c r="C137" s="3"/>
      <c r="D137" s="3"/>
      <c r="E137" s="3"/>
      <c r="F137" s="3"/>
      <c r="G137" s="3"/>
      <c r="H137" s="3"/>
      <c r="I137" s="3"/>
      <c r="J137" s="351" t="s">
        <v>2789</v>
      </c>
      <c r="K137" s="309"/>
      <c r="L137" s="3"/>
      <c r="M137" s="3"/>
      <c r="N137" s="3"/>
      <c r="O137" s="3"/>
      <c r="P137" s="3"/>
      <c r="Q137" s="45"/>
      <c r="R137" s="45"/>
      <c r="S137" s="45"/>
      <c r="T137" s="45"/>
      <c r="U137" s="45"/>
      <c r="V137" s="45"/>
      <c r="W137" s="45"/>
      <c r="X137" s="45"/>
    </row>
    <row r="138" spans="1:24" x14ac:dyDescent="0.25">
      <c r="A138" s="3" t="s">
        <v>1098</v>
      </c>
      <c r="B138" s="3"/>
      <c r="C138" s="3" t="s">
        <v>91</v>
      </c>
      <c r="D138" s="3"/>
      <c r="E138" s="3"/>
      <c r="F138" s="3"/>
      <c r="G138" s="3"/>
      <c r="H138" s="3"/>
      <c r="I138" s="3"/>
      <c r="J138" s="1" t="s">
        <v>2790</v>
      </c>
      <c r="K138" s="309" t="s">
        <v>2791</v>
      </c>
      <c r="L138" s="334" t="s">
        <v>2792</v>
      </c>
      <c r="M138" s="3"/>
      <c r="N138" s="3"/>
      <c r="O138" s="3"/>
      <c r="P138" s="3"/>
      <c r="Q138" s="45"/>
      <c r="R138" s="45"/>
      <c r="S138" s="45"/>
      <c r="T138" s="45"/>
      <c r="U138" s="45"/>
      <c r="V138" s="45"/>
      <c r="W138" s="45"/>
      <c r="X138" s="45"/>
    </row>
    <row r="139" spans="1:24" x14ac:dyDescent="0.25">
      <c r="A139" s="3" t="s">
        <v>1106</v>
      </c>
      <c r="B139" s="3"/>
      <c r="C139" s="3"/>
      <c r="D139" s="3" t="s">
        <v>91</v>
      </c>
      <c r="E139" s="3"/>
      <c r="F139" s="3"/>
      <c r="G139" s="3"/>
      <c r="H139" s="3"/>
      <c r="I139" s="3"/>
      <c r="J139" s="45" t="s">
        <v>2618</v>
      </c>
      <c r="K139" s="396" t="s">
        <v>2619</v>
      </c>
      <c r="L139" s="334" t="s">
        <v>2793</v>
      </c>
      <c r="M139" s="396" t="s">
        <v>2621</v>
      </c>
      <c r="N139" s="3"/>
      <c r="O139" s="3"/>
      <c r="P139" s="3"/>
      <c r="Q139" s="45"/>
      <c r="R139" s="45"/>
      <c r="S139" s="45"/>
      <c r="T139" s="45"/>
      <c r="U139" s="45"/>
      <c r="V139" s="45"/>
      <c r="W139" s="45"/>
      <c r="X139" s="45"/>
    </row>
    <row r="140" spans="1:24" x14ac:dyDescent="0.25">
      <c r="A140" s="3" t="s">
        <v>1106</v>
      </c>
      <c r="B140" s="3"/>
      <c r="C140" s="3"/>
      <c r="D140" s="3" t="s">
        <v>91</v>
      </c>
      <c r="E140" s="3"/>
      <c r="F140" s="3"/>
      <c r="G140" s="3"/>
      <c r="H140" s="3"/>
      <c r="I140" s="3"/>
      <c r="J140" s="45" t="s">
        <v>2622</v>
      </c>
      <c r="K140" s="594" t="s">
        <v>2656</v>
      </c>
      <c r="L140" s="334" t="s">
        <v>2793</v>
      </c>
      <c r="M140" s="62" t="s">
        <v>2624</v>
      </c>
      <c r="N140" s="3"/>
      <c r="O140" s="3"/>
      <c r="P140" s="3"/>
      <c r="Q140" s="45"/>
      <c r="R140" s="45"/>
      <c r="S140" s="45"/>
      <c r="T140" s="45"/>
      <c r="U140" s="45"/>
      <c r="V140" s="45"/>
      <c r="W140" s="45"/>
      <c r="X140" s="45"/>
    </row>
    <row r="141" spans="1:24" x14ac:dyDescent="0.25">
      <c r="A141" s="3" t="s">
        <v>1106</v>
      </c>
      <c r="B141" s="3"/>
      <c r="C141" s="3"/>
      <c r="D141" s="3"/>
      <c r="E141" s="3" t="s">
        <v>91</v>
      </c>
      <c r="F141" s="3"/>
      <c r="G141" s="3"/>
      <c r="H141" s="3"/>
      <c r="I141" s="3"/>
      <c r="J141" s="1" t="s">
        <v>2657</v>
      </c>
      <c r="K141" s="1" t="s">
        <v>2794</v>
      </c>
      <c r="L141" s="45" t="s">
        <v>2795</v>
      </c>
      <c r="M141" s="396" t="s">
        <v>2659</v>
      </c>
      <c r="N141" s="3"/>
      <c r="O141" s="3"/>
      <c r="P141" s="3"/>
      <c r="Q141" s="45"/>
      <c r="R141" s="45"/>
      <c r="S141" s="45"/>
      <c r="T141" s="45"/>
      <c r="U141" s="45"/>
      <c r="V141" s="45"/>
      <c r="W141" s="45"/>
      <c r="X141" s="45"/>
    </row>
    <row r="142" spans="1:24" x14ac:dyDescent="0.25">
      <c r="A142" s="3" t="s">
        <v>1098</v>
      </c>
      <c r="B142" s="3"/>
      <c r="C142" s="3"/>
      <c r="D142" s="3"/>
      <c r="E142" s="3"/>
      <c r="F142" s="3" t="s">
        <v>91</v>
      </c>
      <c r="G142" s="3"/>
      <c r="H142" s="3"/>
      <c r="I142" s="3"/>
      <c r="J142" s="309" t="s">
        <v>2796</v>
      </c>
      <c r="K142" s="309" t="s">
        <v>2797</v>
      </c>
      <c r="L142" s="334" t="s">
        <v>2793</v>
      </c>
      <c r="M142" s="3"/>
      <c r="N142" s="3"/>
      <c r="O142" s="3"/>
      <c r="P142" s="3"/>
      <c r="Q142" s="45"/>
      <c r="R142" s="45"/>
      <c r="S142" s="45"/>
      <c r="T142" s="45"/>
      <c r="U142" s="45"/>
      <c r="V142" s="45"/>
      <c r="W142" s="45"/>
      <c r="X142" s="45"/>
    </row>
    <row r="143" spans="1:24" x14ac:dyDescent="0.25">
      <c r="A143" s="3" t="s">
        <v>1098</v>
      </c>
      <c r="B143" s="3"/>
      <c r="C143" s="3"/>
      <c r="D143" s="3"/>
      <c r="E143" s="3"/>
      <c r="F143" s="3"/>
      <c r="G143" s="3" t="s">
        <v>91</v>
      </c>
      <c r="H143" s="3"/>
      <c r="I143" s="3"/>
      <c r="J143" s="309" t="s">
        <v>2798</v>
      </c>
      <c r="K143" s="309" t="s">
        <v>2799</v>
      </c>
      <c r="L143" s="334" t="s">
        <v>2793</v>
      </c>
      <c r="M143" s="3"/>
      <c r="N143" s="3"/>
      <c r="O143" s="3"/>
      <c r="P143" s="3"/>
      <c r="Q143" s="45"/>
      <c r="R143" s="45"/>
      <c r="S143" s="45"/>
      <c r="T143" s="45"/>
      <c r="U143" s="45"/>
      <c r="V143" s="45"/>
      <c r="W143" s="45"/>
      <c r="X143" s="45"/>
    </row>
    <row r="144" spans="1:24" x14ac:dyDescent="0.25">
      <c r="A144" s="3" t="s">
        <v>1098</v>
      </c>
      <c r="B144" s="3"/>
      <c r="C144" s="3"/>
      <c r="D144" s="3"/>
      <c r="E144" s="3"/>
      <c r="F144" s="3"/>
      <c r="G144" s="3" t="s">
        <v>91</v>
      </c>
      <c r="H144" s="3"/>
      <c r="I144" s="3"/>
      <c r="J144" s="309" t="s">
        <v>2800</v>
      </c>
      <c r="K144" s="309" t="s">
        <v>2801</v>
      </c>
      <c r="L144" s="3" t="s">
        <v>212</v>
      </c>
      <c r="M144" s="3"/>
      <c r="N144" s="3"/>
      <c r="O144" s="3"/>
      <c r="P144" s="3"/>
      <c r="Q144" s="45"/>
      <c r="R144" s="45"/>
      <c r="S144" s="45"/>
      <c r="T144" s="45"/>
      <c r="U144" s="45"/>
      <c r="V144" s="45"/>
      <c r="W144" s="45"/>
      <c r="X144" s="45"/>
    </row>
    <row r="145" spans="1:24" x14ac:dyDescent="0.25">
      <c r="A145" s="3" t="s">
        <v>1098</v>
      </c>
      <c r="B145" s="3"/>
      <c r="C145" s="3"/>
      <c r="D145" s="3"/>
      <c r="E145" s="3"/>
      <c r="F145" s="3"/>
      <c r="G145" s="3" t="s">
        <v>91</v>
      </c>
      <c r="H145" s="3"/>
      <c r="I145" s="3"/>
      <c r="J145" s="309" t="s">
        <v>2802</v>
      </c>
      <c r="K145" s="309" t="s">
        <v>2803</v>
      </c>
      <c r="L145" s="3"/>
      <c r="M145" s="3"/>
      <c r="N145" s="3"/>
      <c r="O145" s="3"/>
      <c r="P145" s="3"/>
      <c r="Q145" s="45"/>
      <c r="R145" s="45"/>
      <c r="S145" s="45"/>
      <c r="T145" s="45"/>
      <c r="U145" s="45"/>
      <c r="V145" s="45"/>
      <c r="W145" s="45"/>
      <c r="X145" s="45"/>
    </row>
    <row r="146" spans="1:24" ht="30" x14ac:dyDescent="0.25">
      <c r="A146" s="3" t="s">
        <v>1106</v>
      </c>
      <c r="B146" s="3"/>
      <c r="C146" s="3"/>
      <c r="D146" s="3"/>
      <c r="E146" s="3"/>
      <c r="F146" s="3"/>
      <c r="G146" s="3"/>
      <c r="H146" s="3" t="s">
        <v>91</v>
      </c>
      <c r="I146" s="3"/>
      <c r="J146" s="1" t="s">
        <v>2804</v>
      </c>
      <c r="K146" s="12" t="s">
        <v>2805</v>
      </c>
      <c r="L146" s="110" t="s">
        <v>2806</v>
      </c>
      <c r="M146" s="3"/>
      <c r="N146" s="3"/>
      <c r="O146" s="3"/>
      <c r="P146" s="3"/>
      <c r="Q146" s="45"/>
      <c r="R146" s="45"/>
      <c r="S146" s="45"/>
      <c r="T146" s="45"/>
      <c r="U146" s="45"/>
      <c r="V146" s="45"/>
      <c r="W146" s="45"/>
      <c r="X146" s="45"/>
    </row>
    <row r="147" spans="1:24" x14ac:dyDescent="0.25">
      <c r="A147" s="3" t="s">
        <v>1106</v>
      </c>
      <c r="B147" s="3"/>
      <c r="C147" s="3"/>
      <c r="D147" s="3"/>
      <c r="E147" s="3"/>
      <c r="F147" s="3"/>
      <c r="G147" s="3"/>
      <c r="H147" s="3" t="s">
        <v>91</v>
      </c>
      <c r="I147" s="3"/>
      <c r="J147" s="65" t="s">
        <v>2807</v>
      </c>
      <c r="K147" s="110" t="s">
        <v>2808</v>
      </c>
      <c r="L147" s="110" t="s">
        <v>2806</v>
      </c>
      <c r="M147" s="3"/>
      <c r="N147" s="3"/>
      <c r="O147" s="3"/>
      <c r="P147" s="3"/>
      <c r="Q147" s="45"/>
      <c r="R147" s="45"/>
      <c r="S147" s="45"/>
      <c r="T147" s="45"/>
      <c r="U147" s="45"/>
      <c r="V147" s="45"/>
      <c r="W147" s="45"/>
      <c r="X147" s="45"/>
    </row>
    <row r="148" spans="1:24" ht="30" x14ac:dyDescent="0.25">
      <c r="A148" s="3" t="s">
        <v>1106</v>
      </c>
      <c r="B148" s="3"/>
      <c r="C148" s="3"/>
      <c r="D148" s="3"/>
      <c r="E148" s="3"/>
      <c r="F148" s="3"/>
      <c r="G148" s="3"/>
      <c r="H148" s="3" t="s">
        <v>91</v>
      </c>
      <c r="I148" s="3"/>
      <c r="J148" s="65" t="s">
        <v>2809</v>
      </c>
      <c r="K148" s="110" t="s">
        <v>2810</v>
      </c>
      <c r="L148" s="110" t="s">
        <v>2806</v>
      </c>
      <c r="M148" s="3"/>
      <c r="N148" s="3"/>
      <c r="O148" s="3"/>
      <c r="P148" s="3"/>
      <c r="Q148" s="45"/>
      <c r="R148" s="45"/>
      <c r="S148" s="45"/>
      <c r="T148" s="45"/>
      <c r="U148" s="45"/>
      <c r="V148" s="45"/>
      <c r="W148" s="45"/>
      <c r="X148" s="45"/>
    </row>
    <row r="149" spans="1:24" x14ac:dyDescent="0.25">
      <c r="A149" s="3"/>
      <c r="B149" s="3"/>
      <c r="C149" s="3"/>
      <c r="D149" s="3"/>
      <c r="E149" s="3"/>
      <c r="F149" s="3"/>
      <c r="G149" s="3"/>
      <c r="H149" s="3"/>
      <c r="I149" s="3"/>
      <c r="J149" s="351" t="s">
        <v>2811</v>
      </c>
      <c r="K149" s="309"/>
      <c r="L149" s="3"/>
      <c r="M149" s="3"/>
      <c r="N149" s="3"/>
      <c r="O149" s="3"/>
      <c r="P149" s="3"/>
      <c r="Q149" s="45"/>
      <c r="R149" s="45"/>
      <c r="S149" s="45"/>
      <c r="T149" s="45"/>
      <c r="U149" s="45"/>
      <c r="V149" s="45"/>
      <c r="W149" s="45"/>
      <c r="X149" s="45"/>
    </row>
    <row r="150" spans="1:24" x14ac:dyDescent="0.25">
      <c r="A150" s="3" t="s">
        <v>1098</v>
      </c>
      <c r="B150" s="3"/>
      <c r="C150" s="3" t="s">
        <v>91</v>
      </c>
      <c r="D150" s="3"/>
      <c r="E150" s="3"/>
      <c r="F150" s="3"/>
      <c r="G150" s="3"/>
      <c r="H150" s="3"/>
      <c r="I150" s="3"/>
      <c r="J150" s="1" t="s">
        <v>2790</v>
      </c>
      <c r="K150" s="309" t="s">
        <v>2791</v>
      </c>
      <c r="L150" s="110" t="s">
        <v>2812</v>
      </c>
      <c r="M150" s="3"/>
      <c r="N150" s="3"/>
      <c r="O150" s="3"/>
      <c r="P150" s="3"/>
      <c r="Q150" s="45"/>
      <c r="R150" s="45"/>
      <c r="S150" s="45"/>
      <c r="T150" s="45"/>
      <c r="U150" s="45"/>
      <c r="V150" s="45"/>
      <c r="W150" s="45"/>
      <c r="X150" s="45"/>
    </row>
    <row r="151" spans="1:24" x14ac:dyDescent="0.25">
      <c r="A151" s="3" t="s">
        <v>1106</v>
      </c>
      <c r="B151" s="3"/>
      <c r="C151" s="3"/>
      <c r="D151" s="3" t="s">
        <v>91</v>
      </c>
      <c r="E151" s="3"/>
      <c r="F151" s="3"/>
      <c r="G151" s="3"/>
      <c r="H151" s="3"/>
      <c r="I151" s="3"/>
      <c r="J151" s="45" t="s">
        <v>2618</v>
      </c>
      <c r="K151" s="396" t="s">
        <v>2619</v>
      </c>
      <c r="L151" s="833" t="s">
        <v>2793</v>
      </c>
      <c r="M151" s="3"/>
      <c r="N151" s="3"/>
      <c r="O151" s="3"/>
      <c r="P151" s="3"/>
      <c r="Q151" s="45"/>
      <c r="R151" s="45"/>
      <c r="S151" s="45"/>
      <c r="T151" s="45"/>
      <c r="U151" s="45"/>
      <c r="V151" s="45"/>
      <c r="W151" s="45"/>
      <c r="X151" s="45"/>
    </row>
    <row r="152" spans="1:24" x14ac:dyDescent="0.25">
      <c r="A152" s="3" t="s">
        <v>1106</v>
      </c>
      <c r="B152" s="3"/>
      <c r="C152" s="3"/>
      <c r="D152" s="3"/>
      <c r="E152" s="3" t="s">
        <v>91</v>
      </c>
      <c r="F152" s="3"/>
      <c r="G152" s="3"/>
      <c r="H152" s="3"/>
      <c r="I152" s="3"/>
      <c r="J152" s="45" t="s">
        <v>2622</v>
      </c>
      <c r="K152" s="594" t="s">
        <v>2656</v>
      </c>
      <c r="L152" s="833" t="s">
        <v>2793</v>
      </c>
      <c r="M152" s="3"/>
      <c r="N152" s="3"/>
      <c r="O152" s="3"/>
      <c r="P152" s="3"/>
      <c r="Q152" s="45"/>
      <c r="R152" s="45"/>
      <c r="S152" s="45"/>
      <c r="T152" s="45"/>
      <c r="U152" s="45"/>
      <c r="V152" s="45"/>
      <c r="W152" s="45"/>
      <c r="X152" s="45"/>
    </row>
    <row r="153" spans="1:24" x14ac:dyDescent="0.25">
      <c r="A153" s="3" t="s">
        <v>1106</v>
      </c>
      <c r="B153" s="3"/>
      <c r="C153" s="3"/>
      <c r="D153" s="3"/>
      <c r="E153" s="3"/>
      <c r="F153" s="3" t="s">
        <v>91</v>
      </c>
      <c r="G153" s="3"/>
      <c r="H153" s="3"/>
      <c r="I153" s="3"/>
      <c r="J153" s="1" t="s">
        <v>2813</v>
      </c>
      <c r="K153" s="1" t="s">
        <v>2794</v>
      </c>
      <c r="L153" s="833" t="s">
        <v>2793</v>
      </c>
      <c r="M153" s="3"/>
      <c r="N153" s="3"/>
      <c r="O153" s="3"/>
      <c r="P153" s="3"/>
      <c r="Q153" s="45"/>
      <c r="R153" s="45"/>
      <c r="S153" s="45"/>
      <c r="T153" s="45"/>
      <c r="U153" s="45"/>
      <c r="V153" s="45"/>
      <c r="W153" s="45"/>
      <c r="X153" s="45"/>
    </row>
    <row r="154" spans="1:24" x14ac:dyDescent="0.25">
      <c r="A154" s="3" t="s">
        <v>1106</v>
      </c>
      <c r="B154" s="3"/>
      <c r="C154" s="3"/>
      <c r="D154" s="3"/>
      <c r="E154" s="3"/>
      <c r="F154" s="3" t="s">
        <v>91</v>
      </c>
      <c r="G154" s="3"/>
      <c r="H154" s="3"/>
      <c r="I154" s="3"/>
      <c r="J154" s="1" t="s">
        <v>2814</v>
      </c>
      <c r="K154" s="1" t="s">
        <v>2815</v>
      </c>
      <c r="L154" s="833" t="s">
        <v>2793</v>
      </c>
      <c r="M154" s="3"/>
      <c r="N154" s="3"/>
      <c r="O154" s="3"/>
      <c r="P154" s="3"/>
      <c r="Q154" s="45"/>
      <c r="R154" s="45"/>
      <c r="S154" s="45"/>
      <c r="T154" s="45"/>
      <c r="U154" s="45"/>
      <c r="V154" s="45"/>
      <c r="W154" s="45"/>
      <c r="X154" s="45"/>
    </row>
    <row r="155" spans="1:24" x14ac:dyDescent="0.25">
      <c r="A155" s="3" t="s">
        <v>1098</v>
      </c>
      <c r="B155" s="3"/>
      <c r="C155" s="3"/>
      <c r="D155" s="3"/>
      <c r="E155" s="3"/>
      <c r="F155" s="3"/>
      <c r="G155" s="3" t="s">
        <v>91</v>
      </c>
      <c r="H155" s="3"/>
      <c r="I155" s="3"/>
      <c r="J155" s="309" t="s">
        <v>2796</v>
      </c>
      <c r="K155" s="309" t="s">
        <v>2797</v>
      </c>
      <c r="L155" s="833" t="s">
        <v>2793</v>
      </c>
      <c r="M155" s="3"/>
      <c r="N155" s="3"/>
      <c r="O155" s="3"/>
      <c r="P155" s="3"/>
      <c r="Q155" s="45"/>
      <c r="R155" s="45"/>
      <c r="S155" s="45"/>
      <c r="T155" s="45"/>
      <c r="U155" s="45"/>
      <c r="V155" s="45"/>
      <c r="W155" s="45"/>
      <c r="X155" s="45"/>
    </row>
    <row r="156" spans="1:24" x14ac:dyDescent="0.25">
      <c r="A156" s="3" t="s">
        <v>1098</v>
      </c>
      <c r="B156" s="3"/>
      <c r="C156" s="3"/>
      <c r="D156" s="3"/>
      <c r="E156" s="3"/>
      <c r="F156" s="3"/>
      <c r="G156" s="3" t="s">
        <v>91</v>
      </c>
      <c r="H156" s="3"/>
      <c r="I156" s="3"/>
      <c r="J156" s="309" t="s">
        <v>2798</v>
      </c>
      <c r="K156" s="309" t="s">
        <v>2799</v>
      </c>
      <c r="L156" s="833" t="s">
        <v>2793</v>
      </c>
      <c r="M156" s="3"/>
      <c r="N156" s="3"/>
      <c r="O156" s="3"/>
      <c r="P156" s="3"/>
      <c r="Q156" s="45"/>
      <c r="R156" s="45"/>
      <c r="S156" s="45"/>
      <c r="T156" s="45"/>
      <c r="U156" s="45"/>
      <c r="V156" s="45"/>
      <c r="W156" s="45"/>
      <c r="X156" s="45"/>
    </row>
    <row r="157" spans="1:24" x14ac:dyDescent="0.25">
      <c r="A157" s="3" t="s">
        <v>1098</v>
      </c>
      <c r="B157" s="3"/>
      <c r="C157" s="3"/>
      <c r="D157" s="3"/>
      <c r="E157" s="3"/>
      <c r="F157" s="3"/>
      <c r="G157" s="3" t="s">
        <v>91</v>
      </c>
      <c r="H157" s="3"/>
      <c r="I157" s="3"/>
      <c r="J157" s="309" t="s">
        <v>2800</v>
      </c>
      <c r="K157" s="309" t="s">
        <v>2801</v>
      </c>
      <c r="L157" s="833" t="s">
        <v>2793</v>
      </c>
      <c r="M157" s="3"/>
      <c r="N157" s="3"/>
      <c r="O157" s="3"/>
      <c r="P157" s="3"/>
      <c r="Q157" s="45"/>
      <c r="R157" s="45"/>
      <c r="S157" s="45"/>
      <c r="T157" s="45"/>
      <c r="U157" s="45"/>
      <c r="V157" s="45"/>
      <c r="W157" s="45"/>
      <c r="X157" s="45"/>
    </row>
    <row r="158" spans="1:24" x14ac:dyDescent="0.25">
      <c r="A158" s="3" t="s">
        <v>1098</v>
      </c>
      <c r="B158" s="3"/>
      <c r="C158" s="3"/>
      <c r="D158" s="3"/>
      <c r="E158" s="3"/>
      <c r="F158" s="3"/>
      <c r="G158" s="3"/>
      <c r="H158" s="3" t="s">
        <v>91</v>
      </c>
      <c r="I158" s="3"/>
      <c r="J158" s="309" t="s">
        <v>2802</v>
      </c>
      <c r="K158" s="309" t="s">
        <v>2803</v>
      </c>
      <c r="L158" s="833" t="s">
        <v>2620</v>
      </c>
      <c r="M158" s="3"/>
      <c r="N158" s="3"/>
      <c r="O158" s="3"/>
      <c r="P158" s="3"/>
      <c r="Q158" s="45"/>
      <c r="R158" s="45"/>
      <c r="S158" s="45"/>
      <c r="T158" s="45"/>
      <c r="U158" s="45"/>
      <c r="V158" s="45"/>
      <c r="W158" s="45"/>
      <c r="X158" s="45"/>
    </row>
    <row r="159" spans="1:24" ht="30" x14ac:dyDescent="0.25">
      <c r="A159" s="3" t="s">
        <v>1106</v>
      </c>
      <c r="B159" s="3"/>
      <c r="C159" s="3"/>
      <c r="D159" s="3"/>
      <c r="E159" s="3"/>
      <c r="F159" s="3"/>
      <c r="G159" s="3"/>
      <c r="H159" s="3" t="s">
        <v>91</v>
      </c>
      <c r="I159" s="3"/>
      <c r="J159" s="1" t="s">
        <v>2804</v>
      </c>
      <c r="K159" s="12" t="s">
        <v>2805</v>
      </c>
      <c r="L159" s="833" t="s">
        <v>2620</v>
      </c>
      <c r="M159" s="3"/>
      <c r="N159" s="3"/>
      <c r="O159" s="3"/>
      <c r="P159" s="3"/>
      <c r="Q159" s="45"/>
      <c r="R159" s="45"/>
      <c r="S159" s="45"/>
      <c r="T159" s="45"/>
      <c r="U159" s="45"/>
      <c r="V159" s="45"/>
      <c r="W159" s="45"/>
      <c r="X159" s="45"/>
    </row>
    <row r="160" spans="1:24" x14ac:dyDescent="0.25">
      <c r="A160" s="3" t="s">
        <v>1106</v>
      </c>
      <c r="B160" s="3"/>
      <c r="C160" s="3"/>
      <c r="D160" s="3"/>
      <c r="E160" s="3"/>
      <c r="F160" s="3"/>
      <c r="G160" s="3"/>
      <c r="H160" s="3" t="s">
        <v>91</v>
      </c>
      <c r="I160" s="3"/>
      <c r="J160" s="65" t="s">
        <v>2807</v>
      </c>
      <c r="K160" s="110" t="s">
        <v>2808</v>
      </c>
      <c r="L160" s="833" t="s">
        <v>2620</v>
      </c>
      <c r="M160" s="3"/>
      <c r="N160" s="3"/>
      <c r="O160" s="3"/>
      <c r="P160" s="3"/>
      <c r="Q160" s="45"/>
      <c r="R160" s="45"/>
      <c r="S160" s="45"/>
      <c r="T160" s="45"/>
      <c r="U160" s="45"/>
      <c r="V160" s="45"/>
      <c r="W160" s="45"/>
      <c r="X160" s="45"/>
    </row>
    <row r="161" spans="1:24" ht="30" x14ac:dyDescent="0.25">
      <c r="A161" s="3" t="s">
        <v>1106</v>
      </c>
      <c r="B161" s="3"/>
      <c r="C161" s="3"/>
      <c r="D161" s="3"/>
      <c r="E161" s="3"/>
      <c r="F161" s="3"/>
      <c r="G161" s="3"/>
      <c r="H161" s="3" t="s">
        <v>91</v>
      </c>
      <c r="I161" s="3"/>
      <c r="J161" s="65" t="s">
        <v>2809</v>
      </c>
      <c r="K161" s="110" t="s">
        <v>2810</v>
      </c>
      <c r="L161" s="833" t="s">
        <v>2620</v>
      </c>
      <c r="M161" s="3"/>
      <c r="N161" s="3"/>
      <c r="O161" s="3"/>
      <c r="P161" s="3"/>
      <c r="Q161" s="45"/>
      <c r="R161" s="45"/>
      <c r="S161" s="45"/>
      <c r="T161" s="45"/>
      <c r="U161" s="45"/>
      <c r="V161" s="45"/>
      <c r="W161" s="45"/>
      <c r="X161" s="45"/>
    </row>
    <row r="162" spans="1:24" x14ac:dyDescent="0.25">
      <c r="A162" s="3" t="s">
        <v>1106</v>
      </c>
      <c r="B162" s="3"/>
      <c r="C162" s="3"/>
      <c r="D162" s="3"/>
      <c r="E162" s="3"/>
      <c r="F162" s="3"/>
      <c r="G162" s="3"/>
      <c r="H162" s="3"/>
      <c r="I162" s="3" t="s">
        <v>91</v>
      </c>
      <c r="J162" s="1" t="s">
        <v>2816</v>
      </c>
      <c r="K162" s="309" t="s">
        <v>2817</v>
      </c>
      <c r="L162" s="833" t="s">
        <v>2620</v>
      </c>
      <c r="M162" s="3"/>
      <c r="N162" s="3"/>
      <c r="O162" s="3"/>
      <c r="P162" s="3"/>
      <c r="Q162" s="45"/>
      <c r="R162" s="45"/>
      <c r="S162" s="45"/>
      <c r="T162" s="45"/>
      <c r="U162" s="45"/>
      <c r="V162" s="45"/>
      <c r="W162" s="45"/>
      <c r="X162" s="45"/>
    </row>
    <row r="163" spans="1:24" x14ac:dyDescent="0.25">
      <c r="A163" s="3" t="s">
        <v>1106</v>
      </c>
      <c r="B163" s="3"/>
      <c r="C163" s="3"/>
      <c r="D163" s="3"/>
      <c r="E163" s="3"/>
      <c r="F163" s="3"/>
      <c r="G163" s="3"/>
      <c r="H163" s="3"/>
      <c r="I163" s="3" t="s">
        <v>91</v>
      </c>
      <c r="J163" s="309" t="s">
        <v>2818</v>
      </c>
      <c r="K163" s="309" t="s">
        <v>2819</v>
      </c>
      <c r="L163" s="833" t="s">
        <v>2620</v>
      </c>
      <c r="M163" s="3"/>
      <c r="N163" s="3"/>
      <c r="O163" s="3"/>
      <c r="P163" s="3"/>
      <c r="Q163" s="45"/>
      <c r="R163" s="45"/>
      <c r="S163" s="45"/>
      <c r="T163" s="45"/>
      <c r="U163" s="45"/>
      <c r="V163" s="45"/>
      <c r="W163" s="45"/>
      <c r="X163" s="45"/>
    </row>
    <row r="164" spans="1:24" x14ac:dyDescent="0.25">
      <c r="A164" s="3"/>
      <c r="B164" s="3"/>
      <c r="C164" s="3"/>
      <c r="D164" s="3"/>
      <c r="E164" s="3"/>
      <c r="F164" s="3"/>
      <c r="G164" s="3"/>
      <c r="H164" s="3"/>
      <c r="I164" s="3"/>
      <c r="J164" s="351" t="s">
        <v>2820</v>
      </c>
      <c r="K164" s="309"/>
      <c r="L164" s="3"/>
      <c r="M164" s="3"/>
      <c r="N164" s="3"/>
      <c r="O164" s="3"/>
      <c r="P164" s="3"/>
      <c r="Q164" s="45"/>
      <c r="R164" s="45"/>
      <c r="S164" s="45"/>
      <c r="T164" s="45"/>
      <c r="U164" s="45"/>
      <c r="V164" s="45"/>
      <c r="W164" s="45"/>
      <c r="X164" s="45"/>
    </row>
    <row r="165" spans="1:24" x14ac:dyDescent="0.25">
      <c r="A165" s="3" t="s">
        <v>1098</v>
      </c>
      <c r="B165" s="3"/>
      <c r="C165" s="3" t="s">
        <v>91</v>
      </c>
      <c r="D165" s="3"/>
      <c r="E165" s="3"/>
      <c r="F165" s="3"/>
      <c r="G165" s="3"/>
      <c r="H165" s="3"/>
      <c r="I165" s="3"/>
      <c r="J165" s="1" t="s">
        <v>2821</v>
      </c>
      <c r="K165" s="309" t="s">
        <v>2791</v>
      </c>
      <c r="L165" s="1" t="s">
        <v>2822</v>
      </c>
      <c r="M165" s="3"/>
      <c r="N165" s="3"/>
      <c r="O165" s="3"/>
      <c r="P165" s="3"/>
      <c r="Q165" s="45"/>
      <c r="R165" s="45"/>
      <c r="S165" s="45"/>
      <c r="T165" s="45"/>
      <c r="U165" s="45"/>
      <c r="V165" s="45"/>
      <c r="W165" s="45"/>
      <c r="X165" s="45"/>
    </row>
    <row r="166" spans="1:24" x14ac:dyDescent="0.25">
      <c r="A166" s="3" t="s">
        <v>1106</v>
      </c>
      <c r="B166" s="3"/>
      <c r="C166" s="3"/>
      <c r="D166" s="3" t="s">
        <v>91</v>
      </c>
      <c r="E166" s="3"/>
      <c r="F166" s="3"/>
      <c r="G166" s="3"/>
      <c r="H166" s="3"/>
      <c r="I166" s="3"/>
      <c r="J166" s="45" t="s">
        <v>2618</v>
      </c>
      <c r="K166" s="396" t="s">
        <v>2619</v>
      </c>
      <c r="L166" s="334" t="s">
        <v>2793</v>
      </c>
      <c r="M166" s="396" t="s">
        <v>2621</v>
      </c>
      <c r="N166" s="3"/>
      <c r="O166" s="3"/>
      <c r="P166" s="3"/>
      <c r="Q166" s="45"/>
      <c r="R166" s="45"/>
      <c r="S166" s="45"/>
      <c r="T166" s="45"/>
      <c r="U166" s="45"/>
      <c r="V166" s="45"/>
      <c r="W166" s="45"/>
      <c r="X166" s="45"/>
    </row>
    <row r="167" spans="1:24" x14ac:dyDescent="0.25">
      <c r="A167" s="3" t="s">
        <v>1106</v>
      </c>
      <c r="B167" s="3"/>
      <c r="C167" s="3"/>
      <c r="D167" s="3"/>
      <c r="E167" s="3" t="s">
        <v>91</v>
      </c>
      <c r="F167" s="3"/>
      <c r="G167" s="3"/>
      <c r="H167" s="3"/>
      <c r="I167" s="3"/>
      <c r="J167" s="45" t="s">
        <v>2622</v>
      </c>
      <c r="K167" s="594" t="s">
        <v>2656</v>
      </c>
      <c r="L167" s="334" t="s">
        <v>2793</v>
      </c>
      <c r="M167" s="62" t="s">
        <v>2624</v>
      </c>
      <c r="N167" s="3"/>
      <c r="O167" s="3"/>
      <c r="P167" s="3"/>
      <c r="Q167" s="45"/>
      <c r="R167" s="45"/>
      <c r="S167" s="45"/>
      <c r="T167" s="45"/>
      <c r="U167" s="45"/>
      <c r="V167" s="45"/>
      <c r="W167" s="45"/>
      <c r="X167" s="45"/>
    </row>
    <row r="168" spans="1:24" x14ac:dyDescent="0.25">
      <c r="A168" s="3" t="s">
        <v>1106</v>
      </c>
      <c r="B168" s="3"/>
      <c r="C168" s="3"/>
      <c r="D168" s="3"/>
      <c r="E168" s="3" t="s">
        <v>91</v>
      </c>
      <c r="F168" s="3"/>
      <c r="G168" s="3"/>
      <c r="H168" s="3"/>
      <c r="I168" s="3"/>
      <c r="J168" s="1" t="s">
        <v>2657</v>
      </c>
      <c r="K168" s="1" t="s">
        <v>2794</v>
      </c>
      <c r="L168" s="45" t="s">
        <v>2795</v>
      </c>
      <c r="M168" s="396" t="s">
        <v>2659</v>
      </c>
      <c r="N168" s="3"/>
      <c r="O168" s="3"/>
      <c r="P168" s="3"/>
      <c r="Q168" s="45"/>
      <c r="R168" s="45"/>
      <c r="S168" s="45"/>
      <c r="T168" s="45"/>
      <c r="U168" s="45"/>
      <c r="V168" s="45"/>
      <c r="W168" s="45"/>
      <c r="X168" s="45"/>
    </row>
    <row r="169" spans="1:24" x14ac:dyDescent="0.25">
      <c r="A169" s="3" t="s">
        <v>1098</v>
      </c>
      <c r="B169" s="3"/>
      <c r="C169" s="3"/>
      <c r="D169" s="3"/>
      <c r="E169" s="3"/>
      <c r="F169" s="3" t="s">
        <v>91</v>
      </c>
      <c r="G169" s="3"/>
      <c r="H169" s="3"/>
      <c r="I169" s="3"/>
      <c r="J169" s="309" t="s">
        <v>2796</v>
      </c>
      <c r="K169" s="309" t="s">
        <v>2797</v>
      </c>
      <c r="L169" s="334" t="s">
        <v>2793</v>
      </c>
      <c r="M169" s="3"/>
      <c r="N169" s="3"/>
      <c r="O169" s="3"/>
      <c r="P169" s="3"/>
      <c r="Q169" s="45"/>
      <c r="R169" s="45"/>
      <c r="S169" s="45"/>
      <c r="T169" s="45"/>
      <c r="U169" s="45"/>
      <c r="V169" s="45"/>
      <c r="W169" s="45"/>
      <c r="X169" s="45"/>
    </row>
    <row r="170" spans="1:24" x14ac:dyDescent="0.25">
      <c r="A170" s="3" t="s">
        <v>1098</v>
      </c>
      <c r="B170" s="3"/>
      <c r="C170" s="3"/>
      <c r="D170" s="3"/>
      <c r="E170" s="3"/>
      <c r="F170" s="3" t="s">
        <v>91</v>
      </c>
      <c r="G170" s="3"/>
      <c r="H170" s="3"/>
      <c r="I170" s="3"/>
      <c r="J170" s="309" t="s">
        <v>2798</v>
      </c>
      <c r="K170" s="309" t="s">
        <v>2799</v>
      </c>
      <c r="L170" s="334" t="s">
        <v>2793</v>
      </c>
      <c r="M170" s="3"/>
      <c r="N170" s="3"/>
      <c r="O170" s="3"/>
      <c r="P170" s="3"/>
      <c r="Q170" s="45"/>
      <c r="R170" s="45"/>
      <c r="S170" s="45"/>
      <c r="T170" s="45"/>
      <c r="U170" s="45"/>
      <c r="V170" s="45"/>
      <c r="W170" s="45"/>
      <c r="X170" s="45"/>
    </row>
    <row r="171" spans="1:24" x14ac:dyDescent="0.25">
      <c r="A171" s="3" t="s">
        <v>1098</v>
      </c>
      <c r="B171" s="3"/>
      <c r="C171" s="3"/>
      <c r="D171" s="3"/>
      <c r="E171" s="3"/>
      <c r="F171" s="3" t="s">
        <v>91</v>
      </c>
      <c r="G171" s="3"/>
      <c r="H171" s="3"/>
      <c r="I171" s="3"/>
      <c r="J171" s="309" t="s">
        <v>2800</v>
      </c>
      <c r="K171" s="309" t="s">
        <v>2801</v>
      </c>
      <c r="L171" s="3" t="s">
        <v>212</v>
      </c>
      <c r="M171" s="3"/>
      <c r="N171" s="3"/>
      <c r="O171" s="3"/>
      <c r="P171" s="3"/>
      <c r="Q171" s="45"/>
      <c r="R171" s="45"/>
      <c r="S171" s="45"/>
      <c r="T171" s="45"/>
      <c r="U171" s="45"/>
      <c r="V171" s="45"/>
      <c r="W171" s="45"/>
      <c r="X171" s="45"/>
    </row>
    <row r="172" spans="1:24" x14ac:dyDescent="0.25">
      <c r="A172" s="3" t="s">
        <v>1098</v>
      </c>
      <c r="B172" s="3"/>
      <c r="C172" s="3"/>
      <c r="D172" s="3"/>
      <c r="E172" s="3"/>
      <c r="F172" s="3"/>
      <c r="G172" s="3" t="s">
        <v>91</v>
      </c>
      <c r="H172" s="3"/>
      <c r="I172" s="3"/>
      <c r="J172" s="309" t="s">
        <v>2802</v>
      </c>
      <c r="K172" s="309" t="s">
        <v>2803</v>
      </c>
      <c r="L172" s="3"/>
      <c r="M172" s="3"/>
      <c r="N172" s="3"/>
      <c r="O172" s="3"/>
      <c r="P172" s="3"/>
      <c r="Q172" s="45"/>
      <c r="R172" s="45"/>
      <c r="S172" s="45"/>
      <c r="T172" s="45"/>
      <c r="U172" s="45"/>
      <c r="V172" s="45"/>
      <c r="W172" s="45"/>
      <c r="X172" s="45"/>
    </row>
    <row r="173" spans="1:24" ht="30" x14ac:dyDescent="0.25">
      <c r="A173" s="3" t="s">
        <v>1106</v>
      </c>
      <c r="B173" s="3"/>
      <c r="C173" s="3"/>
      <c r="D173" s="3"/>
      <c r="E173" s="3"/>
      <c r="F173" s="3"/>
      <c r="G173" s="3"/>
      <c r="H173" s="3" t="s">
        <v>91</v>
      </c>
      <c r="I173" s="3"/>
      <c r="J173" s="1" t="s">
        <v>2804</v>
      </c>
      <c r="K173" s="12" t="s">
        <v>2805</v>
      </c>
      <c r="L173" s="110" t="s">
        <v>2806</v>
      </c>
      <c r="M173" s="3"/>
      <c r="N173" s="3"/>
      <c r="O173" s="3"/>
      <c r="P173" s="3"/>
      <c r="Q173" s="45"/>
      <c r="R173" s="45"/>
      <c r="S173" s="45"/>
      <c r="T173" s="45"/>
      <c r="U173" s="45"/>
      <c r="V173" s="45"/>
      <c r="W173" s="45"/>
      <c r="X173" s="45"/>
    </row>
    <row r="174" spans="1:24" x14ac:dyDescent="0.25">
      <c r="A174" s="3" t="s">
        <v>1106</v>
      </c>
      <c r="B174" s="3"/>
      <c r="C174" s="3"/>
      <c r="D174" s="3"/>
      <c r="E174" s="3"/>
      <c r="F174" s="3"/>
      <c r="G174" s="3"/>
      <c r="H174" s="3" t="s">
        <v>91</v>
      </c>
      <c r="I174" s="3"/>
      <c r="J174" s="65" t="s">
        <v>2807</v>
      </c>
      <c r="K174" s="110" t="s">
        <v>2808</v>
      </c>
      <c r="L174" s="110" t="s">
        <v>2806</v>
      </c>
      <c r="M174" s="3"/>
      <c r="N174" s="3"/>
      <c r="O174" s="3"/>
      <c r="P174" s="3"/>
      <c r="Q174" s="45"/>
      <c r="R174" s="45"/>
      <c r="S174" s="45"/>
      <c r="T174" s="45"/>
      <c r="U174" s="45"/>
      <c r="V174" s="45"/>
      <c r="W174" s="45"/>
      <c r="X174" s="45"/>
    </row>
    <row r="175" spans="1:24" ht="30" x14ac:dyDescent="0.25">
      <c r="A175" s="3" t="s">
        <v>1106</v>
      </c>
      <c r="B175" s="3"/>
      <c r="C175" s="3"/>
      <c r="D175" s="3"/>
      <c r="E175" s="3"/>
      <c r="F175" s="3"/>
      <c r="G175" s="3"/>
      <c r="H175" s="3" t="s">
        <v>91</v>
      </c>
      <c r="I175" s="3"/>
      <c r="J175" s="65" t="s">
        <v>2809</v>
      </c>
      <c r="K175" s="110" t="s">
        <v>2810</v>
      </c>
      <c r="L175" s="110" t="s">
        <v>2806</v>
      </c>
      <c r="M175" s="3"/>
      <c r="N175" s="3"/>
      <c r="O175" s="3"/>
      <c r="P175" s="3"/>
      <c r="Q175" s="45"/>
      <c r="R175" s="45"/>
      <c r="S175" s="45"/>
      <c r="T175" s="45"/>
      <c r="U175" s="45"/>
      <c r="V175" s="45"/>
      <c r="W175" s="45"/>
      <c r="X175" s="45"/>
    </row>
    <row r="176" spans="1:24" x14ac:dyDescent="0.25">
      <c r="A176" s="3"/>
      <c r="B176" s="3"/>
      <c r="C176" s="3"/>
      <c r="D176" s="3"/>
      <c r="E176" s="3"/>
      <c r="F176" s="3"/>
      <c r="G176" s="3"/>
      <c r="H176" s="3"/>
      <c r="I176" s="3"/>
      <c r="J176" s="351" t="s">
        <v>2823</v>
      </c>
      <c r="K176" s="309"/>
      <c r="L176" s="3"/>
      <c r="M176" s="3"/>
      <c r="N176" s="3"/>
      <c r="O176" s="3"/>
      <c r="P176" s="3"/>
      <c r="Q176" s="45"/>
      <c r="R176" s="45"/>
      <c r="S176" s="45"/>
      <c r="T176" s="45"/>
      <c r="U176" s="45"/>
      <c r="V176" s="45"/>
      <c r="W176" s="45"/>
      <c r="X176" s="45"/>
    </row>
    <row r="177" spans="1:25" x14ac:dyDescent="0.25">
      <c r="A177" s="3" t="s">
        <v>1098</v>
      </c>
      <c r="B177" s="3"/>
      <c r="C177" s="3" t="s">
        <v>91</v>
      </c>
      <c r="D177" s="3"/>
      <c r="E177" s="3"/>
      <c r="F177" s="3"/>
      <c r="G177" s="3"/>
      <c r="H177" s="3"/>
      <c r="I177" s="3"/>
      <c r="J177" s="1" t="s">
        <v>2824</v>
      </c>
      <c r="K177" s="309" t="s">
        <v>2791</v>
      </c>
      <c r="L177" s="110" t="s">
        <v>2822</v>
      </c>
      <c r="M177" s="3"/>
      <c r="N177" s="3"/>
      <c r="O177" s="3"/>
      <c r="P177" s="3"/>
      <c r="Q177" s="45"/>
      <c r="R177" s="45"/>
      <c r="S177" s="45"/>
      <c r="T177" s="45"/>
      <c r="U177" s="45"/>
      <c r="V177" s="45"/>
      <c r="W177" s="45"/>
      <c r="X177" s="45"/>
    </row>
    <row r="178" spans="1:25" x14ac:dyDescent="0.25">
      <c r="A178" s="3" t="s">
        <v>1106</v>
      </c>
      <c r="B178" s="3"/>
      <c r="C178" s="3"/>
      <c r="D178" s="3" t="s">
        <v>91</v>
      </c>
      <c r="E178" s="3"/>
      <c r="F178" s="3"/>
      <c r="G178" s="3"/>
      <c r="H178" s="3"/>
      <c r="I178" s="3"/>
      <c r="J178" s="45" t="s">
        <v>2618</v>
      </c>
      <c r="K178" s="396" t="s">
        <v>2619</v>
      </c>
      <c r="L178" s="833" t="s">
        <v>2793</v>
      </c>
      <c r="M178" s="3"/>
      <c r="N178" s="3"/>
      <c r="O178" s="3"/>
      <c r="P178" s="3"/>
      <c r="Q178" s="45"/>
      <c r="R178" s="45"/>
      <c r="S178" s="45"/>
      <c r="T178" s="45"/>
      <c r="U178" s="45"/>
      <c r="V178" s="45"/>
      <c r="W178" s="45"/>
      <c r="X178" s="45"/>
    </row>
    <row r="179" spans="1:25" x14ac:dyDescent="0.25">
      <c r="A179" s="3" t="s">
        <v>1106</v>
      </c>
      <c r="B179" s="3"/>
      <c r="C179" s="3"/>
      <c r="D179" s="3"/>
      <c r="E179" s="3" t="s">
        <v>91</v>
      </c>
      <c r="F179" s="3"/>
      <c r="G179" s="3"/>
      <c r="H179" s="3"/>
      <c r="I179" s="3"/>
      <c r="J179" s="45" t="s">
        <v>2622</v>
      </c>
      <c r="K179" s="594" t="s">
        <v>2656</v>
      </c>
      <c r="L179" s="833" t="s">
        <v>2793</v>
      </c>
      <c r="M179" s="3"/>
      <c r="N179" s="3"/>
      <c r="O179" s="3"/>
      <c r="P179" s="3"/>
      <c r="Q179" s="45"/>
      <c r="R179" s="45"/>
      <c r="S179" s="45"/>
      <c r="T179" s="45"/>
      <c r="U179" s="45"/>
      <c r="V179" s="45"/>
      <c r="W179" s="45"/>
      <c r="X179" s="45"/>
    </row>
    <row r="180" spans="1:25" x14ac:dyDescent="0.25">
      <c r="A180" s="3" t="s">
        <v>1106</v>
      </c>
      <c r="B180" s="3"/>
      <c r="C180" s="3"/>
      <c r="D180" s="3"/>
      <c r="E180" s="3"/>
      <c r="F180" s="3" t="s">
        <v>91</v>
      </c>
      <c r="G180" s="3"/>
      <c r="H180" s="3"/>
      <c r="I180" s="3"/>
      <c r="J180" s="1" t="s">
        <v>2813</v>
      </c>
      <c r="K180" s="1" t="s">
        <v>2794</v>
      </c>
      <c r="L180" s="833" t="s">
        <v>2793</v>
      </c>
      <c r="M180" s="3"/>
      <c r="N180" s="3"/>
      <c r="O180" s="3"/>
      <c r="P180" s="3"/>
      <c r="Q180" s="45"/>
      <c r="R180" s="45"/>
      <c r="S180" s="45"/>
      <c r="T180" s="45"/>
      <c r="U180" s="45"/>
      <c r="V180" s="45"/>
      <c r="W180" s="45"/>
      <c r="X180" s="45"/>
    </row>
    <row r="181" spans="1:25" x14ac:dyDescent="0.25">
      <c r="A181" s="3" t="s">
        <v>1106</v>
      </c>
      <c r="B181" s="3"/>
      <c r="C181" s="3"/>
      <c r="D181" s="3"/>
      <c r="E181" s="3"/>
      <c r="F181" s="3" t="s">
        <v>91</v>
      </c>
      <c r="G181" s="3"/>
      <c r="H181" s="3"/>
      <c r="I181" s="3"/>
      <c r="J181" s="1" t="s">
        <v>2814</v>
      </c>
      <c r="K181" s="1" t="s">
        <v>2815</v>
      </c>
      <c r="L181" s="833" t="s">
        <v>2793</v>
      </c>
      <c r="M181" s="3"/>
      <c r="N181" s="3"/>
      <c r="O181" s="3"/>
      <c r="P181" s="3"/>
      <c r="Q181" s="45"/>
      <c r="R181" s="45"/>
      <c r="S181" s="45"/>
      <c r="T181" s="45"/>
      <c r="U181" s="45"/>
      <c r="V181" s="45"/>
      <c r="W181" s="45"/>
      <c r="X181" s="45"/>
    </row>
    <row r="182" spans="1:25" s="2" customFormat="1" x14ac:dyDescent="0.25">
      <c r="A182" s="3" t="s">
        <v>1098</v>
      </c>
      <c r="B182" s="3"/>
      <c r="C182" s="3"/>
      <c r="D182" s="3"/>
      <c r="E182" s="3"/>
      <c r="F182" s="3" t="s">
        <v>91</v>
      </c>
      <c r="G182" s="3"/>
      <c r="H182" s="3"/>
      <c r="I182" s="3"/>
      <c r="J182" s="309" t="s">
        <v>2796</v>
      </c>
      <c r="K182" s="309" t="s">
        <v>2797</v>
      </c>
      <c r="L182" s="833" t="s">
        <v>2793</v>
      </c>
      <c r="M182" s="3"/>
      <c r="N182" s="3"/>
      <c r="O182" s="3"/>
      <c r="P182" s="3"/>
      <c r="Q182" s="45"/>
      <c r="R182" s="45"/>
      <c r="S182" s="45"/>
      <c r="T182" s="45"/>
      <c r="U182" s="45"/>
      <c r="V182" s="45"/>
      <c r="W182" s="45"/>
      <c r="X182" s="45"/>
      <c r="Y182"/>
    </row>
    <row r="183" spans="1:25" x14ac:dyDescent="0.25">
      <c r="A183" s="3" t="s">
        <v>1098</v>
      </c>
      <c r="B183" s="3"/>
      <c r="C183" s="3"/>
      <c r="D183" s="3"/>
      <c r="E183" s="3"/>
      <c r="F183" s="3" t="s">
        <v>91</v>
      </c>
      <c r="G183" s="3"/>
      <c r="H183" s="3"/>
      <c r="I183" s="3"/>
      <c r="J183" s="309" t="s">
        <v>2798</v>
      </c>
      <c r="K183" s="309" t="s">
        <v>2799</v>
      </c>
      <c r="L183" s="833" t="s">
        <v>2793</v>
      </c>
      <c r="M183" s="3"/>
      <c r="N183" s="3"/>
      <c r="O183" s="3"/>
      <c r="P183" s="3"/>
      <c r="Q183" s="45"/>
      <c r="R183" s="45"/>
      <c r="S183" s="45"/>
      <c r="T183" s="45"/>
      <c r="U183" s="45"/>
      <c r="V183" s="45"/>
      <c r="W183" s="45"/>
      <c r="X183" s="45"/>
    </row>
    <row r="184" spans="1:25" x14ac:dyDescent="0.25">
      <c r="A184" s="3" t="s">
        <v>1098</v>
      </c>
      <c r="B184" s="3"/>
      <c r="C184" s="3"/>
      <c r="D184" s="3"/>
      <c r="E184" s="3"/>
      <c r="F184" s="3" t="s">
        <v>91</v>
      </c>
      <c r="G184" s="3"/>
      <c r="H184" s="3"/>
      <c r="I184" s="3"/>
      <c r="J184" s="309" t="s">
        <v>2800</v>
      </c>
      <c r="K184" s="309" t="s">
        <v>2801</v>
      </c>
      <c r="L184" s="833" t="s">
        <v>2793</v>
      </c>
      <c r="M184" s="3"/>
      <c r="N184" s="3"/>
      <c r="O184" s="3"/>
      <c r="P184" s="3"/>
      <c r="Q184" s="45"/>
      <c r="R184" s="45"/>
      <c r="S184" s="45"/>
      <c r="T184" s="45"/>
      <c r="U184" s="45"/>
      <c r="V184" s="45"/>
      <c r="W184" s="45"/>
      <c r="X184" s="45"/>
    </row>
    <row r="185" spans="1:25" x14ac:dyDescent="0.25">
      <c r="A185" s="3" t="s">
        <v>1098</v>
      </c>
      <c r="B185" s="3"/>
      <c r="C185" s="3"/>
      <c r="D185" s="3"/>
      <c r="E185" s="3"/>
      <c r="F185" s="3"/>
      <c r="G185" s="3" t="s">
        <v>91</v>
      </c>
      <c r="H185" s="3"/>
      <c r="I185" s="3"/>
      <c r="J185" s="309" t="s">
        <v>2802</v>
      </c>
      <c r="K185" s="309" t="s">
        <v>2803</v>
      </c>
      <c r="L185" s="833" t="s">
        <v>2620</v>
      </c>
      <c r="M185" s="3"/>
      <c r="N185" s="3"/>
      <c r="O185" s="3"/>
      <c r="P185" s="3"/>
      <c r="Q185" s="45"/>
      <c r="R185" s="45"/>
      <c r="S185" s="45"/>
      <c r="T185" s="45"/>
      <c r="U185" s="45"/>
      <c r="V185" s="45"/>
      <c r="W185" s="45"/>
      <c r="X185" s="45"/>
    </row>
    <row r="186" spans="1:25" ht="30" x14ac:dyDescent="0.25">
      <c r="A186" s="3" t="s">
        <v>1106</v>
      </c>
      <c r="B186" s="3"/>
      <c r="C186" s="3"/>
      <c r="D186" s="3"/>
      <c r="E186" s="3"/>
      <c r="F186" s="3"/>
      <c r="G186" s="3" t="s">
        <v>91</v>
      </c>
      <c r="H186" s="3"/>
      <c r="I186" s="3"/>
      <c r="J186" s="1" t="s">
        <v>2804</v>
      </c>
      <c r="K186" s="12" t="s">
        <v>2805</v>
      </c>
      <c r="L186" s="833" t="s">
        <v>2620</v>
      </c>
      <c r="M186" s="3"/>
      <c r="N186" s="3"/>
      <c r="O186" s="3"/>
      <c r="P186" s="3"/>
      <c r="Q186" s="45"/>
      <c r="R186" s="45"/>
      <c r="S186" s="45"/>
      <c r="T186" s="45"/>
      <c r="U186" s="45"/>
      <c r="V186" s="45"/>
      <c r="W186" s="45"/>
      <c r="X186" s="45"/>
    </row>
    <row r="187" spans="1:25" x14ac:dyDescent="0.25">
      <c r="A187" s="3" t="s">
        <v>1106</v>
      </c>
      <c r="B187" s="3"/>
      <c r="C187" s="3"/>
      <c r="D187" s="3"/>
      <c r="E187" s="3"/>
      <c r="F187" s="3"/>
      <c r="G187" s="3" t="s">
        <v>91</v>
      </c>
      <c r="H187" s="3"/>
      <c r="I187" s="3"/>
      <c r="J187" s="65" t="s">
        <v>2807</v>
      </c>
      <c r="K187" s="110" t="s">
        <v>2808</v>
      </c>
      <c r="L187" s="833" t="s">
        <v>2620</v>
      </c>
      <c r="M187" s="3"/>
      <c r="N187" s="3"/>
      <c r="O187" s="3"/>
      <c r="P187" s="3"/>
      <c r="Q187" s="45"/>
      <c r="R187" s="45"/>
      <c r="S187" s="45"/>
      <c r="T187" s="45"/>
      <c r="U187" s="45"/>
      <c r="V187" s="45"/>
      <c r="W187" s="45"/>
      <c r="X187" s="45"/>
    </row>
    <row r="188" spans="1:25" ht="30" x14ac:dyDescent="0.25">
      <c r="A188" s="3" t="s">
        <v>1106</v>
      </c>
      <c r="B188" s="3"/>
      <c r="C188" s="3"/>
      <c r="D188" s="3"/>
      <c r="E188" s="3"/>
      <c r="F188" s="3"/>
      <c r="G188" s="3" t="s">
        <v>91</v>
      </c>
      <c r="H188" s="3"/>
      <c r="I188" s="3"/>
      <c r="J188" s="65" t="s">
        <v>2809</v>
      </c>
      <c r="K188" s="110" t="s">
        <v>2810</v>
      </c>
      <c r="L188" s="833" t="s">
        <v>2620</v>
      </c>
      <c r="M188" s="3"/>
      <c r="N188" s="3"/>
      <c r="O188" s="3"/>
      <c r="P188" s="3"/>
      <c r="Q188" s="45"/>
      <c r="R188" s="45"/>
      <c r="S188" s="45"/>
      <c r="T188" s="45"/>
      <c r="U188" s="45"/>
      <c r="V188" s="45"/>
      <c r="W188" s="45"/>
      <c r="X188" s="45"/>
    </row>
    <row r="189" spans="1:25" x14ac:dyDescent="0.25">
      <c r="A189" s="3" t="s">
        <v>1106</v>
      </c>
      <c r="B189" s="3"/>
      <c r="C189" s="3"/>
      <c r="D189" s="3"/>
      <c r="E189" s="3"/>
      <c r="F189" s="3"/>
      <c r="G189" s="3"/>
      <c r="H189" s="3" t="s">
        <v>91</v>
      </c>
      <c r="I189" s="3"/>
      <c r="J189" s="1" t="s">
        <v>2816</v>
      </c>
      <c r="K189" s="309" t="s">
        <v>2817</v>
      </c>
      <c r="L189" s="833" t="s">
        <v>2620</v>
      </c>
      <c r="M189" s="3"/>
      <c r="N189" s="3"/>
      <c r="O189" s="3"/>
      <c r="P189" s="3"/>
      <c r="Q189" s="45"/>
      <c r="R189" s="45"/>
      <c r="S189" s="45"/>
      <c r="T189" s="45"/>
      <c r="U189" s="45"/>
      <c r="V189" s="45"/>
      <c r="W189" s="45"/>
      <c r="X189" s="45"/>
    </row>
    <row r="190" spans="1:25" s="2" customFormat="1" x14ac:dyDescent="0.25">
      <c r="A190" s="3" t="s">
        <v>1106</v>
      </c>
      <c r="B190" s="3"/>
      <c r="C190" s="3"/>
      <c r="D190" s="3"/>
      <c r="E190" s="3"/>
      <c r="F190" s="3"/>
      <c r="G190" s="3"/>
      <c r="H190" s="3" t="s">
        <v>91</v>
      </c>
      <c r="I190" s="3"/>
      <c r="J190" s="309" t="s">
        <v>2818</v>
      </c>
      <c r="K190" s="309" t="s">
        <v>2819</v>
      </c>
      <c r="L190" s="833" t="s">
        <v>2620</v>
      </c>
      <c r="M190" s="3"/>
      <c r="N190" s="3"/>
      <c r="O190" s="3"/>
      <c r="P190" s="3"/>
      <c r="Q190" s="45"/>
      <c r="R190" s="45"/>
      <c r="S190" s="45"/>
      <c r="T190" s="45"/>
      <c r="U190" s="45"/>
      <c r="V190" s="45"/>
      <c r="W190" s="45"/>
      <c r="X190" s="45"/>
      <c r="Y190"/>
    </row>
    <row r="191" spans="1:25" x14ac:dyDescent="0.25">
      <c r="A191" s="3"/>
      <c r="B191" s="3"/>
      <c r="C191" s="3"/>
      <c r="D191" s="3"/>
      <c r="E191" s="3"/>
      <c r="F191" s="3"/>
      <c r="G191" s="3"/>
      <c r="H191" s="3"/>
      <c r="I191" s="3"/>
      <c r="J191" s="309"/>
      <c r="K191" s="309"/>
      <c r="L191" s="3"/>
      <c r="M191" s="3"/>
      <c r="N191" s="3"/>
      <c r="O191" s="3"/>
      <c r="P191" s="3"/>
      <c r="Q191" s="45"/>
      <c r="R191" s="45"/>
      <c r="S191" s="45"/>
      <c r="T191" s="45"/>
      <c r="U191" s="45"/>
      <c r="V191" s="45"/>
      <c r="W191" s="45"/>
      <c r="X191" s="45"/>
    </row>
    <row r="192" spans="1:25" x14ac:dyDescent="0.25">
      <c r="A192" s="3"/>
      <c r="B192" s="3"/>
      <c r="C192" s="3"/>
      <c r="D192" s="3"/>
      <c r="E192" s="3"/>
      <c r="F192" s="3"/>
      <c r="G192" s="3"/>
      <c r="H192" s="3"/>
      <c r="I192" s="3"/>
      <c r="J192" s="309"/>
      <c r="K192" s="309"/>
      <c r="L192" s="3"/>
      <c r="M192" s="3"/>
      <c r="N192" s="3"/>
      <c r="O192" s="3"/>
      <c r="P192" s="3"/>
      <c r="Q192" s="45"/>
      <c r="R192" s="45"/>
      <c r="S192" s="45"/>
      <c r="T192" s="45"/>
      <c r="U192" s="45"/>
      <c r="V192" s="45"/>
      <c r="W192" s="45"/>
      <c r="X192" s="45"/>
    </row>
    <row r="193" spans="1:24" x14ac:dyDescent="0.25">
      <c r="A193" s="3"/>
      <c r="B193" s="3"/>
      <c r="C193" s="3"/>
      <c r="D193" s="3"/>
      <c r="E193" s="3"/>
      <c r="F193" s="3"/>
      <c r="G193" s="3"/>
      <c r="H193" s="3"/>
      <c r="I193" s="3"/>
      <c r="J193" s="309"/>
      <c r="K193" s="309"/>
      <c r="L193" s="3"/>
      <c r="M193" s="3"/>
      <c r="N193" s="3"/>
      <c r="O193" s="3"/>
      <c r="P193" s="3"/>
      <c r="Q193" s="45"/>
      <c r="R193" s="45"/>
      <c r="S193" s="45"/>
      <c r="T193" s="45"/>
      <c r="U193" s="45"/>
      <c r="V193" s="45"/>
      <c r="W193" s="45"/>
      <c r="X193" s="45"/>
    </row>
    <row r="194" spans="1:24" x14ac:dyDescent="0.25">
      <c r="A194" s="3"/>
      <c r="B194" s="3"/>
      <c r="C194" s="3"/>
      <c r="D194" s="3"/>
      <c r="E194" s="3"/>
      <c r="F194" s="3"/>
      <c r="G194" s="3"/>
      <c r="H194" s="3"/>
      <c r="I194" s="3"/>
      <c r="J194" s="309"/>
      <c r="K194" s="309"/>
      <c r="L194" s="3"/>
      <c r="M194" s="3"/>
      <c r="N194" s="3"/>
      <c r="O194" s="3"/>
      <c r="P194" s="3"/>
      <c r="Q194" s="45"/>
      <c r="R194" s="45"/>
      <c r="S194" s="45"/>
      <c r="T194" s="45"/>
      <c r="U194" s="45"/>
      <c r="V194" s="45"/>
      <c r="W194" s="45"/>
      <c r="X194" s="45"/>
    </row>
    <row r="195" spans="1:24" x14ac:dyDescent="0.25">
      <c r="A195" s="3"/>
      <c r="B195" s="3"/>
      <c r="C195" s="3"/>
      <c r="D195" s="3"/>
      <c r="E195" s="3"/>
      <c r="F195" s="3"/>
      <c r="G195" s="3"/>
      <c r="H195" s="3"/>
      <c r="I195" s="3"/>
      <c r="J195" s="309"/>
      <c r="K195" s="309"/>
      <c r="L195" s="3"/>
      <c r="M195" s="3"/>
      <c r="N195" s="3"/>
      <c r="O195" s="3"/>
      <c r="P195" s="3"/>
      <c r="Q195" s="45"/>
      <c r="R195" s="45"/>
      <c r="S195" s="45"/>
      <c r="T195" s="45"/>
      <c r="U195" s="45"/>
      <c r="V195" s="45"/>
      <c r="W195" s="45"/>
      <c r="X195" s="45"/>
    </row>
    <row r="196" spans="1:24" x14ac:dyDescent="0.25">
      <c r="A196" s="3"/>
      <c r="B196" s="3"/>
      <c r="C196" s="3"/>
      <c r="D196" s="3"/>
      <c r="E196" s="3"/>
      <c r="F196" s="3"/>
      <c r="G196" s="3"/>
      <c r="H196" s="3"/>
      <c r="I196" s="3"/>
      <c r="J196" s="309"/>
      <c r="K196" s="309"/>
      <c r="L196" s="3"/>
      <c r="M196" s="3"/>
      <c r="N196" s="3"/>
      <c r="O196" s="3"/>
      <c r="P196" s="3"/>
      <c r="Q196" s="45"/>
      <c r="R196" s="45"/>
      <c r="S196" s="45"/>
      <c r="T196" s="45"/>
      <c r="U196" s="45"/>
      <c r="V196" s="45"/>
      <c r="W196" s="45"/>
      <c r="X196" s="45"/>
    </row>
    <row r="197" spans="1:24" x14ac:dyDescent="0.25">
      <c r="A197" s="3"/>
      <c r="B197" s="3"/>
      <c r="C197" s="3"/>
      <c r="D197" s="3"/>
      <c r="E197" s="3"/>
      <c r="F197" s="3"/>
      <c r="G197" s="3"/>
      <c r="H197" s="3"/>
      <c r="I197" s="3"/>
      <c r="J197" s="309"/>
      <c r="K197" s="309"/>
      <c r="L197" s="3"/>
      <c r="M197" s="3"/>
      <c r="N197" s="3"/>
      <c r="O197" s="3"/>
      <c r="P197" s="3"/>
      <c r="Q197" s="45"/>
      <c r="R197" s="45"/>
      <c r="S197" s="45"/>
      <c r="T197" s="45"/>
      <c r="U197" s="45"/>
      <c r="V197" s="45"/>
      <c r="W197" s="45"/>
      <c r="X197" s="45"/>
    </row>
    <row r="198" spans="1:24" x14ac:dyDescent="0.25">
      <c r="A198" s="3"/>
      <c r="B198" s="3"/>
      <c r="C198" s="3"/>
      <c r="D198" s="3"/>
      <c r="E198" s="3"/>
      <c r="F198" s="3"/>
      <c r="G198" s="3"/>
      <c r="H198" s="3"/>
      <c r="I198" s="3"/>
      <c r="J198" s="309"/>
      <c r="K198" s="309"/>
      <c r="L198" s="3"/>
      <c r="M198" s="3"/>
      <c r="N198" s="3"/>
      <c r="O198" s="3"/>
      <c r="P198" s="3"/>
      <c r="Q198" s="45"/>
      <c r="R198" s="45"/>
      <c r="S198" s="45"/>
      <c r="T198" s="45"/>
      <c r="U198" s="45"/>
      <c r="V198" s="45"/>
      <c r="W198" s="45"/>
      <c r="X198" s="45"/>
    </row>
    <row r="199" spans="1:24" x14ac:dyDescent="0.25">
      <c r="A199" s="3"/>
      <c r="B199" s="3"/>
      <c r="C199" s="3"/>
      <c r="D199" s="3"/>
      <c r="E199" s="3"/>
      <c r="F199" s="3"/>
      <c r="G199" s="3"/>
      <c r="H199" s="3"/>
      <c r="I199" s="3"/>
      <c r="J199" s="309"/>
      <c r="K199" s="309"/>
      <c r="L199" s="3"/>
      <c r="M199" s="3"/>
      <c r="N199" s="3"/>
      <c r="O199" s="3"/>
      <c r="P199" s="3"/>
      <c r="Q199" s="45"/>
      <c r="R199" s="45"/>
      <c r="S199" s="45"/>
      <c r="T199" s="45"/>
      <c r="U199" s="45"/>
      <c r="V199" s="45"/>
      <c r="W199" s="45"/>
      <c r="X199" s="45"/>
    </row>
    <row r="200" spans="1:24" x14ac:dyDescent="0.25">
      <c r="A200" s="3"/>
      <c r="B200" s="3"/>
      <c r="C200" s="3"/>
      <c r="D200" s="3"/>
      <c r="E200" s="3"/>
      <c r="F200" s="3"/>
      <c r="G200" s="3"/>
      <c r="H200" s="3"/>
      <c r="I200" s="3"/>
      <c r="J200" s="309" t="s">
        <v>2825</v>
      </c>
      <c r="K200" s="309"/>
      <c r="L200" s="3"/>
      <c r="M200" s="3"/>
      <c r="N200" s="3"/>
      <c r="O200" s="3"/>
      <c r="P200" s="3"/>
      <c r="Q200" s="45"/>
      <c r="R200" s="45"/>
      <c r="S200" s="45"/>
      <c r="T200" s="45"/>
      <c r="U200" s="45"/>
      <c r="V200" s="45"/>
      <c r="W200" s="45"/>
      <c r="X200" s="45"/>
    </row>
    <row r="201" spans="1:24" x14ac:dyDescent="0.25">
      <c r="A201" s="3"/>
      <c r="B201" s="3"/>
      <c r="C201" s="3"/>
      <c r="D201" s="3"/>
      <c r="E201" s="3"/>
      <c r="F201" s="3"/>
      <c r="G201" s="3"/>
      <c r="H201" s="3"/>
      <c r="I201" s="3"/>
      <c r="J201" s="309" t="s">
        <v>2826</v>
      </c>
      <c r="K201" s="309"/>
      <c r="L201" s="3"/>
      <c r="M201" s="3"/>
      <c r="N201" s="3"/>
      <c r="O201" s="3"/>
      <c r="P201" s="3"/>
      <c r="Q201" s="45"/>
      <c r="R201" s="45"/>
      <c r="S201" s="45"/>
      <c r="T201" s="45"/>
      <c r="U201" s="45"/>
      <c r="V201" s="45"/>
      <c r="W201" s="45"/>
      <c r="X201" s="45"/>
    </row>
    <row r="202" spans="1:24" x14ac:dyDescent="0.25">
      <c r="A202" s="3"/>
      <c r="B202" s="3"/>
      <c r="C202" s="3"/>
      <c r="D202" s="3"/>
      <c r="E202" s="3"/>
      <c r="F202" s="3"/>
      <c r="G202" s="3"/>
      <c r="H202" s="3"/>
      <c r="I202" s="3"/>
      <c r="J202" s="309"/>
      <c r="K202" s="309"/>
      <c r="L202" s="3"/>
      <c r="M202" s="3"/>
      <c r="N202" s="3"/>
      <c r="O202" s="3"/>
      <c r="P202" s="3"/>
      <c r="Q202" s="45"/>
      <c r="R202" s="45"/>
      <c r="S202" s="45"/>
      <c r="T202" s="45"/>
      <c r="U202" s="45"/>
      <c r="V202" s="45"/>
      <c r="W202" s="45"/>
      <c r="X202" s="45"/>
    </row>
    <row r="203" spans="1:24" x14ac:dyDescent="0.25">
      <c r="A203" s="3"/>
      <c r="B203" s="3"/>
      <c r="C203" s="3"/>
      <c r="D203" s="3"/>
      <c r="E203" s="3"/>
      <c r="F203" s="3"/>
      <c r="G203" s="3"/>
      <c r="H203" s="3"/>
      <c r="I203" s="3"/>
      <c r="J203" s="309"/>
      <c r="K203" s="309"/>
      <c r="L203" s="3"/>
      <c r="M203" s="3"/>
      <c r="N203" s="3"/>
      <c r="O203" s="3"/>
      <c r="P203" s="3"/>
      <c r="Q203" s="45"/>
      <c r="R203" s="45"/>
      <c r="S203" s="45"/>
      <c r="T203" s="45"/>
      <c r="U203" s="45"/>
      <c r="V203" s="45"/>
      <c r="W203" s="45"/>
      <c r="X203" s="45"/>
    </row>
    <row r="204" spans="1:24" x14ac:dyDescent="0.25">
      <c r="A204" s="3"/>
      <c r="B204" s="3"/>
      <c r="C204" s="3"/>
      <c r="D204" s="3"/>
      <c r="E204" s="3"/>
      <c r="F204" s="3"/>
      <c r="G204" s="3"/>
      <c r="H204" s="3"/>
      <c r="I204" s="3"/>
      <c r="J204" s="309"/>
      <c r="K204" s="309"/>
      <c r="L204" s="3"/>
      <c r="M204" s="3"/>
      <c r="N204" s="3"/>
      <c r="O204" s="3"/>
      <c r="P204" s="3"/>
      <c r="Q204" s="45"/>
      <c r="R204" s="45"/>
      <c r="S204" s="45"/>
      <c r="T204" s="45"/>
      <c r="U204" s="45"/>
      <c r="V204" s="45"/>
      <c r="W204" s="45"/>
      <c r="X204" s="45"/>
    </row>
    <row r="205" spans="1:24" x14ac:dyDescent="0.25">
      <c r="A205" s="3"/>
      <c r="B205" s="3"/>
      <c r="C205" s="3"/>
      <c r="D205" s="3"/>
      <c r="E205" s="3"/>
      <c r="F205" s="3"/>
      <c r="G205" s="3"/>
      <c r="H205" s="3"/>
      <c r="I205" s="3"/>
      <c r="J205" s="309"/>
      <c r="K205" s="309"/>
      <c r="L205" s="3"/>
      <c r="M205" s="3"/>
      <c r="N205" s="3"/>
      <c r="O205" s="3"/>
      <c r="P205" s="3"/>
      <c r="Q205" s="45"/>
      <c r="R205" s="45"/>
      <c r="S205" s="45"/>
      <c r="T205" s="45"/>
      <c r="U205" s="45"/>
      <c r="V205" s="45"/>
      <c r="W205" s="45"/>
      <c r="X205" s="45"/>
    </row>
    <row r="206" spans="1:24" x14ac:dyDescent="0.25">
      <c r="A206" s="3"/>
      <c r="B206" s="3"/>
      <c r="C206" s="3"/>
      <c r="D206" s="3"/>
      <c r="E206" s="3"/>
      <c r="F206" s="3"/>
      <c r="G206" s="3"/>
      <c r="H206" s="3"/>
      <c r="I206" s="3"/>
      <c r="J206" s="309"/>
      <c r="K206" s="309"/>
      <c r="L206" s="3"/>
      <c r="M206" s="3"/>
      <c r="N206" s="3"/>
      <c r="O206" s="3"/>
      <c r="P206" s="3"/>
      <c r="Q206" s="45"/>
      <c r="R206" s="45"/>
      <c r="S206" s="45"/>
      <c r="T206" s="45"/>
      <c r="U206" s="45"/>
      <c r="V206" s="45"/>
      <c r="W206" s="45"/>
      <c r="X206" s="45"/>
    </row>
    <row r="207" spans="1:24" x14ac:dyDescent="0.25">
      <c r="A207" s="3"/>
      <c r="B207" s="3"/>
      <c r="C207" s="3"/>
      <c r="D207" s="3"/>
      <c r="E207" s="3"/>
      <c r="F207" s="3"/>
      <c r="G207" s="3"/>
      <c r="H207" s="3"/>
      <c r="I207" s="3"/>
      <c r="J207" s="309"/>
      <c r="K207" s="309"/>
      <c r="L207" s="3"/>
      <c r="M207" s="3"/>
      <c r="N207" s="3"/>
      <c r="O207" s="3"/>
      <c r="P207" s="3"/>
      <c r="Q207" s="45"/>
      <c r="R207" s="45"/>
      <c r="S207" s="45"/>
      <c r="T207" s="45"/>
      <c r="U207" s="45"/>
      <c r="V207" s="45"/>
      <c r="W207" s="45"/>
      <c r="X207" s="45"/>
    </row>
    <row r="208" spans="1:24" x14ac:dyDescent="0.25">
      <c r="A208" s="3"/>
      <c r="B208" s="3"/>
      <c r="C208" s="3"/>
      <c r="D208" s="3"/>
      <c r="E208" s="3"/>
      <c r="F208" s="3"/>
      <c r="G208" s="3"/>
      <c r="H208" s="3"/>
      <c r="I208" s="3"/>
      <c r="J208" s="309"/>
      <c r="K208" s="309"/>
      <c r="L208" s="3"/>
      <c r="M208" s="3"/>
      <c r="N208" s="3"/>
      <c r="O208" s="3"/>
      <c r="P208" s="3"/>
      <c r="Q208" s="45"/>
      <c r="R208" s="45"/>
      <c r="S208" s="45"/>
      <c r="T208" s="45"/>
      <c r="U208" s="45"/>
      <c r="V208" s="45"/>
      <c r="W208" s="45"/>
      <c r="X208" s="45"/>
    </row>
    <row r="209" spans="1:24" x14ac:dyDescent="0.25">
      <c r="A209" s="3"/>
      <c r="B209" s="3"/>
      <c r="C209" s="3"/>
      <c r="D209" s="3"/>
      <c r="E209" s="3"/>
      <c r="F209" s="3"/>
      <c r="G209" s="3"/>
      <c r="H209" s="3"/>
      <c r="I209" s="3"/>
      <c r="J209" s="309"/>
      <c r="K209" s="309"/>
      <c r="L209" s="3"/>
      <c r="M209" s="3"/>
      <c r="N209" s="3"/>
      <c r="O209" s="3"/>
      <c r="P209" s="3"/>
      <c r="Q209" s="45"/>
      <c r="R209" s="45"/>
      <c r="S209" s="45"/>
      <c r="T209" s="45"/>
      <c r="U209" s="45"/>
      <c r="V209" s="45"/>
      <c r="W209" s="45"/>
      <c r="X209" s="45"/>
    </row>
    <row r="210" spans="1:24" x14ac:dyDescent="0.25">
      <c r="A210" s="3"/>
      <c r="B210" s="3"/>
      <c r="C210" s="3"/>
      <c r="D210" s="3"/>
      <c r="E210" s="3"/>
      <c r="F210" s="3"/>
      <c r="G210" s="3"/>
      <c r="H210" s="3"/>
      <c r="I210" s="3"/>
      <c r="J210" s="309"/>
      <c r="K210" s="309"/>
      <c r="L210" s="3"/>
      <c r="M210" s="3"/>
      <c r="N210" s="3"/>
      <c r="O210" s="3"/>
      <c r="P210" s="3"/>
      <c r="Q210" s="45"/>
      <c r="R210" s="45"/>
      <c r="S210" s="45"/>
      <c r="T210" s="45"/>
      <c r="U210" s="45"/>
      <c r="V210" s="45"/>
      <c r="W210" s="45"/>
      <c r="X210" s="45"/>
    </row>
    <row r="211" spans="1:24" x14ac:dyDescent="0.25">
      <c r="A211" s="3"/>
      <c r="B211" s="3"/>
      <c r="C211" s="3"/>
      <c r="D211" s="3"/>
      <c r="E211" s="3"/>
      <c r="F211" s="3"/>
      <c r="G211" s="3"/>
      <c r="H211" s="3"/>
      <c r="I211" s="3"/>
      <c r="J211" s="309"/>
      <c r="K211" s="309"/>
      <c r="L211" s="3"/>
      <c r="M211" s="3"/>
      <c r="N211" s="3"/>
      <c r="O211" s="3"/>
      <c r="P211" s="3"/>
      <c r="Q211" s="45"/>
      <c r="R211" s="45"/>
      <c r="S211" s="45"/>
      <c r="T211" s="45"/>
      <c r="U211" s="45"/>
      <c r="V211" s="45"/>
      <c r="W211" s="45"/>
      <c r="X211" s="45"/>
    </row>
    <row r="212" spans="1:24" x14ac:dyDescent="0.25">
      <c r="A212" s="3"/>
      <c r="B212" s="3"/>
      <c r="C212" s="3"/>
      <c r="D212" s="3"/>
      <c r="E212" s="3"/>
      <c r="F212" s="3"/>
      <c r="G212" s="3"/>
      <c r="H212" s="3"/>
      <c r="I212" s="3"/>
      <c r="J212" s="309"/>
      <c r="K212" s="309"/>
      <c r="L212" s="3"/>
      <c r="M212" s="3"/>
      <c r="N212" s="3"/>
      <c r="O212" s="3"/>
      <c r="P212" s="3"/>
      <c r="Q212" s="45"/>
      <c r="R212" s="45"/>
      <c r="S212" s="45"/>
      <c r="T212" s="45"/>
      <c r="U212" s="45"/>
      <c r="V212" s="45"/>
      <c r="W212" s="45"/>
      <c r="X212" s="45"/>
    </row>
    <row r="213" spans="1:24" x14ac:dyDescent="0.25">
      <c r="A213" s="3"/>
      <c r="B213" s="3"/>
      <c r="C213" s="3"/>
      <c r="D213" s="3"/>
      <c r="E213" s="3"/>
      <c r="F213" s="3"/>
      <c r="G213" s="3"/>
      <c r="H213" s="3"/>
      <c r="I213" s="3"/>
      <c r="J213" s="309"/>
      <c r="K213" s="309"/>
      <c r="L213" s="3"/>
      <c r="M213" s="3"/>
      <c r="N213" s="3"/>
      <c r="O213" s="3"/>
      <c r="P213" s="3"/>
      <c r="Q213" s="45"/>
      <c r="R213" s="45"/>
      <c r="S213" s="45"/>
      <c r="T213" s="45"/>
      <c r="U213" s="45"/>
      <c r="V213" s="45"/>
      <c r="W213" s="45"/>
      <c r="X213" s="45"/>
    </row>
    <row r="214" spans="1:24" x14ac:dyDescent="0.25">
      <c r="C214" s="44"/>
      <c r="D214" s="44"/>
      <c r="E214" s="44"/>
      <c r="F214" s="44"/>
      <c r="G214" s="44"/>
      <c r="H214" s="44"/>
      <c r="I214" s="44"/>
      <c r="J214" s="44"/>
      <c r="K214" s="44"/>
      <c r="L214" s="44"/>
      <c r="M214" s="44"/>
      <c r="N214" s="44"/>
      <c r="O214" s="44"/>
      <c r="P214" s="44"/>
      <c r="Q214" s="44"/>
      <c r="R214" s="44"/>
      <c r="S214" s="44"/>
      <c r="T214" s="44"/>
      <c r="U214" s="44"/>
      <c r="V214" s="44"/>
      <c r="W214" s="44"/>
      <c r="X214" s="44"/>
    </row>
    <row r="215" spans="1:24" x14ac:dyDescent="0.25">
      <c r="C215" s="44"/>
      <c r="D215" s="44"/>
      <c r="E215" s="44"/>
      <c r="F215" s="44"/>
      <c r="G215" s="44"/>
      <c r="H215" s="44"/>
      <c r="I215" s="44"/>
      <c r="J215" s="44"/>
      <c r="K215" s="44"/>
      <c r="L215" s="44"/>
      <c r="M215" s="44"/>
      <c r="N215" s="44"/>
      <c r="O215" s="44"/>
      <c r="P215" s="44"/>
      <c r="Q215" s="44"/>
      <c r="R215" s="44"/>
      <c r="S215" s="44"/>
      <c r="T215" s="44"/>
      <c r="U215" s="44"/>
      <c r="V215" s="44"/>
      <c r="W215" s="44"/>
      <c r="X215" s="44"/>
    </row>
    <row r="216" spans="1:24" x14ac:dyDescent="0.25">
      <c r="C216" s="44"/>
      <c r="D216" s="44"/>
      <c r="E216" s="44"/>
      <c r="F216" s="44"/>
      <c r="G216" s="44"/>
      <c r="H216" s="44"/>
      <c r="I216" s="44"/>
      <c r="J216" s="44"/>
      <c r="K216" s="44"/>
      <c r="L216" s="44"/>
      <c r="M216" s="44"/>
      <c r="N216" s="44"/>
      <c r="O216" s="44"/>
      <c r="P216" s="44"/>
      <c r="Q216" s="44"/>
      <c r="R216" s="44"/>
      <c r="S216" s="44"/>
      <c r="T216" s="44"/>
      <c r="U216" s="44"/>
      <c r="V216" s="44"/>
      <c r="W216" s="44"/>
      <c r="X216" s="44"/>
    </row>
    <row r="217" spans="1:24" x14ac:dyDescent="0.25">
      <c r="C217" s="44"/>
      <c r="D217" s="44"/>
      <c r="E217" s="44"/>
      <c r="F217" s="44"/>
      <c r="G217" s="44"/>
      <c r="H217" s="44"/>
      <c r="I217" s="44"/>
      <c r="J217" s="44"/>
      <c r="K217" s="44"/>
      <c r="L217" s="44"/>
      <c r="M217" s="44"/>
      <c r="N217" s="44"/>
      <c r="O217" s="44"/>
      <c r="P217" s="44"/>
      <c r="Q217" s="44"/>
      <c r="R217" s="44"/>
      <c r="S217" s="44"/>
      <c r="T217" s="44"/>
      <c r="U217" s="44"/>
      <c r="V217" s="44"/>
      <c r="W217" s="44"/>
      <c r="X217" s="44"/>
    </row>
    <row r="218" spans="1:24" x14ac:dyDescent="0.25">
      <c r="C218" s="44"/>
      <c r="D218" s="44"/>
      <c r="E218" s="44"/>
      <c r="F218" s="44"/>
      <c r="G218" s="44"/>
      <c r="H218" s="44"/>
      <c r="I218" s="44"/>
      <c r="J218" s="44"/>
      <c r="K218" s="44"/>
      <c r="L218" s="44"/>
      <c r="M218" s="44"/>
      <c r="N218" s="44"/>
      <c r="O218" s="44"/>
      <c r="P218" s="44"/>
      <c r="Q218" s="44"/>
      <c r="R218" s="44"/>
      <c r="S218" s="44"/>
      <c r="T218" s="44"/>
      <c r="U218" s="44"/>
      <c r="V218" s="44"/>
      <c r="W218" s="44"/>
      <c r="X218" s="44"/>
    </row>
    <row r="219" spans="1:24" x14ac:dyDescent="0.25">
      <c r="C219" s="44"/>
      <c r="D219" s="44"/>
      <c r="E219" s="44"/>
      <c r="F219" s="44"/>
      <c r="G219" s="44"/>
      <c r="H219" s="44"/>
      <c r="I219" s="44"/>
      <c r="J219" s="44"/>
      <c r="K219" s="44"/>
      <c r="L219" s="44"/>
      <c r="M219" s="44"/>
      <c r="N219" s="44"/>
      <c r="O219" s="44"/>
      <c r="P219" s="44"/>
      <c r="Q219" s="44"/>
      <c r="R219" s="44"/>
      <c r="S219" s="44"/>
      <c r="T219" s="44"/>
      <c r="U219" s="44"/>
      <c r="V219" s="44"/>
      <c r="W219" s="44"/>
      <c r="X219" s="44"/>
    </row>
    <row r="220" spans="1:24" x14ac:dyDescent="0.25">
      <c r="C220" s="44"/>
      <c r="D220" s="44"/>
      <c r="E220" s="44"/>
      <c r="F220" s="44"/>
      <c r="G220" s="44"/>
      <c r="H220" s="44"/>
      <c r="I220" s="44"/>
      <c r="J220" s="44"/>
      <c r="K220" s="44"/>
      <c r="L220" s="44"/>
      <c r="M220" s="44"/>
      <c r="N220" s="44"/>
      <c r="O220" s="44"/>
      <c r="P220" s="44"/>
      <c r="Q220" s="44"/>
      <c r="R220" s="44"/>
      <c r="S220" s="44"/>
      <c r="T220" s="44"/>
      <c r="U220" s="44"/>
      <c r="V220" s="44"/>
      <c r="W220" s="44"/>
      <c r="X220" s="44"/>
    </row>
    <row r="221" spans="1:24" x14ac:dyDescent="0.25">
      <c r="C221" s="44"/>
      <c r="D221" s="44"/>
      <c r="E221" s="44"/>
      <c r="F221" s="44"/>
      <c r="G221" s="44"/>
      <c r="H221" s="44"/>
      <c r="I221" s="44"/>
      <c r="J221" s="44"/>
      <c r="K221" s="44"/>
      <c r="L221" s="44"/>
      <c r="M221" s="44"/>
      <c r="N221" s="44"/>
      <c r="O221" s="44"/>
      <c r="P221" s="44"/>
      <c r="Q221" s="44"/>
      <c r="R221" s="44"/>
      <c r="S221" s="44"/>
      <c r="T221" s="44"/>
      <c r="U221" s="44"/>
      <c r="V221" s="44"/>
      <c r="W221" s="44"/>
      <c r="X221" s="44"/>
    </row>
    <row r="222" spans="1:24" x14ac:dyDescent="0.25">
      <c r="C222" s="44"/>
      <c r="D222" s="44"/>
      <c r="E222" s="44"/>
      <c r="F222" s="44"/>
      <c r="G222" s="44"/>
      <c r="H222" s="44"/>
      <c r="I222" s="44"/>
      <c r="J222" s="44"/>
      <c r="K222" s="44"/>
      <c r="L222" s="44"/>
      <c r="M222" s="44"/>
      <c r="N222" s="44"/>
      <c r="O222" s="44"/>
      <c r="P222" s="44"/>
      <c r="Q222" s="44"/>
      <c r="R222" s="44"/>
      <c r="S222" s="44"/>
      <c r="T222" s="44"/>
      <c r="U222" s="44"/>
      <c r="V222" s="44"/>
      <c r="W222" s="44"/>
      <c r="X222" s="44"/>
    </row>
    <row r="223" spans="1:24" x14ac:dyDescent="0.25">
      <c r="C223" s="44"/>
      <c r="D223" s="44"/>
      <c r="E223" s="44"/>
      <c r="F223" s="44"/>
      <c r="G223" s="44"/>
      <c r="H223" s="44"/>
      <c r="I223" s="44"/>
      <c r="J223" s="44"/>
      <c r="K223" s="44"/>
      <c r="L223" s="44"/>
      <c r="M223" s="44"/>
      <c r="N223" s="44"/>
      <c r="O223" s="44"/>
      <c r="P223" s="44"/>
      <c r="Q223" s="44"/>
      <c r="R223" s="44"/>
      <c r="S223" s="44"/>
      <c r="T223" s="44"/>
      <c r="U223" s="44"/>
      <c r="V223" s="44"/>
      <c r="W223" s="44"/>
      <c r="X223" s="44"/>
    </row>
    <row r="224" spans="1:24" x14ac:dyDescent="0.25">
      <c r="C224" s="44"/>
      <c r="D224" s="44"/>
      <c r="E224" s="44"/>
      <c r="F224" s="44"/>
      <c r="G224" s="44"/>
      <c r="H224" s="44"/>
      <c r="I224" s="44"/>
      <c r="J224" s="44"/>
      <c r="K224" s="44"/>
      <c r="L224" s="44"/>
      <c r="M224" s="44"/>
      <c r="N224" s="44"/>
      <c r="O224" s="44"/>
      <c r="P224" s="44"/>
      <c r="Q224" s="44"/>
      <c r="R224" s="44"/>
      <c r="S224" s="44"/>
      <c r="T224" s="44"/>
      <c r="U224" s="44"/>
      <c r="V224" s="44"/>
      <c r="W224" s="44"/>
      <c r="X224" s="44"/>
    </row>
    <row r="225" spans="1:25" x14ac:dyDescent="0.25">
      <c r="C225" s="44"/>
      <c r="D225" s="44"/>
      <c r="E225" s="44"/>
      <c r="F225" s="44"/>
      <c r="G225" s="44"/>
      <c r="H225" s="44"/>
      <c r="I225" s="44"/>
      <c r="J225" s="44"/>
      <c r="K225" s="44"/>
      <c r="L225" s="44"/>
      <c r="M225" s="44"/>
      <c r="N225" s="44"/>
      <c r="O225" s="44"/>
      <c r="P225" s="44"/>
      <c r="Q225" s="44"/>
      <c r="R225" s="44"/>
      <c r="S225" s="44"/>
      <c r="T225" s="44"/>
      <c r="U225" s="44"/>
      <c r="V225" s="44"/>
      <c r="W225" s="44"/>
      <c r="X225" s="44"/>
    </row>
    <row r="226" spans="1:25" x14ac:dyDescent="0.25">
      <c r="C226" s="44"/>
      <c r="D226" s="44"/>
      <c r="E226" s="44"/>
      <c r="F226" s="44"/>
      <c r="G226" s="44"/>
      <c r="H226" s="44"/>
      <c r="I226" s="44"/>
      <c r="J226" s="44"/>
      <c r="K226" s="44"/>
      <c r="L226" s="44"/>
      <c r="M226" s="44"/>
      <c r="N226" s="44"/>
      <c r="O226" s="44"/>
      <c r="P226" s="44"/>
      <c r="Q226" s="44"/>
      <c r="R226" s="44"/>
      <c r="S226" s="44"/>
      <c r="T226" s="44"/>
      <c r="U226" s="44"/>
      <c r="V226" s="44"/>
      <c r="W226" s="44"/>
      <c r="X226" s="44"/>
    </row>
    <row r="227" spans="1:25" x14ac:dyDescent="0.25">
      <c r="C227" s="44"/>
      <c r="D227" s="44"/>
      <c r="E227" s="44"/>
      <c r="F227" s="44"/>
      <c r="G227" s="44"/>
      <c r="H227" s="44"/>
      <c r="I227" s="44"/>
      <c r="J227" s="44"/>
      <c r="K227" s="44"/>
      <c r="L227" s="44"/>
      <c r="M227" s="44"/>
      <c r="N227" s="44"/>
      <c r="O227" s="44"/>
      <c r="P227" s="44"/>
      <c r="Q227" s="44"/>
      <c r="R227" s="44"/>
      <c r="S227" s="44"/>
      <c r="T227" s="44"/>
      <c r="U227" s="44"/>
      <c r="V227" s="44"/>
      <c r="W227" s="44"/>
      <c r="X227" s="44"/>
    </row>
    <row r="228" spans="1:25" x14ac:dyDescent="0.25">
      <c r="C228" s="44"/>
      <c r="D228" s="44"/>
      <c r="E228" s="44"/>
      <c r="F228" s="44"/>
      <c r="G228" s="44"/>
      <c r="H228" s="44"/>
      <c r="I228" s="44"/>
      <c r="J228" s="44"/>
      <c r="K228" s="44"/>
      <c r="L228" s="44"/>
      <c r="M228" s="44"/>
      <c r="N228" s="44"/>
      <c r="O228" s="44"/>
      <c r="P228" s="44"/>
      <c r="Q228" s="44"/>
      <c r="R228" s="44"/>
      <c r="S228" s="44"/>
      <c r="T228" s="44"/>
      <c r="U228" s="44"/>
      <c r="V228" s="44"/>
      <c r="W228" s="44"/>
      <c r="X228" s="44"/>
    </row>
    <row r="229" spans="1:25" x14ac:dyDescent="0.25">
      <c r="C229" s="44"/>
      <c r="D229" s="44"/>
      <c r="E229" s="44"/>
      <c r="F229" s="44"/>
      <c r="G229" s="44"/>
      <c r="H229" s="44"/>
      <c r="I229" s="44"/>
      <c r="J229" s="44"/>
      <c r="K229" s="44"/>
      <c r="L229" s="44"/>
      <c r="M229" s="44"/>
      <c r="N229" s="44"/>
      <c r="O229" s="44"/>
      <c r="P229" s="44"/>
      <c r="Q229" s="44"/>
      <c r="R229" s="44"/>
      <c r="S229" s="44"/>
      <c r="T229" s="44"/>
      <c r="U229" s="44"/>
      <c r="V229" s="44"/>
      <c r="W229" s="44"/>
      <c r="X229" s="44"/>
    </row>
    <row r="230" spans="1:25" x14ac:dyDescent="0.25">
      <c r="C230" s="44"/>
      <c r="D230" s="44"/>
      <c r="E230" s="44"/>
      <c r="F230" s="44"/>
      <c r="G230" s="44"/>
      <c r="H230" s="44"/>
      <c r="I230" s="44"/>
      <c r="J230" s="44"/>
      <c r="K230" s="44"/>
      <c r="L230" s="44"/>
      <c r="M230" s="44"/>
      <c r="N230" s="44"/>
      <c r="O230" s="44"/>
      <c r="P230" s="44"/>
      <c r="Q230" s="44"/>
      <c r="R230" s="44"/>
      <c r="S230" s="44"/>
      <c r="T230" s="44"/>
      <c r="U230" s="44"/>
      <c r="V230" s="44"/>
      <c r="W230" s="44"/>
      <c r="X230" s="44"/>
    </row>
    <row r="231" spans="1:25" x14ac:dyDescent="0.25">
      <c r="C231" s="44"/>
      <c r="D231" s="44"/>
      <c r="E231" s="44"/>
      <c r="F231" s="44"/>
      <c r="G231" s="44"/>
      <c r="H231" s="44"/>
      <c r="I231" s="44"/>
      <c r="J231" s="44"/>
      <c r="K231" s="44"/>
      <c r="L231" s="44"/>
      <c r="M231" s="44"/>
      <c r="N231" s="44"/>
      <c r="O231" s="44"/>
      <c r="P231" s="44"/>
      <c r="Q231" s="44"/>
      <c r="R231" s="44"/>
      <c r="S231" s="44"/>
      <c r="T231" s="44"/>
      <c r="U231" s="44"/>
      <c r="V231" s="44"/>
      <c r="W231" s="44"/>
      <c r="X231" s="44"/>
    </row>
    <row r="232" spans="1:25" x14ac:dyDescent="0.25">
      <c r="C232" s="44"/>
      <c r="D232" s="44"/>
      <c r="E232" s="44"/>
      <c r="F232" s="44"/>
      <c r="G232" s="44"/>
      <c r="H232" s="44"/>
      <c r="I232" s="44"/>
      <c r="J232" s="44"/>
      <c r="K232" s="44"/>
      <c r="L232" s="44"/>
      <c r="M232" s="44"/>
      <c r="N232" s="44"/>
      <c r="O232" s="44"/>
      <c r="P232" s="44"/>
      <c r="Q232" s="44"/>
      <c r="R232" s="44"/>
      <c r="S232" s="44"/>
      <c r="T232" s="44"/>
      <c r="U232" s="44"/>
      <c r="V232" s="44"/>
      <c r="W232" s="44"/>
      <c r="X232" s="44"/>
    </row>
    <row r="233" spans="1:25" x14ac:dyDescent="0.25">
      <c r="C233" s="44"/>
      <c r="D233" s="44"/>
      <c r="E233" s="44"/>
      <c r="F233" s="44"/>
      <c r="G233" s="44"/>
      <c r="H233" s="44"/>
      <c r="I233" s="44"/>
      <c r="J233" s="44"/>
      <c r="K233" s="44"/>
      <c r="L233" s="44"/>
      <c r="M233" s="44"/>
      <c r="N233" s="44"/>
      <c r="O233" s="44"/>
      <c r="P233" s="44"/>
      <c r="Q233" s="44"/>
      <c r="R233" s="44"/>
      <c r="S233" s="44"/>
      <c r="T233" s="44"/>
      <c r="U233" s="44"/>
      <c r="V233" s="44"/>
      <c r="W233" s="44"/>
      <c r="X233" s="44"/>
    </row>
    <row r="234" spans="1:25" x14ac:dyDescent="0.25">
      <c r="C234" s="44"/>
      <c r="D234" s="44"/>
      <c r="E234" s="44"/>
      <c r="F234" s="44"/>
      <c r="G234" s="44"/>
      <c r="H234" s="44"/>
      <c r="I234" s="44"/>
      <c r="J234" s="44"/>
      <c r="K234" s="44"/>
      <c r="L234" s="44"/>
      <c r="M234" s="44"/>
      <c r="N234" s="44"/>
      <c r="O234" s="44"/>
      <c r="P234" s="44"/>
      <c r="Q234" s="44"/>
      <c r="R234" s="44"/>
      <c r="S234" s="44"/>
      <c r="T234" s="44"/>
      <c r="U234" s="44"/>
      <c r="V234" s="44"/>
      <c r="W234" s="44"/>
      <c r="X234" s="44"/>
    </row>
    <row r="235" spans="1:25" x14ac:dyDescent="0.25">
      <c r="C235" s="44"/>
      <c r="D235" s="44"/>
      <c r="E235" s="44"/>
      <c r="F235" s="44"/>
      <c r="G235" s="44"/>
      <c r="H235" s="44"/>
      <c r="I235" s="44"/>
      <c r="J235" s="44"/>
      <c r="K235" s="44"/>
      <c r="L235" s="44"/>
      <c r="M235" s="44"/>
      <c r="N235" s="44"/>
      <c r="O235" s="44"/>
      <c r="P235" s="44"/>
      <c r="Q235" s="44"/>
      <c r="R235" s="44"/>
      <c r="S235" s="44"/>
      <c r="T235" s="44"/>
      <c r="U235" s="44"/>
      <c r="V235" s="44"/>
      <c r="W235" s="44"/>
      <c r="X235" s="44"/>
    </row>
    <row r="236" spans="1:25" x14ac:dyDescent="0.25">
      <c r="C236" s="44"/>
      <c r="D236" s="44"/>
      <c r="E236" s="44"/>
      <c r="F236" s="44"/>
      <c r="G236" s="44"/>
      <c r="H236" s="44"/>
      <c r="I236" s="44"/>
      <c r="J236" s="44"/>
      <c r="K236" s="44"/>
      <c r="L236" s="44"/>
      <c r="M236" s="44"/>
      <c r="N236" s="44"/>
      <c r="O236" s="44"/>
      <c r="P236" s="44"/>
      <c r="Q236" s="44"/>
      <c r="R236" s="44"/>
      <c r="S236" s="44"/>
      <c r="T236" s="44"/>
      <c r="U236" s="44"/>
      <c r="V236" s="44"/>
      <c r="W236" s="44"/>
      <c r="X236" s="44"/>
    </row>
    <row r="237" spans="1:25" s="2" customFormat="1" x14ac:dyDescent="0.25">
      <c r="A237"/>
      <c r="B237"/>
      <c r="C237" s="44"/>
      <c r="D237" s="44"/>
      <c r="E237" s="44"/>
      <c r="F237" s="44"/>
      <c r="G237" s="44"/>
      <c r="H237" s="44"/>
      <c r="I237" s="44"/>
      <c r="J237" s="44"/>
      <c r="K237" s="44"/>
      <c r="L237" s="44"/>
      <c r="M237" s="44"/>
      <c r="N237" s="44"/>
      <c r="O237" s="44"/>
      <c r="P237" s="44"/>
      <c r="Q237" s="44"/>
      <c r="R237" s="44"/>
      <c r="S237" s="44"/>
      <c r="T237" s="44"/>
      <c r="U237" s="44"/>
      <c r="V237" s="44"/>
      <c r="W237" s="44"/>
      <c r="X237" s="44"/>
      <c r="Y237"/>
    </row>
    <row r="238" spans="1:25" x14ac:dyDescent="0.25">
      <c r="C238" s="44"/>
      <c r="D238" s="44"/>
      <c r="E238" s="44"/>
      <c r="F238" s="44"/>
      <c r="G238" s="44"/>
      <c r="H238" s="44"/>
      <c r="I238" s="44"/>
      <c r="J238" s="44"/>
      <c r="K238" s="44"/>
      <c r="L238" s="44"/>
      <c r="M238" s="44"/>
      <c r="N238" s="44"/>
      <c r="O238" s="44"/>
      <c r="P238" s="44"/>
      <c r="Q238" s="44"/>
      <c r="R238" s="44"/>
      <c r="S238" s="44"/>
      <c r="T238" s="44"/>
      <c r="U238" s="44"/>
      <c r="V238" s="44"/>
      <c r="W238" s="44"/>
      <c r="X238" s="44"/>
    </row>
    <row r="239" spans="1:25" x14ac:dyDescent="0.25">
      <c r="C239" s="44"/>
      <c r="D239" s="44"/>
      <c r="E239" s="44"/>
      <c r="F239" s="44"/>
      <c r="G239" s="44"/>
      <c r="H239" s="44"/>
      <c r="I239" s="44"/>
      <c r="J239" s="44"/>
      <c r="K239" s="44"/>
      <c r="L239" s="44"/>
      <c r="M239" s="44"/>
      <c r="N239" s="44"/>
      <c r="O239" s="44"/>
      <c r="P239" s="44"/>
      <c r="Q239" s="44"/>
      <c r="R239" s="44"/>
      <c r="S239" s="44"/>
      <c r="T239" s="44"/>
      <c r="U239" s="44"/>
      <c r="V239" s="44"/>
      <c r="W239" s="44"/>
      <c r="X239" s="44"/>
    </row>
    <row r="240" spans="1:25" x14ac:dyDescent="0.25">
      <c r="C240" s="44"/>
      <c r="D240" s="44"/>
      <c r="E240" s="44"/>
      <c r="F240" s="44"/>
      <c r="G240" s="44"/>
      <c r="H240" s="44"/>
      <c r="I240" s="44"/>
      <c r="J240" s="44"/>
      <c r="K240" s="44"/>
      <c r="L240" s="44"/>
      <c r="M240" s="44"/>
      <c r="N240" s="44"/>
      <c r="O240" s="44"/>
      <c r="P240" s="44"/>
      <c r="Q240" s="44"/>
      <c r="R240" s="44"/>
      <c r="S240" s="44"/>
      <c r="T240" s="44"/>
      <c r="U240" s="44"/>
      <c r="V240" s="44"/>
      <c r="W240" s="44"/>
      <c r="X240" s="44"/>
    </row>
    <row r="241" spans="3:24" x14ac:dyDescent="0.25">
      <c r="C241" s="44"/>
      <c r="D241" s="44"/>
      <c r="E241" s="44"/>
      <c r="F241" s="44"/>
      <c r="G241" s="44"/>
      <c r="H241" s="44"/>
      <c r="I241" s="44"/>
      <c r="J241" s="44"/>
      <c r="K241" s="44"/>
      <c r="L241" s="44"/>
      <c r="M241" s="44"/>
      <c r="N241" s="44"/>
      <c r="O241" s="44"/>
      <c r="P241" s="44"/>
      <c r="Q241" s="44"/>
      <c r="R241" s="44"/>
      <c r="S241" s="44"/>
      <c r="T241" s="44"/>
      <c r="U241" s="44"/>
      <c r="V241" s="44"/>
      <c r="W241" s="44"/>
      <c r="X241" s="44"/>
    </row>
    <row r="242" spans="3:24" x14ac:dyDescent="0.25">
      <c r="C242" s="44"/>
      <c r="D242" s="44"/>
      <c r="E242" s="44"/>
      <c r="F242" s="44"/>
      <c r="G242" s="44"/>
      <c r="H242" s="44"/>
      <c r="I242" s="44"/>
      <c r="J242" s="44"/>
      <c r="K242" s="44"/>
      <c r="L242" s="44"/>
      <c r="M242" s="44"/>
      <c r="N242" s="44"/>
      <c r="O242" s="44"/>
      <c r="P242" s="44"/>
      <c r="Q242" s="44"/>
      <c r="R242" s="44"/>
      <c r="S242" s="44"/>
      <c r="T242" s="44"/>
      <c r="U242" s="44"/>
      <c r="V242" s="44"/>
      <c r="W242" s="44"/>
      <c r="X242" s="44"/>
    </row>
    <row r="243" spans="3:24" x14ac:dyDescent="0.25">
      <c r="C243" s="44"/>
      <c r="D243" s="44"/>
      <c r="E243" s="44"/>
      <c r="F243" s="44"/>
      <c r="G243" s="44"/>
      <c r="H243" s="44"/>
      <c r="I243" s="44"/>
      <c r="J243" s="44"/>
      <c r="K243" s="44"/>
      <c r="L243" s="44"/>
      <c r="M243" s="44"/>
      <c r="N243" s="44"/>
      <c r="O243" s="44"/>
      <c r="P243" s="44"/>
      <c r="Q243" s="44"/>
      <c r="R243" s="44"/>
      <c r="S243" s="44"/>
      <c r="T243" s="44"/>
      <c r="U243" s="44"/>
      <c r="V243" s="44"/>
      <c r="W243" s="44"/>
      <c r="X243" s="44"/>
    </row>
    <row r="244" spans="3:24" x14ac:dyDescent="0.25">
      <c r="C244" s="44"/>
      <c r="D244" s="44"/>
      <c r="E244" s="44"/>
      <c r="F244" s="44"/>
      <c r="G244" s="44"/>
      <c r="H244" s="44"/>
      <c r="I244" s="44"/>
      <c r="J244" s="44"/>
      <c r="K244" s="44"/>
      <c r="L244" s="44"/>
      <c r="M244" s="44"/>
      <c r="N244" s="44"/>
      <c r="O244" s="44"/>
      <c r="P244" s="44"/>
      <c r="Q244" s="44"/>
      <c r="R244" s="44"/>
      <c r="S244" s="44"/>
      <c r="T244" s="44"/>
      <c r="U244" s="44"/>
      <c r="V244" s="44"/>
      <c r="W244" s="44"/>
      <c r="X244" s="44"/>
    </row>
    <row r="245" spans="3:24" x14ac:dyDescent="0.25">
      <c r="C245" s="44"/>
      <c r="D245" s="44"/>
      <c r="E245" s="44"/>
      <c r="F245" s="44"/>
      <c r="G245" s="44"/>
      <c r="H245" s="44"/>
      <c r="I245" s="44"/>
      <c r="J245" s="44"/>
      <c r="K245" s="44"/>
      <c r="L245" s="44"/>
      <c r="M245" s="44"/>
      <c r="N245" s="44"/>
      <c r="O245" s="44"/>
      <c r="P245" s="44"/>
      <c r="Q245" s="44"/>
      <c r="R245" s="44"/>
      <c r="S245" s="44"/>
      <c r="T245" s="44"/>
      <c r="U245" s="44"/>
      <c r="V245" s="44"/>
      <c r="W245" s="44"/>
      <c r="X245" s="44"/>
    </row>
    <row r="246" spans="3:24" x14ac:dyDescent="0.25">
      <c r="C246" s="44"/>
      <c r="D246" s="44"/>
      <c r="E246" s="44"/>
      <c r="F246" s="44"/>
      <c r="G246" s="44"/>
      <c r="H246" s="44"/>
      <c r="I246" s="44"/>
      <c r="J246" s="44"/>
      <c r="K246" s="44"/>
      <c r="L246" s="44"/>
      <c r="M246" s="44"/>
      <c r="N246" s="44"/>
      <c r="O246" s="44"/>
      <c r="P246" s="44"/>
      <c r="Q246" s="44"/>
      <c r="R246" s="44"/>
      <c r="S246" s="44"/>
      <c r="T246" s="44"/>
      <c r="U246" s="44"/>
      <c r="V246" s="44"/>
      <c r="W246" s="44"/>
      <c r="X246" s="44"/>
    </row>
    <row r="247" spans="3:24" x14ac:dyDescent="0.25">
      <c r="C247" s="44"/>
      <c r="D247" s="44"/>
      <c r="E247" s="44"/>
      <c r="F247" s="44"/>
      <c r="G247" s="44"/>
      <c r="H247" s="44"/>
      <c r="I247" s="44"/>
      <c r="J247" s="44"/>
      <c r="K247" s="44"/>
      <c r="L247" s="44"/>
      <c r="M247" s="44"/>
      <c r="N247" s="44"/>
      <c r="O247" s="44"/>
      <c r="P247" s="44"/>
      <c r="Q247" s="44"/>
      <c r="R247" s="44"/>
      <c r="S247" s="44"/>
      <c r="T247" s="44"/>
      <c r="U247" s="44"/>
      <c r="V247" s="44"/>
      <c r="W247" s="44"/>
      <c r="X247" s="44"/>
    </row>
    <row r="248" spans="3:24" x14ac:dyDescent="0.25">
      <c r="C248" s="44"/>
      <c r="D248" s="44"/>
      <c r="E248" s="44"/>
      <c r="F248" s="44"/>
      <c r="G248" s="44"/>
      <c r="H248" s="44"/>
      <c r="I248" s="44"/>
      <c r="J248" s="44"/>
      <c r="K248" s="44"/>
      <c r="L248" s="44"/>
      <c r="M248" s="44"/>
      <c r="N248" s="44"/>
      <c r="O248" s="44"/>
      <c r="P248" s="44"/>
      <c r="Q248" s="44"/>
      <c r="R248" s="44"/>
      <c r="S248" s="44"/>
      <c r="T248" s="44"/>
      <c r="U248" s="44"/>
      <c r="V248" s="44"/>
      <c r="W248" s="44"/>
      <c r="X248" s="44"/>
    </row>
    <row r="249" spans="3:24" x14ac:dyDescent="0.25">
      <c r="C249" s="44"/>
      <c r="D249" s="44"/>
      <c r="E249" s="44"/>
      <c r="F249" s="44"/>
      <c r="G249" s="44"/>
      <c r="H249" s="44"/>
      <c r="I249" s="44"/>
      <c r="J249" s="44"/>
      <c r="K249" s="44"/>
      <c r="L249" s="44"/>
      <c r="M249" s="44"/>
      <c r="N249" s="44"/>
      <c r="O249" s="44"/>
      <c r="P249" s="44"/>
      <c r="Q249" s="44"/>
      <c r="R249" s="44"/>
      <c r="S249" s="44"/>
      <c r="T249" s="44"/>
      <c r="U249" s="44"/>
      <c r="V249" s="44"/>
      <c r="W249" s="44"/>
      <c r="X249" s="44"/>
    </row>
    <row r="250" spans="3:24" x14ac:dyDescent="0.25">
      <c r="C250" s="44"/>
      <c r="D250" s="44"/>
      <c r="E250" s="44"/>
      <c r="F250" s="44"/>
      <c r="G250" s="44"/>
      <c r="H250" s="44"/>
      <c r="I250" s="44"/>
      <c r="J250" s="44"/>
      <c r="K250" s="44"/>
      <c r="L250" s="44"/>
      <c r="M250" s="44"/>
      <c r="N250" s="44"/>
      <c r="O250" s="44"/>
      <c r="P250" s="44"/>
      <c r="Q250" s="44"/>
      <c r="R250" s="44"/>
      <c r="S250" s="44"/>
      <c r="T250" s="44"/>
      <c r="U250" s="44"/>
      <c r="V250" s="44"/>
      <c r="W250" s="44"/>
      <c r="X250" s="44"/>
    </row>
    <row r="251" spans="3:24" x14ac:dyDescent="0.25">
      <c r="C251" s="44"/>
      <c r="D251" s="44"/>
      <c r="E251" s="44"/>
      <c r="F251" s="44"/>
      <c r="G251" s="44"/>
      <c r="H251" s="44"/>
      <c r="I251" s="44"/>
      <c r="J251" s="44"/>
      <c r="K251" s="44"/>
      <c r="L251" s="44"/>
      <c r="M251" s="44"/>
      <c r="N251" s="44"/>
      <c r="O251" s="44"/>
      <c r="P251" s="44"/>
      <c r="Q251" s="44"/>
      <c r="R251" s="44"/>
      <c r="S251" s="44"/>
      <c r="T251" s="44"/>
      <c r="U251" s="44"/>
      <c r="V251" s="44"/>
      <c r="W251" s="44"/>
      <c r="X251" s="44"/>
    </row>
    <row r="252" spans="3:24" x14ac:dyDescent="0.25">
      <c r="C252" s="44"/>
      <c r="D252" s="44"/>
      <c r="E252" s="44"/>
      <c r="F252" s="44"/>
      <c r="G252" s="44"/>
      <c r="H252" s="44"/>
      <c r="I252" s="44"/>
      <c r="J252" s="44"/>
      <c r="K252" s="44"/>
      <c r="L252" s="44"/>
      <c r="M252" s="44"/>
      <c r="N252" s="44"/>
      <c r="O252" s="44"/>
      <c r="P252" s="44"/>
      <c r="Q252" s="44"/>
      <c r="R252" s="44"/>
      <c r="S252" s="44"/>
      <c r="T252" s="44"/>
      <c r="U252" s="44"/>
      <c r="V252" s="44"/>
      <c r="W252" s="44"/>
      <c r="X252" s="44"/>
    </row>
    <row r="253" spans="3:24" x14ac:dyDescent="0.25">
      <c r="C253" s="44"/>
      <c r="D253" s="44"/>
      <c r="E253" s="44"/>
      <c r="F253" s="44"/>
      <c r="G253" s="44"/>
      <c r="H253" s="44"/>
      <c r="I253" s="44"/>
      <c r="J253" s="44"/>
      <c r="K253" s="44"/>
      <c r="L253" s="44"/>
      <c r="M253" s="44"/>
      <c r="N253" s="44"/>
      <c r="O253" s="44"/>
      <c r="P253" s="44"/>
      <c r="Q253" s="44"/>
      <c r="R253" s="44"/>
      <c r="S253" s="44"/>
      <c r="T253" s="44"/>
      <c r="U253" s="44"/>
      <c r="V253" s="44"/>
      <c r="W253" s="44"/>
      <c r="X253" s="44"/>
    </row>
    <row r="254" spans="3:24" x14ac:dyDescent="0.25">
      <c r="C254" s="44"/>
      <c r="D254" s="44"/>
      <c r="E254" s="44"/>
      <c r="F254" s="44"/>
      <c r="G254" s="44"/>
      <c r="H254" s="44"/>
      <c r="I254" s="44"/>
      <c r="J254" s="44"/>
      <c r="K254" s="44"/>
      <c r="L254" s="44"/>
      <c r="M254" s="44"/>
      <c r="N254" s="44"/>
      <c r="O254" s="44"/>
      <c r="P254" s="44"/>
      <c r="Q254" s="44"/>
      <c r="R254" s="44"/>
      <c r="S254" s="44"/>
      <c r="T254" s="44"/>
      <c r="U254" s="44"/>
      <c r="V254" s="44"/>
      <c r="W254" s="44"/>
      <c r="X254" s="44"/>
    </row>
    <row r="255" spans="3:24" x14ac:dyDescent="0.25">
      <c r="C255" s="44"/>
      <c r="D255" s="44"/>
      <c r="E255" s="44"/>
      <c r="F255" s="44"/>
      <c r="G255" s="44"/>
      <c r="H255" s="44"/>
      <c r="I255" s="44"/>
      <c r="J255" s="44"/>
      <c r="K255" s="44"/>
      <c r="L255" s="44"/>
      <c r="M255" s="44"/>
      <c r="N255" s="44"/>
      <c r="O255" s="44"/>
      <c r="P255" s="44"/>
      <c r="Q255" s="44"/>
      <c r="R255" s="44"/>
      <c r="S255" s="44"/>
      <c r="T255" s="44"/>
      <c r="U255" s="44"/>
      <c r="V255" s="44"/>
      <c r="W255" s="44"/>
      <c r="X255" s="44"/>
    </row>
    <row r="256" spans="3:24" x14ac:dyDescent="0.25">
      <c r="C256" s="44"/>
      <c r="D256" s="44"/>
      <c r="E256" s="44"/>
      <c r="F256" s="44"/>
      <c r="G256" s="44"/>
      <c r="H256" s="44"/>
      <c r="I256" s="44"/>
      <c r="J256" s="44"/>
      <c r="K256" s="44"/>
      <c r="L256" s="44"/>
      <c r="M256" s="44"/>
      <c r="N256" s="44"/>
      <c r="O256" s="44"/>
      <c r="P256" s="44"/>
      <c r="Q256" s="44"/>
      <c r="R256" s="44"/>
      <c r="S256" s="44"/>
      <c r="T256" s="44"/>
      <c r="U256" s="44"/>
      <c r="V256" s="44"/>
      <c r="W256" s="44"/>
      <c r="X256" s="44"/>
    </row>
    <row r="257" spans="3:24" x14ac:dyDescent="0.25">
      <c r="C257" s="44"/>
      <c r="D257" s="44"/>
      <c r="E257" s="44"/>
      <c r="F257" s="44"/>
      <c r="G257" s="44"/>
      <c r="H257" s="44"/>
      <c r="I257" s="44"/>
      <c r="J257" s="44"/>
      <c r="K257" s="44"/>
      <c r="L257" s="44"/>
      <c r="M257" s="44"/>
      <c r="N257" s="44"/>
      <c r="O257" s="44"/>
      <c r="P257" s="44"/>
      <c r="Q257" s="44"/>
      <c r="R257" s="44"/>
      <c r="S257" s="44"/>
      <c r="T257" s="44"/>
      <c r="U257" s="44"/>
      <c r="V257" s="44"/>
      <c r="W257" s="44"/>
      <c r="X257" s="44"/>
    </row>
    <row r="258" spans="3:24" x14ac:dyDescent="0.25">
      <c r="C258" s="44"/>
      <c r="D258" s="44"/>
      <c r="E258" s="44"/>
      <c r="F258" s="44"/>
      <c r="G258" s="44"/>
      <c r="H258" s="44"/>
      <c r="I258" s="44"/>
      <c r="J258" s="44"/>
      <c r="K258" s="44"/>
      <c r="L258" s="44"/>
      <c r="M258" s="44"/>
      <c r="N258" s="44"/>
      <c r="O258" s="44"/>
      <c r="P258" s="44"/>
      <c r="Q258" s="44"/>
      <c r="R258" s="44"/>
      <c r="S258" s="44"/>
      <c r="T258" s="44"/>
      <c r="U258" s="44"/>
      <c r="V258" s="44"/>
      <c r="W258" s="44"/>
      <c r="X258" s="44"/>
    </row>
    <row r="259" spans="3:24" x14ac:dyDescent="0.25">
      <c r="C259" s="44"/>
      <c r="D259" s="44"/>
      <c r="E259" s="44"/>
      <c r="F259" s="44"/>
      <c r="G259" s="44"/>
      <c r="H259" s="44"/>
      <c r="I259" s="44"/>
      <c r="J259" s="44"/>
      <c r="K259" s="44"/>
      <c r="L259" s="44"/>
      <c r="M259" s="44"/>
      <c r="N259" s="44"/>
      <c r="O259" s="44"/>
      <c r="P259" s="44"/>
      <c r="Q259" s="44"/>
      <c r="R259" s="44"/>
      <c r="S259" s="44"/>
      <c r="T259" s="44"/>
      <c r="U259" s="44"/>
      <c r="V259" s="44"/>
      <c r="W259" s="44"/>
      <c r="X259" s="44"/>
    </row>
    <row r="260" spans="3:24" x14ac:dyDescent="0.25">
      <c r="C260" s="44"/>
      <c r="D260" s="44"/>
      <c r="E260" s="44"/>
      <c r="F260" s="44"/>
      <c r="G260" s="44"/>
      <c r="H260" s="44"/>
      <c r="I260" s="44"/>
      <c r="J260" s="44"/>
      <c r="K260" s="44"/>
      <c r="L260" s="44"/>
      <c r="M260" s="44"/>
      <c r="N260" s="44"/>
      <c r="O260" s="44"/>
      <c r="P260" s="44"/>
      <c r="Q260" s="44"/>
      <c r="R260" s="44"/>
      <c r="S260" s="44"/>
      <c r="T260" s="44"/>
      <c r="U260" s="44"/>
      <c r="V260" s="44"/>
      <c r="W260" s="44"/>
      <c r="X260" s="44"/>
    </row>
    <row r="261" spans="3:24" x14ac:dyDescent="0.25">
      <c r="C261" s="44"/>
      <c r="D261" s="44"/>
      <c r="E261" s="44"/>
      <c r="F261" s="44"/>
      <c r="G261" s="44"/>
      <c r="H261" s="44"/>
      <c r="I261" s="44"/>
      <c r="J261" s="44"/>
      <c r="K261" s="44"/>
      <c r="L261" s="44"/>
      <c r="M261" s="44"/>
      <c r="N261" s="44"/>
      <c r="O261" s="44"/>
      <c r="P261" s="44"/>
      <c r="Q261" s="44"/>
      <c r="R261" s="44"/>
      <c r="S261" s="44"/>
      <c r="T261" s="44"/>
      <c r="U261" s="44"/>
      <c r="V261" s="44"/>
      <c r="W261" s="44"/>
      <c r="X261" s="44"/>
    </row>
    <row r="262" spans="3:24" x14ac:dyDescent="0.25">
      <c r="C262" s="44"/>
      <c r="D262" s="44"/>
      <c r="E262" s="44"/>
      <c r="F262" s="44"/>
      <c r="G262" s="44"/>
      <c r="H262" s="44"/>
      <c r="I262" s="44"/>
      <c r="J262" s="44"/>
      <c r="K262" s="44"/>
      <c r="L262" s="44"/>
      <c r="M262" s="44"/>
      <c r="N262" s="44"/>
      <c r="O262" s="44"/>
      <c r="P262" s="44"/>
      <c r="Q262" s="44"/>
      <c r="R262" s="44"/>
      <c r="S262" s="44"/>
      <c r="T262" s="44"/>
      <c r="U262" s="44"/>
      <c r="V262" s="44"/>
      <c r="W262" s="44"/>
      <c r="X262" s="44"/>
    </row>
    <row r="263" spans="3:24" x14ac:dyDescent="0.25">
      <c r="C263" s="44"/>
      <c r="D263" s="44"/>
      <c r="E263" s="44"/>
      <c r="F263" s="44"/>
      <c r="G263" s="44"/>
      <c r="H263" s="44"/>
      <c r="I263" s="44"/>
      <c r="J263" s="44"/>
      <c r="K263" s="44"/>
      <c r="L263" s="44"/>
      <c r="M263" s="44"/>
      <c r="N263" s="44"/>
      <c r="O263" s="44"/>
      <c r="P263" s="44"/>
      <c r="Q263" s="44"/>
      <c r="R263" s="44"/>
      <c r="S263" s="44"/>
      <c r="T263" s="44"/>
      <c r="U263" s="44"/>
      <c r="V263" s="44"/>
      <c r="W263" s="44"/>
      <c r="X263" s="44"/>
    </row>
    <row r="264" spans="3:24" x14ac:dyDescent="0.25">
      <c r="C264" s="44"/>
      <c r="D264" s="44"/>
      <c r="E264" s="44"/>
      <c r="F264" s="44"/>
      <c r="G264" s="44"/>
      <c r="H264" s="44"/>
      <c r="I264" s="44"/>
      <c r="J264" s="44"/>
      <c r="K264" s="44"/>
      <c r="L264" s="44"/>
      <c r="M264" s="44"/>
      <c r="N264" s="44"/>
      <c r="O264" s="44"/>
      <c r="P264" s="44"/>
      <c r="Q264" s="44"/>
      <c r="R264" s="44"/>
      <c r="S264" s="44"/>
      <c r="T264" s="44"/>
      <c r="U264" s="44"/>
      <c r="V264" s="44"/>
      <c r="W264" s="44"/>
      <c r="X264" s="44"/>
    </row>
    <row r="265" spans="3:24" x14ac:dyDescent="0.25">
      <c r="C265" s="44"/>
      <c r="D265" s="44"/>
      <c r="E265" s="44"/>
      <c r="F265" s="44"/>
      <c r="G265" s="44"/>
      <c r="H265" s="44"/>
      <c r="I265" s="44"/>
      <c r="J265" s="44"/>
      <c r="K265" s="44"/>
      <c r="L265" s="44"/>
      <c r="M265" s="44"/>
      <c r="N265" s="44"/>
      <c r="O265" s="44"/>
      <c r="P265" s="44"/>
      <c r="Q265" s="44"/>
      <c r="R265" s="44"/>
      <c r="S265" s="44"/>
      <c r="T265" s="44"/>
      <c r="U265" s="44"/>
      <c r="V265" s="44"/>
      <c r="W265" s="44"/>
      <c r="X265" s="44"/>
    </row>
    <row r="266" spans="3:24" x14ac:dyDescent="0.25">
      <c r="C266" s="44"/>
      <c r="D266" s="44"/>
      <c r="E266" s="44"/>
      <c r="F266" s="44"/>
      <c r="G266" s="44"/>
      <c r="H266" s="44"/>
      <c r="I266" s="44"/>
      <c r="J266" s="44"/>
      <c r="K266" s="44"/>
      <c r="L266" s="44"/>
      <c r="M266" s="44"/>
      <c r="N266" s="44"/>
      <c r="O266" s="44"/>
      <c r="P266" s="44"/>
      <c r="Q266" s="44"/>
      <c r="R266" s="44"/>
      <c r="S266" s="44"/>
      <c r="T266" s="44"/>
      <c r="U266" s="44"/>
      <c r="V266" s="44"/>
      <c r="W266" s="44"/>
      <c r="X266" s="44"/>
    </row>
    <row r="267" spans="3:24" x14ac:dyDescent="0.25">
      <c r="C267" s="44"/>
      <c r="D267" s="44"/>
      <c r="E267" s="44"/>
      <c r="F267" s="44"/>
      <c r="G267" s="44"/>
      <c r="H267" s="44"/>
      <c r="I267" s="44"/>
      <c r="J267" s="44"/>
      <c r="K267" s="44"/>
      <c r="L267" s="44"/>
      <c r="M267" s="44"/>
      <c r="N267" s="44"/>
      <c r="O267" s="44"/>
      <c r="P267" s="44"/>
      <c r="Q267" s="44"/>
      <c r="R267" s="44"/>
      <c r="S267" s="44"/>
      <c r="T267" s="44"/>
      <c r="U267" s="44"/>
      <c r="V267" s="44"/>
      <c r="W267" s="44"/>
      <c r="X267" s="44"/>
    </row>
    <row r="268" spans="3:24" x14ac:dyDescent="0.25">
      <c r="C268" s="44"/>
      <c r="D268" s="44"/>
      <c r="E268" s="44"/>
      <c r="F268" s="44"/>
      <c r="G268" s="44"/>
      <c r="H268" s="44"/>
      <c r="I268" s="44"/>
      <c r="J268" s="44"/>
      <c r="K268" s="44"/>
      <c r="L268" s="44"/>
      <c r="M268" s="44"/>
      <c r="N268" s="44"/>
      <c r="O268" s="44"/>
      <c r="P268" s="44"/>
      <c r="Q268" s="44"/>
      <c r="R268" s="44"/>
      <c r="S268" s="44"/>
      <c r="T268" s="44"/>
      <c r="U268" s="44"/>
      <c r="V268" s="44"/>
      <c r="W268" s="44"/>
      <c r="X268" s="44"/>
    </row>
    <row r="269" spans="3:24" x14ac:dyDescent="0.25">
      <c r="C269" s="44"/>
      <c r="D269" s="44"/>
      <c r="E269" s="44"/>
      <c r="F269" s="44"/>
      <c r="G269" s="44"/>
      <c r="H269" s="44"/>
      <c r="I269" s="44"/>
      <c r="J269" s="44"/>
      <c r="K269" s="44"/>
      <c r="L269" s="44"/>
      <c r="M269" s="44"/>
      <c r="N269" s="44"/>
      <c r="O269" s="44"/>
      <c r="P269" s="44"/>
      <c r="Q269" s="44"/>
      <c r="R269" s="44"/>
      <c r="S269" s="44"/>
      <c r="T269" s="44"/>
      <c r="U269" s="44"/>
      <c r="V269" s="44"/>
      <c r="W269" s="44"/>
      <c r="X269" s="44"/>
    </row>
    <row r="270" spans="3:24" x14ac:dyDescent="0.25">
      <c r="C270" s="44"/>
      <c r="D270" s="44"/>
      <c r="E270" s="44"/>
      <c r="F270" s="44"/>
      <c r="G270" s="44"/>
      <c r="H270" s="44"/>
      <c r="I270" s="44"/>
      <c r="J270" s="44"/>
      <c r="K270" s="44"/>
      <c r="L270" s="44"/>
      <c r="M270" s="44"/>
      <c r="N270" s="44"/>
      <c r="O270" s="44"/>
      <c r="P270" s="44"/>
      <c r="Q270" s="44"/>
      <c r="R270" s="44"/>
      <c r="S270" s="44"/>
      <c r="T270" s="44"/>
      <c r="U270" s="44"/>
      <c r="V270" s="44"/>
      <c r="W270" s="44"/>
      <c r="X270" s="44"/>
    </row>
    <row r="271" spans="3:24" x14ac:dyDescent="0.25">
      <c r="C271" s="44"/>
      <c r="D271" s="44"/>
      <c r="E271" s="44"/>
      <c r="F271" s="44"/>
      <c r="G271" s="44"/>
      <c r="H271" s="44"/>
      <c r="I271" s="44"/>
      <c r="J271" s="44"/>
      <c r="K271" s="44"/>
      <c r="L271" s="44"/>
      <c r="M271" s="44"/>
      <c r="N271" s="44"/>
      <c r="O271" s="44"/>
      <c r="P271" s="44"/>
      <c r="Q271" s="44"/>
      <c r="R271" s="44"/>
      <c r="S271" s="44"/>
      <c r="T271" s="44"/>
      <c r="U271" s="44"/>
      <c r="V271" s="44"/>
      <c r="W271" s="44"/>
      <c r="X271" s="44"/>
    </row>
    <row r="272" spans="3:24" x14ac:dyDescent="0.25">
      <c r="C272" s="44"/>
      <c r="D272" s="44"/>
      <c r="E272" s="44"/>
      <c r="F272" s="44"/>
      <c r="G272" s="44"/>
      <c r="H272" s="44"/>
      <c r="I272" s="44"/>
      <c r="J272" s="44"/>
      <c r="K272" s="44"/>
      <c r="L272" s="44"/>
      <c r="M272" s="44"/>
      <c r="N272" s="44"/>
      <c r="O272" s="44"/>
      <c r="P272" s="44"/>
      <c r="Q272" s="44"/>
      <c r="R272" s="44"/>
      <c r="S272" s="44"/>
      <c r="T272" s="44"/>
      <c r="U272" s="44"/>
      <c r="V272" s="44"/>
      <c r="W272" s="44"/>
      <c r="X272" s="44"/>
    </row>
    <row r="273" spans="3:24" x14ac:dyDescent="0.25">
      <c r="C273" s="44"/>
      <c r="D273" s="44"/>
      <c r="E273" s="44"/>
      <c r="F273" s="44"/>
      <c r="G273" s="44"/>
      <c r="H273" s="44"/>
      <c r="I273" s="44"/>
      <c r="J273" s="44"/>
      <c r="K273" s="44"/>
      <c r="L273" s="44"/>
      <c r="M273" s="44"/>
      <c r="N273" s="44"/>
      <c r="O273" s="44"/>
      <c r="P273" s="44"/>
      <c r="Q273" s="44"/>
      <c r="R273" s="44"/>
      <c r="S273" s="44"/>
      <c r="T273" s="44"/>
      <c r="U273" s="44"/>
      <c r="V273" s="44"/>
      <c r="W273" s="44"/>
      <c r="X273" s="44"/>
    </row>
    <row r="274" spans="3:24" x14ac:dyDescent="0.25">
      <c r="C274" s="44"/>
      <c r="D274" s="44"/>
      <c r="E274" s="44"/>
      <c r="F274" s="44"/>
      <c r="G274" s="44"/>
      <c r="H274" s="44"/>
      <c r="I274" s="44"/>
      <c r="J274" s="44"/>
      <c r="K274" s="44"/>
      <c r="L274" s="44"/>
      <c r="M274" s="44"/>
      <c r="N274" s="44"/>
      <c r="O274" s="44"/>
      <c r="P274" s="44"/>
      <c r="Q274" s="44"/>
      <c r="R274" s="44"/>
      <c r="S274" s="44"/>
      <c r="T274" s="44"/>
      <c r="U274" s="44"/>
      <c r="V274" s="44"/>
      <c r="W274" s="44"/>
      <c r="X274" s="44"/>
    </row>
    <row r="275" spans="3:24" x14ac:dyDescent="0.25">
      <c r="C275" s="44"/>
      <c r="D275" s="44"/>
      <c r="E275" s="44"/>
      <c r="F275" s="44"/>
      <c r="G275" s="44"/>
      <c r="H275" s="44"/>
      <c r="I275" s="44"/>
      <c r="J275" s="44"/>
      <c r="K275" s="44"/>
      <c r="L275" s="44"/>
      <c r="M275" s="44"/>
      <c r="N275" s="44"/>
      <c r="O275" s="44"/>
      <c r="P275" s="44"/>
      <c r="Q275" s="44"/>
      <c r="R275" s="44"/>
      <c r="S275" s="44"/>
      <c r="T275" s="44"/>
      <c r="U275" s="44"/>
      <c r="V275" s="44"/>
      <c r="W275" s="44"/>
      <c r="X275" s="44"/>
    </row>
    <row r="276" spans="3:24" x14ac:dyDescent="0.25">
      <c r="C276" s="44"/>
      <c r="D276" s="44"/>
      <c r="E276" s="44"/>
      <c r="F276" s="44"/>
      <c r="G276" s="44"/>
      <c r="H276" s="44"/>
      <c r="I276" s="44"/>
      <c r="J276" s="44"/>
      <c r="K276" s="44"/>
      <c r="L276" s="44"/>
      <c r="M276" s="44"/>
      <c r="N276" s="44"/>
      <c r="O276" s="44"/>
      <c r="P276" s="44"/>
      <c r="Q276" s="44"/>
      <c r="R276" s="44"/>
      <c r="S276" s="44"/>
      <c r="T276" s="44"/>
      <c r="U276" s="44"/>
      <c r="V276" s="44"/>
      <c r="W276" s="44"/>
      <c r="X276" s="44"/>
    </row>
    <row r="277" spans="3:24" x14ac:dyDescent="0.25">
      <c r="C277" s="44"/>
      <c r="D277" s="44"/>
      <c r="E277" s="44"/>
      <c r="F277" s="44"/>
      <c r="G277" s="44"/>
      <c r="H277" s="44"/>
      <c r="I277" s="44"/>
      <c r="J277" s="44"/>
      <c r="K277" s="44"/>
      <c r="L277" s="44"/>
      <c r="M277" s="44"/>
      <c r="N277" s="44"/>
      <c r="O277" s="44"/>
      <c r="P277" s="44"/>
      <c r="Q277" s="44"/>
      <c r="R277" s="44"/>
      <c r="S277" s="44"/>
      <c r="T277" s="44"/>
      <c r="U277" s="44"/>
      <c r="V277" s="44"/>
      <c r="W277" s="44"/>
      <c r="X277" s="44"/>
    </row>
    <row r="278" spans="3:24" x14ac:dyDescent="0.25">
      <c r="C278" s="44"/>
      <c r="D278" s="44"/>
      <c r="E278" s="44"/>
      <c r="F278" s="44"/>
      <c r="G278" s="44"/>
      <c r="H278" s="44"/>
      <c r="I278" s="44"/>
      <c r="J278" s="44"/>
      <c r="K278" s="44"/>
      <c r="L278" s="44"/>
      <c r="M278" s="44"/>
      <c r="N278" s="44"/>
      <c r="O278" s="44"/>
      <c r="P278" s="44"/>
      <c r="Q278" s="44"/>
      <c r="R278" s="44"/>
      <c r="S278" s="44"/>
      <c r="T278" s="44"/>
      <c r="U278" s="44"/>
      <c r="V278" s="44"/>
      <c r="W278" s="44"/>
      <c r="X278" s="44"/>
    </row>
    <row r="279" spans="3:24" x14ac:dyDescent="0.25">
      <c r="C279" s="44"/>
      <c r="D279" s="44"/>
      <c r="E279" s="44"/>
      <c r="F279" s="44"/>
      <c r="G279" s="44"/>
      <c r="H279" s="44"/>
      <c r="I279" s="44"/>
      <c r="J279" s="44"/>
      <c r="K279" s="44"/>
      <c r="L279" s="44"/>
      <c r="M279" s="44"/>
      <c r="N279" s="44"/>
      <c r="O279" s="44"/>
      <c r="P279" s="44"/>
      <c r="Q279" s="44"/>
      <c r="R279" s="44"/>
      <c r="S279" s="44"/>
      <c r="T279" s="44"/>
      <c r="U279" s="44"/>
      <c r="V279" s="44"/>
      <c r="W279" s="44"/>
      <c r="X279" s="44"/>
    </row>
    <row r="280" spans="3:24" x14ac:dyDescent="0.25">
      <c r="C280" s="44"/>
      <c r="D280" s="44"/>
      <c r="E280" s="44"/>
      <c r="F280" s="44"/>
      <c r="G280" s="44"/>
      <c r="H280" s="44"/>
      <c r="I280" s="44"/>
      <c r="J280" s="44"/>
      <c r="K280" s="44"/>
      <c r="L280" s="44"/>
      <c r="M280" s="44"/>
      <c r="N280" s="44"/>
      <c r="O280" s="44"/>
      <c r="P280" s="44"/>
      <c r="Q280" s="44"/>
      <c r="R280" s="44"/>
      <c r="S280" s="44"/>
      <c r="T280" s="44"/>
      <c r="U280" s="44"/>
      <c r="V280" s="44"/>
      <c r="W280" s="44"/>
      <c r="X280" s="44"/>
    </row>
    <row r="281" spans="3:24" x14ac:dyDescent="0.25">
      <c r="C281" s="44"/>
      <c r="D281" s="44"/>
      <c r="E281" s="44"/>
      <c r="F281" s="44"/>
      <c r="G281" s="44"/>
      <c r="H281" s="44"/>
      <c r="I281" s="44"/>
      <c r="J281" s="44"/>
      <c r="K281" s="44"/>
      <c r="L281" s="44"/>
      <c r="M281" s="44"/>
      <c r="N281" s="44"/>
      <c r="O281" s="44"/>
      <c r="P281" s="44"/>
      <c r="Q281" s="44"/>
      <c r="R281" s="44"/>
      <c r="S281" s="44"/>
      <c r="T281" s="44"/>
      <c r="U281" s="44"/>
      <c r="V281" s="44"/>
      <c r="W281" s="44"/>
      <c r="X281" s="44"/>
    </row>
    <row r="282" spans="3:24" x14ac:dyDescent="0.25">
      <c r="C282" s="44"/>
      <c r="D282" s="44"/>
      <c r="E282" s="44"/>
      <c r="F282" s="44"/>
      <c r="G282" s="44"/>
      <c r="H282" s="44"/>
      <c r="I282" s="44"/>
      <c r="J282" s="44"/>
      <c r="K282" s="44"/>
      <c r="L282" s="44"/>
      <c r="M282" s="44"/>
      <c r="N282" s="44"/>
      <c r="O282" s="44"/>
      <c r="P282" s="44"/>
      <c r="Q282" s="44"/>
      <c r="R282" s="44"/>
      <c r="S282" s="44"/>
      <c r="T282" s="44"/>
      <c r="U282" s="44"/>
      <c r="V282" s="44"/>
      <c r="W282" s="44"/>
      <c r="X282" s="44"/>
    </row>
    <row r="283" spans="3:24" x14ac:dyDescent="0.25">
      <c r="C283" s="44"/>
      <c r="D283" s="44"/>
      <c r="E283" s="44"/>
      <c r="F283" s="44"/>
      <c r="G283" s="44"/>
      <c r="H283" s="44"/>
      <c r="I283" s="44"/>
      <c r="J283" s="44"/>
      <c r="K283" s="44"/>
      <c r="L283" s="44"/>
      <c r="M283" s="44"/>
      <c r="N283" s="44"/>
      <c r="O283" s="44"/>
      <c r="P283" s="44"/>
      <c r="Q283" s="44"/>
      <c r="R283" s="44"/>
      <c r="S283" s="44"/>
      <c r="T283" s="44"/>
      <c r="U283" s="44"/>
      <c r="V283" s="44"/>
      <c r="W283" s="44"/>
      <c r="X283" s="44"/>
    </row>
    <row r="284" spans="3:24" x14ac:dyDescent="0.25">
      <c r="C284" s="44"/>
      <c r="D284" s="44"/>
      <c r="E284" s="44"/>
      <c r="F284" s="44"/>
      <c r="G284" s="44"/>
      <c r="H284" s="44"/>
      <c r="I284" s="44"/>
      <c r="J284" s="44"/>
      <c r="K284" s="44"/>
      <c r="L284" s="44"/>
      <c r="M284" s="44"/>
      <c r="N284" s="44"/>
      <c r="O284" s="44"/>
      <c r="P284" s="44"/>
      <c r="Q284" s="44"/>
      <c r="R284" s="44"/>
      <c r="S284" s="44"/>
      <c r="T284" s="44"/>
      <c r="U284" s="44"/>
      <c r="V284" s="44"/>
      <c r="W284" s="44"/>
      <c r="X284" s="44"/>
    </row>
    <row r="285" spans="3:24" x14ac:dyDescent="0.25">
      <c r="C285" s="44"/>
      <c r="D285" s="44"/>
      <c r="E285" s="44"/>
      <c r="F285" s="44"/>
      <c r="G285" s="44"/>
      <c r="H285" s="44"/>
      <c r="I285" s="44"/>
      <c r="J285" s="44"/>
      <c r="K285" s="44"/>
      <c r="L285" s="44"/>
      <c r="M285" s="44"/>
      <c r="N285" s="44"/>
      <c r="O285" s="44"/>
      <c r="P285" s="44"/>
      <c r="Q285" s="44"/>
      <c r="R285" s="44"/>
      <c r="S285" s="44"/>
      <c r="T285" s="44"/>
      <c r="U285" s="44"/>
      <c r="V285" s="44"/>
      <c r="W285" s="44"/>
      <c r="X285" s="44"/>
    </row>
    <row r="286" spans="3:24" x14ac:dyDescent="0.25">
      <c r="C286" s="44"/>
      <c r="D286" s="44"/>
      <c r="E286" s="44"/>
      <c r="F286" s="44"/>
      <c r="G286" s="44"/>
      <c r="H286" s="44"/>
      <c r="I286" s="44"/>
      <c r="J286" s="44"/>
      <c r="K286" s="44"/>
      <c r="L286" s="44"/>
      <c r="M286" s="44"/>
      <c r="N286" s="44"/>
      <c r="O286" s="44"/>
      <c r="P286" s="44"/>
      <c r="Q286" s="44"/>
      <c r="R286" s="44"/>
      <c r="S286" s="44"/>
      <c r="T286" s="44"/>
      <c r="U286" s="44"/>
      <c r="V286" s="44"/>
      <c r="W286" s="44"/>
      <c r="X286" s="44"/>
    </row>
    <row r="287" spans="3:24" x14ac:dyDescent="0.25">
      <c r="C287" s="44"/>
      <c r="D287" s="44"/>
      <c r="E287" s="44"/>
      <c r="F287" s="44"/>
      <c r="G287" s="44"/>
      <c r="H287" s="44"/>
      <c r="I287" s="44"/>
      <c r="J287" s="44"/>
      <c r="K287" s="44"/>
      <c r="L287" s="44"/>
      <c r="M287" s="44"/>
      <c r="N287" s="44"/>
      <c r="O287" s="44"/>
      <c r="P287" s="44"/>
      <c r="Q287" s="44"/>
      <c r="R287" s="44"/>
      <c r="S287" s="44"/>
      <c r="T287" s="44"/>
      <c r="U287" s="44"/>
      <c r="V287" s="44"/>
      <c r="W287" s="44"/>
      <c r="X287" s="44"/>
    </row>
    <row r="288" spans="3:24" x14ac:dyDescent="0.25">
      <c r="C288" s="44"/>
      <c r="D288" s="44"/>
      <c r="E288" s="44"/>
      <c r="F288" s="44"/>
      <c r="G288" s="44"/>
      <c r="H288" s="44"/>
      <c r="I288" s="44"/>
      <c r="J288" s="44"/>
      <c r="K288" s="44"/>
      <c r="L288" s="44"/>
      <c r="M288" s="44"/>
      <c r="N288" s="44"/>
      <c r="O288" s="44"/>
      <c r="P288" s="44"/>
      <c r="Q288" s="44"/>
      <c r="R288" s="44"/>
      <c r="S288" s="44"/>
      <c r="T288" s="44"/>
      <c r="U288" s="44"/>
      <c r="V288" s="44"/>
      <c r="W288" s="44"/>
      <c r="X288" s="44"/>
    </row>
    <row r="289" spans="3:24" x14ac:dyDescent="0.25">
      <c r="C289" s="44"/>
      <c r="D289" s="44"/>
      <c r="E289" s="44"/>
      <c r="F289" s="44"/>
      <c r="G289" s="44"/>
      <c r="H289" s="44"/>
      <c r="I289" s="44"/>
      <c r="J289" s="44"/>
      <c r="K289" s="44"/>
      <c r="L289" s="44"/>
      <c r="M289" s="44"/>
      <c r="N289" s="44"/>
      <c r="O289" s="44"/>
      <c r="P289" s="44"/>
      <c r="Q289" s="44"/>
      <c r="R289" s="44"/>
      <c r="S289" s="44"/>
      <c r="T289" s="44"/>
      <c r="U289" s="44"/>
      <c r="V289" s="44"/>
      <c r="W289" s="44"/>
      <c r="X289" s="44"/>
    </row>
  </sheetData>
  <mergeCells count="2">
    <mergeCell ref="C8:I8"/>
    <mergeCell ref="D11:W11"/>
  </mergeCells>
  <conditionalFormatting sqref="U1:X8 S9:X10 R11:X11 S12:X12 S13:AC13 S14:X213 T214:X358">
    <cfRule type="containsText" dxfId="23" priority="1" operator="containsText" text="ja">
      <formula>NOT(ISERROR(SEARCH(("ja"),(U1))))</formula>
    </cfRule>
    <cfRule type="containsText" dxfId="22" priority="2" operator="containsText" text="nein">
      <formula>NOT(ISERROR(SEARCH(("nein"),(U1))))</formula>
    </cfRule>
  </conditionalFormatting>
  <dataValidations count="3">
    <dataValidation type="list" errorStyle="warning" showErrorMessage="1" sqref="A11:A14 A15:A103 A104:A161 A162:A213" xr:uid="{00000000-0002-0000-0A00-000000000000}">
      <formula1>"ja,nein"</formula1>
    </dataValidation>
    <dataValidation type="list" errorStyle="warning" showErrorMessage="1" sqref="T15:U37 T38:U95 T96:U98 T99:U209 T210:U213" xr:uid="{00000000-0002-0000-0A00-000001000000}">
      <formula1>"unbestimmt, ja, nein"</formula1>
    </dataValidation>
    <dataValidation type="list" errorStyle="warning" showErrorMessage="1" sqref="B11:B213" xr:uid="{00000000-0002-0000-0A00-000002000000}">
      <formula1>"ELA,Meistertask,Cleverreach,Synology,Miro,Google,WhatsApp,Canva,Adobe,Contao,Wiki,ecoDMS,Wiki,Facebook,Instagram,TikTok,LinkedIn,Youtube,Xing,X,SalesForce,Lexware,Volksbank,Articulate,Outlook,easy2book,Domainfactory,1&amp;1"</formula1>
    </dataValidation>
  </dataValidations>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AN219"/>
  <sheetViews>
    <sheetView workbookViewId="0">
      <pane ySplit="9" topLeftCell="A10" activePane="bottomLeft" state="frozen"/>
      <selection pane="bottomLeft"/>
    </sheetView>
  </sheetViews>
  <sheetFormatPr baseColWidth="10" defaultColWidth="14.5703125" defaultRowHeight="15" x14ac:dyDescent="0.25"/>
  <cols>
    <col min="1" max="1" width="12.42578125" customWidth="1"/>
    <col min="2" max="2" width="11" customWidth="1"/>
    <col min="3" max="3" width="6.140625" customWidth="1"/>
    <col min="4" max="9" width="3.42578125" customWidth="1"/>
    <col min="10" max="10" width="42.7109375" customWidth="1"/>
    <col min="11" max="11" width="59" customWidth="1"/>
    <col min="12" max="12" width="23.140625" customWidth="1"/>
    <col min="13" max="13" width="20.42578125" customWidth="1"/>
    <col min="14" max="14" width="17" customWidth="1"/>
    <col min="15" max="17" width="17" hidden="1" customWidth="1"/>
    <col min="18" max="18" width="40.42578125" customWidth="1"/>
    <col min="20" max="20" width="14.42578125" customWidth="1"/>
    <col min="21" max="21" width="13.85546875" customWidth="1"/>
    <col min="22" max="23" width="31.85546875" customWidth="1"/>
    <col min="24" max="24" width="14.42578125" customWidth="1"/>
  </cols>
  <sheetData>
    <row r="2" spans="1:40" x14ac:dyDescent="0.25">
      <c r="I2" s="736"/>
      <c r="J2" t="s">
        <v>0</v>
      </c>
    </row>
    <row r="3" spans="1:40" x14ac:dyDescent="0.25">
      <c r="I3" s="43"/>
      <c r="J3" t="s">
        <v>1</v>
      </c>
    </row>
    <row r="4" spans="1:40" x14ac:dyDescent="0.25">
      <c r="I4" s="42"/>
      <c r="J4" t="s">
        <v>2</v>
      </c>
    </row>
    <row r="5" spans="1:40" x14ac:dyDescent="0.25">
      <c r="I5" s="106"/>
      <c r="J5" t="s">
        <v>3</v>
      </c>
    </row>
    <row r="6" spans="1:40" x14ac:dyDescent="0.25">
      <c r="I6" s="121"/>
      <c r="J6" t="s">
        <v>4</v>
      </c>
    </row>
    <row r="8" spans="1:40" x14ac:dyDescent="0.25">
      <c r="A8" s="122" t="s">
        <v>5</v>
      </c>
      <c r="B8" s="122" t="s">
        <v>6</v>
      </c>
      <c r="C8" s="122" t="s">
        <v>7</v>
      </c>
      <c r="D8" s="1077" t="s">
        <v>8</v>
      </c>
      <c r="E8" s="1077"/>
      <c r="F8" s="1077"/>
      <c r="G8" s="1077"/>
      <c r="H8" s="1077"/>
      <c r="I8" s="1077"/>
      <c r="J8" s="1077"/>
      <c r="K8" s="1078"/>
      <c r="L8" s="1079"/>
      <c r="M8" s="1080"/>
      <c r="N8" s="1080"/>
      <c r="O8" s="1080"/>
      <c r="P8" s="1080"/>
      <c r="Q8" s="1080"/>
      <c r="R8" s="1080"/>
      <c r="S8" s="1080"/>
      <c r="T8" s="1080"/>
      <c r="U8" s="1080"/>
      <c r="V8" s="1080"/>
      <c r="W8" s="1080"/>
      <c r="X8" s="1079"/>
    </row>
    <row r="9" spans="1:40" s="2" customFormat="1" ht="36.75" customHeight="1" x14ac:dyDescent="0.2">
      <c r="A9" s="7"/>
      <c r="B9" s="7"/>
      <c r="C9" s="7"/>
      <c r="D9" s="7" t="s">
        <v>9</v>
      </c>
      <c r="E9" s="32" t="s">
        <v>10</v>
      </c>
      <c r="F9" s="32" t="s">
        <v>11</v>
      </c>
      <c r="G9" s="32" t="s">
        <v>12</v>
      </c>
      <c r="H9" s="32" t="s">
        <v>13</v>
      </c>
      <c r="I9" s="32" t="s">
        <v>14</v>
      </c>
      <c r="J9" s="737" t="s">
        <v>15</v>
      </c>
      <c r="K9" s="738" t="s">
        <v>16</v>
      </c>
      <c r="L9" s="739" t="s">
        <v>17</v>
      </c>
      <c r="M9" s="740" t="s">
        <v>18</v>
      </c>
      <c r="N9" s="740" t="s">
        <v>19</v>
      </c>
      <c r="O9" s="33" t="s">
        <v>20</v>
      </c>
      <c r="P9" s="740" t="s">
        <v>21</v>
      </c>
      <c r="Q9" s="740" t="s">
        <v>22</v>
      </c>
      <c r="R9" s="740" t="s">
        <v>23</v>
      </c>
      <c r="S9" s="741" t="s">
        <v>24</v>
      </c>
      <c r="T9" s="34" t="s">
        <v>25</v>
      </c>
      <c r="U9" s="34" t="s">
        <v>26</v>
      </c>
      <c r="V9" s="35" t="s">
        <v>27</v>
      </c>
      <c r="W9" s="34" t="s">
        <v>28</v>
      </c>
      <c r="X9" s="34" t="s">
        <v>29</v>
      </c>
    </row>
    <row r="10" spans="1:40" s="2" customFormat="1" ht="20.25" customHeight="1" x14ac:dyDescent="0.2">
      <c r="A10" s="742"/>
      <c r="B10" s="742"/>
      <c r="C10" s="742"/>
      <c r="D10" s="742">
        <v>1</v>
      </c>
      <c r="E10" s="1072" t="s">
        <v>2827</v>
      </c>
      <c r="F10" s="1072"/>
      <c r="G10" s="1072"/>
      <c r="H10" s="1072"/>
      <c r="I10" s="1072"/>
      <c r="J10" s="1072"/>
      <c r="K10" s="1073"/>
      <c r="L10" s="1076"/>
      <c r="M10" s="1075"/>
      <c r="N10" s="1075"/>
      <c r="O10" s="1075"/>
      <c r="P10" s="1075"/>
      <c r="Q10" s="1075"/>
      <c r="R10" s="1075"/>
      <c r="S10" s="1075"/>
      <c r="T10" s="1075"/>
      <c r="U10" s="1075"/>
      <c r="V10" s="1075"/>
      <c r="W10" s="1075"/>
      <c r="X10" s="1076"/>
    </row>
    <row r="11" spans="1:40" ht="15.75" customHeight="1" x14ac:dyDescent="0.25">
      <c r="A11" s="3"/>
      <c r="B11" s="3"/>
      <c r="C11" s="3"/>
      <c r="D11" s="3"/>
      <c r="E11" s="747">
        <v>2</v>
      </c>
      <c r="F11" s="1081" t="s">
        <v>2828</v>
      </c>
      <c r="G11" s="1081"/>
      <c r="H11" s="1081"/>
      <c r="I11" s="1081"/>
      <c r="J11" s="1081"/>
      <c r="K11" s="1081"/>
      <c r="L11" s="1081"/>
      <c r="M11" s="1081"/>
      <c r="N11" s="1081"/>
      <c r="O11" s="1081"/>
      <c r="P11" s="1081"/>
      <c r="Q11" s="1081"/>
      <c r="R11" s="1081"/>
      <c r="S11" s="1081"/>
      <c r="T11" s="1081"/>
      <c r="U11" s="1081"/>
      <c r="V11" s="1081"/>
      <c r="W11" s="1081"/>
      <c r="X11" s="1081"/>
      <c r="Y11" s="2"/>
      <c r="Z11" s="2"/>
      <c r="AA11" s="2"/>
      <c r="AB11" s="2"/>
      <c r="AC11" s="2"/>
      <c r="AD11" s="2"/>
      <c r="AE11" s="2"/>
      <c r="AF11" s="2"/>
      <c r="AG11" s="2"/>
      <c r="AH11" s="2"/>
      <c r="AI11" s="2"/>
      <c r="AJ11" s="2"/>
      <c r="AK11" s="2"/>
      <c r="AL11" s="2"/>
      <c r="AM11" s="2"/>
      <c r="AN11" s="2"/>
    </row>
    <row r="12" spans="1:40" s="2" customFormat="1" ht="45" x14ac:dyDescent="0.25">
      <c r="A12" s="3" t="s">
        <v>1098</v>
      </c>
      <c r="B12" s="3"/>
      <c r="C12" s="3"/>
      <c r="D12" s="3"/>
      <c r="E12" s="3"/>
      <c r="F12" s="3">
        <v>3</v>
      </c>
      <c r="G12" s="3"/>
      <c r="H12" s="3"/>
      <c r="I12" s="3"/>
      <c r="J12" s="11" t="s">
        <v>2829</v>
      </c>
      <c r="K12" s="6" t="s">
        <v>2830</v>
      </c>
      <c r="L12" s="309" t="s">
        <v>2831</v>
      </c>
      <c r="M12" s="10" t="s">
        <v>2832</v>
      </c>
      <c r="N12" s="3"/>
      <c r="O12" s="3"/>
      <c r="P12" s="3"/>
      <c r="Q12" s="3"/>
      <c r="R12" s="10" t="s">
        <v>2833</v>
      </c>
      <c r="S12" s="3"/>
      <c r="T12" s="3"/>
      <c r="U12" s="3"/>
      <c r="V12" s="3"/>
      <c r="W12" s="3"/>
      <c r="X12" s="3"/>
    </row>
    <row r="13" spans="1:40" s="2" customFormat="1" ht="45" x14ac:dyDescent="0.25">
      <c r="A13" s="3" t="s">
        <v>1098</v>
      </c>
      <c r="B13" s="3"/>
      <c r="C13" s="3"/>
      <c r="D13" s="3"/>
      <c r="E13" s="3"/>
      <c r="F13" s="3">
        <v>3</v>
      </c>
      <c r="G13" s="3"/>
      <c r="H13" s="3"/>
      <c r="I13" s="3"/>
      <c r="J13" s="3" t="s">
        <v>2834</v>
      </c>
      <c r="K13" s="6" t="s">
        <v>2835</v>
      </c>
      <c r="L13" s="309" t="s">
        <v>2831</v>
      </c>
      <c r="M13" s="3"/>
      <c r="N13" s="3"/>
      <c r="O13" s="3"/>
      <c r="P13" s="3"/>
      <c r="Q13" s="3"/>
      <c r="R13" s="6" t="s">
        <v>2836</v>
      </c>
      <c r="S13" s="309" t="s">
        <v>2837</v>
      </c>
      <c r="T13" s="3"/>
      <c r="U13" s="3"/>
      <c r="V13" s="3"/>
      <c r="W13" s="3"/>
      <c r="X13" s="3"/>
    </row>
    <row r="14" spans="1:40" s="2" customFormat="1" ht="60" x14ac:dyDescent="0.25">
      <c r="A14" s="3" t="s">
        <v>1098</v>
      </c>
      <c r="B14" s="3"/>
      <c r="C14" s="3"/>
      <c r="D14" s="3"/>
      <c r="E14" s="436"/>
      <c r="F14" s="3">
        <v>3</v>
      </c>
      <c r="G14" s="3"/>
      <c r="H14" s="3"/>
      <c r="I14" s="3"/>
      <c r="J14" s="3" t="s">
        <v>2838</v>
      </c>
      <c r="K14" s="6" t="s">
        <v>2839</v>
      </c>
      <c r="L14" s="309" t="s">
        <v>2840</v>
      </c>
      <c r="M14" s="10" t="s">
        <v>2832</v>
      </c>
      <c r="N14" s="3"/>
      <c r="O14" s="3"/>
      <c r="P14" s="3"/>
      <c r="Q14" s="10"/>
      <c r="R14" s="6" t="s">
        <v>2841</v>
      </c>
      <c r="S14" s="309" t="s">
        <v>2837</v>
      </c>
      <c r="T14" s="3"/>
      <c r="U14" s="3"/>
      <c r="V14" s="3"/>
      <c r="W14" s="3"/>
      <c r="X14" s="3"/>
    </row>
    <row r="15" spans="1:40" s="2" customFormat="1" ht="60" x14ac:dyDescent="0.25">
      <c r="A15" s="3" t="s">
        <v>1098</v>
      </c>
      <c r="B15" s="3"/>
      <c r="C15" s="3"/>
      <c r="D15" s="3"/>
      <c r="E15" s="436"/>
      <c r="F15" s="3">
        <v>3</v>
      </c>
      <c r="G15" s="3"/>
      <c r="H15" s="3"/>
      <c r="I15" s="3"/>
      <c r="J15" s="3" t="s">
        <v>2842</v>
      </c>
      <c r="K15" s="6" t="s">
        <v>2843</v>
      </c>
      <c r="L15" s="309" t="s">
        <v>2840</v>
      </c>
      <c r="M15" s="10" t="s">
        <v>2832</v>
      </c>
      <c r="N15" s="3"/>
      <c r="O15" s="3"/>
      <c r="P15" s="3"/>
      <c r="Q15" s="10"/>
      <c r="R15" s="6" t="s">
        <v>2844</v>
      </c>
      <c r="S15" s="309" t="s">
        <v>2837</v>
      </c>
      <c r="T15" s="3"/>
      <c r="U15" s="3"/>
      <c r="V15" s="3"/>
      <c r="W15" s="3"/>
      <c r="X15" s="3"/>
    </row>
    <row r="16" spans="1:40" s="2" customFormat="1" ht="30" x14ac:dyDescent="0.25">
      <c r="A16" s="3" t="s">
        <v>1098</v>
      </c>
      <c r="B16" s="3"/>
      <c r="C16" s="3"/>
      <c r="D16" s="3"/>
      <c r="E16" s="436"/>
      <c r="F16" s="3">
        <v>3</v>
      </c>
      <c r="G16" s="3"/>
      <c r="H16" s="3"/>
      <c r="I16" s="3"/>
      <c r="J16" s="3" t="s">
        <v>2845</v>
      </c>
      <c r="K16" s="6" t="s">
        <v>2846</v>
      </c>
      <c r="L16" s="309" t="s">
        <v>2840</v>
      </c>
      <c r="M16" s="10" t="s">
        <v>2832</v>
      </c>
      <c r="N16" s="3"/>
      <c r="O16" s="3"/>
      <c r="P16" s="3"/>
      <c r="Q16" s="3"/>
      <c r="R16" s="6" t="s">
        <v>2847</v>
      </c>
      <c r="S16" s="309" t="s">
        <v>2837</v>
      </c>
      <c r="T16" s="3"/>
      <c r="U16" s="3"/>
      <c r="V16" s="3"/>
      <c r="W16" s="3"/>
      <c r="X16" s="3"/>
    </row>
    <row r="17" spans="1:24" s="2" customFormat="1" ht="30" x14ac:dyDescent="0.25">
      <c r="A17" s="3" t="s">
        <v>1098</v>
      </c>
      <c r="B17" s="3"/>
      <c r="C17" s="3"/>
      <c r="D17" s="3"/>
      <c r="E17" s="436"/>
      <c r="F17" s="3">
        <v>3</v>
      </c>
      <c r="G17" s="3"/>
      <c r="H17" s="3"/>
      <c r="I17" s="3"/>
      <c r="J17" s="889" t="s">
        <v>2848</v>
      </c>
      <c r="K17" s="6" t="s">
        <v>2849</v>
      </c>
      <c r="L17" s="6" t="s">
        <v>2840</v>
      </c>
      <c r="M17" s="10" t="s">
        <v>2832</v>
      </c>
      <c r="N17" s="3"/>
      <c r="O17" s="3"/>
      <c r="P17" s="3"/>
      <c r="Q17" s="3"/>
      <c r="R17" s="6"/>
      <c r="S17" s="309" t="s">
        <v>2837</v>
      </c>
      <c r="T17" s="3"/>
      <c r="U17" s="3"/>
      <c r="V17" s="3"/>
      <c r="W17" s="3"/>
      <c r="X17" s="3"/>
    </row>
    <row r="18" spans="1:24" s="2" customFormat="1" ht="12.75" x14ac:dyDescent="0.2">
      <c r="A18" s="3"/>
      <c r="B18" s="3"/>
      <c r="C18" s="3"/>
      <c r="D18" s="3"/>
      <c r="E18" s="747">
        <v>2</v>
      </c>
      <c r="F18" s="1081" t="s">
        <v>2850</v>
      </c>
      <c r="G18" s="1081"/>
      <c r="H18" s="1081"/>
      <c r="I18" s="1081"/>
      <c r="J18" s="1081"/>
      <c r="K18" s="1081"/>
      <c r="L18" s="1081"/>
      <c r="M18" s="1081"/>
      <c r="N18" s="1081"/>
      <c r="O18" s="1081"/>
      <c r="P18" s="1081"/>
      <c r="Q18" s="1081"/>
      <c r="R18" s="1081"/>
      <c r="S18" s="1081"/>
      <c r="T18" s="1081"/>
      <c r="U18" s="1081"/>
      <c r="V18" s="1081"/>
      <c r="W18" s="1081"/>
      <c r="X18" s="1081"/>
    </row>
    <row r="19" spans="1:24" s="2" customFormat="1" ht="30" x14ac:dyDescent="0.25">
      <c r="A19" s="3" t="s">
        <v>1098</v>
      </c>
      <c r="B19" s="3"/>
      <c r="C19" s="3"/>
      <c r="D19" s="3"/>
      <c r="E19" s="3"/>
      <c r="F19" s="3">
        <v>3</v>
      </c>
      <c r="G19" s="3"/>
      <c r="H19" s="3"/>
      <c r="I19" s="3"/>
      <c r="J19" s="11" t="s">
        <v>2851</v>
      </c>
      <c r="K19" s="6" t="s">
        <v>2852</v>
      </c>
      <c r="L19" s="6" t="s">
        <v>2840</v>
      </c>
      <c r="M19" s="10" t="s">
        <v>2832</v>
      </c>
      <c r="N19" s="10"/>
      <c r="O19" s="10"/>
      <c r="P19" s="6"/>
      <c r="Q19" s="6"/>
      <c r="R19" s="10"/>
      <c r="S19" s="309" t="s">
        <v>2837</v>
      </c>
      <c r="T19" s="4"/>
      <c r="U19" s="4"/>
      <c r="V19" s="3"/>
      <c r="W19" s="3"/>
      <c r="X19" s="3"/>
    </row>
    <row r="20" spans="1:24" s="2" customFormat="1" ht="60" x14ac:dyDescent="0.25">
      <c r="A20" s="3" t="s">
        <v>1098</v>
      </c>
      <c r="B20" s="3"/>
      <c r="C20" s="3"/>
      <c r="D20" s="3"/>
      <c r="E20" s="3"/>
      <c r="F20" s="3"/>
      <c r="G20" s="3">
        <v>4</v>
      </c>
      <c r="H20" s="3"/>
      <c r="I20" s="3"/>
      <c r="J20" s="11" t="s">
        <v>2853</v>
      </c>
      <c r="K20" s="6" t="s">
        <v>2854</v>
      </c>
      <c r="L20" s="6" t="s">
        <v>2840</v>
      </c>
      <c r="M20" s="10" t="s">
        <v>2832</v>
      </c>
      <c r="N20" s="10"/>
      <c r="O20" s="10"/>
      <c r="P20" s="6"/>
      <c r="Q20" s="6"/>
      <c r="R20" s="10"/>
      <c r="S20" s="309" t="s">
        <v>2837</v>
      </c>
      <c r="T20" s="4"/>
      <c r="U20" s="4"/>
      <c r="V20" s="3"/>
      <c r="W20" s="3"/>
      <c r="X20" s="3"/>
    </row>
    <row r="21" spans="1:24" s="2" customFormat="1" ht="30" x14ac:dyDescent="0.25">
      <c r="A21" s="3" t="s">
        <v>1098</v>
      </c>
      <c r="B21" s="3"/>
      <c r="C21" s="3"/>
      <c r="D21" s="3"/>
      <c r="E21" s="3"/>
      <c r="F21" s="3"/>
      <c r="G21" s="3"/>
      <c r="H21" s="3">
        <v>5</v>
      </c>
      <c r="I21" s="3"/>
      <c r="J21" s="11" t="s">
        <v>2832</v>
      </c>
      <c r="K21" s="616" t="s">
        <v>2855</v>
      </c>
      <c r="L21" s="6" t="s">
        <v>2840</v>
      </c>
      <c r="M21" s="6" t="s">
        <v>2856</v>
      </c>
      <c r="N21" s="10"/>
      <c r="O21" s="10"/>
      <c r="P21" s="6"/>
      <c r="Q21" s="6"/>
      <c r="R21" s="10" t="s">
        <v>2857</v>
      </c>
      <c r="S21" s="309" t="s">
        <v>2837</v>
      </c>
      <c r="T21" s="4"/>
      <c r="U21" s="4"/>
      <c r="V21" s="3"/>
      <c r="W21" s="3"/>
      <c r="X21" s="3"/>
    </row>
    <row r="22" spans="1:24" s="2" customFormat="1" ht="12.75" x14ac:dyDescent="0.2">
      <c r="A22" s="3"/>
      <c r="B22" s="3"/>
      <c r="C22" s="3"/>
      <c r="D22" s="3"/>
      <c r="E22" s="747">
        <v>2</v>
      </c>
      <c r="F22" s="1081" t="s">
        <v>2858</v>
      </c>
      <c r="G22" s="1081"/>
      <c r="H22" s="1081"/>
      <c r="I22" s="1081"/>
      <c r="J22" s="1081"/>
      <c r="K22" s="1081"/>
      <c r="L22" s="1081"/>
      <c r="M22" s="1081"/>
      <c r="N22" s="1081"/>
      <c r="O22" s="1081"/>
      <c r="P22" s="1081"/>
      <c r="Q22" s="1081"/>
      <c r="R22" s="1081"/>
      <c r="S22" s="1081"/>
      <c r="T22" s="1081"/>
      <c r="U22" s="1081"/>
      <c r="V22" s="1081"/>
      <c r="W22" s="1081"/>
      <c r="X22" s="1081"/>
    </row>
    <row r="23" spans="1:24" s="2" customFormat="1" ht="30" x14ac:dyDescent="0.25">
      <c r="A23" s="3" t="s">
        <v>1098</v>
      </c>
      <c r="B23" s="3"/>
      <c r="C23" s="3"/>
      <c r="D23" s="3"/>
      <c r="E23" s="3"/>
      <c r="F23" s="3">
        <v>3</v>
      </c>
      <c r="G23" s="3"/>
      <c r="H23" s="3"/>
      <c r="I23" s="3"/>
      <c r="J23" s="11" t="s">
        <v>2859</v>
      </c>
      <c r="K23" s="6" t="s">
        <v>2860</v>
      </c>
      <c r="L23" s="6" t="s">
        <v>2840</v>
      </c>
      <c r="M23" s="10" t="s">
        <v>2861</v>
      </c>
      <c r="N23" s="10"/>
      <c r="O23" s="10"/>
      <c r="P23" s="6"/>
      <c r="Q23" s="6"/>
      <c r="R23" s="10" t="s">
        <v>2862</v>
      </c>
      <c r="S23" s="309" t="s">
        <v>2837</v>
      </c>
      <c r="T23" s="4"/>
      <c r="U23" s="4"/>
      <c r="V23" s="3"/>
      <c r="W23" s="3"/>
      <c r="X23" s="3"/>
    </row>
    <row r="24" spans="1:24" s="2" customFormat="1" ht="45" x14ac:dyDescent="0.25">
      <c r="A24" s="3" t="s">
        <v>1098</v>
      </c>
      <c r="B24" s="3"/>
      <c r="C24" s="3"/>
      <c r="D24" s="3"/>
      <c r="E24" s="3"/>
      <c r="F24" s="3"/>
      <c r="G24" s="3">
        <v>4</v>
      </c>
      <c r="H24" s="3"/>
      <c r="I24" s="3"/>
      <c r="J24" s="11" t="s">
        <v>2863</v>
      </c>
      <c r="K24" s="6" t="s">
        <v>2864</v>
      </c>
      <c r="L24" s="6" t="s">
        <v>2840</v>
      </c>
      <c r="M24" s="10" t="s">
        <v>2861</v>
      </c>
      <c r="N24" s="10"/>
      <c r="O24" s="10"/>
      <c r="P24" s="6"/>
      <c r="Q24" s="6"/>
      <c r="R24" s="6" t="s">
        <v>2865</v>
      </c>
      <c r="S24" s="309" t="s">
        <v>2837</v>
      </c>
      <c r="T24" s="4"/>
      <c r="U24" s="4"/>
      <c r="V24" s="3"/>
      <c r="W24" s="3"/>
      <c r="X24" s="3"/>
    </row>
    <row r="25" spans="1:24" s="2" customFormat="1" ht="60" x14ac:dyDescent="0.25">
      <c r="A25" s="3" t="s">
        <v>1098</v>
      </c>
      <c r="B25" s="3"/>
      <c r="C25" s="3"/>
      <c r="D25" s="3"/>
      <c r="E25" s="3"/>
      <c r="F25" s="3"/>
      <c r="G25" s="3">
        <v>4</v>
      </c>
      <c r="H25" s="3"/>
      <c r="I25" s="3"/>
      <c r="J25" s="11" t="s">
        <v>2866</v>
      </c>
      <c r="K25" s="6" t="s">
        <v>2867</v>
      </c>
      <c r="L25" s="6" t="s">
        <v>2840</v>
      </c>
      <c r="M25" s="10" t="s">
        <v>2861</v>
      </c>
      <c r="N25" s="10"/>
      <c r="O25" s="10"/>
      <c r="P25" s="6"/>
      <c r="Q25" s="6"/>
      <c r="R25" s="10"/>
      <c r="S25" s="309" t="s">
        <v>2837</v>
      </c>
      <c r="T25" s="4"/>
      <c r="U25" s="4"/>
      <c r="V25" s="3"/>
      <c r="W25" s="3"/>
      <c r="X25" s="3"/>
    </row>
    <row r="26" spans="1:24" s="2" customFormat="1" ht="60" x14ac:dyDescent="0.25">
      <c r="A26" s="3" t="s">
        <v>1098</v>
      </c>
      <c r="B26" s="3"/>
      <c r="C26" s="3"/>
      <c r="D26" s="3"/>
      <c r="E26" s="3"/>
      <c r="F26" s="3"/>
      <c r="G26" s="3"/>
      <c r="H26" s="3">
        <v>5</v>
      </c>
      <c r="I26" s="3"/>
      <c r="J26" s="11" t="s">
        <v>2868</v>
      </c>
      <c r="K26" s="6" t="s">
        <v>2869</v>
      </c>
      <c r="L26" s="6" t="s">
        <v>2840</v>
      </c>
      <c r="M26" s="10" t="s">
        <v>2861</v>
      </c>
      <c r="N26" s="10"/>
      <c r="O26" s="10"/>
      <c r="P26" s="6"/>
      <c r="Q26" s="6"/>
      <c r="R26" s="10"/>
      <c r="S26" s="309"/>
      <c r="T26" s="4"/>
      <c r="U26" s="4"/>
      <c r="V26" s="3"/>
      <c r="W26" s="3"/>
      <c r="X26" s="3"/>
    </row>
    <row r="27" spans="1:24" s="2" customFormat="1" ht="90" x14ac:dyDescent="0.25">
      <c r="A27" s="3" t="s">
        <v>1098</v>
      </c>
      <c r="B27" s="3"/>
      <c r="C27" s="3"/>
      <c r="D27" s="3"/>
      <c r="E27" s="3"/>
      <c r="F27" s="3"/>
      <c r="G27" s="3"/>
      <c r="H27" s="3"/>
      <c r="I27" s="3">
        <v>6</v>
      </c>
      <c r="J27" s="11" t="s">
        <v>2870</v>
      </c>
      <c r="K27" s="6" t="s">
        <v>2871</v>
      </c>
      <c r="L27" s="6" t="s">
        <v>2840</v>
      </c>
      <c r="M27" s="10" t="s">
        <v>2861</v>
      </c>
      <c r="N27" s="10"/>
      <c r="O27" s="10"/>
      <c r="P27" s="6"/>
      <c r="Q27" s="6"/>
      <c r="R27" s="6" t="s">
        <v>2872</v>
      </c>
      <c r="S27" s="309" t="s">
        <v>2837</v>
      </c>
      <c r="T27" s="4"/>
      <c r="U27" s="4"/>
      <c r="V27" s="3"/>
      <c r="W27" s="3"/>
      <c r="X27" s="3"/>
    </row>
    <row r="28" spans="1:24" s="2" customFormat="1" ht="45" x14ac:dyDescent="0.25">
      <c r="A28" s="3" t="s">
        <v>1098</v>
      </c>
      <c r="B28" s="3"/>
      <c r="C28" s="3"/>
      <c r="D28" s="3"/>
      <c r="E28" s="3"/>
      <c r="F28" s="3"/>
      <c r="G28" s="3"/>
      <c r="H28" s="3"/>
      <c r="I28" s="3">
        <v>6</v>
      </c>
      <c r="J28" s="11" t="s">
        <v>2873</v>
      </c>
      <c r="K28" s="6" t="s">
        <v>2874</v>
      </c>
      <c r="L28" s="6" t="s">
        <v>2840</v>
      </c>
      <c r="M28" s="10" t="s">
        <v>2861</v>
      </c>
      <c r="N28" s="10"/>
      <c r="O28" s="10"/>
      <c r="P28" s="6"/>
      <c r="Q28" s="6"/>
      <c r="R28" s="6" t="s">
        <v>2875</v>
      </c>
      <c r="S28" s="309" t="s">
        <v>2837</v>
      </c>
      <c r="T28" s="4"/>
      <c r="U28" s="4"/>
      <c r="V28" s="3"/>
      <c r="W28" s="3"/>
      <c r="X28" s="3"/>
    </row>
    <row r="29" spans="1:24" s="2" customFormat="1" ht="60" x14ac:dyDescent="0.25">
      <c r="A29" s="3" t="s">
        <v>1098</v>
      </c>
      <c r="B29" s="3"/>
      <c r="C29" s="3"/>
      <c r="D29" s="3"/>
      <c r="E29" s="3"/>
      <c r="F29" s="3"/>
      <c r="G29" s="3">
        <v>4</v>
      </c>
      <c r="H29" s="3"/>
      <c r="I29" s="3"/>
      <c r="J29" s="11" t="s">
        <v>2876</v>
      </c>
      <c r="K29" s="6" t="s">
        <v>2877</v>
      </c>
      <c r="L29" s="6" t="s">
        <v>2840</v>
      </c>
      <c r="M29" s="10" t="s">
        <v>2861</v>
      </c>
      <c r="N29" s="10"/>
      <c r="O29" s="10"/>
      <c r="P29" s="6"/>
      <c r="Q29" s="6"/>
      <c r="R29" s="10"/>
      <c r="S29" s="309" t="s">
        <v>2837</v>
      </c>
      <c r="T29" s="4"/>
      <c r="U29" s="4"/>
      <c r="V29" s="3"/>
      <c r="W29" s="3"/>
      <c r="X29" s="3"/>
    </row>
    <row r="30" spans="1:24" s="2" customFormat="1" ht="30" x14ac:dyDescent="0.25">
      <c r="A30" s="3" t="s">
        <v>1098</v>
      </c>
      <c r="B30" s="3"/>
      <c r="C30" s="3"/>
      <c r="D30" s="3"/>
      <c r="E30" s="3"/>
      <c r="F30" s="3"/>
      <c r="G30" s="3">
        <v>4</v>
      </c>
      <c r="H30" s="3"/>
      <c r="I30" s="3"/>
      <c r="J30" s="11" t="s">
        <v>2878</v>
      </c>
      <c r="K30" s="6" t="s">
        <v>2879</v>
      </c>
      <c r="L30" s="6" t="s">
        <v>2840</v>
      </c>
      <c r="M30" s="10" t="s">
        <v>2861</v>
      </c>
      <c r="N30" s="10"/>
      <c r="O30" s="10"/>
      <c r="P30" s="6"/>
      <c r="Q30" s="6"/>
      <c r="R30" s="10" t="s">
        <v>2880</v>
      </c>
      <c r="S30" s="309" t="s">
        <v>2837</v>
      </c>
      <c r="T30" s="4"/>
      <c r="U30" s="4"/>
      <c r="V30" s="3"/>
      <c r="W30" s="3"/>
      <c r="X30" s="3"/>
    </row>
    <row r="31" spans="1:24" s="2" customFormat="1" ht="27" customHeight="1" x14ac:dyDescent="0.25">
      <c r="A31" s="3" t="s">
        <v>1098</v>
      </c>
      <c r="B31" s="3"/>
      <c r="C31" s="3"/>
      <c r="D31" s="3"/>
      <c r="E31" s="3"/>
      <c r="F31" s="3"/>
      <c r="G31" s="3">
        <v>4</v>
      </c>
      <c r="H31" s="3"/>
      <c r="I31" s="3"/>
      <c r="J31" s="11" t="s">
        <v>2881</v>
      </c>
      <c r="K31" s="6" t="s">
        <v>2882</v>
      </c>
      <c r="L31" s="6" t="s">
        <v>2840</v>
      </c>
      <c r="M31" s="10" t="s">
        <v>2861</v>
      </c>
      <c r="N31" s="10"/>
      <c r="O31" s="10"/>
      <c r="P31" s="6"/>
      <c r="Q31" s="6"/>
      <c r="R31" s="10"/>
      <c r="S31" s="309" t="s">
        <v>2837</v>
      </c>
      <c r="T31" s="4"/>
      <c r="U31" s="4"/>
      <c r="V31" s="3"/>
      <c r="W31" s="3"/>
      <c r="X31" s="3"/>
    </row>
    <row r="32" spans="1:24" s="2" customFormat="1" ht="20.25" customHeight="1" x14ac:dyDescent="0.2">
      <c r="A32" s="3"/>
      <c r="B32" s="3"/>
      <c r="C32" s="742"/>
      <c r="D32" s="742">
        <v>1</v>
      </c>
      <c r="E32" s="1072" t="s">
        <v>2883</v>
      </c>
      <c r="F32" s="1072"/>
      <c r="G32" s="1072"/>
      <c r="H32" s="1072"/>
      <c r="I32" s="1072"/>
      <c r="J32" s="1072"/>
      <c r="K32" s="1073"/>
      <c r="L32" s="1076"/>
      <c r="M32" s="1075"/>
      <c r="N32" s="1075"/>
      <c r="O32" s="1075"/>
      <c r="P32" s="1075"/>
      <c r="Q32" s="1075"/>
      <c r="R32" s="1075"/>
      <c r="S32" s="1075"/>
      <c r="T32" s="1075"/>
      <c r="U32" s="1075"/>
      <c r="V32" s="1075"/>
      <c r="W32" s="1075"/>
      <c r="X32" s="1076"/>
    </row>
    <row r="33" spans="1:24" s="2" customFormat="1" ht="15.75" customHeight="1" x14ac:dyDescent="0.2">
      <c r="A33" s="3"/>
      <c r="B33" s="3"/>
      <c r="C33" s="3"/>
      <c r="D33" s="3"/>
      <c r="E33" s="747">
        <v>2</v>
      </c>
      <c r="F33" s="1081" t="s">
        <v>2884</v>
      </c>
      <c r="G33" s="1081"/>
      <c r="H33" s="1081"/>
      <c r="I33" s="1081"/>
      <c r="J33" s="1081"/>
      <c r="K33" s="1081"/>
      <c r="L33" s="1081"/>
      <c r="M33" s="1081"/>
      <c r="N33" s="1081"/>
      <c r="O33" s="1081"/>
      <c r="P33" s="1081"/>
      <c r="Q33" s="1081"/>
      <c r="R33" s="1081"/>
      <c r="S33" s="1081"/>
      <c r="T33" s="1081"/>
      <c r="U33" s="1081"/>
      <c r="V33" s="1081"/>
      <c r="W33" s="1081"/>
      <c r="X33" s="1081"/>
    </row>
    <row r="34" spans="1:24" s="2" customFormat="1" ht="26.25" x14ac:dyDescent="0.25">
      <c r="A34" s="3" t="s">
        <v>1098</v>
      </c>
      <c r="B34" s="3"/>
      <c r="C34" s="3"/>
      <c r="D34" s="3"/>
      <c r="E34" s="3"/>
      <c r="F34" s="3">
        <v>3</v>
      </c>
      <c r="G34" s="3"/>
      <c r="H34" s="3"/>
      <c r="I34" s="3"/>
      <c r="J34" s="11" t="s">
        <v>2832</v>
      </c>
      <c r="K34" s="616" t="s">
        <v>2855</v>
      </c>
      <c r="L34" s="6" t="s">
        <v>2840</v>
      </c>
      <c r="M34" s="6"/>
      <c r="N34" s="10"/>
      <c r="O34" s="10"/>
      <c r="P34" s="6"/>
      <c r="Q34" s="6"/>
      <c r="R34" s="10"/>
      <c r="S34" s="309" t="s">
        <v>2837</v>
      </c>
      <c r="T34" s="4"/>
      <c r="U34" s="4"/>
      <c r="V34" s="3"/>
      <c r="W34" s="3"/>
      <c r="X34" s="3"/>
    </row>
    <row r="35" spans="1:24" s="2" customFormat="1" ht="30" x14ac:dyDescent="0.25">
      <c r="A35" s="3" t="s">
        <v>1098</v>
      </c>
      <c r="B35" s="3"/>
      <c r="C35" s="3"/>
      <c r="D35" s="3"/>
      <c r="E35" s="3"/>
      <c r="F35" s="3"/>
      <c r="G35" s="3">
        <v>4</v>
      </c>
      <c r="H35" s="3"/>
      <c r="I35" s="3"/>
      <c r="J35" s="11" t="s">
        <v>2885</v>
      </c>
      <c r="K35" s="6" t="s">
        <v>2886</v>
      </c>
      <c r="L35" s="6" t="s">
        <v>2840</v>
      </c>
      <c r="M35" s="6"/>
      <c r="N35" s="10"/>
      <c r="O35" s="10"/>
      <c r="P35" s="6"/>
      <c r="Q35" s="6"/>
      <c r="R35" s="6" t="s">
        <v>2887</v>
      </c>
      <c r="S35" s="309" t="s">
        <v>2837</v>
      </c>
      <c r="T35" s="4"/>
      <c r="U35" s="4"/>
      <c r="V35" s="3"/>
      <c r="W35" s="3"/>
      <c r="X35" s="3"/>
    </row>
    <row r="36" spans="1:24" s="2" customFormat="1" ht="90" x14ac:dyDescent="0.25">
      <c r="A36" s="3" t="s">
        <v>1098</v>
      </c>
      <c r="B36" s="3"/>
      <c r="C36" s="3"/>
      <c r="D36" s="3"/>
      <c r="E36" s="3"/>
      <c r="F36" s="3"/>
      <c r="G36" s="3">
        <v>4</v>
      </c>
      <c r="H36" s="3"/>
      <c r="I36" s="3"/>
      <c r="J36" s="11" t="s">
        <v>2888</v>
      </c>
      <c r="K36" s="6" t="s">
        <v>2889</v>
      </c>
      <c r="L36" s="6" t="s">
        <v>2840</v>
      </c>
      <c r="M36" s="6"/>
      <c r="N36" s="10"/>
      <c r="O36" s="10"/>
      <c r="P36" s="6"/>
      <c r="Q36" s="6"/>
      <c r="R36" s="6" t="s">
        <v>2890</v>
      </c>
      <c r="S36" s="309" t="s">
        <v>2837</v>
      </c>
      <c r="T36" s="4"/>
      <c r="U36" s="4"/>
      <c r="V36" s="3"/>
      <c r="W36" s="3"/>
      <c r="X36" s="3"/>
    </row>
    <row r="37" spans="1:24" s="2" customFormat="1" ht="30" x14ac:dyDescent="0.25">
      <c r="A37" s="3" t="s">
        <v>1098</v>
      </c>
      <c r="B37" s="3"/>
      <c r="C37" s="3"/>
      <c r="D37" s="3"/>
      <c r="E37" s="3"/>
      <c r="F37" s="3"/>
      <c r="G37" s="3">
        <v>4</v>
      </c>
      <c r="H37" s="3"/>
      <c r="I37" s="3"/>
      <c r="J37" s="11" t="s">
        <v>2891</v>
      </c>
      <c r="K37" s="6" t="s">
        <v>2892</v>
      </c>
      <c r="L37" s="6" t="s">
        <v>2840</v>
      </c>
      <c r="M37" s="6"/>
      <c r="N37" s="10"/>
      <c r="O37" s="10"/>
      <c r="P37" s="6"/>
      <c r="Q37" s="6"/>
      <c r="R37" s="6" t="s">
        <v>2893</v>
      </c>
      <c r="S37" s="309" t="s">
        <v>2837</v>
      </c>
      <c r="T37" s="4"/>
      <c r="U37" s="4"/>
      <c r="V37" s="3"/>
      <c r="W37" s="3"/>
      <c r="X37" s="3"/>
    </row>
    <row r="38" spans="1:24" s="2" customFormat="1" ht="75" x14ac:dyDescent="0.25">
      <c r="A38" s="3" t="s">
        <v>1098</v>
      </c>
      <c r="B38" s="3"/>
      <c r="C38" s="3"/>
      <c r="D38" s="3"/>
      <c r="E38" s="3"/>
      <c r="F38" s="3"/>
      <c r="G38" s="3"/>
      <c r="H38" s="3">
        <v>5</v>
      </c>
      <c r="I38" s="3"/>
      <c r="J38" s="11" t="s">
        <v>2894</v>
      </c>
      <c r="K38" s="6" t="s">
        <v>2895</v>
      </c>
      <c r="L38" s="6" t="s">
        <v>2840</v>
      </c>
      <c r="M38" s="6"/>
      <c r="N38" s="10"/>
      <c r="O38" s="10"/>
      <c r="P38" s="6"/>
      <c r="Q38" s="6"/>
      <c r="R38" s="6" t="s">
        <v>2896</v>
      </c>
      <c r="S38" s="309" t="s">
        <v>2837</v>
      </c>
      <c r="T38" s="4"/>
      <c r="U38" s="4"/>
      <c r="V38" s="3"/>
      <c r="W38" s="3"/>
      <c r="X38" s="3"/>
    </row>
    <row r="39" spans="1:24" s="2" customFormat="1" ht="75" x14ac:dyDescent="0.25">
      <c r="A39" s="3" t="s">
        <v>1098</v>
      </c>
      <c r="B39" s="3"/>
      <c r="C39" s="3"/>
      <c r="D39" s="3"/>
      <c r="E39" s="3"/>
      <c r="F39" s="3"/>
      <c r="G39" s="3"/>
      <c r="H39" s="3">
        <v>5</v>
      </c>
      <c r="I39" s="3"/>
      <c r="J39" s="11" t="s">
        <v>2897</v>
      </c>
      <c r="K39" s="6" t="s">
        <v>2898</v>
      </c>
      <c r="L39" s="6" t="s">
        <v>2840</v>
      </c>
      <c r="M39" s="6"/>
      <c r="N39" s="10"/>
      <c r="O39" s="10"/>
      <c r="P39" s="6"/>
      <c r="Q39" s="6"/>
      <c r="R39" s="6" t="s">
        <v>2899</v>
      </c>
      <c r="S39" s="309" t="s">
        <v>2837</v>
      </c>
      <c r="T39" s="4"/>
      <c r="U39" s="4"/>
      <c r="V39" s="3"/>
      <c r="W39" s="3"/>
      <c r="X39" s="3"/>
    </row>
    <row r="40" spans="1:24" s="2" customFormat="1" ht="45" x14ac:dyDescent="0.25">
      <c r="A40" s="3" t="s">
        <v>1098</v>
      </c>
      <c r="B40" s="3"/>
      <c r="C40" s="3"/>
      <c r="D40" s="3"/>
      <c r="E40" s="3"/>
      <c r="F40" s="3"/>
      <c r="G40" s="3"/>
      <c r="H40" s="3"/>
      <c r="I40" s="3">
        <v>6</v>
      </c>
      <c r="J40" s="11" t="s">
        <v>2900</v>
      </c>
      <c r="K40" s="6" t="s">
        <v>2901</v>
      </c>
      <c r="L40" s="6" t="s">
        <v>2840</v>
      </c>
      <c r="M40" s="6"/>
      <c r="N40" s="10"/>
      <c r="O40" s="10"/>
      <c r="P40" s="6"/>
      <c r="Q40" s="6"/>
      <c r="R40" s="6" t="s">
        <v>2902</v>
      </c>
      <c r="S40" s="309" t="s">
        <v>2837</v>
      </c>
      <c r="T40" s="4"/>
      <c r="U40" s="4"/>
      <c r="V40" s="3"/>
      <c r="W40" s="3"/>
      <c r="X40" s="3"/>
    </row>
    <row r="41" spans="1:24" s="2" customFormat="1" ht="75" x14ac:dyDescent="0.25">
      <c r="A41" s="3" t="s">
        <v>1098</v>
      </c>
      <c r="B41" s="3"/>
      <c r="C41" s="3"/>
      <c r="D41" s="3"/>
      <c r="E41" s="3"/>
      <c r="F41" s="3"/>
      <c r="G41" s="3"/>
      <c r="H41" s="3"/>
      <c r="I41" s="3">
        <v>6</v>
      </c>
      <c r="J41" s="11" t="s">
        <v>2903</v>
      </c>
      <c r="K41" s="6" t="s">
        <v>2904</v>
      </c>
      <c r="L41" s="6" t="s">
        <v>2840</v>
      </c>
      <c r="M41" s="6"/>
      <c r="N41" s="10"/>
      <c r="O41" s="10"/>
      <c r="P41" s="6"/>
      <c r="Q41" s="6"/>
      <c r="R41" s="6" t="s">
        <v>2905</v>
      </c>
      <c r="S41" s="309" t="s">
        <v>2837</v>
      </c>
      <c r="T41" s="4"/>
      <c r="U41" s="4"/>
      <c r="V41" s="3"/>
      <c r="W41" s="3"/>
      <c r="X41" s="3"/>
    </row>
    <row r="42" spans="1:24" s="2" customFormat="1" ht="75" x14ac:dyDescent="0.25">
      <c r="A42" s="3" t="s">
        <v>1098</v>
      </c>
      <c r="B42" s="3"/>
      <c r="C42" s="3"/>
      <c r="D42" s="3"/>
      <c r="E42" s="3"/>
      <c r="F42" s="3"/>
      <c r="G42" s="3"/>
      <c r="H42" s="3"/>
      <c r="I42" s="3">
        <v>6</v>
      </c>
      <c r="J42" s="11" t="s">
        <v>2906</v>
      </c>
      <c r="K42" s="6" t="s">
        <v>2907</v>
      </c>
      <c r="L42" s="6" t="s">
        <v>2840</v>
      </c>
      <c r="M42" s="6"/>
      <c r="N42" s="10"/>
      <c r="O42" s="10"/>
      <c r="P42" s="6"/>
      <c r="Q42" s="6"/>
      <c r="R42" s="6" t="s">
        <v>2905</v>
      </c>
      <c r="S42" s="309" t="s">
        <v>2837</v>
      </c>
      <c r="T42" s="4"/>
      <c r="U42" s="4"/>
      <c r="V42" s="3"/>
      <c r="W42" s="3"/>
      <c r="X42" s="3"/>
    </row>
    <row r="43" spans="1:24" s="2" customFormat="1" ht="75" x14ac:dyDescent="0.25">
      <c r="A43" s="3" t="s">
        <v>1098</v>
      </c>
      <c r="B43" s="3"/>
      <c r="C43" s="3"/>
      <c r="D43" s="3"/>
      <c r="E43" s="3"/>
      <c r="F43" s="3"/>
      <c r="G43" s="3"/>
      <c r="H43" s="3"/>
      <c r="I43" s="3">
        <v>6</v>
      </c>
      <c r="J43" s="11" t="s">
        <v>2908</v>
      </c>
      <c r="K43" s="6" t="s">
        <v>2909</v>
      </c>
      <c r="L43" s="6" t="s">
        <v>2840</v>
      </c>
      <c r="M43" s="6"/>
      <c r="N43" s="10"/>
      <c r="O43" s="10"/>
      <c r="P43" s="6"/>
      <c r="Q43" s="6"/>
      <c r="R43" s="6" t="s">
        <v>2905</v>
      </c>
      <c r="S43" s="309" t="s">
        <v>2837</v>
      </c>
      <c r="T43" s="4"/>
      <c r="U43" s="4"/>
      <c r="V43" s="3"/>
      <c r="W43" s="3"/>
      <c r="X43" s="3"/>
    </row>
    <row r="44" spans="1:24" s="2" customFormat="1" ht="45" x14ac:dyDescent="0.25">
      <c r="A44" s="3"/>
      <c r="B44" s="3"/>
      <c r="C44" s="3"/>
      <c r="D44" s="3"/>
      <c r="E44" s="3"/>
      <c r="F44" s="3"/>
      <c r="G44" s="3"/>
      <c r="H44" s="3"/>
      <c r="I44" s="3">
        <v>6</v>
      </c>
      <c r="J44" s="11" t="s">
        <v>2910</v>
      </c>
      <c r="K44" s="6" t="s">
        <v>2911</v>
      </c>
      <c r="L44" s="6" t="s">
        <v>2840</v>
      </c>
      <c r="M44" s="6"/>
      <c r="N44" s="10"/>
      <c r="O44" s="10"/>
      <c r="P44" s="6"/>
      <c r="Q44" s="6"/>
      <c r="R44" s="6" t="s">
        <v>2912</v>
      </c>
      <c r="S44" s="309" t="s">
        <v>2837</v>
      </c>
      <c r="T44" s="4"/>
      <c r="U44" s="4"/>
      <c r="V44" s="3"/>
      <c r="W44" s="3"/>
      <c r="X44" s="3"/>
    </row>
    <row r="45" spans="1:24" s="2" customFormat="1" ht="26.25" x14ac:dyDescent="0.25">
      <c r="A45" s="3" t="s">
        <v>1098</v>
      </c>
      <c r="B45" s="3"/>
      <c r="C45" s="3"/>
      <c r="D45" s="3"/>
      <c r="E45" s="3"/>
      <c r="F45" s="3"/>
      <c r="G45" s="3"/>
      <c r="H45" s="3"/>
      <c r="I45" s="3">
        <v>6</v>
      </c>
      <c r="J45" s="11" t="s">
        <v>2913</v>
      </c>
      <c r="K45" s="616" t="s">
        <v>2914</v>
      </c>
      <c r="L45" s="6" t="s">
        <v>2840</v>
      </c>
      <c r="M45" s="6"/>
      <c r="N45" s="10"/>
      <c r="O45" s="10"/>
      <c r="P45" s="6"/>
      <c r="Q45" s="6"/>
      <c r="R45" s="10"/>
      <c r="S45" s="309" t="s">
        <v>2837</v>
      </c>
      <c r="T45" s="4"/>
      <c r="U45" s="4"/>
      <c r="V45" s="3"/>
      <c r="W45" s="3"/>
      <c r="X45" s="3"/>
    </row>
    <row r="46" spans="1:24" s="2" customFormat="1" ht="30" x14ac:dyDescent="0.25">
      <c r="A46" s="3" t="s">
        <v>1098</v>
      </c>
      <c r="B46" s="3"/>
      <c r="C46" s="3"/>
      <c r="D46" s="3"/>
      <c r="E46" s="3"/>
      <c r="F46" s="3"/>
      <c r="G46" s="3"/>
      <c r="H46" s="3"/>
      <c r="I46" s="3">
        <v>6</v>
      </c>
      <c r="J46" s="11" t="s">
        <v>2915</v>
      </c>
      <c r="K46" s="6" t="s">
        <v>2916</v>
      </c>
      <c r="L46" s="6" t="s">
        <v>2840</v>
      </c>
      <c r="M46" s="6"/>
      <c r="N46" s="10"/>
      <c r="O46" s="10"/>
      <c r="P46" s="6"/>
      <c r="Q46" s="6"/>
      <c r="R46" s="6" t="s">
        <v>2917</v>
      </c>
      <c r="S46" s="309" t="s">
        <v>2837</v>
      </c>
      <c r="T46" s="4"/>
      <c r="U46" s="4"/>
      <c r="V46" s="3"/>
      <c r="W46" s="3"/>
      <c r="X46" s="3"/>
    </row>
    <row r="47" spans="1:24" s="2" customFormat="1" ht="75" x14ac:dyDescent="0.25">
      <c r="A47" s="3" t="s">
        <v>1098</v>
      </c>
      <c r="B47" s="3"/>
      <c r="C47" s="3"/>
      <c r="D47" s="3"/>
      <c r="E47" s="3"/>
      <c r="F47" s="3"/>
      <c r="G47" s="3"/>
      <c r="H47" s="3"/>
      <c r="I47" s="3">
        <v>6</v>
      </c>
      <c r="J47" s="11" t="s">
        <v>2918</v>
      </c>
      <c r="K47" s="6" t="s">
        <v>2919</v>
      </c>
      <c r="L47" s="6" t="s">
        <v>2840</v>
      </c>
      <c r="M47" s="6"/>
      <c r="N47" s="10"/>
      <c r="O47" s="10"/>
      <c r="P47" s="6"/>
      <c r="Q47" s="6"/>
      <c r="R47" s="6" t="s">
        <v>2920</v>
      </c>
      <c r="S47" s="309" t="s">
        <v>2837</v>
      </c>
      <c r="T47" s="4"/>
      <c r="U47" s="4"/>
      <c r="V47" s="3"/>
      <c r="W47" s="3"/>
      <c r="X47" s="3"/>
    </row>
    <row r="48" spans="1:24" s="2" customFormat="1" ht="60" x14ac:dyDescent="0.25">
      <c r="A48" s="3" t="s">
        <v>1098</v>
      </c>
      <c r="B48" s="3"/>
      <c r="C48" s="3"/>
      <c r="D48" s="3"/>
      <c r="E48" s="3"/>
      <c r="F48" s="3"/>
      <c r="G48" s="3"/>
      <c r="H48" s="3"/>
      <c r="I48" s="3">
        <v>6</v>
      </c>
      <c r="J48" s="11" t="s">
        <v>2921</v>
      </c>
      <c r="K48" s="6" t="s">
        <v>2922</v>
      </c>
      <c r="L48" s="6" t="s">
        <v>2840</v>
      </c>
      <c r="M48" s="6"/>
      <c r="N48" s="10"/>
      <c r="O48" s="10"/>
      <c r="P48" s="6"/>
      <c r="Q48" s="6"/>
      <c r="R48" s="10"/>
      <c r="S48" s="309" t="s">
        <v>2837</v>
      </c>
      <c r="T48" s="4"/>
      <c r="U48" s="4"/>
      <c r="V48" s="3"/>
      <c r="W48" s="3"/>
      <c r="X48" s="3"/>
    </row>
    <row r="49" spans="1:24" s="2" customFormat="1" ht="20.25" customHeight="1" x14ac:dyDescent="0.2">
      <c r="A49" s="3"/>
      <c r="B49" s="3"/>
      <c r="C49" s="742"/>
      <c r="D49" s="742">
        <v>1</v>
      </c>
      <c r="E49" s="1072" t="s">
        <v>2923</v>
      </c>
      <c r="F49" s="1072"/>
      <c r="G49" s="1072"/>
      <c r="H49" s="1072"/>
      <c r="I49" s="1072"/>
      <c r="J49" s="1072"/>
      <c r="K49" s="1073"/>
      <c r="L49" s="1076"/>
      <c r="M49" s="1075"/>
      <c r="N49" s="1075"/>
      <c r="O49" s="1075"/>
      <c r="P49" s="1075"/>
      <c r="Q49" s="1075"/>
      <c r="R49" s="1075"/>
      <c r="S49" s="1075"/>
      <c r="T49" s="1075"/>
      <c r="U49" s="1075"/>
      <c r="V49" s="1075"/>
      <c r="W49" s="1075"/>
      <c r="X49" s="1076"/>
    </row>
    <row r="50" spans="1:24" s="2" customFormat="1" ht="15.75" customHeight="1" x14ac:dyDescent="0.2">
      <c r="A50" s="3"/>
      <c r="B50" s="3"/>
      <c r="C50" s="3"/>
      <c r="D50" s="3"/>
      <c r="E50" s="747">
        <v>2</v>
      </c>
      <c r="F50" s="1081" t="s">
        <v>2924</v>
      </c>
      <c r="G50" s="1081"/>
      <c r="H50" s="1081"/>
      <c r="I50" s="1081"/>
      <c r="J50" s="1081"/>
      <c r="K50" s="1081"/>
      <c r="L50" s="1081"/>
      <c r="M50" s="1081"/>
      <c r="N50" s="1081"/>
      <c r="O50" s="1081"/>
      <c r="P50" s="1081"/>
      <c r="Q50" s="1081"/>
      <c r="R50" s="1081"/>
      <c r="S50" s="1081"/>
      <c r="T50" s="1081"/>
      <c r="U50" s="1081"/>
      <c r="V50" s="1081"/>
      <c r="W50" s="1081"/>
      <c r="X50" s="1081"/>
    </row>
    <row r="51" spans="1:24" s="2" customFormat="1" ht="26.25" x14ac:dyDescent="0.25">
      <c r="A51" s="3" t="s">
        <v>1098</v>
      </c>
      <c r="B51" s="3"/>
      <c r="C51" s="3"/>
      <c r="D51" s="3"/>
      <c r="E51" s="3"/>
      <c r="F51" s="3">
        <v>3</v>
      </c>
      <c r="G51" s="3"/>
      <c r="H51" s="3"/>
      <c r="I51" s="3"/>
      <c r="J51" s="11" t="s">
        <v>2925</v>
      </c>
      <c r="K51" s="616" t="s">
        <v>2926</v>
      </c>
      <c r="L51" s="6" t="s">
        <v>2840</v>
      </c>
      <c r="M51" s="6"/>
      <c r="N51" s="10"/>
      <c r="O51" s="10"/>
      <c r="P51" s="6"/>
      <c r="Q51" s="6"/>
      <c r="R51" s="10"/>
      <c r="S51" s="309" t="s">
        <v>2837</v>
      </c>
      <c r="T51" s="4"/>
      <c r="U51" s="4"/>
      <c r="V51" s="3"/>
      <c r="W51" s="3"/>
      <c r="X51" s="3"/>
    </row>
    <row r="52" spans="1:24" ht="30" x14ac:dyDescent="0.25">
      <c r="A52" s="3" t="s">
        <v>1098</v>
      </c>
      <c r="B52" s="3"/>
      <c r="C52" s="1"/>
      <c r="D52" s="1"/>
      <c r="E52" s="1"/>
      <c r="F52" s="3"/>
      <c r="G52" s="3">
        <v>4</v>
      </c>
      <c r="H52" s="3"/>
      <c r="I52" s="3"/>
      <c r="J52" s="11" t="s">
        <v>2927</v>
      </c>
      <c r="K52" s="616" t="s">
        <v>2928</v>
      </c>
      <c r="L52" s="6" t="s">
        <v>2840</v>
      </c>
      <c r="M52" s="6"/>
      <c r="N52" s="6" t="s">
        <v>2929</v>
      </c>
      <c r="O52" s="6"/>
      <c r="P52" s="6"/>
      <c r="Q52" s="6"/>
      <c r="R52" s="6"/>
      <c r="S52" s="309" t="s">
        <v>2837</v>
      </c>
      <c r="T52" s="4"/>
      <c r="U52" s="4"/>
      <c r="V52" s="1"/>
      <c r="W52" s="1"/>
      <c r="X52" s="1"/>
    </row>
    <row r="53" spans="1:24" ht="30" x14ac:dyDescent="0.25">
      <c r="A53" s="3" t="s">
        <v>1106</v>
      </c>
      <c r="B53" s="3"/>
      <c r="C53" s="1"/>
      <c r="D53" s="1"/>
      <c r="E53" s="1"/>
      <c r="F53" s="3"/>
      <c r="G53" s="3">
        <v>4</v>
      </c>
      <c r="H53" s="3"/>
      <c r="I53" s="3"/>
      <c r="J53" s="11" t="s">
        <v>2930</v>
      </c>
      <c r="K53" s="616" t="s">
        <v>2931</v>
      </c>
      <c r="L53" s="6" t="s">
        <v>2840</v>
      </c>
      <c r="M53" s="6"/>
      <c r="N53" s="6" t="s">
        <v>2929</v>
      </c>
      <c r="O53" s="6"/>
      <c r="P53" s="6"/>
      <c r="Q53" s="6"/>
      <c r="R53" s="6"/>
      <c r="S53" s="309" t="s">
        <v>2837</v>
      </c>
      <c r="T53" s="4"/>
      <c r="U53" s="4"/>
      <c r="V53" s="1"/>
      <c r="W53" s="1"/>
      <c r="X53" s="1"/>
    </row>
    <row r="54" spans="1:24" ht="30" x14ac:dyDescent="0.25">
      <c r="A54" s="3" t="s">
        <v>1106</v>
      </c>
      <c r="B54" s="3"/>
      <c r="C54" s="1"/>
      <c r="D54" s="1"/>
      <c r="E54" s="1"/>
      <c r="F54" s="3"/>
      <c r="G54" s="3">
        <v>4</v>
      </c>
      <c r="H54" s="3"/>
      <c r="I54" s="3"/>
      <c r="J54" s="11" t="s">
        <v>2932</v>
      </c>
      <c r="K54" s="6" t="s">
        <v>2933</v>
      </c>
      <c r="L54" s="6" t="s">
        <v>2840</v>
      </c>
      <c r="M54" s="6"/>
      <c r="N54" s="6"/>
      <c r="O54" s="6"/>
      <c r="P54" s="6"/>
      <c r="Q54" s="6"/>
      <c r="R54" s="6"/>
      <c r="S54" s="309" t="s">
        <v>2837</v>
      </c>
      <c r="T54" s="4"/>
      <c r="U54" s="4"/>
      <c r="V54" s="1"/>
      <c r="W54" s="1"/>
      <c r="X54" s="1"/>
    </row>
    <row r="55" spans="1:24" ht="51.75" x14ac:dyDescent="0.25">
      <c r="A55" s="3" t="s">
        <v>1106</v>
      </c>
      <c r="B55" s="3"/>
      <c r="C55" s="1"/>
      <c r="D55" s="1"/>
      <c r="E55" s="1"/>
      <c r="F55" s="3"/>
      <c r="G55" s="3">
        <v>4</v>
      </c>
      <c r="H55" s="3"/>
      <c r="I55" s="3"/>
      <c r="J55" s="11" t="s">
        <v>2934</v>
      </c>
      <c r="K55" s="616" t="s">
        <v>2935</v>
      </c>
      <c r="L55" s="6" t="s">
        <v>2840</v>
      </c>
      <c r="M55" s="6"/>
      <c r="N55" s="6"/>
      <c r="O55" s="6"/>
      <c r="P55" s="6"/>
      <c r="Q55" s="6"/>
      <c r="R55" s="616" t="s">
        <v>2936</v>
      </c>
      <c r="S55" s="309" t="s">
        <v>2837</v>
      </c>
      <c r="T55" s="4"/>
      <c r="U55" s="4"/>
      <c r="V55" s="1"/>
      <c r="W55" s="1"/>
      <c r="X55" s="1"/>
    </row>
    <row r="56" spans="1:24" ht="26.25" x14ac:dyDescent="0.25">
      <c r="A56" s="3" t="s">
        <v>1106</v>
      </c>
      <c r="B56" s="3"/>
      <c r="C56" s="1"/>
      <c r="D56" s="1"/>
      <c r="E56" s="1"/>
      <c r="F56" s="3">
        <v>3</v>
      </c>
      <c r="G56" s="3"/>
      <c r="H56" s="3"/>
      <c r="I56" s="3"/>
      <c r="J56" s="11" t="s">
        <v>2937</v>
      </c>
      <c r="K56" s="616" t="s">
        <v>2926</v>
      </c>
      <c r="L56" s="6" t="s">
        <v>2840</v>
      </c>
      <c r="M56" s="6"/>
      <c r="N56" s="6"/>
      <c r="O56" s="6"/>
      <c r="P56" s="6"/>
      <c r="Q56" s="6"/>
      <c r="R56" s="6"/>
      <c r="S56" s="309" t="s">
        <v>2837</v>
      </c>
      <c r="T56" s="4"/>
      <c r="U56" s="4"/>
      <c r="V56" s="1"/>
      <c r="W56" s="1"/>
      <c r="X56" s="1"/>
    </row>
    <row r="57" spans="1:24" ht="30" x14ac:dyDescent="0.25">
      <c r="A57" s="3" t="s">
        <v>1106</v>
      </c>
      <c r="B57" s="3"/>
      <c r="C57" s="1"/>
      <c r="D57" s="1"/>
      <c r="E57" s="1"/>
      <c r="F57" s="3"/>
      <c r="G57" s="3">
        <v>4</v>
      </c>
      <c r="H57" s="3"/>
      <c r="I57" s="3"/>
      <c r="J57" s="11" t="s">
        <v>2927</v>
      </c>
      <c r="K57" s="616" t="s">
        <v>2928</v>
      </c>
      <c r="L57" s="6" t="s">
        <v>2840</v>
      </c>
      <c r="M57" s="6"/>
      <c r="N57" s="6" t="s">
        <v>2929</v>
      </c>
      <c r="O57" s="6"/>
      <c r="P57" s="6"/>
      <c r="Q57" s="6"/>
      <c r="R57" s="6"/>
      <c r="S57" s="309" t="s">
        <v>2837</v>
      </c>
      <c r="T57" s="4"/>
      <c r="U57" s="4"/>
      <c r="V57" s="1"/>
      <c r="W57" s="1"/>
      <c r="X57" s="1"/>
    </row>
    <row r="58" spans="1:24" ht="30" x14ac:dyDescent="0.25">
      <c r="A58" s="3" t="s">
        <v>1106</v>
      </c>
      <c r="B58" s="3"/>
      <c r="C58" s="1"/>
      <c r="D58" s="1"/>
      <c r="E58" s="1"/>
      <c r="F58" s="3"/>
      <c r="G58" s="3">
        <v>4</v>
      </c>
      <c r="H58" s="3"/>
      <c r="I58" s="3"/>
      <c r="J58" s="11" t="s">
        <v>2930</v>
      </c>
      <c r="K58" s="616" t="s">
        <v>2931</v>
      </c>
      <c r="L58" s="6" t="s">
        <v>2840</v>
      </c>
      <c r="M58" s="6"/>
      <c r="N58" s="6" t="s">
        <v>2929</v>
      </c>
      <c r="O58" s="6"/>
      <c r="P58" s="6"/>
      <c r="Q58" s="6"/>
      <c r="R58" s="6"/>
      <c r="S58" s="309" t="s">
        <v>2837</v>
      </c>
      <c r="T58" s="4"/>
      <c r="U58" s="4"/>
      <c r="V58" s="1"/>
      <c r="W58" s="1"/>
      <c r="X58" s="1"/>
    </row>
    <row r="59" spans="1:24" ht="30" x14ac:dyDescent="0.25">
      <c r="A59" s="3" t="s">
        <v>1106</v>
      </c>
      <c r="B59" s="3"/>
      <c r="C59" s="1"/>
      <c r="D59" s="1"/>
      <c r="E59" s="1"/>
      <c r="F59" s="3"/>
      <c r="G59" s="3">
        <v>4</v>
      </c>
      <c r="H59" s="3"/>
      <c r="I59" s="3"/>
      <c r="J59" s="11" t="s">
        <v>2938</v>
      </c>
      <c r="K59" s="6" t="s">
        <v>2939</v>
      </c>
      <c r="L59" s="6" t="s">
        <v>2840</v>
      </c>
      <c r="M59" s="6"/>
      <c r="N59" s="6"/>
      <c r="O59" s="6"/>
      <c r="P59" s="6"/>
      <c r="Q59" s="6"/>
      <c r="R59" s="6"/>
      <c r="S59" s="309" t="s">
        <v>2837</v>
      </c>
      <c r="T59" s="4"/>
      <c r="U59" s="4"/>
      <c r="V59" s="1"/>
      <c r="W59" s="1"/>
      <c r="X59" s="1"/>
    </row>
    <row r="60" spans="1:24" ht="51.75" x14ac:dyDescent="0.25">
      <c r="A60" s="3" t="s">
        <v>1106</v>
      </c>
      <c r="B60" s="3"/>
      <c r="C60" s="1"/>
      <c r="D60" s="1"/>
      <c r="E60" s="1"/>
      <c r="F60" s="3"/>
      <c r="G60" s="3">
        <v>4</v>
      </c>
      <c r="H60" s="3"/>
      <c r="I60" s="3"/>
      <c r="J60" s="11" t="s">
        <v>2934</v>
      </c>
      <c r="K60" s="616" t="s">
        <v>2935</v>
      </c>
      <c r="L60" s="6" t="s">
        <v>2840</v>
      </c>
      <c r="M60" s="6"/>
      <c r="N60" s="6"/>
      <c r="O60" s="6"/>
      <c r="P60" s="6"/>
      <c r="Q60" s="6"/>
      <c r="R60" s="616" t="s">
        <v>2936</v>
      </c>
      <c r="S60" s="309" t="s">
        <v>2837</v>
      </c>
      <c r="T60" s="4"/>
      <c r="U60" s="4"/>
      <c r="V60" s="1"/>
      <c r="W60" s="1"/>
      <c r="X60" s="1"/>
    </row>
    <row r="61" spans="1:24" ht="75" x14ac:dyDescent="0.25">
      <c r="A61" s="3" t="s">
        <v>1106</v>
      </c>
      <c r="B61" s="3"/>
      <c r="C61" s="1"/>
      <c r="D61" s="1"/>
      <c r="E61" s="1"/>
      <c r="F61" s="3"/>
      <c r="G61" s="3">
        <v>4</v>
      </c>
      <c r="H61" s="3"/>
      <c r="I61" s="3"/>
      <c r="J61" s="11" t="s">
        <v>2940</v>
      </c>
      <c r="K61" s="6" t="s">
        <v>2941</v>
      </c>
      <c r="L61" s="6" t="s">
        <v>2840</v>
      </c>
      <c r="M61" s="6"/>
      <c r="N61" s="6"/>
      <c r="O61" s="6"/>
      <c r="P61" s="6"/>
      <c r="Q61" s="6"/>
      <c r="R61" s="6"/>
      <c r="S61" s="309" t="s">
        <v>2837</v>
      </c>
      <c r="T61" s="4"/>
      <c r="U61" s="4"/>
      <c r="V61" s="1"/>
      <c r="W61" s="1"/>
      <c r="X61" s="1"/>
    </row>
    <row r="62" spans="1:24" ht="30" x14ac:dyDescent="0.25">
      <c r="A62" s="3" t="s">
        <v>1106</v>
      </c>
      <c r="B62" s="3"/>
      <c r="C62" s="1"/>
      <c r="D62" s="1"/>
      <c r="E62" s="1"/>
      <c r="F62" s="3"/>
      <c r="G62" s="3">
        <v>4</v>
      </c>
      <c r="H62" s="3"/>
      <c r="I62" s="3"/>
      <c r="J62" s="11" t="s">
        <v>2942</v>
      </c>
      <c r="K62" s="6" t="s">
        <v>2943</v>
      </c>
      <c r="L62" s="6" t="s">
        <v>2840</v>
      </c>
      <c r="M62" s="6"/>
      <c r="N62" s="6"/>
      <c r="O62" s="6"/>
      <c r="P62" s="6"/>
      <c r="Q62" s="6"/>
      <c r="R62" s="6"/>
      <c r="S62" s="309" t="s">
        <v>2837</v>
      </c>
      <c r="T62" s="4"/>
      <c r="U62" s="4"/>
      <c r="V62" s="1"/>
      <c r="W62" s="1"/>
      <c r="X62" s="1"/>
    </row>
    <row r="63" spans="1:24" ht="75" x14ac:dyDescent="0.25">
      <c r="A63" s="3" t="s">
        <v>1106</v>
      </c>
      <c r="B63" s="3"/>
      <c r="C63" s="1"/>
      <c r="D63" s="1"/>
      <c r="E63" s="1"/>
      <c r="F63" s="3"/>
      <c r="G63" s="3">
        <v>4</v>
      </c>
      <c r="H63" s="3"/>
      <c r="I63" s="3"/>
      <c r="J63" s="11" t="s">
        <v>1107</v>
      </c>
      <c r="K63" s="6" t="s">
        <v>2944</v>
      </c>
      <c r="L63" s="6" t="s">
        <v>2840</v>
      </c>
      <c r="M63" s="6"/>
      <c r="N63" s="6" t="s">
        <v>2929</v>
      </c>
      <c r="O63" s="6"/>
      <c r="P63" s="6"/>
      <c r="Q63" s="6"/>
      <c r="R63" s="6" t="s">
        <v>2945</v>
      </c>
      <c r="S63" s="309" t="s">
        <v>2837</v>
      </c>
      <c r="T63" s="4"/>
      <c r="U63" s="4"/>
      <c r="V63" s="1"/>
      <c r="W63" s="1"/>
      <c r="X63" s="1"/>
    </row>
    <row r="64" spans="1:24" ht="45" x14ac:dyDescent="0.25">
      <c r="A64" s="3" t="s">
        <v>1098</v>
      </c>
      <c r="B64" s="3"/>
      <c r="C64" s="1"/>
      <c r="D64" s="1"/>
      <c r="E64" s="1"/>
      <c r="F64" s="3"/>
      <c r="G64" s="3"/>
      <c r="H64" s="3">
        <v>5</v>
      </c>
      <c r="I64" s="3"/>
      <c r="J64" s="11" t="s">
        <v>2946</v>
      </c>
      <c r="K64" s="20" t="s">
        <v>2947</v>
      </c>
      <c r="L64" s="6" t="s">
        <v>2840</v>
      </c>
      <c r="M64" s="6"/>
      <c r="N64" s="6"/>
      <c r="O64" s="6"/>
      <c r="P64" s="6"/>
      <c r="Q64" s="6"/>
      <c r="R64" s="6"/>
      <c r="S64" s="309" t="s">
        <v>2837</v>
      </c>
      <c r="T64" s="4"/>
      <c r="U64" s="4"/>
      <c r="V64" s="1"/>
      <c r="W64" s="1"/>
      <c r="X64" s="1"/>
    </row>
    <row r="65" spans="1:40" ht="45" x14ac:dyDescent="0.25">
      <c r="A65" s="3" t="s">
        <v>1098</v>
      </c>
      <c r="B65" s="3"/>
      <c r="C65" s="1"/>
      <c r="D65" s="1"/>
      <c r="E65" s="1"/>
      <c r="F65" s="3"/>
      <c r="G65" s="3"/>
      <c r="H65" s="3"/>
      <c r="I65" s="3"/>
      <c r="J65" s="11" t="s">
        <v>2948</v>
      </c>
      <c r="K65" s="20" t="s">
        <v>2949</v>
      </c>
      <c r="L65" s="6" t="s">
        <v>2840</v>
      </c>
      <c r="M65" s="6"/>
      <c r="N65" s="6"/>
      <c r="O65" s="6"/>
      <c r="P65" s="6"/>
      <c r="Q65" s="6"/>
      <c r="R65" s="6"/>
      <c r="S65" s="309"/>
      <c r="T65" s="4"/>
      <c r="U65" s="4"/>
      <c r="V65" s="1"/>
      <c r="W65" s="1"/>
      <c r="X65" s="1"/>
    </row>
    <row r="66" spans="1:40" ht="15.75" customHeight="1" x14ac:dyDescent="0.25">
      <c r="A66" s="3"/>
      <c r="B66" s="3"/>
      <c r="C66" s="3"/>
      <c r="D66" s="3"/>
      <c r="E66" s="747">
        <v>2</v>
      </c>
      <c r="F66" s="1081" t="s">
        <v>2950</v>
      </c>
      <c r="G66" s="1081"/>
      <c r="H66" s="1081"/>
      <c r="I66" s="1081"/>
      <c r="J66" s="1081"/>
      <c r="K66" s="1081"/>
      <c r="L66" s="1081"/>
      <c r="M66" s="1081"/>
      <c r="N66" s="1081"/>
      <c r="O66" s="1081"/>
      <c r="P66" s="1081"/>
      <c r="Q66" s="1081"/>
      <c r="R66" s="1081"/>
      <c r="S66" s="1081"/>
      <c r="T66" s="1081"/>
      <c r="U66" s="1081"/>
      <c r="V66" s="1081"/>
      <c r="W66" s="1081"/>
      <c r="X66" s="1081"/>
      <c r="Y66" s="2"/>
      <c r="Z66" s="2"/>
      <c r="AA66" s="2"/>
      <c r="AB66" s="2"/>
      <c r="AC66" s="2"/>
      <c r="AD66" s="2"/>
      <c r="AE66" s="2"/>
      <c r="AF66" s="2"/>
      <c r="AG66" s="2"/>
      <c r="AH66" s="2"/>
      <c r="AI66" s="2"/>
      <c r="AJ66" s="2"/>
      <c r="AK66" s="2"/>
      <c r="AL66" s="2"/>
      <c r="AM66" s="2"/>
      <c r="AN66" s="2"/>
    </row>
    <row r="67" spans="1:40" ht="150" x14ac:dyDescent="0.25">
      <c r="A67" s="3" t="s">
        <v>1106</v>
      </c>
      <c r="B67" s="3"/>
      <c r="C67" s="1"/>
      <c r="D67" s="1"/>
      <c r="E67" s="1"/>
      <c r="F67" s="3">
        <v>3</v>
      </c>
      <c r="G67" s="3"/>
      <c r="H67" s="3"/>
      <c r="I67" s="3"/>
      <c r="J67" s="11" t="s">
        <v>2951</v>
      </c>
      <c r="K67" s="6" t="s">
        <v>2952</v>
      </c>
      <c r="L67" s="6" t="s">
        <v>2953</v>
      </c>
      <c r="M67" s="6"/>
      <c r="N67" s="719" t="str">
        <f>HYPERLINK("http://wiki.academyofsports.online/tiki-index.php?page=Ablauf-Studienbetreuung---interne-Betreuung-%22Fitnesskaufmann%22", "http://wiki.academyofsports.online/tiki-index.php?page=Ablauf-Studienbetreuung---interne-Betreuung-%22Fitnesskaufmann%22")</f>
        <v>http://wiki.academyofsports.online/tiki-index.php?page=Ablauf-Studienbetreuung---interne-Betreuung-%22Fitnesskaufmann%22</v>
      </c>
      <c r="O67" s="6"/>
      <c r="P67" s="6"/>
      <c r="Q67" s="6"/>
      <c r="R67" s="6"/>
      <c r="S67" s="6" t="s">
        <v>2954</v>
      </c>
      <c r="T67" s="4"/>
      <c r="U67" s="4"/>
      <c r="V67" s="1"/>
      <c r="W67" s="1"/>
      <c r="X67" s="1"/>
    </row>
    <row r="68" spans="1:40" ht="30" x14ac:dyDescent="0.25">
      <c r="A68" s="3" t="s">
        <v>1106</v>
      </c>
      <c r="B68" s="3"/>
      <c r="C68" s="1"/>
      <c r="D68" s="1"/>
      <c r="E68" s="1"/>
      <c r="F68" s="3">
        <v>3</v>
      </c>
      <c r="G68" s="3"/>
      <c r="H68" s="3"/>
      <c r="I68" s="3"/>
      <c r="J68" s="11" t="s">
        <v>2955</v>
      </c>
      <c r="K68" s="6" t="s">
        <v>2956</v>
      </c>
      <c r="L68" s="6" t="s">
        <v>2953</v>
      </c>
      <c r="M68" s="6"/>
      <c r="N68" s="6"/>
      <c r="O68" s="6"/>
      <c r="P68" s="6"/>
      <c r="Q68" s="6"/>
      <c r="R68" s="6" t="s">
        <v>2957</v>
      </c>
      <c r="S68" s="6" t="s">
        <v>2954</v>
      </c>
      <c r="T68" s="4"/>
      <c r="U68" s="4"/>
      <c r="V68" s="1"/>
      <c r="W68" s="1"/>
      <c r="X68" s="1"/>
    </row>
    <row r="69" spans="1:40" ht="75" x14ac:dyDescent="0.25">
      <c r="A69" s="3" t="s">
        <v>1106</v>
      </c>
      <c r="B69" s="3"/>
      <c r="C69" s="1"/>
      <c r="D69" s="1"/>
      <c r="E69" s="1"/>
      <c r="F69" s="3"/>
      <c r="G69" s="3">
        <v>4</v>
      </c>
      <c r="H69" s="3"/>
      <c r="I69" s="3"/>
      <c r="J69" s="11" t="s">
        <v>2958</v>
      </c>
      <c r="K69" s="6" t="s">
        <v>2959</v>
      </c>
      <c r="L69" s="6" t="s">
        <v>2953</v>
      </c>
      <c r="M69" s="6"/>
      <c r="N69" s="6"/>
      <c r="O69" s="6"/>
      <c r="P69" s="6"/>
      <c r="Q69" s="6"/>
      <c r="R69" s="6" t="s">
        <v>2960</v>
      </c>
      <c r="S69" s="6" t="s">
        <v>2954</v>
      </c>
      <c r="T69" s="4"/>
      <c r="U69" s="4"/>
      <c r="V69" s="1"/>
      <c r="W69" s="1"/>
      <c r="X69" s="1"/>
    </row>
    <row r="70" spans="1:40" ht="30" x14ac:dyDescent="0.25">
      <c r="A70" s="3" t="s">
        <v>1106</v>
      </c>
      <c r="B70" s="3"/>
      <c r="C70" s="1"/>
      <c r="D70" s="1"/>
      <c r="E70" s="1"/>
      <c r="F70" s="3"/>
      <c r="G70" s="3"/>
      <c r="H70" s="3">
        <v>5</v>
      </c>
      <c r="I70" s="3"/>
      <c r="J70" s="11" t="s">
        <v>2961</v>
      </c>
      <c r="K70" s="6" t="s">
        <v>2962</v>
      </c>
      <c r="L70" s="6" t="s">
        <v>2953</v>
      </c>
      <c r="M70" s="6"/>
      <c r="N70" s="6"/>
      <c r="O70" s="6"/>
      <c r="P70" s="6"/>
      <c r="Q70" s="6"/>
      <c r="R70" s="6" t="s">
        <v>2963</v>
      </c>
      <c r="S70" s="6" t="s">
        <v>2954</v>
      </c>
      <c r="T70" s="4"/>
      <c r="U70" s="4"/>
      <c r="V70" s="1"/>
      <c r="W70" s="1"/>
      <c r="X70" s="1"/>
    </row>
    <row r="71" spans="1:40" ht="45" x14ac:dyDescent="0.25">
      <c r="A71" s="3" t="s">
        <v>1106</v>
      </c>
      <c r="B71" s="3"/>
      <c r="C71" s="1"/>
      <c r="D71" s="1"/>
      <c r="E71" s="1"/>
      <c r="F71" s="3"/>
      <c r="G71" s="3"/>
      <c r="H71" s="3"/>
      <c r="I71" s="3">
        <v>6</v>
      </c>
      <c r="J71" s="11" t="s">
        <v>2964</v>
      </c>
      <c r="K71" s="6" t="s">
        <v>2965</v>
      </c>
      <c r="L71" s="6" t="s">
        <v>2953</v>
      </c>
      <c r="M71" s="6"/>
      <c r="N71" s="6"/>
      <c r="O71" s="6"/>
      <c r="P71" s="6"/>
      <c r="Q71" s="6"/>
      <c r="R71" s="6" t="s">
        <v>2966</v>
      </c>
      <c r="S71" s="6" t="s">
        <v>2954</v>
      </c>
      <c r="T71" s="4"/>
      <c r="U71" s="4"/>
      <c r="V71" s="1"/>
      <c r="W71" s="1"/>
      <c r="X71" s="1"/>
    </row>
    <row r="72" spans="1:40" ht="195" x14ac:dyDescent="0.25">
      <c r="A72" s="3" t="s">
        <v>1106</v>
      </c>
      <c r="B72" s="3"/>
      <c r="C72" s="1"/>
      <c r="D72" s="1"/>
      <c r="E72" s="1"/>
      <c r="F72" s="3"/>
      <c r="G72" s="3"/>
      <c r="H72" s="3"/>
      <c r="I72" s="3">
        <v>6</v>
      </c>
      <c r="J72" s="11" t="s">
        <v>2967</v>
      </c>
      <c r="K72" s="6" t="s">
        <v>2968</v>
      </c>
      <c r="L72" s="6" t="s">
        <v>2953</v>
      </c>
      <c r="M72" s="6"/>
      <c r="N72" s="6"/>
      <c r="O72" s="6"/>
      <c r="P72" s="6"/>
      <c r="Q72" s="6"/>
      <c r="R72" s="6" t="s">
        <v>2969</v>
      </c>
      <c r="S72" s="6" t="s">
        <v>2954</v>
      </c>
      <c r="T72" s="4"/>
      <c r="U72" s="4"/>
      <c r="V72" s="1"/>
      <c r="W72" s="1"/>
      <c r="X72" s="1"/>
    </row>
    <row r="73" spans="1:40" ht="27" customHeight="1" x14ac:dyDescent="0.25">
      <c r="A73" s="3" t="s">
        <v>1106</v>
      </c>
      <c r="B73" s="3"/>
      <c r="C73" s="1"/>
      <c r="D73" s="1"/>
      <c r="E73" s="1"/>
      <c r="F73" s="3"/>
      <c r="G73" s="3"/>
      <c r="H73" s="3"/>
      <c r="I73" s="3">
        <v>6</v>
      </c>
      <c r="J73" s="11" t="s">
        <v>2970</v>
      </c>
      <c r="K73" s="6" t="s">
        <v>2971</v>
      </c>
      <c r="L73" s="6" t="s">
        <v>2953</v>
      </c>
      <c r="M73" s="6"/>
      <c r="N73" s="6"/>
      <c r="O73" s="6"/>
      <c r="P73" s="6"/>
      <c r="Q73" s="6"/>
      <c r="R73" s="6" t="s">
        <v>2972</v>
      </c>
      <c r="S73" s="6" t="s">
        <v>2954</v>
      </c>
      <c r="T73" s="4"/>
      <c r="U73" s="4"/>
      <c r="V73" s="1"/>
      <c r="W73" s="1"/>
      <c r="X73" s="1"/>
    </row>
    <row r="74" spans="1:40" ht="15.75" customHeight="1" x14ac:dyDescent="0.25">
      <c r="A74" s="3"/>
      <c r="B74" s="3"/>
      <c r="C74" s="3"/>
      <c r="D74" s="3"/>
      <c r="E74" s="747">
        <v>2</v>
      </c>
      <c r="F74" s="1081" t="s">
        <v>2973</v>
      </c>
      <c r="G74" s="1081"/>
      <c r="H74" s="1081"/>
      <c r="I74" s="1081"/>
      <c r="J74" s="1081"/>
      <c r="K74" s="1081"/>
      <c r="L74" s="1081"/>
      <c r="M74" s="1081"/>
      <c r="N74" s="1081"/>
      <c r="O74" s="1081"/>
      <c r="P74" s="1081"/>
      <c r="Q74" s="1081"/>
      <c r="R74" s="1081"/>
      <c r="S74" s="1081"/>
      <c r="T74" s="1081"/>
      <c r="U74" s="1081"/>
      <c r="V74" s="1081"/>
      <c r="W74" s="1081"/>
      <c r="X74" s="1081"/>
      <c r="Y74" s="2"/>
      <c r="Z74" s="2"/>
      <c r="AA74" s="2"/>
      <c r="AB74" s="2"/>
      <c r="AC74" s="2"/>
      <c r="AD74" s="2"/>
      <c r="AE74" s="2"/>
      <c r="AF74" s="2"/>
      <c r="AG74" s="2"/>
      <c r="AH74" s="2"/>
      <c r="AI74" s="2"/>
      <c r="AJ74" s="2"/>
      <c r="AK74" s="2"/>
      <c r="AL74" s="2"/>
      <c r="AM74" s="2"/>
      <c r="AN74" s="2"/>
    </row>
    <row r="75" spans="1:40" ht="30" x14ac:dyDescent="0.25">
      <c r="A75" s="3" t="s">
        <v>1098</v>
      </c>
      <c r="B75" s="3"/>
      <c r="C75" s="1"/>
      <c r="D75" s="1"/>
      <c r="E75" s="1"/>
      <c r="F75" s="3">
        <v>3</v>
      </c>
      <c r="G75" s="3"/>
      <c r="H75" s="3"/>
      <c r="I75" s="3"/>
      <c r="J75" s="11" t="s">
        <v>2974</v>
      </c>
      <c r="K75" s="6" t="s">
        <v>2975</v>
      </c>
      <c r="L75" s="6" t="s">
        <v>2840</v>
      </c>
      <c r="M75" s="6"/>
      <c r="N75" s="6"/>
      <c r="O75" s="6"/>
      <c r="P75" s="6"/>
      <c r="Q75" s="6"/>
      <c r="R75" s="6" t="s">
        <v>2976</v>
      </c>
      <c r="S75" s="309" t="s">
        <v>2837</v>
      </c>
      <c r="T75" s="4"/>
      <c r="U75" s="4"/>
      <c r="V75" s="1"/>
      <c r="W75" s="1"/>
      <c r="X75" s="1"/>
    </row>
    <row r="76" spans="1:40" ht="120" x14ac:dyDescent="0.25">
      <c r="A76" s="3" t="s">
        <v>1098</v>
      </c>
      <c r="B76" s="3"/>
      <c r="C76" s="1"/>
      <c r="D76" s="1"/>
      <c r="E76" s="1"/>
      <c r="F76" s="3"/>
      <c r="G76" s="3"/>
      <c r="H76" s="3"/>
      <c r="I76" s="3"/>
      <c r="J76" s="11"/>
      <c r="K76" s="6" t="s">
        <v>2977</v>
      </c>
      <c r="L76" s="6" t="s">
        <v>2840</v>
      </c>
      <c r="M76" s="6"/>
      <c r="N76" s="6"/>
      <c r="O76" s="6"/>
      <c r="P76" s="6"/>
      <c r="Q76" s="6"/>
      <c r="R76" s="6" t="s">
        <v>2978</v>
      </c>
      <c r="S76" s="309" t="s">
        <v>2837</v>
      </c>
      <c r="T76" s="4"/>
      <c r="U76" s="4"/>
      <c r="V76" s="1"/>
      <c r="W76" s="1"/>
      <c r="X76" s="1"/>
    </row>
    <row r="77" spans="1:40" ht="45" x14ac:dyDescent="0.25">
      <c r="A77" s="3" t="s">
        <v>1098</v>
      </c>
      <c r="B77" s="3"/>
      <c r="C77" s="1"/>
      <c r="D77" s="1"/>
      <c r="E77" s="1"/>
      <c r="F77" s="3">
        <v>3</v>
      </c>
      <c r="G77" s="3"/>
      <c r="H77" s="3"/>
      <c r="I77" s="3"/>
      <c r="J77" s="11" t="s">
        <v>2979</v>
      </c>
      <c r="K77" s="6" t="s">
        <v>2980</v>
      </c>
      <c r="L77" s="6" t="s">
        <v>2840</v>
      </c>
      <c r="M77" s="6"/>
      <c r="N77" s="6"/>
      <c r="O77" s="6"/>
      <c r="P77" s="6"/>
      <c r="Q77" s="6"/>
      <c r="R77" s="6" t="s">
        <v>2981</v>
      </c>
      <c r="S77" s="309" t="s">
        <v>2837</v>
      </c>
      <c r="T77" s="4"/>
      <c r="U77" s="4"/>
      <c r="V77" s="1"/>
      <c r="W77" s="1"/>
      <c r="X77" s="1"/>
    </row>
    <row r="78" spans="1:40" ht="15.75" customHeight="1" x14ac:dyDescent="0.25">
      <c r="A78" s="3"/>
      <c r="B78" s="3"/>
      <c r="C78" s="3"/>
      <c r="D78" s="3"/>
      <c r="E78" s="747">
        <v>2</v>
      </c>
      <c r="F78" s="748" t="s">
        <v>2982</v>
      </c>
      <c r="G78" s="748"/>
      <c r="H78" s="748"/>
      <c r="I78" s="748"/>
      <c r="J78" s="748"/>
      <c r="K78" s="748"/>
      <c r="L78" s="748"/>
      <c r="M78" s="748"/>
      <c r="N78" s="748"/>
      <c r="O78" s="748"/>
      <c r="P78" s="748"/>
      <c r="Q78" s="748"/>
      <c r="R78" s="748"/>
      <c r="S78" s="748"/>
      <c r="T78" s="748"/>
      <c r="U78" s="748"/>
      <c r="V78" s="748"/>
      <c r="W78" s="748"/>
      <c r="X78" s="748"/>
      <c r="Y78" s="2"/>
      <c r="Z78" s="2"/>
      <c r="AA78" s="2"/>
      <c r="AB78" s="2"/>
      <c r="AC78" s="2"/>
      <c r="AD78" s="2"/>
      <c r="AE78" s="2"/>
      <c r="AF78" s="2"/>
      <c r="AG78" s="2"/>
      <c r="AH78" s="2"/>
      <c r="AI78" s="2"/>
      <c r="AJ78" s="2"/>
      <c r="AK78" s="2"/>
      <c r="AL78" s="2"/>
      <c r="AM78" s="2"/>
      <c r="AN78" s="2"/>
    </row>
    <row r="79" spans="1:40" ht="30" x14ac:dyDescent="0.25">
      <c r="A79" s="3" t="s">
        <v>1106</v>
      </c>
      <c r="B79" s="3"/>
      <c r="C79" s="1"/>
      <c r="D79" s="1"/>
      <c r="E79" s="1"/>
      <c r="F79" s="3">
        <v>3</v>
      </c>
      <c r="G79" s="3"/>
      <c r="H79" s="3"/>
      <c r="I79" s="3"/>
      <c r="J79" s="11" t="s">
        <v>2983</v>
      </c>
      <c r="K79" s="6" t="s">
        <v>2984</v>
      </c>
      <c r="L79" s="6" t="s">
        <v>2840</v>
      </c>
      <c r="M79" s="6"/>
      <c r="N79" s="6"/>
      <c r="O79" s="6"/>
      <c r="P79" s="6"/>
      <c r="Q79" s="6"/>
      <c r="R79" s="6" t="s">
        <v>2882</v>
      </c>
      <c r="S79" s="309" t="s">
        <v>2837</v>
      </c>
      <c r="T79" s="4"/>
      <c r="U79" s="4"/>
      <c r="V79" s="1"/>
      <c r="W79" s="1"/>
      <c r="X79" s="1"/>
    </row>
    <row r="80" spans="1:40" ht="15.75" customHeight="1" x14ac:dyDescent="0.25">
      <c r="A80" s="3"/>
      <c r="B80" s="3"/>
      <c r="C80" s="3"/>
      <c r="D80" s="3"/>
      <c r="E80" s="747">
        <v>2</v>
      </c>
      <c r="F80" s="1081" t="s">
        <v>2985</v>
      </c>
      <c r="G80" s="1081"/>
      <c r="H80" s="1081"/>
      <c r="I80" s="1081"/>
      <c r="J80" s="1081"/>
      <c r="K80" s="1081"/>
      <c r="L80" s="1081"/>
      <c r="M80" s="1081"/>
      <c r="N80" s="1081"/>
      <c r="O80" s="1081"/>
      <c r="P80" s="1081"/>
      <c r="Q80" s="1081"/>
      <c r="R80" s="1081"/>
      <c r="S80" s="1081"/>
      <c r="T80" s="1081"/>
      <c r="U80" s="1081"/>
      <c r="V80" s="1081"/>
      <c r="W80" s="1081"/>
      <c r="X80" s="1081"/>
      <c r="Y80" s="2"/>
      <c r="Z80" s="2"/>
      <c r="AA80" s="2"/>
      <c r="AB80" s="2"/>
      <c r="AC80" s="2"/>
      <c r="AD80" s="2"/>
      <c r="AE80" s="2"/>
      <c r="AF80" s="2"/>
      <c r="AG80" s="2"/>
      <c r="AH80" s="2"/>
      <c r="AI80" s="2"/>
      <c r="AJ80" s="2"/>
      <c r="AK80" s="2"/>
      <c r="AL80" s="2"/>
      <c r="AM80" s="2"/>
      <c r="AN80" s="2"/>
    </row>
    <row r="81" spans="1:40" ht="195" x14ac:dyDescent="0.25">
      <c r="A81" s="3" t="s">
        <v>1106</v>
      </c>
      <c r="B81" s="3"/>
      <c r="C81" s="1"/>
      <c r="D81" s="1"/>
      <c r="E81" s="1"/>
      <c r="F81" s="3">
        <v>3</v>
      </c>
      <c r="G81" s="3"/>
      <c r="H81" s="3"/>
      <c r="I81" s="3"/>
      <c r="J81" s="11" t="s">
        <v>2985</v>
      </c>
      <c r="K81" s="6" t="s">
        <v>2986</v>
      </c>
      <c r="L81" s="6" t="s">
        <v>2840</v>
      </c>
      <c r="M81" s="6"/>
      <c r="N81" s="6"/>
      <c r="O81" s="6"/>
      <c r="P81" s="6"/>
      <c r="Q81" s="6"/>
      <c r="R81" s="6" t="s">
        <v>2987</v>
      </c>
      <c r="S81" s="309" t="s">
        <v>2837</v>
      </c>
      <c r="T81" s="4"/>
      <c r="U81" s="4"/>
      <c r="V81" s="1"/>
      <c r="W81" s="1"/>
      <c r="X81" s="1"/>
    </row>
    <row r="82" spans="1:40" ht="20.25" customHeight="1" x14ac:dyDescent="0.25">
      <c r="A82" s="3"/>
      <c r="B82" s="3"/>
      <c r="C82" s="742"/>
      <c r="D82" s="742">
        <v>1</v>
      </c>
      <c r="E82" s="1072" t="s">
        <v>2988</v>
      </c>
      <c r="F82" s="1072"/>
      <c r="G82" s="1072"/>
      <c r="H82" s="1072"/>
      <c r="I82" s="1072"/>
      <c r="J82" s="1072"/>
      <c r="K82" s="1073"/>
      <c r="L82" s="1076"/>
      <c r="M82" s="1075"/>
      <c r="N82" s="1075"/>
      <c r="O82" s="1075"/>
      <c r="P82" s="1075"/>
      <c r="Q82" s="1075"/>
      <c r="R82" s="1075"/>
      <c r="S82" s="1075"/>
      <c r="T82" s="1075"/>
      <c r="U82" s="1075"/>
      <c r="V82" s="1075"/>
      <c r="W82" s="1075"/>
      <c r="X82" s="1076"/>
      <c r="Y82" s="2"/>
      <c r="Z82" s="2"/>
      <c r="AA82" s="2"/>
      <c r="AB82" s="2"/>
      <c r="AC82" s="2"/>
      <c r="AD82" s="2"/>
      <c r="AE82" s="2"/>
      <c r="AF82" s="2"/>
      <c r="AG82" s="2"/>
      <c r="AH82" s="2"/>
      <c r="AI82" s="2"/>
      <c r="AJ82" s="2"/>
      <c r="AK82" s="2"/>
      <c r="AL82" s="2"/>
      <c r="AM82" s="2"/>
      <c r="AN82" s="2"/>
    </row>
    <row r="83" spans="1:40" x14ac:dyDescent="0.25">
      <c r="A83" s="3"/>
      <c r="B83" s="3"/>
      <c r="C83" s="1"/>
      <c r="D83" s="1"/>
      <c r="E83" s="1"/>
      <c r="F83" s="1"/>
      <c r="G83" s="1"/>
      <c r="H83" s="1"/>
      <c r="I83" s="1"/>
      <c r="J83" s="1" t="s">
        <v>2882</v>
      </c>
      <c r="K83" s="1"/>
      <c r="L83" s="5"/>
      <c r="M83" s="1"/>
      <c r="N83" s="1"/>
      <c r="O83" s="1"/>
      <c r="P83" s="1"/>
      <c r="Q83" s="1"/>
      <c r="R83" s="1"/>
      <c r="S83" s="1"/>
      <c r="T83" s="4"/>
      <c r="U83" s="4"/>
      <c r="V83" s="1"/>
      <c r="W83" s="1"/>
      <c r="X83" s="1"/>
    </row>
    <row r="84" spans="1:40" x14ac:dyDescent="0.25">
      <c r="A84" s="3"/>
      <c r="B84" s="3"/>
      <c r="C84" s="1"/>
      <c r="D84" s="1"/>
      <c r="E84" s="1"/>
      <c r="F84" s="1"/>
      <c r="G84" s="1"/>
      <c r="H84" s="1"/>
      <c r="I84" s="1"/>
      <c r="J84" s="1"/>
      <c r="K84" s="1"/>
      <c r="L84" s="5"/>
      <c r="M84" s="1"/>
      <c r="N84" s="1"/>
      <c r="O84" s="1"/>
      <c r="P84" s="1"/>
      <c r="Q84" s="1"/>
      <c r="R84" s="1"/>
      <c r="S84" s="1"/>
      <c r="T84" s="4"/>
      <c r="U84" s="4"/>
      <c r="V84" s="1"/>
      <c r="W84" s="1"/>
      <c r="X84" s="1"/>
    </row>
    <row r="85" spans="1:40" x14ac:dyDescent="0.25">
      <c r="A85" s="3"/>
      <c r="B85" s="3"/>
      <c r="C85" s="1"/>
      <c r="D85" s="1"/>
      <c r="E85" s="1"/>
      <c r="F85" s="1"/>
      <c r="G85" s="1"/>
      <c r="H85" s="1"/>
      <c r="I85" s="1"/>
      <c r="J85" s="1"/>
      <c r="K85" s="1"/>
      <c r="L85" s="5"/>
      <c r="M85" s="1"/>
      <c r="N85" s="1"/>
      <c r="O85" s="1"/>
      <c r="P85" s="1"/>
      <c r="Q85" s="1"/>
      <c r="R85" s="1"/>
      <c r="S85" s="1"/>
      <c r="T85" s="4"/>
      <c r="U85" s="4"/>
      <c r="V85" s="1"/>
      <c r="W85" s="1"/>
      <c r="X85" s="1"/>
    </row>
    <row r="86" spans="1:40" ht="20.25" customHeight="1" x14ac:dyDescent="0.25">
      <c r="A86" s="3"/>
      <c r="B86" s="3"/>
      <c r="C86" s="742"/>
      <c r="D86" s="742"/>
      <c r="E86" s="1072"/>
      <c r="F86" s="1072"/>
      <c r="G86" s="1072"/>
      <c r="H86" s="1072"/>
      <c r="I86" s="1072"/>
      <c r="J86" s="1072"/>
      <c r="K86" s="1073"/>
      <c r="L86" s="1076"/>
      <c r="M86" s="1075"/>
      <c r="N86" s="1075"/>
      <c r="O86" s="1075"/>
      <c r="P86" s="1075"/>
      <c r="Q86" s="1075"/>
      <c r="R86" s="1075"/>
      <c r="S86" s="1075"/>
      <c r="T86" s="1075"/>
      <c r="U86" s="1075"/>
      <c r="V86" s="1075"/>
      <c r="W86" s="1075"/>
      <c r="X86" s="1076"/>
      <c r="Y86" s="2"/>
      <c r="Z86" s="2"/>
      <c r="AA86" s="2"/>
      <c r="AB86" s="2"/>
      <c r="AC86" s="2"/>
      <c r="AD86" s="2"/>
      <c r="AE86" s="2"/>
      <c r="AF86" s="2"/>
      <c r="AG86" s="2"/>
      <c r="AH86" s="2"/>
      <c r="AI86" s="2"/>
      <c r="AJ86" s="2"/>
      <c r="AK86" s="2"/>
      <c r="AL86" s="2"/>
      <c r="AM86" s="2"/>
      <c r="AN86" s="2"/>
    </row>
    <row r="87" spans="1:40" x14ac:dyDescent="0.25">
      <c r="A87" s="3"/>
      <c r="B87" s="3"/>
      <c r="C87" s="1"/>
      <c r="D87" s="1"/>
      <c r="E87" s="1"/>
      <c r="F87" s="1"/>
      <c r="G87" s="1"/>
      <c r="H87" s="1"/>
      <c r="I87" s="1"/>
      <c r="J87" s="1"/>
      <c r="K87" s="1"/>
      <c r="L87" s="5"/>
      <c r="M87" s="1"/>
      <c r="N87" s="1"/>
      <c r="O87" s="1"/>
      <c r="P87" s="1"/>
      <c r="Q87" s="1"/>
      <c r="R87" s="1"/>
      <c r="S87" s="1"/>
      <c r="T87" s="4"/>
      <c r="U87" s="4"/>
      <c r="V87" s="1"/>
      <c r="W87" s="1"/>
      <c r="X87" s="1"/>
    </row>
    <row r="88" spans="1:40" x14ac:dyDescent="0.25">
      <c r="A88" s="3"/>
      <c r="B88" s="3"/>
      <c r="C88" s="1"/>
      <c r="D88" s="1"/>
      <c r="E88" s="1"/>
      <c r="F88" s="1"/>
      <c r="G88" s="1"/>
      <c r="H88" s="1"/>
      <c r="I88" s="1"/>
      <c r="J88" s="1"/>
      <c r="K88" s="1"/>
      <c r="L88" s="5"/>
      <c r="M88" s="1"/>
      <c r="N88" s="1"/>
      <c r="O88" s="1"/>
      <c r="P88" s="1"/>
      <c r="Q88" s="1"/>
      <c r="R88" s="1"/>
      <c r="S88" s="1"/>
      <c r="T88" s="4"/>
      <c r="U88" s="4"/>
      <c r="V88" s="1"/>
      <c r="W88" s="1"/>
      <c r="X88" s="1"/>
    </row>
    <row r="89" spans="1:40" x14ac:dyDescent="0.25">
      <c r="A89" s="3"/>
      <c r="B89" s="3"/>
      <c r="C89" s="1"/>
      <c r="D89" s="1"/>
      <c r="E89" s="1"/>
      <c r="F89" s="1"/>
      <c r="G89" s="1"/>
      <c r="H89" s="1"/>
      <c r="I89" s="1"/>
      <c r="J89" s="1"/>
      <c r="K89" s="1"/>
      <c r="L89" s="5"/>
      <c r="M89" s="1"/>
      <c r="N89" s="1"/>
      <c r="O89" s="1"/>
      <c r="P89" s="1"/>
      <c r="Q89" s="1"/>
      <c r="R89" s="1"/>
      <c r="S89" s="1"/>
      <c r="T89" s="4"/>
      <c r="U89" s="4"/>
      <c r="V89" s="1"/>
      <c r="W89" s="1"/>
      <c r="X89" s="1"/>
    </row>
    <row r="90" spans="1:40" ht="20.25" customHeight="1" x14ac:dyDescent="0.25">
      <c r="A90" s="3"/>
      <c r="B90" s="3"/>
      <c r="C90" s="742"/>
      <c r="D90" s="742"/>
      <c r="E90" s="1072"/>
      <c r="F90" s="1072"/>
      <c r="G90" s="1072"/>
      <c r="H90" s="1072"/>
      <c r="I90" s="1072"/>
      <c r="J90" s="1072"/>
      <c r="K90" s="1073"/>
      <c r="L90" s="1076"/>
      <c r="M90" s="1075"/>
      <c r="N90" s="1075"/>
      <c r="O90" s="1075"/>
      <c r="P90" s="1075"/>
      <c r="Q90" s="1075"/>
      <c r="R90" s="1075"/>
      <c r="S90" s="1075"/>
      <c r="T90" s="1075"/>
      <c r="U90" s="1075"/>
      <c r="V90" s="1075"/>
      <c r="W90" s="1075"/>
      <c r="X90" s="1076"/>
      <c r="Y90" s="2"/>
      <c r="Z90" s="2"/>
      <c r="AA90" s="2"/>
      <c r="AB90" s="2"/>
      <c r="AC90" s="2"/>
      <c r="AD90" s="2"/>
      <c r="AE90" s="2"/>
      <c r="AF90" s="2"/>
      <c r="AG90" s="2"/>
      <c r="AH90" s="2"/>
      <c r="AI90" s="2"/>
      <c r="AJ90" s="2"/>
      <c r="AK90" s="2"/>
      <c r="AL90" s="2"/>
      <c r="AM90" s="2"/>
      <c r="AN90" s="2"/>
    </row>
    <row r="91" spans="1:40" x14ac:dyDescent="0.25">
      <c r="A91" s="3"/>
      <c r="B91" s="3"/>
      <c r="C91" s="1"/>
      <c r="D91" s="1"/>
      <c r="E91" s="1"/>
      <c r="F91" s="1"/>
      <c r="G91" s="1"/>
      <c r="H91" s="1"/>
      <c r="I91" s="1"/>
      <c r="J91" s="9"/>
      <c r="K91" s="5"/>
      <c r="L91" s="5"/>
      <c r="M91" s="1"/>
      <c r="N91" s="1"/>
      <c r="O91" s="1"/>
      <c r="P91" s="1"/>
      <c r="Q91" s="1"/>
      <c r="R91" s="1"/>
      <c r="S91" s="1"/>
      <c r="T91" s="4"/>
      <c r="U91" s="4"/>
      <c r="V91" s="1"/>
      <c r="W91" s="1"/>
      <c r="X91" s="1"/>
    </row>
    <row r="92" spans="1:40" x14ac:dyDescent="0.25">
      <c r="A92" s="3"/>
      <c r="B92" s="3"/>
      <c r="C92" s="1"/>
      <c r="D92" s="1"/>
      <c r="E92" s="1"/>
      <c r="F92" s="1"/>
      <c r="G92" s="1"/>
      <c r="H92" s="1"/>
      <c r="I92" s="1"/>
      <c r="J92" s="1"/>
      <c r="K92" s="1"/>
      <c r="L92" s="5"/>
      <c r="M92" s="1"/>
      <c r="N92" s="1"/>
      <c r="O92" s="1"/>
      <c r="P92" s="1"/>
      <c r="Q92" s="1"/>
      <c r="R92" s="1"/>
      <c r="S92" s="1"/>
      <c r="T92" s="4"/>
      <c r="U92" s="4"/>
      <c r="V92" s="1"/>
      <c r="W92" s="1"/>
      <c r="X92" s="1"/>
    </row>
    <row r="93" spans="1:40" x14ac:dyDescent="0.25">
      <c r="A93" s="3"/>
      <c r="B93" s="3"/>
      <c r="J93" s="2"/>
      <c r="L93" s="2"/>
    </row>
    <row r="94" spans="1:40" x14ac:dyDescent="0.25">
      <c r="A94" s="3"/>
      <c r="B94" s="3"/>
    </row>
    <row r="95" spans="1:40" x14ac:dyDescent="0.25">
      <c r="A95" s="3"/>
      <c r="B95" s="3"/>
      <c r="J95" s="2"/>
      <c r="L95" s="2"/>
    </row>
    <row r="96" spans="1:40" x14ac:dyDescent="0.25">
      <c r="A96" s="3"/>
      <c r="B96" s="3"/>
    </row>
    <row r="97" spans="1:12" x14ac:dyDescent="0.25">
      <c r="A97" s="3"/>
      <c r="B97" s="3"/>
      <c r="J97" s="2"/>
      <c r="L97" s="2"/>
    </row>
    <row r="98" spans="1:12" x14ac:dyDescent="0.25">
      <c r="A98" s="3"/>
      <c r="B98" s="3"/>
    </row>
    <row r="99" spans="1:12" x14ac:dyDescent="0.25">
      <c r="A99" s="3"/>
      <c r="B99" s="3"/>
      <c r="J99" s="2"/>
      <c r="L99" s="2"/>
    </row>
    <row r="100" spans="1:12" x14ac:dyDescent="0.25">
      <c r="A100" s="3"/>
      <c r="B100" s="3"/>
    </row>
    <row r="101" spans="1:12" x14ac:dyDescent="0.25">
      <c r="A101" s="3"/>
      <c r="B101" s="3"/>
      <c r="J101" s="2"/>
      <c r="L101" s="2"/>
    </row>
    <row r="102" spans="1:12" x14ac:dyDescent="0.25">
      <c r="A102" s="3"/>
      <c r="B102" s="3"/>
    </row>
    <row r="103" spans="1:12" x14ac:dyDescent="0.25">
      <c r="A103" s="3"/>
      <c r="B103" s="3"/>
      <c r="J103" s="2"/>
      <c r="L103" s="2"/>
    </row>
    <row r="104" spans="1:12" x14ac:dyDescent="0.25">
      <c r="A104" s="3"/>
      <c r="B104" s="3"/>
    </row>
    <row r="105" spans="1:12" x14ac:dyDescent="0.25">
      <c r="A105" s="3"/>
      <c r="B105" s="3"/>
      <c r="J105" s="2"/>
      <c r="L105" s="2"/>
    </row>
    <row r="106" spans="1:12" x14ac:dyDescent="0.25">
      <c r="A106" s="3"/>
      <c r="B106" s="3"/>
    </row>
    <row r="107" spans="1:12" x14ac:dyDescent="0.25">
      <c r="A107" s="3"/>
      <c r="B107" s="3"/>
      <c r="J107" s="2"/>
      <c r="L107" s="2"/>
    </row>
    <row r="108" spans="1:12" x14ac:dyDescent="0.25">
      <c r="A108" s="3"/>
      <c r="B108" s="3"/>
    </row>
    <row r="109" spans="1:12" x14ac:dyDescent="0.25">
      <c r="A109" s="3"/>
      <c r="B109" s="3"/>
      <c r="J109" s="2"/>
      <c r="L109" s="2"/>
    </row>
    <row r="110" spans="1:12" x14ac:dyDescent="0.25">
      <c r="A110" s="3"/>
      <c r="B110" s="3"/>
    </row>
    <row r="111" spans="1:12" x14ac:dyDescent="0.25">
      <c r="A111" s="3"/>
      <c r="B111" s="3"/>
      <c r="J111" s="2"/>
      <c r="L111" s="2"/>
    </row>
    <row r="112" spans="1:12" x14ac:dyDescent="0.25">
      <c r="A112" s="3"/>
      <c r="B112" s="3"/>
    </row>
    <row r="113" spans="1:2" x14ac:dyDescent="0.25">
      <c r="A113" s="3"/>
      <c r="B113" s="3"/>
    </row>
    <row r="114" spans="1:2" x14ac:dyDescent="0.25">
      <c r="A114" s="3"/>
      <c r="B114" s="3"/>
    </row>
    <row r="115" spans="1:2" x14ac:dyDescent="0.25">
      <c r="A115" s="3"/>
      <c r="B115" s="3"/>
    </row>
    <row r="116" spans="1:2" x14ac:dyDescent="0.25">
      <c r="A116" s="3"/>
      <c r="B116" s="3"/>
    </row>
    <row r="117" spans="1:2" x14ac:dyDescent="0.25">
      <c r="A117" s="3"/>
      <c r="B117" s="3"/>
    </row>
    <row r="118" spans="1:2" x14ac:dyDescent="0.25">
      <c r="A118" s="3"/>
      <c r="B118" s="3"/>
    </row>
    <row r="119" spans="1:2" x14ac:dyDescent="0.25">
      <c r="A119" s="3"/>
      <c r="B119" s="3"/>
    </row>
    <row r="120" spans="1:2" x14ac:dyDescent="0.25">
      <c r="A120" s="3"/>
      <c r="B120" s="3"/>
    </row>
    <row r="121" spans="1:2" x14ac:dyDescent="0.25">
      <c r="A121" s="3"/>
      <c r="B121" s="3"/>
    </row>
    <row r="122" spans="1:2" x14ac:dyDescent="0.25">
      <c r="A122" s="3"/>
      <c r="B122" s="3"/>
    </row>
    <row r="123" spans="1:2" x14ac:dyDescent="0.25">
      <c r="A123" s="3"/>
      <c r="B123" s="3"/>
    </row>
    <row r="124" spans="1:2" x14ac:dyDescent="0.25">
      <c r="A124" s="3"/>
      <c r="B124" s="3"/>
    </row>
    <row r="125" spans="1:2" x14ac:dyDescent="0.25">
      <c r="A125" s="3"/>
      <c r="B125" s="3"/>
    </row>
    <row r="126" spans="1:2" x14ac:dyDescent="0.25">
      <c r="A126" s="3"/>
      <c r="B126" s="3"/>
    </row>
    <row r="127" spans="1:2" x14ac:dyDescent="0.25">
      <c r="A127" s="3"/>
      <c r="B127" s="3"/>
    </row>
    <row r="128" spans="1:2" x14ac:dyDescent="0.25">
      <c r="A128" s="3"/>
      <c r="B128" s="3"/>
    </row>
    <row r="129" spans="1:2" x14ac:dyDescent="0.25">
      <c r="A129" s="3"/>
      <c r="B129" s="3"/>
    </row>
    <row r="130" spans="1:2" x14ac:dyDescent="0.25">
      <c r="A130" s="3"/>
      <c r="B130" s="3"/>
    </row>
    <row r="131" spans="1:2" x14ac:dyDescent="0.25">
      <c r="A131" s="3"/>
      <c r="B131" s="3"/>
    </row>
    <row r="132" spans="1:2" x14ac:dyDescent="0.25">
      <c r="A132" s="3"/>
      <c r="B132" s="3"/>
    </row>
    <row r="133" spans="1:2" x14ac:dyDescent="0.25">
      <c r="A133" s="3"/>
      <c r="B133" s="3"/>
    </row>
    <row r="134" spans="1:2" x14ac:dyDescent="0.25">
      <c r="A134" s="3"/>
      <c r="B134" s="3"/>
    </row>
    <row r="135" spans="1:2" x14ac:dyDescent="0.25">
      <c r="A135" s="3"/>
      <c r="B135" s="3"/>
    </row>
    <row r="136" spans="1:2" x14ac:dyDescent="0.25">
      <c r="A136" s="3"/>
      <c r="B136" s="3"/>
    </row>
    <row r="137" spans="1:2" x14ac:dyDescent="0.25">
      <c r="A137" s="3"/>
      <c r="B137" s="3"/>
    </row>
    <row r="138" spans="1:2" x14ac:dyDescent="0.25">
      <c r="A138" s="3"/>
      <c r="B138" s="3"/>
    </row>
    <row r="139" spans="1:2" x14ac:dyDescent="0.25">
      <c r="A139" s="3"/>
      <c r="B139" s="3"/>
    </row>
    <row r="140" spans="1:2" x14ac:dyDescent="0.25">
      <c r="A140" s="3"/>
      <c r="B140" s="3"/>
    </row>
    <row r="141" spans="1:2" x14ac:dyDescent="0.25">
      <c r="A141" s="3"/>
      <c r="B141" s="3"/>
    </row>
    <row r="142" spans="1:2" x14ac:dyDescent="0.25">
      <c r="A142" s="3"/>
      <c r="B142" s="3"/>
    </row>
    <row r="143" spans="1:2" x14ac:dyDescent="0.25">
      <c r="A143" s="3"/>
      <c r="B143" s="3"/>
    </row>
    <row r="144" spans="1:2" x14ac:dyDescent="0.25">
      <c r="A144" s="3"/>
      <c r="B144" s="3"/>
    </row>
    <row r="145" spans="1:2" x14ac:dyDescent="0.25">
      <c r="A145" s="3"/>
      <c r="B145" s="3"/>
    </row>
    <row r="146" spans="1:2" x14ac:dyDescent="0.25">
      <c r="A146" s="3"/>
      <c r="B146" s="3"/>
    </row>
    <row r="147" spans="1:2" x14ac:dyDescent="0.25">
      <c r="A147" s="3"/>
      <c r="B147" s="3"/>
    </row>
    <row r="148" spans="1:2" x14ac:dyDescent="0.25">
      <c r="A148" s="3"/>
      <c r="B148" s="3"/>
    </row>
    <row r="149" spans="1:2" x14ac:dyDescent="0.25">
      <c r="A149" s="3"/>
      <c r="B149" s="3"/>
    </row>
    <row r="150" spans="1:2" x14ac:dyDescent="0.25">
      <c r="A150" s="3"/>
      <c r="B150" s="3"/>
    </row>
    <row r="151" spans="1:2" x14ac:dyDescent="0.25">
      <c r="A151" s="3"/>
      <c r="B151" s="3"/>
    </row>
    <row r="152" spans="1:2" x14ac:dyDescent="0.25">
      <c r="A152" s="3"/>
      <c r="B152" s="3"/>
    </row>
    <row r="153" spans="1:2" x14ac:dyDescent="0.25">
      <c r="A153" s="3"/>
      <c r="B153" s="3"/>
    </row>
    <row r="154" spans="1:2" x14ac:dyDescent="0.25">
      <c r="A154" s="3"/>
      <c r="B154" s="3"/>
    </row>
    <row r="155" spans="1:2" x14ac:dyDescent="0.25">
      <c r="A155" s="3"/>
      <c r="B155" s="3"/>
    </row>
    <row r="156" spans="1:2" x14ac:dyDescent="0.25">
      <c r="A156" s="3"/>
      <c r="B156" s="3"/>
    </row>
    <row r="157" spans="1:2" x14ac:dyDescent="0.25">
      <c r="A157" s="3"/>
      <c r="B157" s="3"/>
    </row>
    <row r="158" spans="1:2" x14ac:dyDescent="0.25">
      <c r="A158" s="3"/>
      <c r="B158" s="3"/>
    </row>
    <row r="159" spans="1:2" x14ac:dyDescent="0.25">
      <c r="A159" s="3"/>
      <c r="B159" s="3"/>
    </row>
    <row r="160" spans="1:2" x14ac:dyDescent="0.25">
      <c r="A160" s="3"/>
      <c r="B160" s="3"/>
    </row>
    <row r="161" spans="1:25" x14ac:dyDescent="0.25">
      <c r="A161" s="3"/>
      <c r="B161" s="3"/>
    </row>
    <row r="162" spans="1:25" x14ac:dyDescent="0.25">
      <c r="A162" s="3"/>
      <c r="B162" s="3"/>
    </row>
    <row r="163" spans="1:25" x14ac:dyDescent="0.25">
      <c r="A163" s="3"/>
      <c r="B163" s="3"/>
    </row>
    <row r="164" spans="1:25" s="2" customFormat="1" x14ac:dyDescent="0.25">
      <c r="A164" s="3"/>
      <c r="B164" s="3"/>
      <c r="C164"/>
      <c r="D164"/>
      <c r="E164"/>
      <c r="F164"/>
      <c r="G164"/>
      <c r="H164"/>
      <c r="I164"/>
      <c r="J164"/>
      <c r="K164"/>
      <c r="L164"/>
      <c r="M164"/>
      <c r="N164"/>
      <c r="O164"/>
      <c r="P164"/>
      <c r="Q164"/>
      <c r="R164"/>
      <c r="S164"/>
      <c r="T164"/>
      <c r="U164"/>
      <c r="V164"/>
      <c r="W164"/>
      <c r="X164"/>
      <c r="Y164"/>
    </row>
    <row r="165" spans="1:25" x14ac:dyDescent="0.25">
      <c r="A165" s="3"/>
      <c r="B165" s="3"/>
    </row>
    <row r="166" spans="1:25" x14ac:dyDescent="0.25">
      <c r="A166" s="3"/>
      <c r="B166" s="3"/>
    </row>
    <row r="167" spans="1:25" x14ac:dyDescent="0.25">
      <c r="A167" s="3"/>
      <c r="B167" s="3"/>
    </row>
    <row r="168" spans="1:25" x14ac:dyDescent="0.25">
      <c r="A168" s="3"/>
      <c r="B168" s="3"/>
    </row>
    <row r="169" spans="1:25" x14ac:dyDescent="0.25">
      <c r="A169" s="3"/>
      <c r="B169" s="3"/>
    </row>
    <row r="170" spans="1:25" x14ac:dyDescent="0.25">
      <c r="A170" s="3"/>
      <c r="B170" s="3"/>
    </row>
    <row r="171" spans="1:25" x14ac:dyDescent="0.25">
      <c r="A171" s="3"/>
      <c r="B171" s="3"/>
    </row>
    <row r="172" spans="1:25" s="2" customFormat="1" x14ac:dyDescent="0.25">
      <c r="A172" s="3"/>
      <c r="B172" s="3"/>
      <c r="C172"/>
      <c r="D172"/>
      <c r="E172"/>
      <c r="F172"/>
      <c r="G172"/>
      <c r="H172"/>
      <c r="I172"/>
      <c r="J172"/>
      <c r="K172"/>
      <c r="L172"/>
      <c r="M172"/>
      <c r="N172"/>
      <c r="O172"/>
      <c r="P172"/>
      <c r="Q172"/>
      <c r="R172"/>
      <c r="S172"/>
      <c r="T172"/>
      <c r="U172"/>
      <c r="V172"/>
      <c r="W172"/>
      <c r="X172"/>
      <c r="Y172"/>
    </row>
    <row r="173" spans="1:25" x14ac:dyDescent="0.25">
      <c r="A173" s="3"/>
      <c r="B173" s="3"/>
    </row>
    <row r="174" spans="1:25" x14ac:dyDescent="0.25">
      <c r="A174" s="3"/>
      <c r="B174" s="3"/>
    </row>
    <row r="175" spans="1:25" x14ac:dyDescent="0.25">
      <c r="A175" s="3"/>
      <c r="B175" s="3"/>
    </row>
    <row r="176" spans="1:25" x14ac:dyDescent="0.25">
      <c r="A176" s="3"/>
      <c r="B176" s="3"/>
    </row>
    <row r="177" spans="1:2" x14ac:dyDescent="0.25">
      <c r="A177" s="3"/>
      <c r="B177" s="3"/>
    </row>
    <row r="178" spans="1:2" x14ac:dyDescent="0.25">
      <c r="A178" s="3"/>
      <c r="B178" s="3"/>
    </row>
    <row r="179" spans="1:2" x14ac:dyDescent="0.25">
      <c r="A179" s="3"/>
      <c r="B179" s="3"/>
    </row>
    <row r="180" spans="1:2" x14ac:dyDescent="0.25">
      <c r="A180" s="3"/>
      <c r="B180" s="3"/>
    </row>
    <row r="181" spans="1:2" x14ac:dyDescent="0.25">
      <c r="A181" s="3"/>
      <c r="B181" s="3"/>
    </row>
    <row r="182" spans="1:2" x14ac:dyDescent="0.25">
      <c r="A182" s="3"/>
      <c r="B182" s="3"/>
    </row>
    <row r="183" spans="1:2" x14ac:dyDescent="0.25">
      <c r="A183" s="3"/>
      <c r="B183" s="3"/>
    </row>
    <row r="184" spans="1:2" x14ac:dyDescent="0.25">
      <c r="A184" s="3"/>
      <c r="B184" s="3"/>
    </row>
    <row r="185" spans="1:2" x14ac:dyDescent="0.25">
      <c r="A185" s="3"/>
      <c r="B185" s="3"/>
    </row>
    <row r="219" spans="1:25" s="2" customFormat="1" x14ac:dyDescent="0.25">
      <c r="A219"/>
      <c r="B219"/>
      <c r="C219"/>
      <c r="D219"/>
      <c r="E219"/>
      <c r="F219"/>
      <c r="G219"/>
      <c r="H219"/>
      <c r="I219"/>
      <c r="J219"/>
      <c r="K219"/>
      <c r="L219"/>
      <c r="M219"/>
      <c r="N219"/>
      <c r="O219"/>
      <c r="P219"/>
      <c r="Q219"/>
      <c r="R219"/>
      <c r="S219"/>
      <c r="T219"/>
      <c r="U219"/>
      <c r="V219"/>
      <c r="W219"/>
      <c r="X219"/>
      <c r="Y219"/>
    </row>
  </sheetData>
  <mergeCells count="15">
    <mergeCell ref="F74:X74"/>
    <mergeCell ref="F80:X80"/>
    <mergeCell ref="E82:X82"/>
    <mergeCell ref="E86:X86"/>
    <mergeCell ref="E90:X90"/>
    <mergeCell ref="E32:X32"/>
    <mergeCell ref="F33:X33"/>
    <mergeCell ref="E49:X49"/>
    <mergeCell ref="F50:X50"/>
    <mergeCell ref="F66:X66"/>
    <mergeCell ref="D8:X8"/>
    <mergeCell ref="E10:X10"/>
    <mergeCell ref="F11:X11"/>
    <mergeCell ref="F18:X18"/>
    <mergeCell ref="F22:X22"/>
  </mergeCells>
  <conditionalFormatting sqref="U1:X8 S9:X92 T93:X340">
    <cfRule type="containsText" dxfId="21" priority="1" operator="containsText" text="ja">
      <formula>NOT(ISERROR(SEARCH(("ja"),(U1))))</formula>
    </cfRule>
    <cfRule type="containsText" dxfId="20" priority="2" operator="containsText" text="nein">
      <formula>NOT(ISERROR(SEARCH(("nein"),(U1))))</formula>
    </cfRule>
  </conditionalFormatting>
  <dataValidations count="4">
    <dataValidation type="list" errorStyle="warning" showErrorMessage="1" sqref="A11:A17 A18:A21 A22:A31 A32:A43 A44:A46 A47:A48 A49:A52 A53:A185" xr:uid="{00000000-0002-0000-0B00-000000000000}">
      <formula1>"ja,nein"</formula1>
    </dataValidation>
    <dataValidation type="list" errorStyle="warning" showErrorMessage="1" sqref="X19:X21 X34:X48 X51 X23:X31" xr:uid="{00000000-0002-0000-0B00-000001000000}">
      <formula1>",Ready, CICD"</formula1>
    </dataValidation>
    <dataValidation type="list" errorStyle="warning" showErrorMessage="1" sqref="U52:U65 U67:U73 U81 U83:U85 U87:U89 U91:U92 T52:T65 T67:T73 T81 T83:T85 T87:T89 T91:T92 T19:U21 T34:U48 T51:U51 T23:U31 T75:U77 T79:U79" xr:uid="{00000000-0002-0000-0B00-000002000000}">
      <formula1>"unbestimmt, ja, nein"</formula1>
    </dataValidation>
    <dataValidation type="list" errorStyle="warning" showErrorMessage="1" sqref="B11:B185" xr:uid="{00000000-0002-0000-0B00-000003000000}">
      <formula1>"ELA,Meistertask,Cleverreach,Synology,Miro,Google,WhatsApp,Canva,Adobe,Contao,Wiki,ecoDMS,Wiki,Facebook,Instagram,TikTok,LinkedIn,Youtube,Xing,X,SalesForce,Lexware,Volksbank,Articulate,Outlook,easy2book,Domainfactory,1&amp;1"</formula1>
    </dataValidation>
  </dataValidations>
  <pageMargins left="0.75" right="0.75" top="1" bottom="1" header="0.5" footer="0.5"/>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Y231"/>
  <sheetViews>
    <sheetView workbookViewId="0">
      <pane ySplit="9" topLeftCell="A10" activePane="bottomLeft" state="frozen"/>
      <selection pane="bottomLeft"/>
    </sheetView>
  </sheetViews>
  <sheetFormatPr baseColWidth="10" defaultColWidth="14.5703125" defaultRowHeight="15" x14ac:dyDescent="0.25"/>
  <cols>
    <col min="1" max="1" width="11.85546875" customWidth="1"/>
    <col min="2" max="2" width="10.42578125" customWidth="1"/>
    <col min="3" max="3" width="6.140625" customWidth="1"/>
    <col min="4" max="9" width="3.42578125" customWidth="1"/>
    <col min="10" max="10" width="42.7109375" customWidth="1"/>
    <col min="11" max="11" width="59" customWidth="1"/>
    <col min="12" max="12" width="23.140625" customWidth="1"/>
    <col min="13" max="17" width="17" customWidth="1"/>
    <col min="18" max="18" width="17.7109375" customWidth="1"/>
    <col min="20" max="20" width="14.42578125" customWidth="1"/>
    <col min="21" max="21" width="13.85546875" customWidth="1"/>
    <col min="22" max="23" width="31.85546875" customWidth="1"/>
    <col min="24" max="24" width="14.42578125" customWidth="1"/>
  </cols>
  <sheetData>
    <row r="2" spans="1:24" x14ac:dyDescent="0.25">
      <c r="I2" s="736"/>
      <c r="J2" t="s">
        <v>0</v>
      </c>
    </row>
    <row r="3" spans="1:24" x14ac:dyDescent="0.25">
      <c r="I3" s="43"/>
      <c r="J3" t="s">
        <v>1</v>
      </c>
    </row>
    <row r="4" spans="1:24" x14ac:dyDescent="0.25">
      <c r="I4" s="42"/>
      <c r="J4" t="s">
        <v>2</v>
      </c>
    </row>
    <row r="5" spans="1:24" x14ac:dyDescent="0.25">
      <c r="I5" s="106"/>
      <c r="J5" t="s">
        <v>3</v>
      </c>
    </row>
    <row r="6" spans="1:24" x14ac:dyDescent="0.25">
      <c r="I6" s="121"/>
      <c r="J6" t="s">
        <v>4</v>
      </c>
    </row>
    <row r="8" spans="1:24" x14ac:dyDescent="0.25">
      <c r="A8" s="122" t="s">
        <v>5</v>
      </c>
      <c r="B8" s="122" t="s">
        <v>6</v>
      </c>
      <c r="C8" s="122" t="s">
        <v>7</v>
      </c>
      <c r="D8" s="1077" t="s">
        <v>8</v>
      </c>
      <c r="E8" s="1077"/>
      <c r="F8" s="1077"/>
      <c r="G8" s="1077"/>
      <c r="H8" s="1077"/>
      <c r="I8" s="1077"/>
      <c r="J8" s="1077"/>
      <c r="K8" s="1078"/>
      <c r="L8" s="1079"/>
      <c r="M8" s="1080"/>
      <c r="N8" s="1080"/>
      <c r="O8" s="1080"/>
      <c r="P8" s="1080"/>
      <c r="Q8" s="1080"/>
      <c r="R8" s="1080"/>
      <c r="S8" s="1080"/>
      <c r="T8" s="1080"/>
      <c r="U8" s="1080"/>
      <c r="V8" s="1080"/>
      <c r="W8" s="1080"/>
      <c r="X8" s="1079"/>
    </row>
    <row r="9" spans="1:24" s="2" customFormat="1" ht="36.75" customHeight="1" x14ac:dyDescent="0.2">
      <c r="A9" s="7"/>
      <c r="B9" s="7"/>
      <c r="C9" s="7"/>
      <c r="D9" s="7" t="s">
        <v>9</v>
      </c>
      <c r="E9" s="32" t="s">
        <v>10</v>
      </c>
      <c r="F9" s="32" t="s">
        <v>11</v>
      </c>
      <c r="G9" s="32" t="s">
        <v>12</v>
      </c>
      <c r="H9" s="32" t="s">
        <v>13</v>
      </c>
      <c r="I9" s="32" t="s">
        <v>14</v>
      </c>
      <c r="J9" s="737" t="s">
        <v>15</v>
      </c>
      <c r="K9" s="738" t="s">
        <v>16</v>
      </c>
      <c r="L9" s="739" t="s">
        <v>17</v>
      </c>
      <c r="M9" s="740" t="s">
        <v>18</v>
      </c>
      <c r="N9" s="740" t="s">
        <v>19</v>
      </c>
      <c r="O9" s="33" t="s">
        <v>20</v>
      </c>
      <c r="P9" s="740" t="s">
        <v>21</v>
      </c>
      <c r="Q9" s="740" t="s">
        <v>22</v>
      </c>
      <c r="R9" s="740" t="s">
        <v>23</v>
      </c>
      <c r="S9" s="741" t="s">
        <v>24</v>
      </c>
      <c r="T9" s="34" t="s">
        <v>25</v>
      </c>
      <c r="U9" s="34" t="s">
        <v>26</v>
      </c>
      <c r="V9" s="35" t="s">
        <v>27</v>
      </c>
      <c r="W9" s="34" t="s">
        <v>28</v>
      </c>
      <c r="X9" s="34" t="s">
        <v>29</v>
      </c>
    </row>
    <row r="10" spans="1:24" s="2" customFormat="1" ht="20.25" customHeight="1" x14ac:dyDescent="0.2">
      <c r="A10" s="742"/>
      <c r="B10" s="742"/>
      <c r="C10" s="122"/>
      <c r="D10" s="122">
        <v>1</v>
      </c>
      <c r="E10" s="1077" t="s">
        <v>2989</v>
      </c>
      <c r="F10" s="1077"/>
      <c r="G10" s="1077"/>
      <c r="H10" s="1077"/>
      <c r="I10" s="1077"/>
      <c r="J10" s="1077"/>
      <c r="K10" s="1218"/>
      <c r="L10" s="1079"/>
      <c r="M10" s="1080"/>
      <c r="N10" s="1219"/>
      <c r="O10" s="1219"/>
      <c r="P10" s="1219"/>
      <c r="Q10" s="1219"/>
      <c r="R10" s="1080"/>
      <c r="S10" s="1080"/>
      <c r="T10" s="1080"/>
      <c r="U10" s="1080"/>
      <c r="V10" s="1080"/>
      <c r="W10" s="1080"/>
      <c r="X10" s="1079"/>
    </row>
    <row r="11" spans="1:24" s="2" customFormat="1" x14ac:dyDescent="0.25">
      <c r="A11" s="3"/>
      <c r="B11" s="3"/>
      <c r="C11" s="3"/>
      <c r="D11" s="3"/>
      <c r="E11" s="3" t="s">
        <v>2990</v>
      </c>
      <c r="F11" s="3"/>
      <c r="G11" s="3"/>
      <c r="H11" s="3"/>
      <c r="I11" s="3"/>
      <c r="J11" s="6"/>
      <c r="K11" s="6"/>
      <c r="L11" s="6"/>
      <c r="M11" s="6"/>
      <c r="N11" s="10"/>
      <c r="O11" s="10"/>
      <c r="P11" s="6"/>
      <c r="Q11" s="6"/>
      <c r="R11" s="10"/>
      <c r="S11" s="3"/>
      <c r="T11" s="4" t="s">
        <v>31</v>
      </c>
      <c r="U11" s="4" t="s">
        <v>31</v>
      </c>
      <c r="V11" s="3"/>
      <c r="W11" s="3"/>
      <c r="X11" s="3"/>
    </row>
    <row r="12" spans="1:24" s="2" customFormat="1" x14ac:dyDescent="0.25">
      <c r="A12" s="3"/>
      <c r="B12" s="3"/>
      <c r="C12" s="3"/>
      <c r="D12" s="3"/>
      <c r="E12" s="3" t="s">
        <v>2991</v>
      </c>
      <c r="F12" s="3"/>
      <c r="G12" s="3"/>
      <c r="H12" s="3"/>
      <c r="I12" s="3"/>
      <c r="J12" s="6"/>
      <c r="K12" s="6"/>
      <c r="L12" s="5"/>
      <c r="M12" s="6"/>
      <c r="N12" s="10"/>
      <c r="O12" s="10"/>
      <c r="P12" s="6"/>
      <c r="Q12" s="6"/>
      <c r="R12" s="10"/>
      <c r="S12" s="3"/>
      <c r="T12" s="4"/>
      <c r="U12" s="4"/>
      <c r="V12" s="3"/>
      <c r="W12" s="3"/>
      <c r="X12" s="3"/>
    </row>
    <row r="13" spans="1:24" s="2" customFormat="1" x14ac:dyDescent="0.25">
      <c r="A13" s="3"/>
      <c r="B13" s="3"/>
      <c r="C13" s="3"/>
      <c r="D13" s="3"/>
      <c r="E13" s="3" t="s">
        <v>2992</v>
      </c>
      <c r="F13" s="3"/>
      <c r="G13" s="3"/>
      <c r="H13" s="3"/>
      <c r="I13" s="3"/>
      <c r="J13" s="6"/>
      <c r="K13" s="6"/>
      <c r="L13" s="5"/>
      <c r="M13" s="6"/>
      <c r="N13" s="10"/>
      <c r="O13" s="10"/>
      <c r="P13" s="6"/>
      <c r="Q13" s="6"/>
      <c r="R13" s="10"/>
      <c r="S13" s="3"/>
      <c r="T13" s="4"/>
      <c r="U13" s="4"/>
      <c r="V13" s="3"/>
      <c r="W13" s="3"/>
      <c r="X13" s="3"/>
    </row>
    <row r="14" spans="1:24" s="2" customFormat="1" x14ac:dyDescent="0.25">
      <c r="A14" s="3"/>
      <c r="B14" s="3"/>
      <c r="C14" s="3"/>
      <c r="D14" s="3"/>
      <c r="E14" s="3" t="s">
        <v>2993</v>
      </c>
      <c r="F14" s="3"/>
      <c r="G14" s="3"/>
      <c r="H14" s="3"/>
      <c r="I14" s="3"/>
      <c r="J14" s="6"/>
      <c r="K14" s="6"/>
      <c r="L14" s="5"/>
      <c r="M14" s="6"/>
      <c r="N14" s="10"/>
      <c r="O14" s="10"/>
      <c r="P14" s="6"/>
      <c r="Q14" s="6"/>
      <c r="R14" s="10"/>
      <c r="S14" s="3"/>
      <c r="T14" s="4"/>
      <c r="U14" s="4"/>
      <c r="V14" s="3"/>
      <c r="W14" s="3"/>
      <c r="X14" s="3"/>
    </row>
    <row r="15" spans="1:24" s="2" customFormat="1" x14ac:dyDescent="0.25">
      <c r="A15" s="3"/>
      <c r="B15" s="3"/>
      <c r="C15" s="3"/>
      <c r="D15" s="3"/>
      <c r="E15" s="3" t="s">
        <v>2994</v>
      </c>
      <c r="F15" s="3"/>
      <c r="G15" s="3"/>
      <c r="H15" s="3"/>
      <c r="I15" s="3"/>
      <c r="J15" s="6"/>
      <c r="K15" s="6"/>
      <c r="L15" s="5"/>
      <c r="M15" s="6"/>
      <c r="N15" s="10"/>
      <c r="O15" s="10"/>
      <c r="P15" s="6"/>
      <c r="Q15" s="6"/>
      <c r="R15" s="10"/>
      <c r="S15" s="3"/>
      <c r="T15" s="4"/>
      <c r="U15" s="4"/>
      <c r="V15" s="3"/>
      <c r="W15" s="3"/>
      <c r="X15" s="3"/>
    </row>
    <row r="16" spans="1:24" s="2" customFormat="1" x14ac:dyDescent="0.25">
      <c r="A16" s="3"/>
      <c r="B16" s="3"/>
      <c r="C16" s="3"/>
      <c r="D16" s="3"/>
      <c r="E16" s="3" t="s">
        <v>2995</v>
      </c>
      <c r="F16" s="3"/>
      <c r="G16" s="3"/>
      <c r="H16" s="3"/>
      <c r="I16" s="3"/>
      <c r="J16" s="6"/>
      <c r="K16" s="6"/>
      <c r="L16" s="5"/>
      <c r="M16" s="6"/>
      <c r="N16" s="10"/>
      <c r="O16" s="10"/>
      <c r="P16" s="6"/>
      <c r="Q16" s="6"/>
      <c r="R16" s="10"/>
      <c r="S16" s="3"/>
      <c r="T16" s="4"/>
      <c r="U16" s="4"/>
      <c r="V16" s="3"/>
      <c r="W16" s="3"/>
      <c r="X16" s="3"/>
    </row>
    <row r="17" spans="1:24" x14ac:dyDescent="0.25">
      <c r="A17" s="3" t="s">
        <v>1098</v>
      </c>
      <c r="B17" s="3" t="s">
        <v>33</v>
      </c>
      <c r="C17" s="1"/>
      <c r="D17" t="s">
        <v>2996</v>
      </c>
      <c r="E17" s="1"/>
      <c r="F17" s="1"/>
      <c r="G17" s="1"/>
      <c r="H17" s="1"/>
      <c r="I17" s="1"/>
      <c r="J17" s="1"/>
      <c r="K17" s="6"/>
      <c r="L17" s="8"/>
      <c r="M17" s="6"/>
      <c r="N17" s="6"/>
      <c r="O17" s="6"/>
      <c r="P17" s="6"/>
      <c r="Q17" s="6"/>
      <c r="R17" s="6"/>
      <c r="S17" s="1"/>
      <c r="T17" s="4"/>
      <c r="U17" s="4"/>
      <c r="V17" s="1"/>
      <c r="W17" s="1"/>
      <c r="X17" s="1"/>
    </row>
    <row r="18" spans="1:24" x14ac:dyDescent="0.25">
      <c r="A18" s="3"/>
      <c r="B18" s="3"/>
      <c r="C18" s="1"/>
      <c r="E18" s="1" t="s">
        <v>33</v>
      </c>
      <c r="F18" s="1"/>
      <c r="G18" s="1"/>
      <c r="H18" s="1"/>
      <c r="I18" s="1"/>
      <c r="J18" s="1"/>
      <c r="K18" s="6"/>
      <c r="L18" s="8"/>
      <c r="M18" s="6"/>
      <c r="N18" s="6"/>
      <c r="O18" s="6"/>
      <c r="P18" s="6"/>
      <c r="Q18" s="6"/>
      <c r="R18" s="6"/>
      <c r="S18" s="1"/>
      <c r="T18" s="4"/>
      <c r="U18" s="4"/>
      <c r="V18" s="1"/>
      <c r="W18" s="1"/>
      <c r="X18" s="1"/>
    </row>
    <row r="19" spans="1:24" x14ac:dyDescent="0.25">
      <c r="A19" s="3"/>
      <c r="B19" s="3"/>
      <c r="C19" s="1"/>
      <c r="D19" s="1"/>
      <c r="E19" s="1" t="s">
        <v>2997</v>
      </c>
      <c r="F19" s="1"/>
      <c r="G19" s="1"/>
      <c r="H19" s="1"/>
      <c r="I19" s="1"/>
      <c r="J19" s="6"/>
      <c r="K19" s="6"/>
      <c r="L19" s="8"/>
      <c r="M19" s="6"/>
      <c r="N19" s="6"/>
      <c r="O19" s="6"/>
      <c r="P19" s="6"/>
      <c r="Q19" s="6"/>
      <c r="R19" s="6"/>
      <c r="S19" s="1"/>
      <c r="T19" s="4"/>
      <c r="U19" s="4"/>
      <c r="V19" s="1"/>
      <c r="W19" s="1"/>
      <c r="X19" s="1"/>
    </row>
    <row r="20" spans="1:24" x14ac:dyDescent="0.25">
      <c r="A20" s="3"/>
      <c r="B20" s="3"/>
      <c r="C20" s="1"/>
      <c r="D20" s="1"/>
      <c r="E20" s="1" t="s">
        <v>2998</v>
      </c>
      <c r="F20" s="1"/>
      <c r="G20" s="1"/>
      <c r="H20" s="1"/>
      <c r="I20" s="1"/>
      <c r="J20" s="6"/>
      <c r="K20" s="6"/>
      <c r="L20" s="8"/>
      <c r="M20" s="6"/>
      <c r="N20" s="6"/>
      <c r="O20" s="6"/>
      <c r="P20" s="6"/>
      <c r="Q20" s="6"/>
      <c r="R20" s="6"/>
      <c r="S20" s="1"/>
      <c r="T20" s="4"/>
      <c r="U20" s="4"/>
      <c r="V20" s="1"/>
      <c r="W20" s="1"/>
      <c r="X20" s="1"/>
    </row>
    <row r="21" spans="1:24" x14ac:dyDescent="0.25">
      <c r="A21" s="3"/>
      <c r="B21" s="3"/>
      <c r="C21" s="1"/>
      <c r="D21" s="1193" t="s">
        <v>2999</v>
      </c>
      <c r="E21" s="1193"/>
      <c r="F21" s="1193"/>
      <c r="G21" s="1193"/>
      <c r="H21" s="1193"/>
      <c r="I21" s="1193"/>
      <c r="J21" s="1193"/>
      <c r="K21" s="1"/>
      <c r="L21" s="5"/>
      <c r="M21" s="1"/>
      <c r="N21" s="1"/>
      <c r="O21" s="1"/>
      <c r="P21" s="1"/>
      <c r="Q21" s="1"/>
      <c r="R21" s="1"/>
      <c r="S21" s="1"/>
      <c r="T21" s="4"/>
      <c r="U21" s="4"/>
      <c r="V21" s="1"/>
      <c r="W21" s="1"/>
      <c r="X21" s="1"/>
    </row>
    <row r="22" spans="1:24" x14ac:dyDescent="0.25">
      <c r="A22" s="3"/>
      <c r="B22" s="3"/>
      <c r="C22" s="1"/>
      <c r="D22" s="1"/>
      <c r="E22" s="1" t="s">
        <v>3000</v>
      </c>
      <c r="F22" s="1"/>
      <c r="G22" s="1"/>
      <c r="H22" s="1"/>
      <c r="I22" s="1"/>
      <c r="J22" s="6"/>
      <c r="K22" s="1" t="s">
        <v>3001</v>
      </c>
      <c r="L22" s="5"/>
      <c r="M22" s="1"/>
      <c r="N22" s="1"/>
      <c r="O22" s="1"/>
      <c r="P22" s="1"/>
      <c r="Q22" s="1"/>
      <c r="R22" s="1"/>
      <c r="S22" s="1"/>
      <c r="T22" s="4"/>
      <c r="U22" s="4"/>
      <c r="V22" s="1"/>
      <c r="W22" s="1"/>
      <c r="X22" s="1"/>
    </row>
    <row r="23" spans="1:24" x14ac:dyDescent="0.25">
      <c r="A23" s="3"/>
      <c r="B23" s="3"/>
      <c r="C23" s="1"/>
      <c r="D23" s="1"/>
      <c r="E23" s="1" t="s">
        <v>3002</v>
      </c>
      <c r="F23" s="1"/>
      <c r="G23" s="1"/>
      <c r="H23" s="1"/>
      <c r="I23" s="1"/>
      <c r="J23" s="1"/>
      <c r="K23" s="1" t="s">
        <v>3003</v>
      </c>
      <c r="L23" s="5"/>
      <c r="M23" s="1"/>
      <c r="N23" s="1"/>
      <c r="O23" s="1"/>
      <c r="P23" s="1"/>
      <c r="Q23" s="1"/>
      <c r="R23" s="1"/>
      <c r="S23" s="1"/>
      <c r="T23" s="4"/>
      <c r="U23" s="4"/>
      <c r="V23" s="1"/>
      <c r="W23" s="1"/>
      <c r="X23" s="1"/>
    </row>
    <row r="24" spans="1:24" x14ac:dyDescent="0.25">
      <c r="A24" s="3"/>
      <c r="B24" s="3"/>
      <c r="C24" s="1"/>
      <c r="D24" s="1"/>
      <c r="E24" s="1" t="s">
        <v>3004</v>
      </c>
      <c r="F24" s="1"/>
      <c r="G24" s="1"/>
      <c r="H24" s="1"/>
      <c r="I24" s="1"/>
      <c r="J24" s="1"/>
      <c r="K24" s="1" t="s">
        <v>3005</v>
      </c>
      <c r="L24" s="5"/>
      <c r="M24" s="1"/>
      <c r="N24" s="1"/>
      <c r="O24" s="1"/>
      <c r="P24" s="1"/>
      <c r="Q24" s="1"/>
      <c r="R24" s="1"/>
      <c r="S24" s="1"/>
      <c r="T24" s="4"/>
      <c r="U24" s="4"/>
      <c r="V24" s="1"/>
      <c r="W24" s="1"/>
      <c r="X24" s="1"/>
    </row>
    <row r="25" spans="1:24" x14ac:dyDescent="0.25">
      <c r="A25" s="3"/>
      <c r="B25" s="3"/>
      <c r="C25" s="1"/>
      <c r="D25" s="1"/>
      <c r="E25" s="1" t="s">
        <v>3006</v>
      </c>
      <c r="F25" s="1"/>
      <c r="G25" s="1"/>
      <c r="H25" s="1"/>
      <c r="I25" s="1"/>
      <c r="J25" s="1"/>
      <c r="K25" s="1" t="s">
        <v>3005</v>
      </c>
      <c r="L25" s="5"/>
      <c r="M25" s="1"/>
      <c r="N25" s="1"/>
      <c r="O25" s="1"/>
      <c r="P25" s="1"/>
      <c r="Q25" s="1"/>
      <c r="R25" s="1"/>
      <c r="S25" s="1"/>
      <c r="T25" s="4"/>
      <c r="U25" s="4"/>
      <c r="V25" s="1"/>
      <c r="W25" s="1"/>
      <c r="X25" s="1"/>
    </row>
    <row r="26" spans="1:24" x14ac:dyDescent="0.25">
      <c r="A26" s="3"/>
      <c r="B26" s="3"/>
      <c r="C26" s="1"/>
      <c r="D26" s="1"/>
      <c r="E26" s="1" t="s">
        <v>3007</v>
      </c>
      <c r="F26" s="1"/>
      <c r="G26" s="1"/>
      <c r="H26" s="1"/>
      <c r="I26" s="1"/>
      <c r="J26" s="1"/>
      <c r="K26" s="1" t="s">
        <v>3008</v>
      </c>
      <c r="L26" s="5"/>
      <c r="M26" s="1"/>
      <c r="N26" s="1"/>
      <c r="O26" s="1"/>
      <c r="P26" s="1"/>
      <c r="Q26" s="1"/>
      <c r="R26" s="1"/>
      <c r="S26" s="1"/>
      <c r="T26" s="4"/>
      <c r="U26" s="4"/>
      <c r="V26" s="1"/>
      <c r="W26" s="1"/>
      <c r="X26" s="1"/>
    </row>
    <row r="27" spans="1:24" x14ac:dyDescent="0.25">
      <c r="A27" s="3"/>
      <c r="B27" s="3"/>
      <c r="C27" s="1"/>
      <c r="D27" s="1"/>
      <c r="E27" s="1" t="s">
        <v>3009</v>
      </c>
      <c r="F27" s="1"/>
      <c r="G27" s="1"/>
      <c r="H27" s="1"/>
      <c r="I27" s="1"/>
      <c r="J27" s="1"/>
      <c r="K27" s="1" t="s">
        <v>3008</v>
      </c>
      <c r="L27" s="5"/>
      <c r="M27" s="1"/>
      <c r="N27" s="1"/>
      <c r="O27" s="1"/>
      <c r="P27" s="1"/>
      <c r="Q27" s="1"/>
      <c r="R27" s="1"/>
      <c r="S27" s="1"/>
      <c r="T27" s="4"/>
      <c r="U27" s="4"/>
      <c r="V27" s="1"/>
      <c r="W27" s="1"/>
      <c r="X27" s="1"/>
    </row>
    <row r="28" spans="1:24" x14ac:dyDescent="0.25">
      <c r="A28" s="3"/>
      <c r="B28" s="3"/>
      <c r="C28" s="1"/>
      <c r="D28" s="1" t="s">
        <v>3010</v>
      </c>
      <c r="E28" s="1"/>
      <c r="F28" s="1"/>
      <c r="G28" s="1"/>
      <c r="H28" s="1"/>
      <c r="I28" s="1"/>
      <c r="J28" s="1"/>
      <c r="K28" s="6"/>
      <c r="L28" s="5"/>
      <c r="M28" s="1"/>
      <c r="N28" s="1"/>
      <c r="O28" s="1"/>
      <c r="P28" s="1"/>
      <c r="Q28" s="1"/>
      <c r="R28" s="1"/>
      <c r="S28" s="1"/>
      <c r="T28" s="4"/>
      <c r="U28" s="4"/>
      <c r="V28" s="1"/>
      <c r="W28" s="1"/>
      <c r="X28" s="1"/>
    </row>
    <row r="29" spans="1:24" x14ac:dyDescent="0.25">
      <c r="A29" s="3"/>
      <c r="B29" s="3"/>
      <c r="C29" s="1"/>
      <c r="D29" s="1"/>
      <c r="E29" s="1" t="s">
        <v>3011</v>
      </c>
      <c r="F29" s="1"/>
      <c r="G29" s="1"/>
      <c r="H29" s="1"/>
      <c r="I29" s="1"/>
      <c r="J29" s="9"/>
      <c r="K29" s="5"/>
      <c r="L29" s="5"/>
      <c r="M29" s="1"/>
      <c r="N29" s="1"/>
      <c r="O29" s="1"/>
      <c r="P29" s="1"/>
      <c r="Q29" s="1"/>
      <c r="R29" s="1"/>
      <c r="S29" s="1"/>
      <c r="T29" s="4"/>
      <c r="U29" s="4"/>
      <c r="V29" s="1"/>
      <c r="W29" s="1"/>
      <c r="X29" s="1"/>
    </row>
    <row r="30" spans="1:24" x14ac:dyDescent="0.25">
      <c r="A30" s="3"/>
      <c r="B30" s="3"/>
      <c r="C30" s="1"/>
      <c r="D30" s="1"/>
      <c r="E30" s="1" t="s">
        <v>3012</v>
      </c>
      <c r="F30" s="1"/>
      <c r="G30" s="1"/>
      <c r="H30" s="1"/>
      <c r="I30" s="1"/>
      <c r="J30" s="1"/>
      <c r="K30" s="1"/>
      <c r="L30" s="5"/>
      <c r="M30" s="1"/>
      <c r="N30" s="1"/>
      <c r="O30" s="1"/>
      <c r="P30" s="1"/>
      <c r="Q30" s="1"/>
      <c r="R30" s="1"/>
      <c r="S30" s="1"/>
      <c r="T30" s="4"/>
      <c r="U30" s="4"/>
      <c r="V30" s="1"/>
      <c r="W30" s="1"/>
      <c r="X30" s="1"/>
    </row>
    <row r="31" spans="1:24" x14ac:dyDescent="0.25">
      <c r="A31" s="3"/>
      <c r="B31" s="3"/>
      <c r="E31" t="s">
        <v>3013</v>
      </c>
      <c r="J31" s="2"/>
      <c r="L31" s="2"/>
    </row>
    <row r="32" spans="1:24" x14ac:dyDescent="0.25">
      <c r="A32" s="3"/>
      <c r="B32" s="3"/>
      <c r="E32" t="s">
        <v>3014</v>
      </c>
    </row>
    <row r="33" spans="1:12" x14ac:dyDescent="0.25">
      <c r="A33" s="3"/>
      <c r="B33" s="3"/>
      <c r="F33" t="s">
        <v>3015</v>
      </c>
    </row>
    <row r="34" spans="1:12" x14ac:dyDescent="0.25">
      <c r="A34" s="3"/>
      <c r="B34" s="3"/>
      <c r="F34" t="s">
        <v>3016</v>
      </c>
    </row>
    <row r="35" spans="1:12" x14ac:dyDescent="0.25">
      <c r="A35" s="3"/>
      <c r="B35" s="3"/>
      <c r="E35" t="s">
        <v>3017</v>
      </c>
      <c r="J35" s="2"/>
      <c r="K35" t="s">
        <v>3018</v>
      </c>
      <c r="L35" s="2"/>
    </row>
    <row r="36" spans="1:12" x14ac:dyDescent="0.25">
      <c r="A36" s="3"/>
      <c r="B36" s="3"/>
      <c r="E36" t="s">
        <v>3019</v>
      </c>
      <c r="K36" t="s">
        <v>3020</v>
      </c>
    </row>
    <row r="37" spans="1:12" x14ac:dyDescent="0.25">
      <c r="A37" s="3"/>
      <c r="B37" s="3"/>
      <c r="E37" t="s">
        <v>3021</v>
      </c>
      <c r="J37" s="2"/>
      <c r="L37" s="2"/>
    </row>
    <row r="38" spans="1:12" x14ac:dyDescent="0.25">
      <c r="A38" s="3"/>
      <c r="B38" s="3"/>
      <c r="E38" t="s">
        <v>3022</v>
      </c>
    </row>
    <row r="39" spans="1:12" x14ac:dyDescent="0.25">
      <c r="A39" s="3"/>
      <c r="B39" s="3"/>
      <c r="E39" t="s">
        <v>3023</v>
      </c>
      <c r="J39" s="2"/>
      <c r="L39" s="2"/>
    </row>
    <row r="40" spans="1:12" x14ac:dyDescent="0.25">
      <c r="A40" s="3"/>
      <c r="B40" s="3"/>
      <c r="E40" t="s">
        <v>3024</v>
      </c>
    </row>
    <row r="41" spans="1:12" x14ac:dyDescent="0.25">
      <c r="A41" s="3"/>
      <c r="B41" s="3"/>
      <c r="E41" t="s">
        <v>3025</v>
      </c>
      <c r="J41" s="2"/>
      <c r="L41" s="2"/>
    </row>
    <row r="42" spans="1:12" x14ac:dyDescent="0.25">
      <c r="A42" s="3"/>
      <c r="B42" s="3"/>
      <c r="F42" t="s">
        <v>3026</v>
      </c>
      <c r="J42" s="2"/>
      <c r="L42" s="2"/>
    </row>
    <row r="43" spans="1:12" x14ac:dyDescent="0.25">
      <c r="A43" s="3"/>
      <c r="B43" s="3"/>
      <c r="F43" t="s">
        <v>3027</v>
      </c>
      <c r="J43" s="2"/>
      <c r="L43" s="2"/>
    </row>
    <row r="44" spans="1:12" x14ac:dyDescent="0.25">
      <c r="A44" s="3"/>
      <c r="B44" s="3"/>
      <c r="J44" s="2"/>
      <c r="L44" s="2"/>
    </row>
    <row r="45" spans="1:12" x14ac:dyDescent="0.25">
      <c r="A45" s="3"/>
      <c r="B45" s="3"/>
      <c r="E45" t="s">
        <v>3028</v>
      </c>
    </row>
    <row r="46" spans="1:12" x14ac:dyDescent="0.25">
      <c r="A46" s="3"/>
      <c r="B46" s="3"/>
      <c r="E46" t="s">
        <v>3029</v>
      </c>
      <c r="J46" s="2"/>
      <c r="L46" s="2"/>
    </row>
    <row r="47" spans="1:12" x14ac:dyDescent="0.25">
      <c r="A47" s="3"/>
      <c r="B47" s="3"/>
      <c r="E47" t="s">
        <v>3030</v>
      </c>
      <c r="J47" s="2"/>
      <c r="L47" s="2"/>
    </row>
    <row r="48" spans="1:12" x14ac:dyDescent="0.25">
      <c r="A48" s="3"/>
      <c r="B48" s="3"/>
      <c r="E48" t="s">
        <v>3031</v>
      </c>
      <c r="J48" s="2"/>
      <c r="L48" s="2"/>
    </row>
    <row r="49" spans="1:12" x14ac:dyDescent="0.25">
      <c r="A49" s="3"/>
      <c r="B49" s="3"/>
      <c r="E49" t="s">
        <v>3032</v>
      </c>
      <c r="J49" s="2"/>
      <c r="L49" s="2"/>
    </row>
    <row r="50" spans="1:12" x14ac:dyDescent="0.25">
      <c r="A50" s="3"/>
      <c r="B50" s="3"/>
      <c r="E50" t="s">
        <v>3033</v>
      </c>
      <c r="J50" s="2"/>
      <c r="L50" s="2"/>
    </row>
    <row r="51" spans="1:12" x14ac:dyDescent="0.25">
      <c r="A51" s="3"/>
      <c r="B51" s="3"/>
      <c r="E51" t="s">
        <v>3034</v>
      </c>
      <c r="J51" s="2"/>
      <c r="L51" s="2"/>
    </row>
    <row r="52" spans="1:12" x14ac:dyDescent="0.25">
      <c r="A52" s="3"/>
      <c r="B52" s="3"/>
      <c r="F52" t="s">
        <v>3035</v>
      </c>
      <c r="J52" s="2"/>
      <c r="L52" s="2"/>
    </row>
    <row r="53" spans="1:12" x14ac:dyDescent="0.25">
      <c r="A53" s="3"/>
      <c r="B53" s="3"/>
      <c r="F53" t="s">
        <v>3036</v>
      </c>
      <c r="J53" s="2"/>
      <c r="L53" s="2"/>
    </row>
    <row r="54" spans="1:12" x14ac:dyDescent="0.25">
      <c r="A54" s="3"/>
      <c r="B54" s="3"/>
      <c r="E54" t="s">
        <v>3037</v>
      </c>
      <c r="J54" s="2"/>
      <c r="L54" s="2"/>
    </row>
    <row r="55" spans="1:12" x14ac:dyDescent="0.25">
      <c r="A55" s="3"/>
      <c r="B55" s="3"/>
      <c r="F55" t="s">
        <v>3038</v>
      </c>
      <c r="J55" s="2"/>
      <c r="L55" s="2"/>
    </row>
    <row r="56" spans="1:12" x14ac:dyDescent="0.25">
      <c r="A56" s="3"/>
      <c r="B56" s="3"/>
      <c r="F56" t="s">
        <v>3039</v>
      </c>
      <c r="J56" s="2"/>
      <c r="L56" s="2"/>
    </row>
    <row r="57" spans="1:12" x14ac:dyDescent="0.25">
      <c r="A57" s="3"/>
      <c r="B57" s="3"/>
      <c r="E57" t="s">
        <v>3040</v>
      </c>
      <c r="J57" s="2"/>
      <c r="L57" s="2"/>
    </row>
    <row r="58" spans="1:12" x14ac:dyDescent="0.25">
      <c r="A58" s="3"/>
      <c r="B58" s="3"/>
      <c r="D58" t="s">
        <v>3041</v>
      </c>
      <c r="J58" s="2"/>
      <c r="L58" s="2"/>
    </row>
    <row r="59" spans="1:12" x14ac:dyDescent="0.25">
      <c r="A59" s="3"/>
      <c r="B59" s="3"/>
      <c r="E59" t="s">
        <v>3042</v>
      </c>
      <c r="J59" s="2"/>
      <c r="L59" s="2"/>
    </row>
    <row r="60" spans="1:12" x14ac:dyDescent="0.25">
      <c r="A60" s="3"/>
      <c r="B60" s="3"/>
      <c r="E60" t="s">
        <v>3043</v>
      </c>
      <c r="J60" s="2"/>
      <c r="L60" s="2"/>
    </row>
    <row r="61" spans="1:12" x14ac:dyDescent="0.25">
      <c r="A61" s="3"/>
      <c r="B61" s="3"/>
      <c r="E61" t="s">
        <v>3044</v>
      </c>
      <c r="J61" s="2"/>
      <c r="L61" s="2"/>
    </row>
    <row r="62" spans="1:12" x14ac:dyDescent="0.25">
      <c r="A62" s="3"/>
      <c r="B62" s="3"/>
      <c r="E62" t="s">
        <v>3045</v>
      </c>
      <c r="J62" s="2"/>
      <c r="L62" s="2"/>
    </row>
    <row r="63" spans="1:12" x14ac:dyDescent="0.25">
      <c r="A63" s="3"/>
      <c r="B63" s="3"/>
      <c r="E63" t="s">
        <v>3046</v>
      </c>
      <c r="J63" s="2"/>
      <c r="L63" s="2"/>
    </row>
    <row r="64" spans="1:12" x14ac:dyDescent="0.25">
      <c r="A64" s="3"/>
      <c r="B64" s="3"/>
      <c r="E64" t="s">
        <v>3047</v>
      </c>
      <c r="J64" s="2"/>
      <c r="L64" s="2"/>
    </row>
    <row r="65" spans="1:12" x14ac:dyDescent="0.25">
      <c r="A65" s="3"/>
      <c r="B65" s="3"/>
      <c r="F65" t="s">
        <v>3048</v>
      </c>
      <c r="J65" s="2"/>
      <c r="L65" s="2"/>
    </row>
    <row r="66" spans="1:12" x14ac:dyDescent="0.25">
      <c r="A66" s="3"/>
      <c r="B66" s="3"/>
      <c r="F66" t="s">
        <v>3049</v>
      </c>
      <c r="J66" s="2"/>
      <c r="L66" s="2"/>
    </row>
    <row r="67" spans="1:12" x14ac:dyDescent="0.25">
      <c r="A67" s="3"/>
      <c r="B67" s="3"/>
      <c r="F67" t="s">
        <v>3050</v>
      </c>
      <c r="J67" s="2"/>
      <c r="L67" s="2"/>
    </row>
    <row r="68" spans="1:12" x14ac:dyDescent="0.25">
      <c r="A68" s="3"/>
      <c r="B68" s="3"/>
      <c r="F68" t="s">
        <v>3051</v>
      </c>
      <c r="J68" s="2"/>
      <c r="L68" s="2"/>
    </row>
    <row r="69" spans="1:12" x14ac:dyDescent="0.25">
      <c r="A69" s="3"/>
      <c r="B69" s="3"/>
      <c r="E69" t="s">
        <v>3052</v>
      </c>
      <c r="J69" s="2"/>
      <c r="L69" s="2"/>
    </row>
    <row r="70" spans="1:12" x14ac:dyDescent="0.25">
      <c r="A70" s="3"/>
      <c r="B70" s="3"/>
      <c r="E70" t="s">
        <v>3053</v>
      </c>
      <c r="J70" s="2"/>
      <c r="L70" s="2"/>
    </row>
    <row r="71" spans="1:12" x14ac:dyDescent="0.25">
      <c r="A71" s="3"/>
      <c r="B71" s="3"/>
      <c r="E71" t="s">
        <v>3054</v>
      </c>
      <c r="J71" s="2"/>
      <c r="L71" s="2"/>
    </row>
    <row r="72" spans="1:12" x14ac:dyDescent="0.25">
      <c r="A72" s="3"/>
      <c r="B72" s="3"/>
      <c r="E72" t="s">
        <v>3055</v>
      </c>
      <c r="J72" s="2"/>
      <c r="L72" s="2"/>
    </row>
    <row r="73" spans="1:12" x14ac:dyDescent="0.25">
      <c r="A73" s="3"/>
      <c r="B73" s="3"/>
      <c r="E73" t="s">
        <v>3056</v>
      </c>
      <c r="J73" s="2"/>
      <c r="L73" s="2"/>
    </row>
    <row r="74" spans="1:12" x14ac:dyDescent="0.25">
      <c r="A74" s="3"/>
      <c r="B74" s="3"/>
      <c r="E74" t="s">
        <v>3057</v>
      </c>
      <c r="J74" s="2"/>
      <c r="L74" s="2"/>
    </row>
    <row r="75" spans="1:12" x14ac:dyDescent="0.25">
      <c r="A75" s="3"/>
      <c r="B75" s="3"/>
      <c r="E75" t="s">
        <v>3058</v>
      </c>
      <c r="J75" s="2"/>
      <c r="L75" s="2"/>
    </row>
    <row r="76" spans="1:12" x14ac:dyDescent="0.25">
      <c r="A76" s="3"/>
      <c r="B76" s="3"/>
      <c r="E76" t="s">
        <v>3059</v>
      </c>
      <c r="J76" s="2"/>
      <c r="L76" s="2"/>
    </row>
    <row r="77" spans="1:12" x14ac:dyDescent="0.25">
      <c r="A77" s="3"/>
      <c r="B77" s="3"/>
      <c r="J77" s="2"/>
      <c r="L77" s="2"/>
    </row>
    <row r="78" spans="1:12" x14ac:dyDescent="0.25">
      <c r="A78" s="3"/>
      <c r="B78" s="3"/>
      <c r="J78" s="2"/>
      <c r="L78" s="2"/>
    </row>
    <row r="79" spans="1:12" x14ac:dyDescent="0.25">
      <c r="A79" s="3"/>
      <c r="B79" s="3"/>
      <c r="J79" s="2"/>
      <c r="L79" s="2"/>
    </row>
    <row r="80" spans="1:12" x14ac:dyDescent="0.25">
      <c r="A80" s="3"/>
      <c r="B80" s="3"/>
      <c r="J80" s="2"/>
      <c r="L80" s="2"/>
    </row>
    <row r="81" spans="1:12" x14ac:dyDescent="0.25">
      <c r="A81" s="3"/>
      <c r="B81" s="3"/>
      <c r="J81" s="2"/>
      <c r="L81" s="2"/>
    </row>
    <row r="82" spans="1:12" x14ac:dyDescent="0.25">
      <c r="A82" s="3"/>
      <c r="B82" s="3"/>
      <c r="J82" s="2"/>
      <c r="L82" s="2"/>
    </row>
    <row r="83" spans="1:12" x14ac:dyDescent="0.25">
      <c r="A83" s="3"/>
      <c r="B83" s="3"/>
      <c r="J83" s="2"/>
      <c r="L83" s="2"/>
    </row>
    <row r="84" spans="1:12" x14ac:dyDescent="0.25">
      <c r="A84" s="3"/>
      <c r="B84" s="3"/>
      <c r="D84" t="s">
        <v>3060</v>
      </c>
    </row>
    <row r="85" spans="1:12" x14ac:dyDescent="0.25">
      <c r="A85" s="3"/>
      <c r="B85" s="3"/>
      <c r="E85" t="s">
        <v>3061</v>
      </c>
      <c r="J85" s="2"/>
      <c r="L85" s="2"/>
    </row>
    <row r="86" spans="1:12" x14ac:dyDescent="0.25">
      <c r="A86" s="3"/>
      <c r="B86" s="3"/>
      <c r="E86" t="s">
        <v>3062</v>
      </c>
    </row>
    <row r="87" spans="1:12" x14ac:dyDescent="0.25">
      <c r="A87" s="3"/>
      <c r="B87" s="3"/>
      <c r="F87" t="s">
        <v>3063</v>
      </c>
    </row>
    <row r="88" spans="1:12" x14ac:dyDescent="0.25">
      <c r="A88" s="3"/>
      <c r="B88" s="3"/>
      <c r="F88" t="s">
        <v>3064</v>
      </c>
    </row>
    <row r="89" spans="1:12" x14ac:dyDescent="0.25">
      <c r="A89" s="3"/>
      <c r="B89" s="3"/>
      <c r="E89" t="s">
        <v>3065</v>
      </c>
      <c r="J89" s="2"/>
      <c r="L89" s="2"/>
    </row>
    <row r="90" spans="1:12" x14ac:dyDescent="0.25">
      <c r="A90" s="3"/>
      <c r="B90" s="3"/>
      <c r="E90" t="s">
        <v>3066</v>
      </c>
    </row>
    <row r="91" spans="1:12" x14ac:dyDescent="0.25">
      <c r="A91" s="3"/>
      <c r="B91" s="3"/>
      <c r="E91" t="s">
        <v>3067</v>
      </c>
      <c r="J91" s="2"/>
      <c r="L91" s="2"/>
    </row>
    <row r="92" spans="1:12" x14ac:dyDescent="0.25">
      <c r="A92" s="3"/>
      <c r="B92" s="3"/>
      <c r="E92" t="s">
        <v>3068</v>
      </c>
    </row>
    <row r="93" spans="1:12" x14ac:dyDescent="0.25">
      <c r="A93" s="3"/>
      <c r="B93" s="3"/>
      <c r="F93" t="s">
        <v>3069</v>
      </c>
      <c r="J93" s="2"/>
      <c r="L93" s="2"/>
    </row>
    <row r="94" spans="1:12" x14ac:dyDescent="0.25">
      <c r="A94" s="3"/>
      <c r="B94" s="3"/>
      <c r="F94" t="s">
        <v>3070</v>
      </c>
    </row>
    <row r="95" spans="1:12" x14ac:dyDescent="0.25">
      <c r="A95" s="3"/>
      <c r="B95" s="3"/>
      <c r="E95" t="s">
        <v>3071</v>
      </c>
    </row>
    <row r="96" spans="1:12" x14ac:dyDescent="0.25">
      <c r="A96" s="3"/>
      <c r="B96" s="3"/>
    </row>
    <row r="97" spans="1:11" x14ac:dyDescent="0.25">
      <c r="A97" s="3"/>
      <c r="B97" s="3"/>
    </row>
    <row r="98" spans="1:11" x14ac:dyDescent="0.25">
      <c r="A98" s="3"/>
      <c r="B98" s="3"/>
    </row>
    <row r="99" spans="1:11" x14ac:dyDescent="0.25">
      <c r="A99" s="3"/>
      <c r="B99" s="3"/>
      <c r="D99" t="s">
        <v>3072</v>
      </c>
    </row>
    <row r="100" spans="1:11" x14ac:dyDescent="0.25">
      <c r="A100" s="3"/>
      <c r="B100" s="3"/>
    </row>
    <row r="101" spans="1:11" x14ac:dyDescent="0.25">
      <c r="A101" s="3"/>
      <c r="B101" s="3"/>
    </row>
    <row r="102" spans="1:11" x14ac:dyDescent="0.25">
      <c r="A102" s="3"/>
      <c r="B102" s="3"/>
    </row>
    <row r="103" spans="1:11" x14ac:dyDescent="0.25">
      <c r="A103" s="3"/>
      <c r="B103" s="3"/>
    </row>
    <row r="104" spans="1:11" x14ac:dyDescent="0.25">
      <c r="A104" s="3"/>
      <c r="B104" s="3"/>
      <c r="D104" t="s">
        <v>3073</v>
      </c>
    </row>
    <row r="105" spans="1:11" x14ac:dyDescent="0.25">
      <c r="A105" s="3"/>
      <c r="B105" s="3"/>
      <c r="E105" t="s">
        <v>3074</v>
      </c>
    </row>
    <row r="106" spans="1:11" x14ac:dyDescent="0.25">
      <c r="A106" s="3"/>
      <c r="B106" s="3"/>
    </row>
    <row r="107" spans="1:11" x14ac:dyDescent="0.25">
      <c r="A107" s="3"/>
      <c r="B107" s="3"/>
    </row>
    <row r="108" spans="1:11" x14ac:dyDescent="0.25">
      <c r="A108" s="3"/>
      <c r="B108" s="3"/>
      <c r="D108" t="s">
        <v>3075</v>
      </c>
    </row>
    <row r="109" spans="1:11" x14ac:dyDescent="0.25">
      <c r="A109" s="3"/>
      <c r="B109" s="3"/>
      <c r="E109" t="s">
        <v>3076</v>
      </c>
      <c r="K109" t="s">
        <v>3077</v>
      </c>
    </row>
    <row r="110" spans="1:11" x14ac:dyDescent="0.25">
      <c r="A110" s="3"/>
      <c r="B110" s="3"/>
    </row>
    <row r="111" spans="1:11" x14ac:dyDescent="0.25">
      <c r="A111" s="3"/>
      <c r="B111" s="3"/>
    </row>
    <row r="112" spans="1:11" x14ac:dyDescent="0.25">
      <c r="A112" s="3"/>
      <c r="B112" s="3"/>
    </row>
    <row r="113" spans="1:2" x14ac:dyDescent="0.25">
      <c r="A113" s="3"/>
      <c r="B113" s="3"/>
    </row>
    <row r="114" spans="1:2" x14ac:dyDescent="0.25">
      <c r="A114" s="3"/>
      <c r="B114" s="3"/>
    </row>
    <row r="115" spans="1:2" x14ac:dyDescent="0.25">
      <c r="A115" s="3"/>
      <c r="B115" s="3"/>
    </row>
    <row r="116" spans="1:2" x14ac:dyDescent="0.25">
      <c r="A116" s="3"/>
      <c r="B116" s="3"/>
    </row>
    <row r="117" spans="1:2" x14ac:dyDescent="0.25">
      <c r="A117" s="3"/>
      <c r="B117" s="3"/>
    </row>
    <row r="118" spans="1:2" x14ac:dyDescent="0.25">
      <c r="A118" s="3"/>
      <c r="B118" s="3"/>
    </row>
    <row r="119" spans="1:2" x14ac:dyDescent="0.25">
      <c r="A119" s="3"/>
      <c r="B119" s="3"/>
    </row>
    <row r="120" spans="1:2" x14ac:dyDescent="0.25">
      <c r="A120" s="3"/>
      <c r="B120" s="3"/>
    </row>
    <row r="121" spans="1:2" x14ac:dyDescent="0.25">
      <c r="A121" s="3"/>
      <c r="B121" s="3"/>
    </row>
    <row r="122" spans="1:2" x14ac:dyDescent="0.25">
      <c r="A122" s="3"/>
      <c r="B122" s="3"/>
    </row>
    <row r="123" spans="1:2" x14ac:dyDescent="0.25">
      <c r="A123" s="3"/>
      <c r="B123" s="3"/>
    </row>
    <row r="124" spans="1:2" x14ac:dyDescent="0.25">
      <c r="A124" s="3"/>
      <c r="B124" s="3"/>
    </row>
    <row r="125" spans="1:2" x14ac:dyDescent="0.25">
      <c r="A125" s="3"/>
      <c r="B125" s="3"/>
    </row>
    <row r="126" spans="1:2" x14ac:dyDescent="0.25">
      <c r="A126" s="3"/>
      <c r="B126" s="3"/>
    </row>
    <row r="127" spans="1:2" x14ac:dyDescent="0.25">
      <c r="A127" s="3"/>
      <c r="B127" s="3"/>
    </row>
    <row r="128" spans="1:2" x14ac:dyDescent="0.25">
      <c r="A128" s="3"/>
      <c r="B128" s="3"/>
    </row>
    <row r="129" spans="1:2" x14ac:dyDescent="0.25">
      <c r="A129" s="3"/>
      <c r="B129" s="3"/>
    </row>
    <row r="130" spans="1:2" x14ac:dyDescent="0.25">
      <c r="A130" s="3"/>
      <c r="B130" s="3"/>
    </row>
    <row r="131" spans="1:2" x14ac:dyDescent="0.25">
      <c r="A131" s="3"/>
      <c r="B131" s="3"/>
    </row>
    <row r="132" spans="1:2" x14ac:dyDescent="0.25">
      <c r="A132" s="3"/>
      <c r="B132" s="3"/>
    </row>
    <row r="133" spans="1:2" x14ac:dyDescent="0.25">
      <c r="A133" s="3"/>
      <c r="B133" s="3"/>
    </row>
    <row r="134" spans="1:2" x14ac:dyDescent="0.25">
      <c r="A134" s="3"/>
      <c r="B134" s="3"/>
    </row>
    <row r="135" spans="1:2" x14ac:dyDescent="0.25">
      <c r="A135" s="3"/>
      <c r="B135" s="3"/>
    </row>
    <row r="136" spans="1:2" x14ac:dyDescent="0.25">
      <c r="A136" s="3"/>
      <c r="B136" s="3"/>
    </row>
    <row r="137" spans="1:2" x14ac:dyDescent="0.25">
      <c r="A137" s="3"/>
      <c r="B137" s="3"/>
    </row>
    <row r="138" spans="1:2" x14ac:dyDescent="0.25">
      <c r="A138" s="3"/>
      <c r="B138" s="3"/>
    </row>
    <row r="139" spans="1:2" x14ac:dyDescent="0.25">
      <c r="A139" s="3"/>
      <c r="B139" s="3"/>
    </row>
    <row r="140" spans="1:2" x14ac:dyDescent="0.25">
      <c r="A140" s="3"/>
      <c r="B140" s="3"/>
    </row>
    <row r="141" spans="1:2" x14ac:dyDescent="0.25">
      <c r="A141" s="3"/>
      <c r="B141" s="3"/>
    </row>
    <row r="142" spans="1:2" x14ac:dyDescent="0.25">
      <c r="A142" s="3"/>
      <c r="B142" s="3"/>
    </row>
    <row r="143" spans="1:2" x14ac:dyDescent="0.25">
      <c r="A143" s="3"/>
      <c r="B143" s="3"/>
    </row>
    <row r="144" spans="1:2" x14ac:dyDescent="0.25">
      <c r="A144" s="3"/>
      <c r="B144" s="3"/>
    </row>
    <row r="145" spans="1:25" x14ac:dyDescent="0.25">
      <c r="A145" s="3"/>
      <c r="B145" s="3"/>
    </row>
    <row r="146" spans="1:25" s="2" customFormat="1" x14ac:dyDescent="0.25">
      <c r="A146" s="3"/>
      <c r="B146" s="3"/>
      <c r="C146"/>
      <c r="D146"/>
      <c r="E146"/>
      <c r="F146"/>
      <c r="G146"/>
      <c r="H146"/>
      <c r="I146"/>
      <c r="J146"/>
      <c r="K146"/>
      <c r="L146"/>
      <c r="M146"/>
      <c r="N146"/>
      <c r="O146"/>
      <c r="P146"/>
      <c r="Q146"/>
      <c r="R146"/>
      <c r="S146"/>
      <c r="T146"/>
      <c r="U146"/>
      <c r="V146"/>
      <c r="W146"/>
      <c r="X146"/>
      <c r="Y146"/>
    </row>
    <row r="147" spans="1:25" x14ac:dyDescent="0.25">
      <c r="A147" s="3"/>
      <c r="B147" s="3"/>
    </row>
    <row r="148" spans="1:25" x14ac:dyDescent="0.25">
      <c r="A148" s="3"/>
      <c r="B148" s="3"/>
    </row>
    <row r="149" spans="1:25" x14ac:dyDescent="0.25">
      <c r="A149" s="3"/>
      <c r="B149" s="3"/>
    </row>
    <row r="150" spans="1:25" x14ac:dyDescent="0.25">
      <c r="A150" s="3"/>
      <c r="B150" s="3"/>
    </row>
    <row r="151" spans="1:25" x14ac:dyDescent="0.25">
      <c r="A151" s="3"/>
      <c r="B151" s="3"/>
    </row>
    <row r="152" spans="1:25" x14ac:dyDescent="0.25">
      <c r="A152" s="3"/>
      <c r="B152" s="3"/>
    </row>
    <row r="153" spans="1:25" x14ac:dyDescent="0.25">
      <c r="A153" s="3"/>
      <c r="B153" s="3"/>
    </row>
    <row r="154" spans="1:25" s="2" customFormat="1" x14ac:dyDescent="0.25">
      <c r="A154" s="3"/>
      <c r="B154" s="3"/>
      <c r="C154"/>
      <c r="D154"/>
      <c r="E154"/>
      <c r="F154"/>
      <c r="G154"/>
      <c r="H154"/>
      <c r="I154"/>
      <c r="J154"/>
      <c r="K154"/>
      <c r="L154"/>
      <c r="M154"/>
      <c r="N154"/>
      <c r="O154"/>
      <c r="P154"/>
      <c r="Q154"/>
      <c r="R154"/>
      <c r="S154"/>
      <c r="T154"/>
      <c r="U154"/>
      <c r="V154"/>
      <c r="W154"/>
      <c r="X154"/>
      <c r="Y154"/>
    </row>
    <row r="155" spans="1:25" x14ac:dyDescent="0.25">
      <c r="A155" s="3"/>
      <c r="B155" s="3"/>
    </row>
    <row r="156" spans="1:25" x14ac:dyDescent="0.25">
      <c r="A156" s="3"/>
      <c r="B156" s="3"/>
    </row>
    <row r="157" spans="1:25" x14ac:dyDescent="0.25">
      <c r="A157" s="3"/>
      <c r="B157" s="3"/>
    </row>
    <row r="158" spans="1:25" x14ac:dyDescent="0.25">
      <c r="A158" s="3"/>
      <c r="B158" s="3"/>
    </row>
    <row r="159" spans="1:25" x14ac:dyDescent="0.25">
      <c r="A159" s="3"/>
      <c r="B159" s="3"/>
    </row>
    <row r="160" spans="1:25" x14ac:dyDescent="0.25">
      <c r="A160" s="3"/>
      <c r="B160" s="3"/>
    </row>
    <row r="161" spans="1:2" x14ac:dyDescent="0.25">
      <c r="A161" s="3"/>
      <c r="B161" s="3"/>
    </row>
    <row r="162" spans="1:2" x14ac:dyDescent="0.25">
      <c r="A162" s="3"/>
      <c r="B162" s="3"/>
    </row>
    <row r="163" spans="1:2" x14ac:dyDescent="0.25">
      <c r="A163" s="3"/>
      <c r="B163" s="3"/>
    </row>
    <row r="164" spans="1:2" x14ac:dyDescent="0.25">
      <c r="A164" s="3"/>
      <c r="B164" s="3"/>
    </row>
    <row r="165" spans="1:2" x14ac:dyDescent="0.25">
      <c r="A165" s="3"/>
      <c r="B165" s="3"/>
    </row>
    <row r="166" spans="1:2" x14ac:dyDescent="0.25">
      <c r="A166" s="3"/>
      <c r="B166" s="3"/>
    </row>
    <row r="167" spans="1:2" x14ac:dyDescent="0.25">
      <c r="A167" s="3"/>
      <c r="B167" s="3"/>
    </row>
    <row r="168" spans="1:2" x14ac:dyDescent="0.25">
      <c r="A168" s="3"/>
      <c r="B168" s="3"/>
    </row>
    <row r="169" spans="1:2" x14ac:dyDescent="0.25">
      <c r="A169" s="3"/>
      <c r="B169" s="3"/>
    </row>
    <row r="170" spans="1:2" x14ac:dyDescent="0.25">
      <c r="A170" s="3"/>
      <c r="B170" s="3"/>
    </row>
    <row r="171" spans="1:2" x14ac:dyDescent="0.25">
      <c r="A171" s="3"/>
      <c r="B171" s="3"/>
    </row>
    <row r="172" spans="1:2" x14ac:dyDescent="0.25">
      <c r="A172" s="3"/>
      <c r="B172" s="3"/>
    </row>
    <row r="173" spans="1:2" x14ac:dyDescent="0.25">
      <c r="A173" s="3"/>
      <c r="B173" s="3"/>
    </row>
    <row r="174" spans="1:2" x14ac:dyDescent="0.25">
      <c r="A174" s="3"/>
      <c r="B174" s="3"/>
    </row>
    <row r="175" spans="1:2" x14ac:dyDescent="0.25">
      <c r="A175" s="3"/>
      <c r="B175" s="3"/>
    </row>
    <row r="176" spans="1:2" x14ac:dyDescent="0.25">
      <c r="A176" s="3"/>
      <c r="B176" s="3"/>
    </row>
    <row r="177" spans="1:2" x14ac:dyDescent="0.25">
      <c r="A177" s="3"/>
      <c r="B177" s="3"/>
    </row>
    <row r="178" spans="1:2" x14ac:dyDescent="0.25">
      <c r="A178" s="3"/>
      <c r="B178" s="3"/>
    </row>
    <row r="179" spans="1:2" x14ac:dyDescent="0.25">
      <c r="A179" s="3"/>
      <c r="B179" s="3"/>
    </row>
    <row r="180" spans="1:2" x14ac:dyDescent="0.25">
      <c r="A180" s="3"/>
      <c r="B180" s="3"/>
    </row>
    <row r="181" spans="1:2" x14ac:dyDescent="0.25">
      <c r="A181" s="3"/>
      <c r="B181" s="3"/>
    </row>
    <row r="182" spans="1:2" x14ac:dyDescent="0.25">
      <c r="A182" s="3"/>
      <c r="B182" s="3"/>
    </row>
    <row r="183" spans="1:2" x14ac:dyDescent="0.25">
      <c r="A183" s="3"/>
      <c r="B183" s="3"/>
    </row>
    <row r="184" spans="1:2" x14ac:dyDescent="0.25">
      <c r="A184" s="3"/>
      <c r="B184" s="3"/>
    </row>
    <row r="185" spans="1:2" x14ac:dyDescent="0.25">
      <c r="A185" s="3"/>
      <c r="B185" s="3"/>
    </row>
    <row r="186" spans="1:2" x14ac:dyDescent="0.25">
      <c r="A186" s="3"/>
      <c r="B186" s="3"/>
    </row>
    <row r="187" spans="1:2" x14ac:dyDescent="0.25">
      <c r="A187" s="3"/>
      <c r="B187" s="3"/>
    </row>
    <row r="188" spans="1:2" x14ac:dyDescent="0.25">
      <c r="A188" s="3"/>
      <c r="B188" s="3"/>
    </row>
    <row r="189" spans="1:2" x14ac:dyDescent="0.25">
      <c r="A189" s="3"/>
      <c r="B189" s="3"/>
    </row>
    <row r="190" spans="1:2" x14ac:dyDescent="0.25">
      <c r="A190" s="3"/>
      <c r="B190" s="3"/>
    </row>
    <row r="191" spans="1:2" x14ac:dyDescent="0.25">
      <c r="A191" s="3"/>
      <c r="B191" s="3"/>
    </row>
    <row r="192" spans="1:2" x14ac:dyDescent="0.25">
      <c r="A192" s="3"/>
      <c r="B192" s="3"/>
    </row>
    <row r="193" spans="1:25" x14ac:dyDescent="0.25">
      <c r="A193" s="3"/>
      <c r="B193" s="3"/>
    </row>
    <row r="194" spans="1:25" x14ac:dyDescent="0.25">
      <c r="A194" s="3"/>
      <c r="B194" s="3"/>
    </row>
    <row r="195" spans="1:25" x14ac:dyDescent="0.25">
      <c r="A195" s="3"/>
      <c r="B195" s="3"/>
    </row>
    <row r="196" spans="1:25" x14ac:dyDescent="0.25">
      <c r="A196" s="3"/>
      <c r="B196" s="3"/>
    </row>
    <row r="197" spans="1:25" x14ac:dyDescent="0.25">
      <c r="A197" s="3"/>
      <c r="B197" s="3"/>
    </row>
    <row r="198" spans="1:25" x14ac:dyDescent="0.25">
      <c r="A198" s="3"/>
      <c r="B198" s="3"/>
    </row>
    <row r="199" spans="1:25" x14ac:dyDescent="0.25">
      <c r="A199" s="3"/>
      <c r="B199" s="3"/>
    </row>
    <row r="200" spans="1:25" x14ac:dyDescent="0.25">
      <c r="A200" s="3"/>
      <c r="B200" s="3"/>
    </row>
    <row r="201" spans="1:25" s="2" customFormat="1" x14ac:dyDescent="0.25">
      <c r="A201" s="3"/>
      <c r="B201" s="3"/>
      <c r="C201"/>
      <c r="D201"/>
      <c r="E201"/>
      <c r="F201"/>
      <c r="G201"/>
      <c r="H201"/>
      <c r="I201"/>
      <c r="J201"/>
      <c r="K201"/>
      <c r="L201"/>
      <c r="M201"/>
      <c r="N201"/>
      <c r="O201"/>
      <c r="P201"/>
      <c r="Q201"/>
      <c r="R201"/>
      <c r="S201"/>
      <c r="T201"/>
      <c r="U201"/>
      <c r="V201"/>
      <c r="W201"/>
      <c r="X201"/>
      <c r="Y201"/>
    </row>
    <row r="202" spans="1:25" x14ac:dyDescent="0.25">
      <c r="A202" s="3"/>
      <c r="B202" s="3"/>
    </row>
    <row r="203" spans="1:25" x14ac:dyDescent="0.25">
      <c r="A203" s="3"/>
      <c r="B203" s="3"/>
    </row>
    <row r="204" spans="1:25" x14ac:dyDescent="0.25">
      <c r="A204" s="3"/>
      <c r="B204" s="3"/>
    </row>
    <row r="205" spans="1:25" x14ac:dyDescent="0.25">
      <c r="A205" s="3"/>
      <c r="B205" s="3"/>
    </row>
    <row r="206" spans="1:25" x14ac:dyDescent="0.25">
      <c r="A206" s="3"/>
      <c r="B206" s="3"/>
    </row>
    <row r="207" spans="1:25" x14ac:dyDescent="0.25">
      <c r="A207" s="3"/>
      <c r="B207" s="3"/>
    </row>
    <row r="208" spans="1:25" x14ac:dyDescent="0.25">
      <c r="A208" s="3"/>
      <c r="B208" s="3"/>
    </row>
    <row r="209" spans="1:2" x14ac:dyDescent="0.25">
      <c r="A209" s="3"/>
      <c r="B209" s="3"/>
    </row>
    <row r="210" spans="1:2" x14ac:dyDescent="0.25">
      <c r="A210" s="3"/>
      <c r="B210" s="3"/>
    </row>
    <row r="211" spans="1:2" x14ac:dyDescent="0.25">
      <c r="A211" s="3"/>
      <c r="B211" s="3"/>
    </row>
    <row r="212" spans="1:2" x14ac:dyDescent="0.25">
      <c r="A212" s="3"/>
      <c r="B212" s="3"/>
    </row>
    <row r="213" spans="1:2" x14ac:dyDescent="0.25">
      <c r="A213" s="3"/>
      <c r="B213" s="3"/>
    </row>
    <row r="214" spans="1:2" x14ac:dyDescent="0.25">
      <c r="A214" s="3"/>
      <c r="B214" s="3"/>
    </row>
    <row r="215" spans="1:2" x14ac:dyDescent="0.25">
      <c r="A215" s="3"/>
      <c r="B215" s="3"/>
    </row>
    <row r="216" spans="1:2" x14ac:dyDescent="0.25">
      <c r="A216" s="3"/>
      <c r="B216" s="3"/>
    </row>
    <row r="217" spans="1:2" x14ac:dyDescent="0.25">
      <c r="A217" s="3"/>
      <c r="B217" s="3"/>
    </row>
    <row r="218" spans="1:2" x14ac:dyDescent="0.25">
      <c r="A218" s="3"/>
      <c r="B218" s="3"/>
    </row>
    <row r="219" spans="1:2" x14ac:dyDescent="0.25">
      <c r="A219" s="3"/>
      <c r="B219" s="3"/>
    </row>
    <row r="220" spans="1:2" x14ac:dyDescent="0.25">
      <c r="A220" s="3"/>
      <c r="B220" s="3"/>
    </row>
    <row r="221" spans="1:2" x14ac:dyDescent="0.25">
      <c r="A221" s="3"/>
      <c r="B221" s="3"/>
    </row>
    <row r="222" spans="1:2" x14ac:dyDescent="0.25">
      <c r="A222" s="3"/>
      <c r="B222" s="3"/>
    </row>
    <row r="223" spans="1:2" x14ac:dyDescent="0.25">
      <c r="A223" s="3"/>
      <c r="B223" s="3"/>
    </row>
    <row r="224" spans="1:2" x14ac:dyDescent="0.25">
      <c r="A224" s="3"/>
      <c r="B224" s="3"/>
    </row>
    <row r="225" spans="1:2" x14ac:dyDescent="0.25">
      <c r="A225" s="3"/>
      <c r="B225" s="3"/>
    </row>
    <row r="226" spans="1:2" x14ac:dyDescent="0.25">
      <c r="A226" s="3"/>
      <c r="B226" s="3"/>
    </row>
    <row r="227" spans="1:2" x14ac:dyDescent="0.25">
      <c r="A227" s="3"/>
      <c r="B227" s="3"/>
    </row>
    <row r="228" spans="1:2" x14ac:dyDescent="0.25">
      <c r="A228" s="3"/>
      <c r="B228" s="3"/>
    </row>
    <row r="229" spans="1:2" x14ac:dyDescent="0.25">
      <c r="A229" s="3"/>
      <c r="B229" s="3"/>
    </row>
    <row r="230" spans="1:2" x14ac:dyDescent="0.25">
      <c r="A230" s="3"/>
      <c r="B230" s="3"/>
    </row>
    <row r="231" spans="1:2" x14ac:dyDescent="0.25">
      <c r="A231" s="3"/>
      <c r="B231" s="3"/>
    </row>
  </sheetData>
  <mergeCells count="3">
    <mergeCell ref="D8:X8"/>
    <mergeCell ref="E10:X10"/>
    <mergeCell ref="D21:J21"/>
  </mergeCells>
  <conditionalFormatting sqref="U1:X8 S9:X30 T31:X322">
    <cfRule type="containsText" dxfId="19" priority="1" operator="containsText" text="ja">
      <formula>NOT(ISERROR(SEARCH(("ja"),(U1))))</formula>
    </cfRule>
    <cfRule type="containsText" dxfId="18" priority="2" operator="containsText" text="nein">
      <formula>NOT(ISERROR(SEARCH(("nein"),(U1))))</formula>
    </cfRule>
  </conditionalFormatting>
  <dataValidations count="4">
    <dataValidation type="list" errorStyle="warning" showErrorMessage="1" sqref="A11:A12 A14:A231" xr:uid="{00000000-0002-0000-0C00-000000000000}">
      <formula1>"ja,nein"</formula1>
    </dataValidation>
    <dataValidation type="list" errorStyle="warning" showErrorMessage="1" sqref="X11:X16" xr:uid="{00000000-0002-0000-0C00-000001000000}">
      <formula1>",Ready, CICD"</formula1>
    </dataValidation>
    <dataValidation type="list" errorStyle="warning" showErrorMessage="1" sqref="U17:U30 T17:T30 T11:U16" xr:uid="{00000000-0002-0000-0C00-000002000000}">
      <formula1>"unbestimmt, ja, nein"</formula1>
    </dataValidation>
    <dataValidation type="list" errorStyle="warning" showErrorMessage="1" sqref="B11:B231" xr:uid="{00000000-0002-0000-0C00-000003000000}">
      <formula1>"ELA,Meistertask,Cleverreach,Synology,Miro,Google,WhatsApp,Canva,Adobe,Contao,Wiki,ecoDMS,Wiki,Facebook,Instagram,TikTok,LinkedIn,Youtube,Xing,X,SalesForce,Lexware,Volksbank,Articulate,Outlook,easy2book,Domainfactory,1&amp;1"</formula1>
    </dataValidation>
  </dataValidations>
  <pageMargins left="0.75" right="0.75" top="1" bottom="1" header="0.5" footer="0.5"/>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Y356"/>
  <sheetViews>
    <sheetView workbookViewId="0">
      <pane ySplit="9" topLeftCell="A10" activePane="bottomLeft" state="frozen"/>
      <selection pane="bottomLeft"/>
    </sheetView>
  </sheetViews>
  <sheetFormatPr baseColWidth="10" defaultColWidth="14.5703125" defaultRowHeight="15" x14ac:dyDescent="0.25"/>
  <cols>
    <col min="1" max="1" width="12.28515625" customWidth="1"/>
    <col min="2" max="2" width="10.85546875" customWidth="1"/>
    <col min="3" max="3" width="7.85546875" customWidth="1"/>
    <col min="4" max="9" width="3.42578125" customWidth="1"/>
    <col min="10" max="10" width="42.7109375" style="31" customWidth="1"/>
    <col min="11" max="11" width="75.5703125" style="431" customWidth="1"/>
    <col min="12" max="12" width="23.140625" style="31" customWidth="1"/>
    <col min="13" max="13" width="24.140625" customWidth="1"/>
    <col min="14" max="15" width="17" style="431" customWidth="1"/>
    <col min="16" max="16" width="22.5703125" style="431" customWidth="1"/>
    <col min="17" max="17" width="17" style="431" customWidth="1"/>
    <col min="18" max="18" width="52" customWidth="1"/>
    <col min="20" max="20" width="14.42578125" customWidth="1"/>
    <col min="21" max="21" width="13.85546875" customWidth="1"/>
    <col min="22" max="23" width="31.85546875" customWidth="1"/>
    <col min="24" max="24" width="14.42578125" customWidth="1"/>
  </cols>
  <sheetData>
    <row r="2" spans="1:24" x14ac:dyDescent="0.25">
      <c r="I2" s="736"/>
      <c r="J2" s="31" t="s">
        <v>0</v>
      </c>
      <c r="N2" s="622" t="s">
        <v>3078</v>
      </c>
    </row>
    <row r="3" spans="1:24" x14ac:dyDescent="0.25">
      <c r="I3" s="43"/>
      <c r="J3" s="31" t="s">
        <v>1</v>
      </c>
      <c r="N3" s="623" t="s">
        <v>3079</v>
      </c>
    </row>
    <row r="4" spans="1:24" x14ac:dyDescent="0.25">
      <c r="I4" s="42"/>
      <c r="J4" s="31" t="s">
        <v>2</v>
      </c>
    </row>
    <row r="5" spans="1:24" x14ac:dyDescent="0.25">
      <c r="I5" s="106"/>
      <c r="J5" s="31" t="s">
        <v>3</v>
      </c>
    </row>
    <row r="6" spans="1:24" x14ac:dyDescent="0.25">
      <c r="I6" s="121"/>
      <c r="J6" s="31" t="s">
        <v>4</v>
      </c>
      <c r="V6" s="272"/>
    </row>
    <row r="8" spans="1:24" x14ac:dyDescent="0.25">
      <c r="A8" s="122" t="s">
        <v>5</v>
      </c>
      <c r="B8" s="122" t="s">
        <v>6</v>
      </c>
      <c r="C8" s="122" t="s">
        <v>7</v>
      </c>
      <c r="D8" s="1077" t="s">
        <v>8</v>
      </c>
      <c r="E8" s="1077"/>
      <c r="F8" s="1077"/>
      <c r="G8" s="1077"/>
      <c r="H8" s="1077"/>
      <c r="I8" s="1077"/>
      <c r="J8" s="1077"/>
      <c r="K8" s="1218"/>
      <c r="L8" s="1079"/>
      <c r="M8" s="1080"/>
      <c r="N8" s="1219"/>
      <c r="O8" s="1219"/>
      <c r="P8" s="1219"/>
      <c r="Q8" s="1219"/>
      <c r="R8" s="1080"/>
      <c r="S8" s="1080"/>
      <c r="T8" s="1080"/>
      <c r="U8" s="1080"/>
      <c r="V8" s="1080"/>
      <c r="W8" s="1080"/>
      <c r="X8" s="1079"/>
    </row>
    <row r="9" spans="1:24" s="415" customFormat="1" ht="36.75" customHeight="1" x14ac:dyDescent="0.25">
      <c r="A9" s="7"/>
      <c r="B9" s="7"/>
      <c r="C9" s="434"/>
      <c r="D9" s="434" t="s">
        <v>9</v>
      </c>
      <c r="E9" s="427" t="s">
        <v>10</v>
      </c>
      <c r="F9" s="427" t="s">
        <v>11</v>
      </c>
      <c r="G9" s="427" t="s">
        <v>12</v>
      </c>
      <c r="H9" s="427" t="s">
        <v>13</v>
      </c>
      <c r="I9" s="427" t="s">
        <v>14</v>
      </c>
      <c r="J9" s="890" t="s">
        <v>15</v>
      </c>
      <c r="K9" s="890" t="s">
        <v>16</v>
      </c>
      <c r="L9" s="891" t="s">
        <v>17</v>
      </c>
      <c r="M9" s="828" t="s">
        <v>18</v>
      </c>
      <c r="N9" s="828" t="s">
        <v>19</v>
      </c>
      <c r="O9" s="38" t="s">
        <v>20</v>
      </c>
      <c r="P9" s="828" t="s">
        <v>21</v>
      </c>
      <c r="Q9" s="828" t="s">
        <v>22</v>
      </c>
      <c r="R9" s="828" t="s">
        <v>23</v>
      </c>
      <c r="S9" s="890" t="s">
        <v>24</v>
      </c>
      <c r="T9" s="890" t="s">
        <v>25</v>
      </c>
      <c r="U9" s="435" t="s">
        <v>26</v>
      </c>
      <c r="V9" s="38" t="s">
        <v>27</v>
      </c>
      <c r="W9" s="435" t="s">
        <v>28</v>
      </c>
      <c r="X9" s="435" t="s">
        <v>29</v>
      </c>
    </row>
    <row r="10" spans="1:24" s="2" customFormat="1" ht="20.25" customHeight="1" x14ac:dyDescent="0.2">
      <c r="A10" s="742"/>
      <c r="B10" s="742"/>
      <c r="C10" s="122"/>
      <c r="D10" s="122">
        <v>1</v>
      </c>
      <c r="E10" s="1077" t="s">
        <v>3080</v>
      </c>
      <c r="F10" s="1077"/>
      <c r="G10" s="1077"/>
      <c r="H10" s="1077"/>
      <c r="I10" s="1077"/>
      <c r="J10" s="1077"/>
      <c r="K10" s="1218"/>
      <c r="L10" s="1079"/>
      <c r="M10" s="1080"/>
      <c r="N10" s="1219"/>
      <c r="O10" s="1219"/>
      <c r="P10" s="1219"/>
      <c r="Q10" s="1219"/>
      <c r="R10" s="1080"/>
      <c r="S10" s="1080"/>
      <c r="T10" s="1080"/>
      <c r="U10" s="1080"/>
      <c r="V10" s="1080"/>
      <c r="W10" s="1080"/>
      <c r="X10" s="1079"/>
    </row>
    <row r="11" spans="1:24" s="2" customFormat="1" x14ac:dyDescent="0.25">
      <c r="A11" s="3" t="s">
        <v>1106</v>
      </c>
      <c r="B11" s="3" t="s">
        <v>57</v>
      </c>
      <c r="C11" s="3"/>
      <c r="D11" s="3"/>
      <c r="E11" s="1220" t="s">
        <v>3081</v>
      </c>
      <c r="F11" s="1220"/>
      <c r="G11" s="1220"/>
      <c r="H11" s="1220"/>
      <c r="I11" s="1220"/>
      <c r="J11" s="1220"/>
      <c r="K11" s="429"/>
      <c r="L11" s="12"/>
      <c r="M11" s="6"/>
      <c r="N11" s="428"/>
      <c r="O11" s="428"/>
      <c r="P11" s="429"/>
      <c r="Q11" s="429"/>
      <c r="R11" s="10"/>
      <c r="S11" s="3"/>
      <c r="T11" s="4" t="s">
        <v>31</v>
      </c>
      <c r="U11" s="4" t="s">
        <v>31</v>
      </c>
      <c r="V11" s="3"/>
      <c r="W11" s="3"/>
      <c r="X11" s="3"/>
    </row>
    <row r="12" spans="1:24" s="2" customFormat="1" x14ac:dyDescent="0.25">
      <c r="A12" s="3" t="s">
        <v>1106</v>
      </c>
      <c r="B12" s="3" t="s">
        <v>3082</v>
      </c>
      <c r="C12" s="3"/>
      <c r="D12" s="649"/>
      <c r="E12" s="2" t="s">
        <v>3083</v>
      </c>
      <c r="K12" s="438"/>
      <c r="L12" s="12"/>
      <c r="M12" s="6"/>
      <c r="N12" s="428"/>
      <c r="O12" s="428"/>
      <c r="P12" s="429"/>
      <c r="Q12" s="429"/>
      <c r="R12" s="10"/>
      <c r="S12" s="3"/>
      <c r="T12" s="4"/>
      <c r="U12" s="4"/>
      <c r="V12" s="3"/>
      <c r="W12" s="3"/>
      <c r="X12" s="3"/>
    </row>
    <row r="13" spans="1:24" s="2" customFormat="1" x14ac:dyDescent="0.25">
      <c r="A13" s="3" t="s">
        <v>1098</v>
      </c>
      <c r="B13" s="3" t="s">
        <v>40</v>
      </c>
      <c r="C13" s="3"/>
      <c r="D13" s="3"/>
      <c r="E13" s="2" t="s">
        <v>3084</v>
      </c>
      <c r="K13" s="429"/>
      <c r="L13" s="406"/>
      <c r="M13" s="6"/>
      <c r="N13" s="428"/>
      <c r="O13" s="428"/>
      <c r="P13" s="429"/>
      <c r="Q13" s="429"/>
      <c r="R13" s="10"/>
      <c r="S13" s="3"/>
      <c r="T13" s="4"/>
      <c r="U13" s="4"/>
      <c r="V13" s="3"/>
      <c r="W13" s="3"/>
      <c r="X13" s="3"/>
    </row>
    <row r="14" spans="1:24" s="2" customFormat="1" x14ac:dyDescent="0.25">
      <c r="A14" s="3" t="s">
        <v>1106</v>
      </c>
      <c r="B14" s="3" t="s">
        <v>32</v>
      </c>
      <c r="C14" s="3"/>
      <c r="D14" s="649"/>
      <c r="E14" s="650"/>
      <c r="F14" s="1220" t="s">
        <v>3085</v>
      </c>
      <c r="G14" s="1220"/>
      <c r="H14" s="1220"/>
      <c r="I14" s="1220"/>
      <c r="J14" s="1220"/>
      <c r="K14" s="438"/>
      <c r="L14" s="406"/>
      <c r="M14" s="6"/>
      <c r="N14" s="428"/>
      <c r="O14" s="428"/>
      <c r="P14" s="429"/>
      <c r="Q14" s="429"/>
      <c r="R14" s="10"/>
      <c r="S14" s="3"/>
      <c r="T14" s="4"/>
      <c r="U14" s="4"/>
      <c r="V14" s="3"/>
      <c r="W14" s="3"/>
      <c r="X14" s="3"/>
    </row>
    <row r="15" spans="1:24" s="2" customFormat="1" x14ac:dyDescent="0.25">
      <c r="A15" s="3" t="s">
        <v>1106</v>
      </c>
      <c r="B15" s="3" t="s">
        <v>32</v>
      </c>
      <c r="C15" s="3"/>
      <c r="D15" s="3"/>
      <c r="E15" s="436"/>
      <c r="F15" s="436" t="s">
        <v>3086</v>
      </c>
      <c r="G15" s="436"/>
      <c r="H15" s="436"/>
      <c r="I15" s="436"/>
      <c r="J15" s="184"/>
      <c r="K15" s="429"/>
      <c r="L15" s="406"/>
      <c r="M15" s="6"/>
      <c r="N15" s="428"/>
      <c r="O15" s="428"/>
      <c r="P15" s="429"/>
      <c r="Q15" s="429"/>
      <c r="R15" s="10"/>
      <c r="S15" s="3"/>
      <c r="T15" s="4"/>
      <c r="U15" s="4"/>
      <c r="V15" s="3"/>
      <c r="W15" s="3"/>
      <c r="X15" s="3"/>
    </row>
    <row r="16" spans="1:24" s="2" customFormat="1" x14ac:dyDescent="0.25">
      <c r="A16" s="3" t="s">
        <v>1106</v>
      </c>
      <c r="B16" s="3" t="s">
        <v>32</v>
      </c>
      <c r="C16" s="3"/>
      <c r="D16" s="3"/>
      <c r="E16" s="3"/>
      <c r="F16" s="1220" t="s">
        <v>3087</v>
      </c>
      <c r="G16" s="1220"/>
      <c r="H16" s="1220"/>
      <c r="I16" s="1220"/>
      <c r="J16" s="1220"/>
      <c r="K16" s="429"/>
      <c r="L16" s="406"/>
      <c r="M16" s="6"/>
      <c r="N16" s="428"/>
      <c r="O16" s="428"/>
      <c r="P16" s="429"/>
      <c r="Q16" s="429"/>
      <c r="R16" s="10"/>
      <c r="S16" s="3"/>
      <c r="T16" s="4"/>
      <c r="U16" s="4"/>
      <c r="V16" s="3"/>
      <c r="W16" s="3"/>
      <c r="X16" s="3"/>
    </row>
    <row r="17" spans="1:24" s="2" customFormat="1" x14ac:dyDescent="0.25">
      <c r="A17" s="3" t="s">
        <v>1098</v>
      </c>
      <c r="B17" s="3"/>
      <c r="C17" s="3"/>
      <c r="D17" s="3"/>
      <c r="E17" s="3"/>
      <c r="F17" s="1220" t="s">
        <v>3088</v>
      </c>
      <c r="G17" s="1220"/>
      <c r="H17" s="1220"/>
      <c r="I17" s="1220"/>
      <c r="J17" s="1220"/>
      <c r="K17" s="429"/>
      <c r="L17" s="406"/>
      <c r="M17" s="6"/>
      <c r="N17" s="428"/>
      <c r="O17" s="428"/>
      <c r="P17" s="429"/>
      <c r="Q17" s="429"/>
      <c r="R17" s="10"/>
      <c r="S17" s="3"/>
      <c r="T17" s="4"/>
      <c r="U17" s="4"/>
      <c r="V17" s="3"/>
      <c r="W17" s="3"/>
      <c r="X17" s="3"/>
    </row>
    <row r="18" spans="1:24" s="2" customFormat="1" x14ac:dyDescent="0.25">
      <c r="A18" s="3" t="s">
        <v>1106</v>
      </c>
      <c r="B18" s="3" t="s">
        <v>32</v>
      </c>
      <c r="C18" s="3"/>
      <c r="D18" s="3"/>
      <c r="E18" s="3"/>
      <c r="F18" s="1220" t="s">
        <v>3089</v>
      </c>
      <c r="G18" s="1220"/>
      <c r="H18" s="1220"/>
      <c r="I18" s="1220"/>
      <c r="J18" s="1220"/>
      <c r="K18" s="429"/>
      <c r="L18" s="406"/>
      <c r="M18" s="6"/>
      <c r="N18" s="428"/>
      <c r="O18" s="428"/>
      <c r="P18" s="429"/>
      <c r="Q18" s="429"/>
      <c r="R18" s="10"/>
      <c r="S18" s="3"/>
      <c r="T18" s="4"/>
      <c r="U18" s="4"/>
      <c r="V18" s="3"/>
      <c r="W18" s="3"/>
      <c r="X18" s="3"/>
    </row>
    <row r="19" spans="1:24" s="2" customFormat="1" x14ac:dyDescent="0.25">
      <c r="A19" s="3"/>
      <c r="B19" s="3"/>
      <c r="C19" s="3"/>
      <c r="D19" s="3"/>
      <c r="E19" s="3"/>
      <c r="F19" s="3"/>
      <c r="G19" s="3"/>
      <c r="H19" s="3"/>
      <c r="I19" s="3"/>
      <c r="J19" s="12"/>
      <c r="K19" s="429"/>
      <c r="L19" s="406"/>
      <c r="M19" s="6"/>
      <c r="N19" s="428"/>
      <c r="O19" s="428"/>
      <c r="P19" s="429"/>
      <c r="Q19" s="429"/>
      <c r="R19" s="10"/>
      <c r="S19" s="3"/>
      <c r="T19" s="4"/>
      <c r="U19" s="4"/>
      <c r="V19" s="3"/>
      <c r="W19" s="3"/>
      <c r="X19" s="3"/>
    </row>
    <row r="20" spans="1:24" s="2" customFormat="1" x14ac:dyDescent="0.25">
      <c r="A20" s="3"/>
      <c r="B20" s="3"/>
      <c r="C20" s="3"/>
      <c r="D20" s="3"/>
      <c r="E20" s="3"/>
      <c r="F20" s="3"/>
      <c r="G20" s="3"/>
      <c r="H20" s="3"/>
      <c r="I20" s="3"/>
      <c r="J20" s="12"/>
      <c r="K20" s="429"/>
      <c r="L20" s="406"/>
      <c r="M20" s="6"/>
      <c r="N20" s="428"/>
      <c r="O20" s="428"/>
      <c r="P20" s="429"/>
      <c r="Q20" s="429"/>
      <c r="R20" s="10"/>
      <c r="S20" s="3"/>
      <c r="T20" s="4"/>
      <c r="U20" s="4"/>
      <c r="V20" s="3"/>
      <c r="W20" s="3"/>
      <c r="X20" s="3"/>
    </row>
    <row r="21" spans="1:24" s="2" customFormat="1" x14ac:dyDescent="0.25">
      <c r="A21" s="3"/>
      <c r="B21" s="3"/>
      <c r="C21" s="3"/>
      <c r="D21" s="3"/>
      <c r="E21" s="3"/>
      <c r="F21" s="3"/>
      <c r="G21" s="3"/>
      <c r="H21" s="3"/>
      <c r="I21" s="3"/>
      <c r="J21" s="12"/>
      <c r="K21" s="429"/>
      <c r="L21" s="406"/>
      <c r="M21" s="6"/>
      <c r="N21" s="428"/>
      <c r="O21" s="428"/>
      <c r="P21" s="429"/>
      <c r="Q21" s="429"/>
      <c r="R21" s="10"/>
      <c r="S21" s="3"/>
      <c r="T21" s="4"/>
      <c r="U21" s="4"/>
      <c r="V21" s="3"/>
      <c r="W21" s="3"/>
      <c r="X21" s="3"/>
    </row>
    <row r="22" spans="1:24" s="2" customFormat="1" x14ac:dyDescent="0.25">
      <c r="A22" s="3"/>
      <c r="B22" s="3"/>
      <c r="C22" s="3"/>
      <c r="D22" s="1221" t="s">
        <v>3090</v>
      </c>
      <c r="E22" s="1221"/>
      <c r="F22" s="1221"/>
      <c r="G22" s="1221"/>
      <c r="H22" s="1221"/>
      <c r="I22" s="1221"/>
      <c r="J22" s="1221"/>
      <c r="K22" s="617"/>
      <c r="L22" s="434"/>
      <c r="M22" s="618"/>
      <c r="N22" s="624"/>
      <c r="O22" s="624"/>
      <c r="P22" s="617"/>
      <c r="Q22" s="617"/>
      <c r="R22" s="625"/>
      <c r="S22" s="626"/>
      <c r="T22" s="619"/>
      <c r="U22" s="619"/>
      <c r="V22" s="626"/>
      <c r="W22" s="626"/>
      <c r="X22" s="626"/>
    </row>
    <row r="23" spans="1:24" s="2" customFormat="1" x14ac:dyDescent="0.25">
      <c r="A23" s="3"/>
      <c r="B23" s="3"/>
      <c r="C23" s="3"/>
      <c r="D23" s="3"/>
      <c r="E23" s="1220" t="s">
        <v>3091</v>
      </c>
      <c r="F23" s="1220"/>
      <c r="G23" s="1220"/>
      <c r="H23" s="1220"/>
      <c r="I23" s="1220"/>
      <c r="J23" s="1220"/>
      <c r="K23" s="429"/>
      <c r="L23" s="406"/>
      <c r="M23" s="6"/>
      <c r="N23" s="428"/>
      <c r="O23" s="428"/>
      <c r="P23" s="429"/>
      <c r="Q23" s="429"/>
      <c r="R23" s="10"/>
      <c r="S23" s="3"/>
      <c r="T23" s="4"/>
      <c r="U23" s="4"/>
      <c r="V23" s="3"/>
      <c r="W23" s="3"/>
      <c r="X23" s="3"/>
    </row>
    <row r="24" spans="1:24" s="2" customFormat="1" x14ac:dyDescent="0.25">
      <c r="A24" s="3"/>
      <c r="B24" s="3"/>
      <c r="C24" s="3" t="s">
        <v>3092</v>
      </c>
      <c r="D24" s="3"/>
      <c r="E24" s="3"/>
      <c r="F24" s="1220" t="s">
        <v>3093</v>
      </c>
      <c r="G24" s="1220"/>
      <c r="H24" s="1220"/>
      <c r="I24" s="1220"/>
      <c r="J24" s="1220"/>
      <c r="K24" s="429"/>
      <c r="L24" s="406"/>
      <c r="M24" s="6"/>
      <c r="N24" s="428"/>
      <c r="O24" s="428"/>
      <c r="P24" s="429"/>
      <c r="Q24" s="429"/>
      <c r="R24" s="10"/>
      <c r="S24" s="3"/>
      <c r="T24" s="4"/>
      <c r="U24" s="4"/>
      <c r="V24" s="3"/>
      <c r="W24" s="3"/>
      <c r="X24" s="3"/>
    </row>
    <row r="25" spans="1:24" s="2" customFormat="1" ht="25.5" x14ac:dyDescent="0.25">
      <c r="A25" s="3"/>
      <c r="B25" s="3"/>
      <c r="C25" s="3"/>
      <c r="D25" s="3"/>
      <c r="E25" s="3"/>
      <c r="F25" s="3"/>
      <c r="G25" s="3"/>
      <c r="H25" s="3"/>
      <c r="I25" s="3"/>
      <c r="J25" s="429" t="s">
        <v>3094</v>
      </c>
      <c r="K25" s="429" t="s">
        <v>3095</v>
      </c>
      <c r="L25" s="72" t="s">
        <v>3096</v>
      </c>
      <c r="M25" s="429" t="s">
        <v>3097</v>
      </c>
      <c r="N25" s="429"/>
      <c r="O25" s="429"/>
      <c r="P25" s="892" t="s">
        <v>3098</v>
      </c>
      <c r="Q25" s="429"/>
      <c r="R25" s="10"/>
      <c r="S25" s="3"/>
      <c r="T25" s="4"/>
      <c r="U25" s="4"/>
      <c r="V25" s="3"/>
      <c r="W25" s="3"/>
      <c r="X25" s="3"/>
    </row>
    <row r="26" spans="1:24" s="2" customFormat="1" ht="90" x14ac:dyDescent="0.25">
      <c r="A26" s="3"/>
      <c r="B26" s="3"/>
      <c r="C26" s="3"/>
      <c r="D26" s="3"/>
      <c r="E26" s="3"/>
      <c r="F26" s="3"/>
      <c r="G26" s="3"/>
      <c r="H26" s="3"/>
      <c r="I26" s="3"/>
      <c r="J26" s="429" t="s">
        <v>3099</v>
      </c>
      <c r="K26" s="429" t="s">
        <v>3100</v>
      </c>
      <c r="L26" s="72" t="s">
        <v>3096</v>
      </c>
      <c r="M26" s="429" t="s">
        <v>3101</v>
      </c>
      <c r="N26" s="429"/>
      <c r="O26" s="429"/>
      <c r="P26" s="892" t="s">
        <v>3102</v>
      </c>
      <c r="Q26" s="429" t="s">
        <v>3103</v>
      </c>
      <c r="R26" s="10"/>
      <c r="S26" s="3"/>
      <c r="T26" s="4"/>
      <c r="U26" s="4"/>
      <c r="V26" s="3"/>
      <c r="W26" s="3"/>
      <c r="X26" s="3"/>
    </row>
    <row r="27" spans="1:24" s="2" customFormat="1" x14ac:dyDescent="0.25">
      <c r="A27" s="3"/>
      <c r="B27" s="3"/>
      <c r="C27" s="3" t="s">
        <v>3104</v>
      </c>
      <c r="D27" s="3"/>
      <c r="E27" s="3"/>
      <c r="F27" s="1220" t="s">
        <v>3105</v>
      </c>
      <c r="G27" s="1220"/>
      <c r="H27" s="1220"/>
      <c r="I27" s="1220"/>
      <c r="J27" s="1220"/>
      <c r="K27" s="429"/>
      <c r="L27" s="406"/>
      <c r="M27" s="6"/>
      <c r="N27" s="428"/>
      <c r="O27" s="428"/>
      <c r="P27" s="429"/>
      <c r="Q27" s="429"/>
      <c r="R27" s="10"/>
      <c r="S27" s="3"/>
      <c r="T27" s="4"/>
      <c r="U27" s="4"/>
      <c r="V27" s="3"/>
      <c r="W27" s="3"/>
      <c r="X27" s="3"/>
    </row>
    <row r="28" spans="1:24" s="2" customFormat="1" x14ac:dyDescent="0.25">
      <c r="A28" s="3"/>
      <c r="B28" s="3"/>
      <c r="C28" s="3"/>
      <c r="D28" s="3"/>
      <c r="E28" s="3"/>
      <c r="F28" s="3"/>
      <c r="G28" s="3"/>
      <c r="H28" s="3"/>
      <c r="I28" s="3"/>
      <c r="J28" s="12" t="s">
        <v>3106</v>
      </c>
      <c r="K28" s="429" t="s">
        <v>3107</v>
      </c>
      <c r="L28" s="72"/>
      <c r="M28" s="429"/>
      <c r="N28" s="429"/>
      <c r="O28" s="429"/>
      <c r="P28" s="892"/>
      <c r="Q28" s="429"/>
      <c r="R28" s="10"/>
      <c r="S28" s="3"/>
      <c r="T28" s="4"/>
      <c r="U28" s="4"/>
      <c r="V28" s="3"/>
      <c r="W28" s="3"/>
      <c r="X28" s="3"/>
    </row>
    <row r="29" spans="1:24" s="2" customFormat="1" x14ac:dyDescent="0.25">
      <c r="A29" s="3"/>
      <c r="B29" s="3"/>
      <c r="C29" s="3"/>
      <c r="D29" s="3"/>
      <c r="E29" s="3"/>
      <c r="F29" s="3"/>
      <c r="G29" s="3"/>
      <c r="H29" s="3"/>
      <c r="I29" s="3"/>
      <c r="J29" s="12" t="s">
        <v>3108</v>
      </c>
      <c r="K29" s="429" t="s">
        <v>3109</v>
      </c>
      <c r="L29" s="72"/>
      <c r="M29" s="429"/>
      <c r="N29" s="429"/>
      <c r="O29" s="429"/>
      <c r="P29" s="892"/>
      <c r="Q29" s="429"/>
      <c r="R29" s="10"/>
      <c r="S29" s="3"/>
      <c r="T29" s="4"/>
      <c r="U29" s="4"/>
      <c r="V29" s="3"/>
      <c r="W29" s="3"/>
      <c r="X29" s="3"/>
    </row>
    <row r="30" spans="1:24" s="2" customFormat="1" x14ac:dyDescent="0.25">
      <c r="A30" s="3"/>
      <c r="B30" s="3"/>
      <c r="C30" s="3"/>
      <c r="D30" s="3"/>
      <c r="E30" s="3"/>
      <c r="F30" s="3"/>
      <c r="G30" s="3"/>
      <c r="H30" s="3"/>
      <c r="I30" s="3"/>
      <c r="J30" s="12" t="s">
        <v>3110</v>
      </c>
      <c r="K30" s="429" t="s">
        <v>3111</v>
      </c>
      <c r="L30" s="72"/>
      <c r="M30" s="429"/>
      <c r="N30" s="429"/>
      <c r="O30" s="429"/>
      <c r="P30" s="892"/>
      <c r="Q30" s="429"/>
      <c r="R30" s="10"/>
      <c r="S30" s="3"/>
      <c r="T30" s="4"/>
      <c r="U30" s="4"/>
      <c r="V30" s="3"/>
      <c r="W30" s="3"/>
      <c r="X30" s="3"/>
    </row>
    <row r="31" spans="1:24" s="2" customFormat="1" x14ac:dyDescent="0.25">
      <c r="A31" s="3"/>
      <c r="B31" s="3"/>
      <c r="C31" s="3" t="s">
        <v>3112</v>
      </c>
      <c r="D31" s="3"/>
      <c r="E31" s="3"/>
      <c r="F31" s="1220" t="s">
        <v>3113</v>
      </c>
      <c r="G31" s="1220"/>
      <c r="H31" s="1220"/>
      <c r="I31" s="1220"/>
      <c r="J31" s="1220"/>
      <c r="K31" s="429"/>
      <c r="L31" s="406"/>
      <c r="M31" s="6"/>
      <c r="N31" s="428"/>
      <c r="O31" s="428"/>
      <c r="P31" s="429"/>
      <c r="Q31" s="429"/>
      <c r="R31" s="10"/>
      <c r="S31" s="3"/>
      <c r="T31" s="4"/>
      <c r="U31" s="4"/>
      <c r="V31" s="3"/>
      <c r="W31" s="3"/>
      <c r="X31" s="3"/>
    </row>
    <row r="32" spans="1:24" s="2" customFormat="1" x14ac:dyDescent="0.25">
      <c r="A32" s="3"/>
      <c r="B32" s="3"/>
      <c r="C32" s="3"/>
      <c r="D32" s="3"/>
      <c r="E32" s="3"/>
      <c r="F32" s="3"/>
      <c r="G32" s="3"/>
      <c r="H32" s="3"/>
      <c r="I32" s="3"/>
      <c r="J32" s="12"/>
      <c r="K32" s="429"/>
      <c r="L32" s="406"/>
      <c r="M32" s="6"/>
      <c r="N32" s="428"/>
      <c r="O32" s="428"/>
      <c r="P32" s="429"/>
      <c r="Q32" s="429"/>
      <c r="R32" s="10"/>
      <c r="S32" s="3"/>
      <c r="T32" s="4"/>
      <c r="U32" s="4"/>
      <c r="V32" s="3"/>
      <c r="W32" s="3"/>
      <c r="X32" s="3"/>
    </row>
    <row r="33" spans="1:24" s="2" customFormat="1" x14ac:dyDescent="0.25">
      <c r="A33" s="3"/>
      <c r="B33" s="3"/>
      <c r="C33" s="3"/>
      <c r="D33" s="3"/>
      <c r="E33" s="3"/>
      <c r="F33" s="3"/>
      <c r="G33" s="3"/>
      <c r="H33" s="3"/>
      <c r="I33" s="3"/>
      <c r="J33" s="12"/>
      <c r="K33" s="429"/>
      <c r="L33" s="406"/>
      <c r="M33" s="6"/>
      <c r="N33" s="428"/>
      <c r="O33" s="428"/>
      <c r="P33" s="429"/>
      <c r="Q33" s="429"/>
      <c r="R33" s="10"/>
      <c r="S33" s="3"/>
      <c r="T33" s="4"/>
      <c r="U33" s="4"/>
      <c r="V33" s="3"/>
      <c r="W33" s="3"/>
      <c r="X33" s="3"/>
    </row>
    <row r="34" spans="1:24" s="2" customFormat="1" x14ac:dyDescent="0.25">
      <c r="A34" s="3"/>
      <c r="B34" s="3"/>
      <c r="C34" s="3"/>
      <c r="D34" s="3"/>
      <c r="E34" s="3"/>
      <c r="F34" s="3"/>
      <c r="G34" s="3"/>
      <c r="H34" s="3"/>
      <c r="I34" s="3"/>
      <c r="J34" s="12"/>
      <c r="K34" s="429"/>
      <c r="L34" s="406"/>
      <c r="M34" s="6"/>
      <c r="N34" s="428"/>
      <c r="O34" s="428"/>
      <c r="P34" s="429"/>
      <c r="Q34" s="429"/>
      <c r="R34" s="10"/>
      <c r="S34" s="3"/>
      <c r="T34" s="4"/>
      <c r="U34" s="4"/>
      <c r="V34" s="3"/>
      <c r="W34" s="3"/>
      <c r="X34" s="3"/>
    </row>
    <row r="35" spans="1:24" s="2" customFormat="1" ht="15.75" customHeight="1" x14ac:dyDescent="0.25">
      <c r="A35" s="3"/>
      <c r="B35" s="3"/>
      <c r="C35" s="3"/>
      <c r="D35" s="3"/>
      <c r="E35" s="3"/>
      <c r="F35" s="3"/>
      <c r="G35" s="3"/>
      <c r="H35" s="3"/>
      <c r="I35" s="3"/>
      <c r="J35" s="12"/>
      <c r="K35" s="429"/>
      <c r="L35" s="406"/>
      <c r="M35" s="6"/>
      <c r="N35" s="428"/>
      <c r="O35" s="428"/>
      <c r="P35" s="429"/>
      <c r="Q35" s="429"/>
      <c r="R35" s="10"/>
      <c r="S35" s="3"/>
      <c r="T35" s="4"/>
      <c r="U35" s="4"/>
      <c r="V35" s="3"/>
      <c r="W35" s="3"/>
      <c r="X35" s="3"/>
    </row>
    <row r="36" spans="1:24" s="2" customFormat="1" x14ac:dyDescent="0.25">
      <c r="A36" s="3"/>
      <c r="B36" s="3"/>
      <c r="C36" s="3"/>
      <c r="D36" s="3"/>
      <c r="E36" s="3"/>
      <c r="F36" s="3"/>
      <c r="G36" s="3"/>
      <c r="H36" s="3"/>
      <c r="I36" s="3"/>
      <c r="J36" s="12"/>
      <c r="K36" s="429"/>
      <c r="L36" s="406"/>
      <c r="M36" s="6"/>
      <c r="N36" s="428"/>
      <c r="O36" s="428"/>
      <c r="P36" s="429"/>
      <c r="Q36" s="429"/>
      <c r="R36" s="10"/>
      <c r="S36" s="3"/>
      <c r="T36" s="4"/>
      <c r="U36" s="4"/>
      <c r="V36" s="3"/>
      <c r="W36" s="3"/>
      <c r="X36" s="3"/>
    </row>
    <row r="37" spans="1:24" s="2" customFormat="1" x14ac:dyDescent="0.25">
      <c r="A37" s="3"/>
      <c r="B37" s="3"/>
      <c r="C37" s="3" t="s">
        <v>3114</v>
      </c>
      <c r="D37" s="3"/>
      <c r="E37" s="3"/>
      <c r="F37" s="3" t="s">
        <v>3115</v>
      </c>
      <c r="G37" s="3"/>
      <c r="H37" s="3"/>
      <c r="I37" s="3"/>
      <c r="J37" s="12"/>
      <c r="K37" s="429"/>
      <c r="L37" s="406"/>
      <c r="M37" s="6"/>
      <c r="N37" s="428"/>
      <c r="O37" s="428"/>
      <c r="P37" s="429"/>
      <c r="Q37" s="429"/>
      <c r="R37" s="10"/>
      <c r="S37" s="3"/>
      <c r="T37" s="4"/>
      <c r="U37" s="4"/>
      <c r="V37" s="3"/>
      <c r="W37" s="3"/>
      <c r="X37" s="3"/>
    </row>
    <row r="38" spans="1:24" s="2" customFormat="1" x14ac:dyDescent="0.25">
      <c r="A38" s="3"/>
      <c r="B38" s="3"/>
      <c r="C38" s="3"/>
      <c r="D38" s="3"/>
      <c r="E38" s="3"/>
      <c r="F38" s="3"/>
      <c r="G38" s="3"/>
      <c r="H38" s="3"/>
      <c r="I38" s="3"/>
      <c r="J38" s="12"/>
      <c r="K38" s="429"/>
      <c r="L38" s="406"/>
      <c r="M38" s="6"/>
      <c r="N38" s="428"/>
      <c r="O38" s="428"/>
      <c r="P38" s="429"/>
      <c r="Q38" s="429"/>
      <c r="R38" s="10"/>
      <c r="S38" s="3"/>
      <c r="T38" s="4"/>
      <c r="U38" s="4"/>
      <c r="V38" s="3"/>
      <c r="W38" s="3"/>
      <c r="X38" s="3"/>
    </row>
    <row r="39" spans="1:24" s="2" customFormat="1" x14ac:dyDescent="0.25">
      <c r="A39" s="3"/>
      <c r="B39" s="3"/>
      <c r="C39" s="3"/>
      <c r="D39" s="3"/>
      <c r="E39" s="3"/>
      <c r="F39" s="3"/>
      <c r="G39" s="3"/>
      <c r="H39" s="3"/>
      <c r="I39" s="3"/>
      <c r="J39" s="12"/>
      <c r="K39" s="429"/>
      <c r="L39" s="406"/>
      <c r="M39" s="6"/>
      <c r="N39" s="428"/>
      <c r="O39" s="428"/>
      <c r="P39" s="429"/>
      <c r="Q39" s="429"/>
      <c r="R39" s="10"/>
      <c r="S39" s="3"/>
      <c r="T39" s="4"/>
      <c r="U39" s="4"/>
      <c r="V39" s="3"/>
      <c r="W39" s="3"/>
      <c r="X39" s="3"/>
    </row>
    <row r="40" spans="1:24" s="2" customFormat="1" x14ac:dyDescent="0.25">
      <c r="A40" s="3"/>
      <c r="B40" s="3"/>
      <c r="C40" s="3"/>
      <c r="D40" s="3"/>
      <c r="E40" s="3"/>
      <c r="F40" s="3" t="s">
        <v>3116</v>
      </c>
      <c r="G40" s="3"/>
      <c r="H40" s="3"/>
      <c r="I40" s="3"/>
      <c r="J40" s="12"/>
      <c r="K40" s="429"/>
      <c r="L40" s="406"/>
      <c r="M40" s="6"/>
      <c r="N40" s="428"/>
      <c r="O40" s="428"/>
      <c r="P40" s="429"/>
      <c r="Q40" s="429"/>
      <c r="R40" s="10"/>
      <c r="S40" s="3"/>
      <c r="T40" s="4"/>
      <c r="U40" s="4"/>
      <c r="V40" s="3"/>
      <c r="W40" s="3"/>
      <c r="X40" s="3"/>
    </row>
    <row r="41" spans="1:24" s="2" customFormat="1" x14ac:dyDescent="0.25">
      <c r="A41" s="3"/>
      <c r="B41" s="3"/>
      <c r="C41" s="3"/>
      <c r="D41" s="3"/>
      <c r="E41" s="3"/>
      <c r="F41" s="3"/>
      <c r="G41" s="3"/>
      <c r="H41" s="3"/>
      <c r="I41" s="3"/>
      <c r="J41" s="12"/>
      <c r="K41" s="429"/>
      <c r="L41" s="406"/>
      <c r="M41" s="6"/>
      <c r="N41" s="428"/>
      <c r="O41" s="428"/>
      <c r="P41" s="429"/>
      <c r="Q41" s="429"/>
      <c r="R41" s="10"/>
      <c r="S41" s="3"/>
      <c r="T41" s="4"/>
      <c r="U41" s="4"/>
      <c r="V41" s="3"/>
      <c r="W41" s="3"/>
      <c r="X41" s="3"/>
    </row>
    <row r="42" spans="1:24" s="2" customFormat="1" x14ac:dyDescent="0.25">
      <c r="A42" s="3"/>
      <c r="B42" s="3"/>
      <c r="C42" s="3"/>
      <c r="D42" s="3"/>
      <c r="E42" s="1220" t="s">
        <v>3117</v>
      </c>
      <c r="F42" s="1220"/>
      <c r="G42" s="1220"/>
      <c r="H42" s="1220"/>
      <c r="I42" s="1220"/>
      <c r="J42" s="1220"/>
      <c r="K42" s="429"/>
      <c r="L42" s="406"/>
      <c r="M42" s="6"/>
      <c r="N42" s="428"/>
      <c r="O42" s="428"/>
      <c r="P42" s="429"/>
      <c r="Q42" s="429"/>
      <c r="R42" s="10"/>
      <c r="S42" s="3"/>
      <c r="T42" s="4"/>
      <c r="U42" s="4"/>
      <c r="V42" s="3"/>
      <c r="W42" s="3"/>
      <c r="X42" s="3"/>
    </row>
    <row r="43" spans="1:24" s="2" customFormat="1" x14ac:dyDescent="0.25">
      <c r="A43" s="3"/>
      <c r="B43" s="3"/>
      <c r="C43" s="3" t="s">
        <v>3118</v>
      </c>
      <c r="D43" s="3"/>
      <c r="E43" s="3"/>
      <c r="F43" s="3" t="s">
        <v>3115</v>
      </c>
      <c r="G43" s="3"/>
      <c r="H43" s="3"/>
      <c r="I43" s="3"/>
      <c r="J43" s="12"/>
      <c r="K43" s="429"/>
      <c r="L43" s="406"/>
      <c r="M43" s="6"/>
      <c r="N43" s="428"/>
      <c r="O43" s="428"/>
      <c r="P43" s="429"/>
      <c r="Q43" s="429"/>
      <c r="R43" s="10"/>
      <c r="S43" s="3"/>
      <c r="T43" s="4"/>
      <c r="U43" s="4"/>
      <c r="V43" s="3"/>
      <c r="W43" s="3"/>
      <c r="X43" s="3"/>
    </row>
    <row r="44" spans="1:24" s="2" customFormat="1" x14ac:dyDescent="0.25">
      <c r="A44" s="3"/>
      <c r="B44" s="3"/>
      <c r="C44" s="3"/>
      <c r="D44" s="3"/>
      <c r="E44" s="3"/>
      <c r="F44" s="3" t="s">
        <v>3119</v>
      </c>
      <c r="G44" s="3"/>
      <c r="H44" s="3"/>
      <c r="I44" s="3"/>
      <c r="J44" s="12"/>
      <c r="K44" s="429"/>
      <c r="L44" s="406"/>
      <c r="M44" s="6"/>
      <c r="N44" s="428"/>
      <c r="O44" s="428"/>
      <c r="P44" s="429"/>
      <c r="Q44" s="429"/>
      <c r="R44" s="10"/>
      <c r="S44" s="3"/>
      <c r="T44" s="4"/>
      <c r="U44" s="4"/>
      <c r="V44" s="3"/>
      <c r="W44" s="3"/>
      <c r="X44" s="3"/>
    </row>
    <row r="45" spans="1:24" s="2" customFormat="1" x14ac:dyDescent="0.25">
      <c r="A45" s="3"/>
      <c r="B45" s="3"/>
      <c r="C45" s="3"/>
      <c r="D45" s="3"/>
      <c r="E45" s="3"/>
      <c r="F45" s="3" t="s">
        <v>3120</v>
      </c>
      <c r="G45" s="3"/>
      <c r="H45" s="3"/>
      <c r="I45" s="3"/>
      <c r="J45" s="12"/>
      <c r="K45" s="429"/>
      <c r="L45" s="406"/>
      <c r="M45" s="6"/>
      <c r="N45" s="428"/>
      <c r="O45" s="428"/>
      <c r="P45" s="429"/>
      <c r="Q45" s="429"/>
      <c r="R45" s="10"/>
      <c r="S45" s="3"/>
      <c r="T45" s="4"/>
      <c r="U45" s="4"/>
      <c r="V45" s="3"/>
      <c r="W45" s="3"/>
      <c r="X45" s="3"/>
    </row>
    <row r="46" spans="1:24" s="2" customFormat="1" x14ac:dyDescent="0.25">
      <c r="A46" s="3"/>
      <c r="B46" s="3"/>
      <c r="C46" s="3"/>
      <c r="D46" s="3"/>
      <c r="E46" s="3"/>
      <c r="F46" s="3" t="s">
        <v>3116</v>
      </c>
      <c r="G46" s="3"/>
      <c r="H46" s="3"/>
      <c r="I46" s="3"/>
      <c r="J46" s="12"/>
      <c r="K46" s="429"/>
      <c r="L46" s="406"/>
      <c r="M46" s="6"/>
      <c r="N46" s="428"/>
      <c r="O46" s="428"/>
      <c r="P46" s="429"/>
      <c r="Q46" s="429"/>
      <c r="R46" s="10"/>
      <c r="S46" s="3"/>
      <c r="T46" s="4"/>
      <c r="U46" s="4"/>
      <c r="V46" s="3"/>
      <c r="W46" s="3"/>
      <c r="X46" s="3"/>
    </row>
    <row r="47" spans="1:24" s="2" customFormat="1" x14ac:dyDescent="0.25">
      <c r="A47" s="3"/>
      <c r="B47" s="3"/>
      <c r="C47" s="3"/>
      <c r="D47" s="3"/>
      <c r="E47" s="3"/>
      <c r="F47" s="3"/>
      <c r="G47" s="3"/>
      <c r="H47" s="3"/>
      <c r="I47" s="3"/>
      <c r="J47" s="12"/>
      <c r="K47" s="429"/>
      <c r="L47" s="406"/>
      <c r="M47" s="6"/>
      <c r="N47" s="428"/>
      <c r="O47" s="428"/>
      <c r="P47" s="429"/>
      <c r="Q47" s="429"/>
      <c r="R47" s="10"/>
      <c r="S47" s="3"/>
      <c r="T47" s="4"/>
      <c r="U47" s="4"/>
      <c r="V47" s="3"/>
      <c r="W47" s="3"/>
      <c r="X47" s="3"/>
    </row>
    <row r="48" spans="1:24" x14ac:dyDescent="0.25">
      <c r="A48" s="3"/>
      <c r="B48" s="3"/>
      <c r="C48" s="122"/>
      <c r="D48" s="7">
        <v>3</v>
      </c>
      <c r="E48" s="1167" t="s">
        <v>3121</v>
      </c>
      <c r="F48" s="1167"/>
      <c r="G48" s="1167"/>
      <c r="H48" s="1167"/>
      <c r="I48" s="1167"/>
      <c r="J48" s="1167"/>
      <c r="K48" s="1222"/>
      <c r="L48" s="1167"/>
      <c r="M48" s="1167"/>
      <c r="N48" s="1222"/>
      <c r="O48" s="1222"/>
      <c r="P48" s="1222"/>
      <c r="Q48" s="1222"/>
      <c r="R48" s="1167"/>
      <c r="S48" s="1167"/>
      <c r="T48" s="1167"/>
      <c r="U48" s="1167"/>
      <c r="V48" s="1167"/>
      <c r="W48" s="1167"/>
      <c r="X48" s="1167"/>
    </row>
    <row r="49" spans="1:24" x14ac:dyDescent="0.25">
      <c r="A49" s="3"/>
      <c r="B49" s="3"/>
      <c r="C49" s="1"/>
      <c r="D49" s="1"/>
      <c r="E49" s="1208" t="s">
        <v>3122</v>
      </c>
      <c r="F49" s="1208"/>
      <c r="G49" s="1208"/>
      <c r="H49" s="1208"/>
      <c r="I49" s="1208"/>
      <c r="J49" s="1208"/>
      <c r="K49" s="893"/>
      <c r="L49" s="89"/>
      <c r="M49" s="89"/>
      <c r="N49" s="893"/>
      <c r="O49" s="893"/>
      <c r="P49" s="893"/>
      <c r="Q49" s="893"/>
      <c r="R49" s="89"/>
      <c r="S49" s="89"/>
      <c r="T49" s="89"/>
      <c r="U49" s="89"/>
      <c r="V49" s="89"/>
      <c r="W49" s="89"/>
      <c r="X49" s="89"/>
    </row>
    <row r="50" spans="1:24" ht="38.25" x14ac:dyDescent="0.25">
      <c r="A50" s="3"/>
      <c r="B50" s="3"/>
      <c r="C50" s="1"/>
      <c r="D50" s="1"/>
      <c r="E50" s="1"/>
      <c r="F50" s="1"/>
      <c r="G50" s="1"/>
      <c r="H50" s="1"/>
      <c r="I50" s="1"/>
      <c r="J50" s="461" t="s">
        <v>3123</v>
      </c>
      <c r="K50" s="644" t="s">
        <v>3124</v>
      </c>
      <c r="L50" s="602" t="s">
        <v>1101</v>
      </c>
      <c r="M50" s="341" t="s">
        <v>3125</v>
      </c>
      <c r="N50" s="644"/>
      <c r="O50" s="644"/>
      <c r="P50" s="894" t="s">
        <v>3126</v>
      </c>
      <c r="Q50" s="644" t="s">
        <v>3127</v>
      </c>
      <c r="R50" s="6"/>
      <c r="S50" s="1"/>
      <c r="T50" s="4"/>
      <c r="U50" s="4"/>
      <c r="V50" s="1"/>
      <c r="W50" s="1"/>
      <c r="X50" s="1"/>
    </row>
    <row r="51" spans="1:24" ht="75" x14ac:dyDescent="0.25">
      <c r="A51" s="3"/>
      <c r="B51" s="3"/>
      <c r="C51" s="1"/>
      <c r="D51" s="1"/>
      <c r="E51" s="1"/>
      <c r="F51" s="1"/>
      <c r="G51" s="1"/>
      <c r="H51" s="1"/>
      <c r="I51" s="1"/>
      <c r="J51" s="12" t="s">
        <v>3128</v>
      </c>
      <c r="K51" s="429" t="s">
        <v>3129</v>
      </c>
      <c r="L51" s="72" t="s">
        <v>3130</v>
      </c>
      <c r="M51" s="6" t="s">
        <v>3131</v>
      </c>
      <c r="N51" s="429"/>
      <c r="O51" s="429"/>
      <c r="P51" s="892" t="s">
        <v>3132</v>
      </c>
      <c r="Q51" s="429" t="s">
        <v>3133</v>
      </c>
      <c r="R51" s="6"/>
      <c r="S51" s="1"/>
      <c r="T51" s="4"/>
      <c r="U51" s="4"/>
      <c r="V51" s="1"/>
      <c r="W51" s="1"/>
      <c r="X51" s="1"/>
    </row>
    <row r="52" spans="1:24" ht="105" x14ac:dyDescent="0.25">
      <c r="A52" s="3"/>
      <c r="B52" s="3"/>
      <c r="C52" s="1"/>
      <c r="D52" s="1"/>
      <c r="E52" s="89" t="s">
        <v>3134</v>
      </c>
      <c r="F52" s="89"/>
      <c r="G52" s="89"/>
      <c r="H52" s="89"/>
      <c r="I52" s="89"/>
      <c r="J52" s="89"/>
      <c r="K52" s="895" t="s">
        <v>3135</v>
      </c>
      <c r="L52" s="772" t="s">
        <v>3096</v>
      </c>
      <c r="M52" s="896" t="s">
        <v>3136</v>
      </c>
      <c r="N52" s="895"/>
      <c r="O52" s="895"/>
      <c r="P52" s="897" t="s">
        <v>3132</v>
      </c>
      <c r="Q52" s="895" t="s">
        <v>3137</v>
      </c>
      <c r="R52" s="896"/>
      <c r="S52" s="735"/>
      <c r="T52" s="898"/>
      <c r="U52" s="898"/>
      <c r="V52" s="735"/>
      <c r="W52" s="735"/>
      <c r="X52" s="735"/>
    </row>
    <row r="53" spans="1:24" x14ac:dyDescent="0.25">
      <c r="A53" s="3"/>
      <c r="B53" s="3"/>
      <c r="C53" s="1"/>
      <c r="D53" s="66"/>
      <c r="E53" s="342"/>
      <c r="F53" s="1223" t="s">
        <v>3138</v>
      </c>
      <c r="G53" s="1223"/>
      <c r="H53" s="1223"/>
      <c r="I53" s="1223"/>
      <c r="J53" s="1223"/>
      <c r="K53" s="1224"/>
      <c r="L53" s="1223"/>
      <c r="M53" s="1223"/>
      <c r="N53" s="1224"/>
      <c r="O53" s="1224"/>
      <c r="P53" s="1224"/>
      <c r="Q53" s="1224"/>
      <c r="R53" s="1223"/>
      <c r="S53" s="1223"/>
      <c r="T53" s="1223"/>
      <c r="U53" s="1223"/>
      <c r="V53" s="1223"/>
      <c r="W53" s="1223"/>
      <c r="X53" s="1223"/>
    </row>
    <row r="54" spans="1:24" ht="45" x14ac:dyDescent="0.25">
      <c r="A54" s="3"/>
      <c r="B54" s="3"/>
      <c r="C54" s="1"/>
      <c r="D54" s="66"/>
      <c r="E54" s="342"/>
      <c r="F54" s="342"/>
      <c r="G54" s="342"/>
      <c r="H54" s="342"/>
      <c r="I54" s="342"/>
      <c r="J54" s="429" t="s">
        <v>3094</v>
      </c>
      <c r="K54" s="429" t="s">
        <v>3095</v>
      </c>
      <c r="L54" s="72" t="s">
        <v>3096</v>
      </c>
      <c r="M54" s="429" t="s">
        <v>3097</v>
      </c>
      <c r="N54" s="429"/>
      <c r="O54" s="429"/>
      <c r="P54" s="892" t="s">
        <v>3139</v>
      </c>
      <c r="Q54" s="429"/>
      <c r="R54" s="6"/>
      <c r="S54" s="1"/>
      <c r="T54" s="4"/>
      <c r="U54" s="4"/>
      <c r="V54" s="1"/>
      <c r="W54" s="1"/>
      <c r="X54" s="1"/>
    </row>
    <row r="55" spans="1:24" ht="45" x14ac:dyDescent="0.25">
      <c r="A55" s="3"/>
      <c r="B55" s="3"/>
      <c r="C55" s="1"/>
      <c r="D55" s="66"/>
      <c r="E55" s="342"/>
      <c r="F55" s="342"/>
      <c r="G55" s="342"/>
      <c r="H55" s="342"/>
      <c r="I55" s="342"/>
      <c r="J55" s="429" t="s">
        <v>3140</v>
      </c>
      <c r="K55" s="429" t="s">
        <v>3141</v>
      </c>
      <c r="L55" s="72" t="s">
        <v>3096</v>
      </c>
      <c r="M55" s="429" t="s">
        <v>3142</v>
      </c>
      <c r="N55" s="429"/>
      <c r="O55" s="429"/>
      <c r="P55" s="892" t="s">
        <v>3102</v>
      </c>
      <c r="Q55" s="429"/>
      <c r="R55" s="6"/>
      <c r="S55" s="1"/>
      <c r="T55" s="4"/>
      <c r="U55" s="4"/>
      <c r="V55" s="1"/>
      <c r="W55" s="1"/>
      <c r="X55" s="1"/>
    </row>
    <row r="56" spans="1:24" ht="45" x14ac:dyDescent="0.25">
      <c r="A56" s="3"/>
      <c r="B56" s="3"/>
      <c r="C56" s="1"/>
      <c r="D56" s="66"/>
      <c r="E56" s="342"/>
      <c r="F56" s="342"/>
      <c r="G56" s="342"/>
      <c r="H56" s="342"/>
      <c r="I56" s="342"/>
      <c r="J56" s="429" t="s">
        <v>3143</v>
      </c>
      <c r="K56" s="429" t="s">
        <v>3144</v>
      </c>
      <c r="L56" s="72" t="s">
        <v>3096</v>
      </c>
      <c r="M56" s="429" t="s">
        <v>3145</v>
      </c>
      <c r="N56" s="429"/>
      <c r="O56" s="429"/>
      <c r="P56" s="892" t="s">
        <v>3146</v>
      </c>
      <c r="Q56" s="429"/>
      <c r="R56" s="6"/>
      <c r="S56" s="1"/>
      <c r="T56" s="4"/>
      <c r="U56" s="4"/>
      <c r="V56" s="1"/>
      <c r="W56" s="1"/>
      <c r="X56" s="1"/>
    </row>
    <row r="57" spans="1:24" ht="63.75" x14ac:dyDescent="0.25">
      <c r="A57" s="3"/>
      <c r="B57" s="3"/>
      <c r="C57" s="1"/>
      <c r="D57" s="66"/>
      <c r="E57" s="342"/>
      <c r="F57" s="342"/>
      <c r="G57" s="342"/>
      <c r="H57" s="342"/>
      <c r="I57" s="342"/>
      <c r="J57" s="429" t="s">
        <v>3147</v>
      </c>
      <c r="K57" s="429" t="s">
        <v>3148</v>
      </c>
      <c r="L57" s="72" t="s">
        <v>3096</v>
      </c>
      <c r="M57" s="429" t="s">
        <v>3149</v>
      </c>
      <c r="N57" s="429"/>
      <c r="O57" s="429"/>
      <c r="P57" s="892" t="s">
        <v>3150</v>
      </c>
      <c r="Q57" s="429"/>
      <c r="R57" s="6"/>
      <c r="S57" s="1"/>
      <c r="T57" s="4"/>
      <c r="U57" s="4"/>
      <c r="V57" s="1"/>
      <c r="W57" s="1"/>
      <c r="X57" s="1"/>
    </row>
    <row r="58" spans="1:24" ht="75" x14ac:dyDescent="0.25">
      <c r="A58" s="3"/>
      <c r="B58" s="3"/>
      <c r="C58" s="1"/>
      <c r="D58" s="66"/>
      <c r="E58" s="342"/>
      <c r="F58" s="342"/>
      <c r="G58" s="342"/>
      <c r="H58" s="342"/>
      <c r="I58" s="342"/>
      <c r="J58" s="429" t="s">
        <v>3151</v>
      </c>
      <c r="K58" s="429" t="s">
        <v>3152</v>
      </c>
      <c r="L58" s="72" t="s">
        <v>3096</v>
      </c>
      <c r="M58" s="429" t="s">
        <v>3153</v>
      </c>
      <c r="N58" s="429"/>
      <c r="O58" s="429"/>
      <c r="P58" s="892"/>
      <c r="Q58" s="429" t="s">
        <v>3154</v>
      </c>
      <c r="R58" s="6"/>
      <c r="S58" s="1"/>
      <c r="T58" s="4"/>
      <c r="U58" s="4"/>
      <c r="V58" s="1"/>
      <c r="W58" s="1"/>
      <c r="X58" s="1"/>
    </row>
    <row r="59" spans="1:24" x14ac:dyDescent="0.25">
      <c r="A59" s="3"/>
      <c r="B59" s="3"/>
      <c r="C59" s="1"/>
      <c r="D59" s="66"/>
      <c r="E59" s="342"/>
      <c r="F59" s="1223" t="s">
        <v>3155</v>
      </c>
      <c r="G59" s="1223"/>
      <c r="H59" s="1223"/>
      <c r="I59" s="1223"/>
      <c r="J59" s="1223"/>
      <c r="K59" s="1223"/>
      <c r="L59" s="1223"/>
      <c r="M59" s="1223"/>
      <c r="N59" s="1223"/>
      <c r="O59" s="1223"/>
      <c r="P59" s="1223"/>
      <c r="Q59" s="1223"/>
      <c r="R59" s="1223"/>
      <c r="S59" s="1223"/>
      <c r="T59" s="1223"/>
      <c r="U59" s="1223"/>
      <c r="V59" s="1223"/>
      <c r="W59" s="1223"/>
      <c r="X59" s="1223"/>
    </row>
    <row r="60" spans="1:24" ht="45" x14ac:dyDescent="0.25">
      <c r="A60" s="3"/>
      <c r="B60" s="3"/>
      <c r="C60" s="1"/>
      <c r="D60" s="66"/>
      <c r="E60" s="342"/>
      <c r="F60" s="342"/>
      <c r="G60" s="342"/>
      <c r="H60" s="342"/>
      <c r="I60" s="342"/>
      <c r="J60" s="12" t="s">
        <v>3156</v>
      </c>
      <c r="K60" s="429" t="s">
        <v>3157</v>
      </c>
      <c r="L60" s="72" t="s">
        <v>3096</v>
      </c>
      <c r="M60" s="429" t="s">
        <v>3158</v>
      </c>
      <c r="N60" s="429"/>
      <c r="O60" s="429"/>
      <c r="P60" s="892" t="s">
        <v>3139</v>
      </c>
      <c r="Q60" s="429"/>
      <c r="R60" s="6"/>
      <c r="S60" s="1"/>
      <c r="T60" s="4"/>
      <c r="U60" s="4"/>
      <c r="V60" s="1"/>
      <c r="W60" s="1"/>
      <c r="X60" s="1"/>
    </row>
    <row r="61" spans="1:24" ht="60" x14ac:dyDescent="0.25">
      <c r="A61" s="3"/>
      <c r="B61" s="3"/>
      <c r="C61" s="1"/>
      <c r="D61" s="66"/>
      <c r="E61" s="342"/>
      <c r="F61" s="342"/>
      <c r="G61" s="342"/>
      <c r="H61" s="342"/>
      <c r="I61" s="342"/>
      <c r="J61" s="12" t="s">
        <v>3159</v>
      </c>
      <c r="K61" s="429" t="s">
        <v>3160</v>
      </c>
      <c r="L61" s="72" t="s">
        <v>3096</v>
      </c>
      <c r="M61" s="429" t="s">
        <v>3161</v>
      </c>
      <c r="N61" s="429"/>
      <c r="O61" s="429"/>
      <c r="P61" s="892"/>
      <c r="Q61" s="429"/>
      <c r="R61" s="6"/>
      <c r="S61" s="1"/>
      <c r="T61" s="4"/>
      <c r="U61" s="4"/>
      <c r="V61" s="1"/>
      <c r="W61" s="1"/>
      <c r="X61" s="1"/>
    </row>
    <row r="62" spans="1:24" ht="45" x14ac:dyDescent="0.25">
      <c r="A62" s="3"/>
      <c r="B62" s="3"/>
      <c r="C62" s="1"/>
      <c r="D62" s="66"/>
      <c r="E62" s="342"/>
      <c r="F62" s="342"/>
      <c r="G62" s="342"/>
      <c r="H62" s="342"/>
      <c r="I62" s="342"/>
      <c r="J62" s="12" t="s">
        <v>3162</v>
      </c>
      <c r="K62" s="429" t="s">
        <v>3163</v>
      </c>
      <c r="L62" s="72" t="s">
        <v>3096</v>
      </c>
      <c r="M62" s="429" t="s">
        <v>3164</v>
      </c>
      <c r="N62" s="429"/>
      <c r="O62" s="429"/>
      <c r="P62" s="892"/>
      <c r="Q62" s="429"/>
      <c r="R62" s="6"/>
      <c r="S62" s="1"/>
      <c r="T62" s="4"/>
      <c r="U62" s="4"/>
      <c r="V62" s="1"/>
      <c r="W62" s="1"/>
      <c r="X62" s="1"/>
    </row>
    <row r="63" spans="1:24" ht="45" x14ac:dyDescent="0.25">
      <c r="A63" s="3"/>
      <c r="B63" s="3"/>
      <c r="C63" s="1"/>
      <c r="D63" s="66"/>
      <c r="E63" s="342"/>
      <c r="F63" s="342"/>
      <c r="G63" s="342"/>
      <c r="H63" s="342"/>
      <c r="I63" s="342"/>
      <c r="J63" s="12" t="s">
        <v>3165</v>
      </c>
      <c r="K63" s="429" t="s">
        <v>3166</v>
      </c>
      <c r="L63" s="72"/>
      <c r="M63" s="429" t="s">
        <v>3167</v>
      </c>
      <c r="N63" s="429"/>
      <c r="O63" s="429"/>
      <c r="P63" s="892"/>
      <c r="Q63" s="429" t="s">
        <v>3168</v>
      </c>
      <c r="R63" s="6"/>
      <c r="S63" s="1"/>
      <c r="T63" s="4"/>
      <c r="U63" s="4"/>
      <c r="V63" s="1"/>
      <c r="W63" s="1"/>
      <c r="X63" s="1"/>
    </row>
    <row r="64" spans="1:24" ht="45" x14ac:dyDescent="0.25">
      <c r="A64" s="3"/>
      <c r="B64" s="3"/>
      <c r="C64" s="1"/>
      <c r="D64" s="66"/>
      <c r="E64" s="342"/>
      <c r="F64" s="342"/>
      <c r="G64" s="342"/>
      <c r="H64" s="342"/>
      <c r="I64" s="342"/>
      <c r="J64" s="12" t="s">
        <v>3143</v>
      </c>
      <c r="K64" s="429" t="s">
        <v>3144</v>
      </c>
      <c r="L64" s="72" t="s">
        <v>3096</v>
      </c>
      <c r="M64" s="429" t="s">
        <v>3145</v>
      </c>
      <c r="N64" s="429"/>
      <c r="O64" s="429"/>
      <c r="P64" s="892" t="s">
        <v>3146</v>
      </c>
      <c r="Q64" s="429"/>
      <c r="R64" s="6"/>
      <c r="S64" s="1"/>
      <c r="T64" s="4"/>
      <c r="U64" s="4"/>
      <c r="V64" s="1"/>
      <c r="W64" s="1"/>
      <c r="X64" s="1"/>
    </row>
    <row r="65" spans="1:24" ht="63.75" x14ac:dyDescent="0.25">
      <c r="A65" s="3"/>
      <c r="B65" s="3"/>
      <c r="C65" s="1"/>
      <c r="D65" s="66"/>
      <c r="E65" s="342"/>
      <c r="F65" s="342"/>
      <c r="G65" s="342"/>
      <c r="H65" s="342"/>
      <c r="I65" s="342"/>
      <c r="J65" s="12" t="s">
        <v>3147</v>
      </c>
      <c r="K65" s="429" t="s">
        <v>3148</v>
      </c>
      <c r="L65" s="72" t="s">
        <v>3096</v>
      </c>
      <c r="M65" s="429" t="s">
        <v>3149</v>
      </c>
      <c r="N65" s="429"/>
      <c r="O65" s="429"/>
      <c r="P65" s="892" t="s">
        <v>3150</v>
      </c>
      <c r="Q65" s="429"/>
      <c r="R65" s="6"/>
      <c r="S65" s="1"/>
      <c r="T65" s="4"/>
      <c r="U65" s="4"/>
      <c r="V65" s="1"/>
      <c r="W65" s="1"/>
      <c r="X65" s="1"/>
    </row>
    <row r="66" spans="1:24" ht="60" x14ac:dyDescent="0.25">
      <c r="A66" s="3"/>
      <c r="B66" s="3"/>
      <c r="C66" s="1"/>
      <c r="D66" s="66"/>
      <c r="E66" s="342"/>
      <c r="F66" s="342"/>
      <c r="G66" s="342"/>
      <c r="H66" s="342"/>
      <c r="I66" s="342"/>
      <c r="J66" s="429" t="s">
        <v>3151</v>
      </c>
      <c r="K66" s="429" t="s">
        <v>3152</v>
      </c>
      <c r="L66" s="72" t="s">
        <v>3096</v>
      </c>
      <c r="M66" s="429" t="s">
        <v>3153</v>
      </c>
      <c r="N66" s="429"/>
      <c r="O66" s="429"/>
      <c r="P66" s="892"/>
      <c r="Q66" s="429" t="s">
        <v>3169</v>
      </c>
      <c r="R66" s="6"/>
      <c r="S66" s="1"/>
      <c r="T66" s="4"/>
      <c r="U66" s="4"/>
      <c r="V66" s="1"/>
      <c r="W66" s="1"/>
      <c r="X66" s="1"/>
    </row>
    <row r="67" spans="1:24" ht="105" x14ac:dyDescent="0.25">
      <c r="A67" s="3"/>
      <c r="B67" s="3"/>
      <c r="C67" s="1"/>
      <c r="D67" s="66"/>
      <c r="E67" s="1208" t="s">
        <v>3170</v>
      </c>
      <c r="F67" s="1208"/>
      <c r="G67" s="1208"/>
      <c r="H67" s="1208"/>
      <c r="I67" s="1208"/>
      <c r="J67" s="1208"/>
      <c r="K67" s="895" t="s">
        <v>3171</v>
      </c>
      <c r="L67" s="772" t="s">
        <v>3096</v>
      </c>
      <c r="M67" s="895" t="s">
        <v>3172</v>
      </c>
      <c r="N67" s="895"/>
      <c r="O67" s="895"/>
      <c r="P67" s="897"/>
      <c r="Q67" s="895" t="s">
        <v>3173</v>
      </c>
      <c r="R67" s="896"/>
      <c r="S67" s="735"/>
      <c r="T67" s="898"/>
      <c r="U67" s="898"/>
      <c r="V67" s="735"/>
      <c r="W67" s="735"/>
      <c r="X67" s="735"/>
    </row>
    <row r="68" spans="1:24" ht="28.5" customHeight="1" x14ac:dyDescent="0.25">
      <c r="A68" s="3"/>
      <c r="B68" s="3"/>
      <c r="C68" s="1"/>
      <c r="D68" s="1"/>
      <c r="E68" s="1"/>
      <c r="F68" s="1225" t="s">
        <v>3174</v>
      </c>
      <c r="G68" s="1225"/>
      <c r="H68" s="1225"/>
      <c r="I68" s="1225"/>
      <c r="J68" s="1225"/>
      <c r="K68" s="899" t="s">
        <v>3175</v>
      </c>
      <c r="L68" s="900" t="s">
        <v>3096</v>
      </c>
      <c r="M68" s="899"/>
      <c r="N68" s="899"/>
      <c r="O68" s="899"/>
      <c r="P68" s="901"/>
      <c r="Q68" s="899"/>
      <c r="R68" s="902"/>
      <c r="S68" s="903"/>
      <c r="T68" s="904"/>
      <c r="U68" s="904"/>
      <c r="V68" s="903"/>
      <c r="W68" s="903"/>
      <c r="X68" s="903"/>
    </row>
    <row r="69" spans="1:24" ht="38.25" customHeight="1" x14ac:dyDescent="0.25">
      <c r="A69" s="3"/>
      <c r="B69" s="3"/>
      <c r="C69" s="1"/>
      <c r="D69" s="1"/>
      <c r="E69" s="1"/>
      <c r="F69" s="1"/>
      <c r="G69" s="1225" t="s">
        <v>3138</v>
      </c>
      <c r="H69" s="1225"/>
      <c r="I69" s="1225"/>
      <c r="J69" s="1225"/>
      <c r="K69" s="899" t="s">
        <v>3176</v>
      </c>
      <c r="L69" s="900" t="s">
        <v>3096</v>
      </c>
      <c r="M69" s="899" t="s">
        <v>3177</v>
      </c>
      <c r="N69" s="899"/>
      <c r="O69" s="899"/>
      <c r="P69" s="901"/>
      <c r="Q69" s="899"/>
      <c r="R69" s="902"/>
      <c r="S69" s="903"/>
      <c r="T69" s="904"/>
      <c r="U69" s="904"/>
      <c r="V69" s="903"/>
      <c r="W69" s="903"/>
      <c r="X69" s="903"/>
    </row>
    <row r="70" spans="1:24" ht="45" x14ac:dyDescent="0.25">
      <c r="A70" s="3"/>
      <c r="B70" s="3"/>
      <c r="C70" s="1"/>
      <c r="D70" s="1"/>
      <c r="E70" s="1"/>
      <c r="F70" s="1"/>
      <c r="G70" s="1"/>
      <c r="H70" s="1"/>
      <c r="I70" s="1"/>
      <c r="J70" s="12" t="s">
        <v>3094</v>
      </c>
      <c r="K70" s="429" t="s">
        <v>3095</v>
      </c>
      <c r="L70" s="72"/>
      <c r="M70" s="429" t="s">
        <v>3178</v>
      </c>
      <c r="N70" s="429"/>
      <c r="O70" s="429"/>
      <c r="P70" s="892" t="s">
        <v>3179</v>
      </c>
      <c r="Q70" s="429"/>
      <c r="R70" s="6"/>
      <c r="S70" s="1"/>
      <c r="T70" s="4"/>
      <c r="U70" s="4"/>
      <c r="V70" s="1"/>
      <c r="W70" s="1"/>
      <c r="X70" s="1"/>
    </row>
    <row r="71" spans="1:24" ht="45" x14ac:dyDescent="0.25">
      <c r="A71" s="3"/>
      <c r="B71" s="3"/>
      <c r="C71" s="1"/>
      <c r="D71" s="1"/>
      <c r="E71" s="1"/>
      <c r="F71" s="1"/>
      <c r="G71" s="1"/>
      <c r="H71" s="1"/>
      <c r="I71" s="1"/>
      <c r="J71" s="12" t="s">
        <v>3140</v>
      </c>
      <c r="K71" s="429" t="s">
        <v>3141</v>
      </c>
      <c r="L71" s="72"/>
      <c r="M71" s="429" t="s">
        <v>3180</v>
      </c>
      <c r="N71" s="429"/>
      <c r="O71" s="429"/>
      <c r="P71" s="892" t="s">
        <v>3181</v>
      </c>
      <c r="Q71" s="429"/>
      <c r="R71" s="6"/>
      <c r="S71" s="1"/>
      <c r="T71" s="4"/>
      <c r="U71" s="4"/>
      <c r="V71" s="1"/>
      <c r="W71" s="1"/>
      <c r="X71" s="1"/>
    </row>
    <row r="72" spans="1:24" ht="90" x14ac:dyDescent="0.25">
      <c r="A72" s="3"/>
      <c r="B72" s="3"/>
      <c r="C72" s="1"/>
      <c r="D72" s="1"/>
      <c r="E72" s="1"/>
      <c r="F72" s="1"/>
      <c r="G72" s="1"/>
      <c r="H72" s="1"/>
      <c r="I72" s="1"/>
      <c r="J72" s="12" t="s">
        <v>3182</v>
      </c>
      <c r="K72" s="429" t="s">
        <v>3183</v>
      </c>
      <c r="L72" s="72"/>
      <c r="M72" s="429" t="s">
        <v>3184</v>
      </c>
      <c r="N72" s="429"/>
      <c r="O72" s="429"/>
      <c r="P72" s="892" t="s">
        <v>3185</v>
      </c>
      <c r="Q72" s="429" t="s">
        <v>3186</v>
      </c>
      <c r="R72" s="6"/>
      <c r="S72" s="1"/>
      <c r="T72" s="4"/>
      <c r="U72" s="4"/>
      <c r="V72" s="1"/>
      <c r="W72" s="1"/>
      <c r="X72" s="1"/>
    </row>
    <row r="73" spans="1:24" x14ac:dyDescent="0.25">
      <c r="A73" s="3"/>
      <c r="B73" s="3"/>
      <c r="C73" s="1"/>
      <c r="D73" s="1"/>
      <c r="E73" s="1"/>
      <c r="F73" s="1"/>
      <c r="G73" s="1225" t="s">
        <v>3187</v>
      </c>
      <c r="H73" s="1225"/>
      <c r="I73" s="1225"/>
      <c r="J73" s="1225"/>
      <c r="K73" s="899" t="s">
        <v>3188</v>
      </c>
      <c r="L73" s="900"/>
      <c r="M73" s="899"/>
      <c r="N73" s="899"/>
      <c r="O73" s="899"/>
      <c r="P73" s="901"/>
      <c r="Q73" s="899"/>
      <c r="R73" s="902"/>
      <c r="S73" s="903"/>
      <c r="T73" s="904"/>
      <c r="U73" s="904"/>
      <c r="V73" s="903"/>
      <c r="W73" s="903"/>
      <c r="X73" s="903"/>
    </row>
    <row r="74" spans="1:24" s="14" customFormat="1" ht="45" x14ac:dyDescent="0.25">
      <c r="A74" s="3"/>
      <c r="B74" s="3"/>
      <c r="C74" s="6"/>
      <c r="D74" s="6"/>
      <c r="E74" s="6"/>
      <c r="F74" s="6"/>
      <c r="G74" s="6"/>
      <c r="H74" s="6"/>
      <c r="I74" s="6"/>
      <c r="J74" s="12" t="s">
        <v>3156</v>
      </c>
      <c r="K74" s="429" t="s">
        <v>3189</v>
      </c>
      <c r="L74" s="72" t="s">
        <v>3096</v>
      </c>
      <c r="M74" s="429" t="s">
        <v>3190</v>
      </c>
      <c r="N74" s="429"/>
      <c r="O74" s="429"/>
      <c r="P74" s="892" t="s">
        <v>3179</v>
      </c>
      <c r="Q74" s="429"/>
      <c r="R74" s="6"/>
      <c r="S74" s="6"/>
      <c r="T74" s="16"/>
      <c r="U74" s="16"/>
      <c r="V74" s="6"/>
      <c r="W74" s="6"/>
      <c r="X74" s="6"/>
    </row>
    <row r="75" spans="1:24" s="14" customFormat="1" ht="60" x14ac:dyDescent="0.25">
      <c r="A75" s="3"/>
      <c r="B75" s="3"/>
      <c r="C75" s="6"/>
      <c r="D75" s="6"/>
      <c r="E75" s="6"/>
      <c r="F75" s="6"/>
      <c r="G75" s="6"/>
      <c r="H75" s="6"/>
      <c r="I75" s="6"/>
      <c r="J75" s="12" t="s">
        <v>3159</v>
      </c>
      <c r="K75" s="429" t="s">
        <v>3191</v>
      </c>
      <c r="L75" s="72" t="s">
        <v>3096</v>
      </c>
      <c r="M75" s="429" t="s">
        <v>3192</v>
      </c>
      <c r="N75" s="429"/>
      <c r="O75" s="429"/>
      <c r="P75" s="892"/>
      <c r="Q75" s="429"/>
      <c r="R75" s="6"/>
      <c r="S75" s="6"/>
      <c r="T75" s="16"/>
      <c r="U75" s="16"/>
      <c r="V75" s="6"/>
      <c r="W75" s="6"/>
      <c r="X75" s="6"/>
    </row>
    <row r="76" spans="1:24" s="14" customFormat="1" ht="45" x14ac:dyDescent="0.25">
      <c r="A76" s="3"/>
      <c r="B76" s="3"/>
      <c r="C76" s="6"/>
      <c r="D76" s="6"/>
      <c r="E76" s="6"/>
      <c r="F76" s="6"/>
      <c r="G76" s="6"/>
      <c r="H76" s="6"/>
      <c r="I76" s="6"/>
      <c r="J76" s="12" t="s">
        <v>3162</v>
      </c>
      <c r="K76" s="429" t="s">
        <v>3193</v>
      </c>
      <c r="L76" s="72" t="s">
        <v>3096</v>
      </c>
      <c r="M76" s="429" t="s">
        <v>3194</v>
      </c>
      <c r="N76" s="429"/>
      <c r="O76" s="429"/>
      <c r="P76" s="892"/>
      <c r="Q76" s="429"/>
      <c r="R76" s="6"/>
      <c r="S76" s="6"/>
      <c r="T76" s="16"/>
      <c r="U76" s="16"/>
      <c r="V76" s="6"/>
      <c r="W76" s="6"/>
      <c r="X76" s="6"/>
    </row>
    <row r="77" spans="1:24" s="14" customFormat="1" ht="45" x14ac:dyDescent="0.25">
      <c r="A77" s="3"/>
      <c r="B77" s="3"/>
      <c r="C77" s="6"/>
      <c r="D77" s="6"/>
      <c r="E77" s="6"/>
      <c r="F77" s="6"/>
      <c r="G77" s="6"/>
      <c r="H77" s="6"/>
      <c r="I77" s="6"/>
      <c r="J77" s="12" t="s">
        <v>3165</v>
      </c>
      <c r="K77" s="429" t="s">
        <v>3195</v>
      </c>
      <c r="L77" s="72" t="s">
        <v>3096</v>
      </c>
      <c r="M77" s="429" t="s">
        <v>3196</v>
      </c>
      <c r="N77" s="429"/>
      <c r="O77" s="429"/>
      <c r="P77" s="892"/>
      <c r="Q77" s="429" t="s">
        <v>3168</v>
      </c>
      <c r="R77" s="6"/>
      <c r="S77" s="6"/>
      <c r="T77" s="16"/>
      <c r="U77" s="16"/>
      <c r="V77" s="6"/>
      <c r="W77" s="6"/>
      <c r="X77" s="6"/>
    </row>
    <row r="78" spans="1:24" s="14" customFormat="1" ht="90" x14ac:dyDescent="0.25">
      <c r="A78" s="3"/>
      <c r="B78" s="3"/>
      <c r="C78" s="6"/>
      <c r="D78" s="6"/>
      <c r="E78" s="6"/>
      <c r="F78" s="6"/>
      <c r="G78" s="6"/>
      <c r="H78" s="6"/>
      <c r="I78" s="6"/>
      <c r="J78" s="12" t="s">
        <v>3182</v>
      </c>
      <c r="K78" s="429" t="s">
        <v>3197</v>
      </c>
      <c r="L78" s="72" t="s">
        <v>3096</v>
      </c>
      <c r="M78" s="429" t="s">
        <v>3184</v>
      </c>
      <c r="N78" s="429"/>
      <c r="O78" s="429"/>
      <c r="P78" s="892" t="s">
        <v>3185</v>
      </c>
      <c r="Q78" s="429" t="s">
        <v>3186</v>
      </c>
      <c r="R78" s="6"/>
      <c r="S78" s="6"/>
      <c r="T78" s="16"/>
      <c r="U78" s="16"/>
      <c r="V78" s="6"/>
      <c r="W78" s="6"/>
      <c r="X78" s="6"/>
    </row>
    <row r="79" spans="1:24" ht="60" x14ac:dyDescent="0.25">
      <c r="A79" s="3"/>
      <c r="B79" s="3"/>
      <c r="C79" s="1"/>
      <c r="D79" s="1"/>
      <c r="E79" s="1"/>
      <c r="F79" s="1225" t="s">
        <v>3198</v>
      </c>
      <c r="G79" s="1225"/>
      <c r="H79" s="1225"/>
      <c r="I79" s="1225"/>
      <c r="J79" s="1225"/>
      <c r="K79" s="899" t="s">
        <v>3199</v>
      </c>
      <c r="L79" s="900" t="s">
        <v>3130</v>
      </c>
      <c r="M79" s="899" t="s">
        <v>3200</v>
      </c>
      <c r="N79" s="899"/>
      <c r="O79" s="899"/>
      <c r="P79" s="901"/>
      <c r="Q79" s="899" t="s">
        <v>3201</v>
      </c>
      <c r="R79" s="902"/>
      <c r="S79" s="903"/>
      <c r="T79" s="904"/>
      <c r="U79" s="904"/>
      <c r="V79" s="903"/>
      <c r="W79" s="903"/>
      <c r="X79" s="903"/>
    </row>
    <row r="80" spans="1:24" ht="30" x14ac:dyDescent="0.25">
      <c r="A80" s="3"/>
      <c r="B80" s="3"/>
      <c r="C80" s="1"/>
      <c r="D80" s="1"/>
      <c r="E80" s="1"/>
      <c r="F80" s="1"/>
      <c r="G80" s="1225" t="s">
        <v>3202</v>
      </c>
      <c r="H80" s="1225"/>
      <c r="I80" s="1225"/>
      <c r="J80" s="1225"/>
      <c r="K80" s="899" t="s">
        <v>3203</v>
      </c>
      <c r="L80" s="900" t="s">
        <v>3130</v>
      </c>
      <c r="M80" s="899" t="s">
        <v>3201</v>
      </c>
      <c r="N80" s="899"/>
      <c r="O80" s="899"/>
      <c r="P80" s="901" t="s">
        <v>3204</v>
      </c>
      <c r="Q80" s="899" t="s">
        <v>3201</v>
      </c>
      <c r="R80" s="902"/>
      <c r="S80" s="903"/>
      <c r="T80" s="904"/>
      <c r="U80" s="904"/>
      <c r="V80" s="903"/>
      <c r="W80" s="903"/>
      <c r="X80" s="903"/>
    </row>
    <row r="81" spans="1:24" ht="30" x14ac:dyDescent="0.25">
      <c r="A81" s="3"/>
      <c r="B81" s="3"/>
      <c r="C81" s="1"/>
      <c r="D81" s="1"/>
      <c r="E81" s="1"/>
      <c r="F81" s="1"/>
      <c r="G81" s="342"/>
      <c r="H81" s="869" t="s">
        <v>3205</v>
      </c>
      <c r="I81" s="869"/>
      <c r="J81" s="869"/>
      <c r="K81" s="899" t="s">
        <v>3206</v>
      </c>
      <c r="L81" s="905" t="s">
        <v>3096</v>
      </c>
      <c r="M81" s="899" t="s">
        <v>3207</v>
      </c>
      <c r="N81" s="906"/>
      <c r="O81" s="899"/>
      <c r="P81" s="901"/>
      <c r="Q81" s="899" t="s">
        <v>3201</v>
      </c>
      <c r="R81" s="902"/>
      <c r="S81" s="903"/>
      <c r="T81" s="904"/>
      <c r="U81" s="904"/>
      <c r="V81" s="903"/>
      <c r="W81" s="903"/>
      <c r="X81" s="903"/>
    </row>
    <row r="82" spans="1:24" x14ac:dyDescent="0.25">
      <c r="A82" s="3"/>
      <c r="B82" s="3"/>
      <c r="C82" s="1"/>
      <c r="D82" s="1"/>
      <c r="E82" s="1"/>
      <c r="F82" s="1"/>
      <c r="G82" s="1"/>
      <c r="H82" s="1"/>
      <c r="I82" s="869" t="s">
        <v>3138</v>
      </c>
      <c r="J82" s="869"/>
      <c r="K82" s="906"/>
      <c r="L82" s="869"/>
      <c r="M82" s="899"/>
      <c r="N82" s="899"/>
      <c r="O82" s="899"/>
      <c r="P82" s="901"/>
      <c r="Q82" s="899"/>
      <c r="R82" s="902"/>
      <c r="S82" s="903"/>
      <c r="T82" s="904"/>
      <c r="U82" s="904"/>
      <c r="V82" s="903"/>
      <c r="W82" s="903"/>
      <c r="X82" s="903"/>
    </row>
    <row r="83" spans="1:24" ht="45" x14ac:dyDescent="0.25">
      <c r="A83" s="3"/>
      <c r="B83" s="3"/>
      <c r="C83" s="1"/>
      <c r="D83" s="1"/>
      <c r="E83" s="1"/>
      <c r="F83" s="1"/>
      <c r="G83" s="1"/>
      <c r="H83" s="1"/>
      <c r="I83" s="1"/>
      <c r="J83" s="12" t="s">
        <v>3094</v>
      </c>
      <c r="K83" s="429" t="s">
        <v>3208</v>
      </c>
      <c r="L83" s="72" t="s">
        <v>3096</v>
      </c>
      <c r="M83" s="429" t="s">
        <v>3178</v>
      </c>
      <c r="N83" s="429"/>
      <c r="O83" s="429"/>
      <c r="P83" s="892" t="s">
        <v>3209</v>
      </c>
      <c r="Q83" s="429"/>
      <c r="R83" s="6"/>
      <c r="S83" s="1"/>
      <c r="T83" s="4"/>
      <c r="U83" s="4"/>
      <c r="V83" s="1"/>
      <c r="W83" s="1"/>
      <c r="X83" s="1"/>
    </row>
    <row r="84" spans="1:24" ht="45" x14ac:dyDescent="0.25">
      <c r="A84" s="3"/>
      <c r="B84" s="3"/>
      <c r="C84" s="1"/>
      <c r="D84" s="1"/>
      <c r="E84" s="1"/>
      <c r="F84" s="1"/>
      <c r="G84" s="1"/>
      <c r="H84" s="1"/>
      <c r="I84" s="1"/>
      <c r="J84" s="12" t="s">
        <v>3140</v>
      </c>
      <c r="K84" s="429" t="s">
        <v>3210</v>
      </c>
      <c r="L84" s="72" t="s">
        <v>3096</v>
      </c>
      <c r="M84" s="429" t="s">
        <v>3180</v>
      </c>
      <c r="N84" s="429"/>
      <c r="O84" s="429"/>
      <c r="P84" s="892" t="s">
        <v>3181</v>
      </c>
      <c r="Q84" s="429"/>
      <c r="R84" s="6"/>
      <c r="S84" s="1"/>
      <c r="T84" s="4"/>
      <c r="U84" s="4"/>
      <c r="V84" s="1"/>
      <c r="W84" s="1"/>
      <c r="X84" s="1"/>
    </row>
    <row r="85" spans="1:24" ht="90" x14ac:dyDescent="0.25">
      <c r="A85" s="3"/>
      <c r="B85" s="3"/>
      <c r="C85" s="1"/>
      <c r="D85" s="1"/>
      <c r="E85" s="1"/>
      <c r="F85" s="1"/>
      <c r="G85" s="1"/>
      <c r="H85" s="1"/>
      <c r="I85" s="1"/>
      <c r="J85" s="12" t="s">
        <v>3182</v>
      </c>
      <c r="K85" s="429" t="s">
        <v>3197</v>
      </c>
      <c r="L85" s="72" t="s">
        <v>3096</v>
      </c>
      <c r="M85" s="429" t="s">
        <v>3184</v>
      </c>
      <c r="N85" s="429"/>
      <c r="O85" s="429"/>
      <c r="P85" s="892" t="s">
        <v>3185</v>
      </c>
      <c r="Q85" s="429" t="s">
        <v>3186</v>
      </c>
      <c r="R85" s="6"/>
      <c r="S85" s="1"/>
      <c r="T85" s="4"/>
      <c r="U85" s="4"/>
      <c r="V85" s="1"/>
      <c r="W85" s="1"/>
      <c r="X85" s="1"/>
    </row>
    <row r="86" spans="1:24" x14ac:dyDescent="0.25">
      <c r="A86" s="3"/>
      <c r="B86" s="3"/>
      <c r="C86" s="1"/>
      <c r="D86" s="1"/>
      <c r="E86" s="1"/>
      <c r="F86" s="1"/>
      <c r="G86" s="1"/>
      <c r="H86" s="1"/>
      <c r="I86" s="1225" t="s">
        <v>3187</v>
      </c>
      <c r="J86" s="1226"/>
      <c r="K86" s="1227"/>
      <c r="L86" s="1226"/>
      <c r="M86" s="899"/>
      <c r="N86" s="899"/>
      <c r="O86" s="899"/>
      <c r="P86" s="901"/>
      <c r="Q86" s="899"/>
      <c r="R86" s="902"/>
      <c r="S86" s="903"/>
      <c r="T86" s="904"/>
      <c r="U86" s="904"/>
      <c r="V86" s="903"/>
      <c r="W86" s="903"/>
      <c r="X86" s="903"/>
    </row>
    <row r="87" spans="1:24" ht="45" x14ac:dyDescent="0.25">
      <c r="A87" s="3"/>
      <c r="B87" s="3"/>
      <c r="C87" s="1"/>
      <c r="D87" s="1"/>
      <c r="E87" s="1"/>
      <c r="F87" s="1"/>
      <c r="G87" s="1"/>
      <c r="H87" s="1"/>
      <c r="I87" s="1"/>
      <c r="J87" s="12" t="s">
        <v>3156</v>
      </c>
      <c r="K87" s="429" t="s">
        <v>3189</v>
      </c>
      <c r="L87" s="72" t="s">
        <v>3096</v>
      </c>
      <c r="M87" s="429" t="s">
        <v>3190</v>
      </c>
      <c r="N87" s="429"/>
      <c r="O87" s="429"/>
      <c r="P87" s="892" t="s">
        <v>3209</v>
      </c>
      <c r="Q87" s="429"/>
      <c r="R87" s="6"/>
      <c r="S87" s="1"/>
      <c r="T87" s="4"/>
      <c r="U87" s="4"/>
      <c r="V87" s="1"/>
      <c r="W87" s="1"/>
      <c r="X87" s="1"/>
    </row>
    <row r="88" spans="1:24" ht="60" x14ac:dyDescent="0.25">
      <c r="A88" s="3"/>
      <c r="B88" s="3"/>
      <c r="C88" s="1"/>
      <c r="D88" s="1"/>
      <c r="E88" s="1"/>
      <c r="F88" s="1"/>
      <c r="G88" s="1"/>
      <c r="H88" s="1"/>
      <c r="I88" s="1"/>
      <c r="J88" s="12" t="s">
        <v>3159</v>
      </c>
      <c r="K88" s="429" t="s">
        <v>3211</v>
      </c>
      <c r="L88" s="72" t="s">
        <v>3096</v>
      </c>
      <c r="M88" s="429" t="s">
        <v>3192</v>
      </c>
      <c r="N88" s="429"/>
      <c r="O88" s="429"/>
      <c r="P88" s="892"/>
      <c r="Q88" s="429"/>
      <c r="R88" s="6"/>
      <c r="S88" s="1"/>
      <c r="T88" s="4"/>
      <c r="U88" s="4"/>
      <c r="V88" s="1"/>
      <c r="W88" s="1"/>
      <c r="X88" s="1"/>
    </row>
    <row r="89" spans="1:24" ht="45" x14ac:dyDescent="0.25">
      <c r="A89" s="3"/>
      <c r="B89" s="3"/>
      <c r="C89" s="1"/>
      <c r="D89" s="1"/>
      <c r="E89" s="1"/>
      <c r="F89" s="1"/>
      <c r="G89" s="1"/>
      <c r="H89" s="1"/>
      <c r="I89" s="1"/>
      <c r="J89" s="12" t="s">
        <v>3162</v>
      </c>
      <c r="K89" s="429" t="s">
        <v>3193</v>
      </c>
      <c r="L89" s="72" t="s">
        <v>3096</v>
      </c>
      <c r="M89" s="429" t="s">
        <v>3194</v>
      </c>
      <c r="N89" s="429"/>
      <c r="O89" s="429"/>
      <c r="P89" s="892"/>
      <c r="Q89" s="429"/>
      <c r="R89" s="6"/>
      <c r="S89" s="1"/>
      <c r="T89" s="4"/>
      <c r="U89" s="4"/>
      <c r="V89" s="1"/>
      <c r="W89" s="1"/>
      <c r="X89" s="1"/>
    </row>
    <row r="90" spans="1:24" ht="45" x14ac:dyDescent="0.25">
      <c r="A90" s="3"/>
      <c r="B90" s="3"/>
      <c r="C90" s="1"/>
      <c r="D90" s="1"/>
      <c r="E90" s="1"/>
      <c r="F90" s="1"/>
      <c r="G90" s="1"/>
      <c r="H90" s="1"/>
      <c r="I90" s="1"/>
      <c r="J90" s="12" t="s">
        <v>3165</v>
      </c>
      <c r="K90" s="429" t="s">
        <v>3195</v>
      </c>
      <c r="L90" s="72" t="s">
        <v>3096</v>
      </c>
      <c r="M90" s="429" t="s">
        <v>3196</v>
      </c>
      <c r="N90" s="429"/>
      <c r="O90" s="429"/>
      <c r="P90" s="892"/>
      <c r="Q90" s="429" t="s">
        <v>3168</v>
      </c>
      <c r="R90" s="6"/>
      <c r="S90" s="1"/>
      <c r="T90" s="4"/>
      <c r="U90" s="4"/>
      <c r="V90" s="1"/>
      <c r="W90" s="1"/>
      <c r="X90" s="1"/>
    </row>
    <row r="91" spans="1:24" ht="90" x14ac:dyDescent="0.25">
      <c r="A91" s="3"/>
      <c r="B91" s="3"/>
      <c r="C91" s="1"/>
      <c r="D91" s="1"/>
      <c r="E91" s="1"/>
      <c r="F91" s="1"/>
      <c r="G91" s="1"/>
      <c r="H91" s="1"/>
      <c r="I91" s="1"/>
      <c r="J91" s="12" t="s">
        <v>3212</v>
      </c>
      <c r="K91" s="429" t="s">
        <v>3197</v>
      </c>
      <c r="L91" s="72" t="s">
        <v>3096</v>
      </c>
      <c r="M91" s="429" t="s">
        <v>3184</v>
      </c>
      <c r="N91" s="429"/>
      <c r="O91" s="429"/>
      <c r="P91" s="892" t="s">
        <v>3185</v>
      </c>
      <c r="Q91" s="429" t="s">
        <v>3213</v>
      </c>
      <c r="R91" s="6"/>
      <c r="S91" s="1"/>
      <c r="T91" s="4"/>
      <c r="U91" s="4"/>
      <c r="V91" s="1"/>
      <c r="W91" s="1"/>
      <c r="X91" s="1"/>
    </row>
    <row r="92" spans="1:24" ht="30" x14ac:dyDescent="0.25">
      <c r="A92" s="3"/>
      <c r="B92" s="3"/>
      <c r="C92" s="1"/>
      <c r="D92" s="1"/>
      <c r="E92" s="1"/>
      <c r="F92" s="1"/>
      <c r="G92" s="1225" t="s">
        <v>3214</v>
      </c>
      <c r="H92" s="1225"/>
      <c r="I92" s="1225"/>
      <c r="J92" s="1225"/>
      <c r="K92" s="899" t="s">
        <v>3215</v>
      </c>
      <c r="L92" s="900" t="s">
        <v>3130</v>
      </c>
      <c r="M92" s="899" t="s">
        <v>3201</v>
      </c>
      <c r="N92" s="899"/>
      <c r="O92" s="899"/>
      <c r="P92" s="901" t="s">
        <v>3216</v>
      </c>
      <c r="Q92" s="908"/>
      <c r="R92" s="902"/>
      <c r="S92" s="903"/>
      <c r="T92" s="904"/>
      <c r="U92" s="904"/>
      <c r="V92" s="903"/>
      <c r="W92" s="903"/>
      <c r="X92" s="903"/>
    </row>
    <row r="93" spans="1:24" x14ac:dyDescent="0.25">
      <c r="A93" s="3"/>
      <c r="B93" s="3"/>
      <c r="C93" s="1"/>
      <c r="D93" s="1"/>
      <c r="E93" s="1"/>
      <c r="F93" s="1"/>
      <c r="G93" s="1"/>
      <c r="H93" s="1225" t="s">
        <v>3217</v>
      </c>
      <c r="I93" s="1225"/>
      <c r="J93" s="1225"/>
      <c r="K93" s="899" t="s">
        <v>3218</v>
      </c>
      <c r="L93" s="869"/>
      <c r="M93" s="899"/>
      <c r="N93" s="899"/>
      <c r="O93" s="899"/>
      <c r="P93" s="901"/>
      <c r="Q93" s="899"/>
      <c r="R93" s="902"/>
      <c r="S93" s="903"/>
      <c r="T93" s="904"/>
      <c r="U93" s="904"/>
      <c r="V93" s="903"/>
      <c r="W93" s="903"/>
      <c r="X93" s="903"/>
    </row>
    <row r="94" spans="1:24" x14ac:dyDescent="0.25">
      <c r="A94" s="3"/>
      <c r="B94" s="3"/>
      <c r="C94" s="1"/>
      <c r="D94" s="1"/>
      <c r="E94" s="1"/>
      <c r="F94" s="1"/>
      <c r="G94" s="1"/>
      <c r="H94" s="1"/>
      <c r="I94" s="1225" t="s">
        <v>3138</v>
      </c>
      <c r="J94" s="1225"/>
      <c r="K94" s="906"/>
      <c r="L94" s="869"/>
      <c r="M94" s="899"/>
      <c r="N94" s="899"/>
      <c r="O94" s="899"/>
      <c r="P94" s="901"/>
      <c r="Q94" s="899"/>
      <c r="R94" s="902"/>
      <c r="S94" s="903"/>
      <c r="T94" s="904"/>
      <c r="U94" s="904"/>
      <c r="V94" s="903"/>
      <c r="W94" s="903"/>
      <c r="X94" s="903"/>
    </row>
    <row r="95" spans="1:24" ht="45" x14ac:dyDescent="0.25">
      <c r="A95" s="3"/>
      <c r="B95" s="3"/>
      <c r="C95" s="1"/>
      <c r="D95" s="1"/>
      <c r="E95" s="1"/>
      <c r="F95" s="1"/>
      <c r="G95" s="1"/>
      <c r="H95" s="1"/>
      <c r="I95" s="1"/>
      <c r="J95" s="12" t="s">
        <v>3094</v>
      </c>
      <c r="K95" s="429" t="s">
        <v>3208</v>
      </c>
      <c r="L95" s="72" t="s">
        <v>3096</v>
      </c>
      <c r="M95" s="429" t="s">
        <v>3178</v>
      </c>
      <c r="N95" s="429"/>
      <c r="O95" s="429"/>
      <c r="P95" s="892" t="s">
        <v>3209</v>
      </c>
      <c r="Q95" s="429"/>
      <c r="R95" s="6"/>
      <c r="S95" s="1"/>
      <c r="T95" s="4"/>
      <c r="U95" s="4"/>
      <c r="V95" s="1"/>
      <c r="W95" s="1"/>
      <c r="X95" s="1"/>
    </row>
    <row r="96" spans="1:24" ht="45" x14ac:dyDescent="0.25">
      <c r="A96" s="3"/>
      <c r="B96" s="3"/>
      <c r="C96" s="1"/>
      <c r="D96" s="1"/>
      <c r="E96" s="1"/>
      <c r="F96" s="1"/>
      <c r="G96" s="1"/>
      <c r="H96" s="1"/>
      <c r="I96" s="1"/>
      <c r="J96" s="12" t="s">
        <v>3140</v>
      </c>
      <c r="K96" s="429" t="s">
        <v>3210</v>
      </c>
      <c r="L96" s="72" t="s">
        <v>3096</v>
      </c>
      <c r="M96" s="429" t="s">
        <v>3180</v>
      </c>
      <c r="N96" s="429"/>
      <c r="O96" s="429"/>
      <c r="P96" s="892" t="s">
        <v>3181</v>
      </c>
      <c r="Q96" s="429"/>
      <c r="R96" s="6"/>
      <c r="S96" s="1"/>
      <c r="T96" s="4"/>
      <c r="U96" s="4"/>
      <c r="V96" s="1"/>
      <c r="W96" s="1"/>
      <c r="X96" s="1"/>
    </row>
    <row r="97" spans="1:24" ht="90" x14ac:dyDescent="0.25">
      <c r="A97" s="3"/>
      <c r="B97" s="3"/>
      <c r="C97" s="1"/>
      <c r="D97" s="1"/>
      <c r="E97" s="1"/>
      <c r="F97" s="1"/>
      <c r="G97" s="1"/>
      <c r="H97" s="1"/>
      <c r="I97" s="1"/>
      <c r="J97" s="12" t="s">
        <v>3212</v>
      </c>
      <c r="K97" s="429" t="s">
        <v>3197</v>
      </c>
      <c r="L97" s="72" t="s">
        <v>3096</v>
      </c>
      <c r="M97" s="429" t="s">
        <v>3184</v>
      </c>
      <c r="N97" s="429"/>
      <c r="O97" s="429"/>
      <c r="P97" s="892" t="s">
        <v>3185</v>
      </c>
      <c r="Q97" s="429" t="s">
        <v>3186</v>
      </c>
      <c r="R97" s="6"/>
      <c r="S97" s="1"/>
      <c r="T97" s="4"/>
      <c r="U97" s="4"/>
      <c r="V97" s="1"/>
      <c r="W97" s="1"/>
      <c r="X97" s="1"/>
    </row>
    <row r="98" spans="1:24" x14ac:dyDescent="0.25">
      <c r="A98" s="3"/>
      <c r="B98" s="3"/>
      <c r="C98" s="1"/>
      <c r="D98" s="1"/>
      <c r="E98" s="1"/>
      <c r="F98" s="1"/>
      <c r="G98" s="1"/>
      <c r="H98" s="1"/>
      <c r="I98" s="1225" t="s">
        <v>3187</v>
      </c>
      <c r="J98" s="1226"/>
      <c r="K98" s="1227"/>
      <c r="L98" s="1226"/>
      <c r="M98" s="899"/>
      <c r="N98" s="899"/>
      <c r="O98" s="899"/>
      <c r="P98" s="901"/>
      <c r="Q98" s="899"/>
      <c r="R98" s="902"/>
      <c r="S98" s="903"/>
      <c r="T98" s="904"/>
      <c r="U98" s="904"/>
      <c r="V98" s="903"/>
      <c r="W98" s="903"/>
      <c r="X98" s="903"/>
    </row>
    <row r="99" spans="1:24" ht="45" x14ac:dyDescent="0.25">
      <c r="A99" s="3"/>
      <c r="B99" s="3"/>
      <c r="C99" s="1"/>
      <c r="D99" s="1"/>
      <c r="E99" s="1"/>
      <c r="F99" s="1"/>
      <c r="G99" s="1"/>
      <c r="H99" s="1"/>
      <c r="I99" s="1"/>
      <c r="J99" s="12" t="s">
        <v>3156</v>
      </c>
      <c r="K99" s="429" t="s">
        <v>3189</v>
      </c>
      <c r="L99" s="72" t="s">
        <v>3096</v>
      </c>
      <c r="M99" s="429" t="s">
        <v>3190</v>
      </c>
      <c r="N99" s="429"/>
      <c r="O99" s="429"/>
      <c r="P99" s="892" t="s">
        <v>3209</v>
      </c>
      <c r="Q99" s="429"/>
      <c r="R99" s="6"/>
      <c r="S99" s="1"/>
      <c r="T99" s="4"/>
      <c r="U99" s="4"/>
      <c r="V99" s="1"/>
      <c r="W99" s="1"/>
      <c r="X99" s="1"/>
    </row>
    <row r="100" spans="1:24" ht="60" x14ac:dyDescent="0.25">
      <c r="A100" s="3"/>
      <c r="B100" s="3"/>
      <c r="C100" s="1"/>
      <c r="D100" s="1"/>
      <c r="E100" s="1"/>
      <c r="F100" s="1"/>
      <c r="G100" s="1"/>
      <c r="H100" s="1"/>
      <c r="I100" s="1"/>
      <c r="J100" s="12" t="s">
        <v>3159</v>
      </c>
      <c r="K100" s="429" t="s">
        <v>3211</v>
      </c>
      <c r="L100" s="72" t="s">
        <v>3096</v>
      </c>
      <c r="M100" s="429" t="s">
        <v>3192</v>
      </c>
      <c r="N100" s="429"/>
      <c r="O100" s="429"/>
      <c r="P100" s="892"/>
      <c r="Q100" s="429"/>
      <c r="R100" s="6"/>
      <c r="S100" s="1"/>
      <c r="T100" s="4"/>
      <c r="U100" s="4"/>
      <c r="V100" s="1"/>
      <c r="W100" s="1"/>
      <c r="X100" s="1"/>
    </row>
    <row r="101" spans="1:24" ht="45" x14ac:dyDescent="0.25">
      <c r="A101" s="3"/>
      <c r="B101" s="3"/>
      <c r="C101" s="1"/>
      <c r="D101" s="1"/>
      <c r="E101" s="1"/>
      <c r="F101" s="1"/>
      <c r="G101" s="1"/>
      <c r="H101" s="1"/>
      <c r="I101" s="1"/>
      <c r="J101" s="12" t="s">
        <v>3162</v>
      </c>
      <c r="K101" s="429" t="s">
        <v>3193</v>
      </c>
      <c r="L101" s="72" t="s">
        <v>3096</v>
      </c>
      <c r="M101" s="429" t="s">
        <v>3194</v>
      </c>
      <c r="N101" s="429"/>
      <c r="O101" s="429"/>
      <c r="P101" s="892"/>
      <c r="Q101" s="429"/>
      <c r="R101" s="6"/>
      <c r="S101" s="1"/>
      <c r="T101" s="4"/>
      <c r="U101" s="4"/>
      <c r="V101" s="1"/>
      <c r="W101" s="1"/>
      <c r="X101" s="1"/>
    </row>
    <row r="102" spans="1:24" ht="45" x14ac:dyDescent="0.25">
      <c r="A102" s="3"/>
      <c r="B102" s="3"/>
      <c r="C102" s="1"/>
      <c r="D102" s="1"/>
      <c r="E102" s="1"/>
      <c r="F102" s="1"/>
      <c r="G102" s="1"/>
      <c r="H102" s="1"/>
      <c r="I102" s="1"/>
      <c r="J102" s="12" t="s">
        <v>3165</v>
      </c>
      <c r="K102" s="429" t="s">
        <v>3195</v>
      </c>
      <c r="L102" s="72" t="s">
        <v>3096</v>
      </c>
      <c r="M102" s="429" t="s">
        <v>3196</v>
      </c>
      <c r="N102" s="429"/>
      <c r="O102" s="429"/>
      <c r="P102" s="892"/>
      <c r="Q102" s="429" t="s">
        <v>3168</v>
      </c>
      <c r="R102" s="6"/>
      <c r="S102" s="1"/>
      <c r="T102" s="4"/>
      <c r="U102" s="4"/>
      <c r="V102" s="1"/>
      <c r="W102" s="1"/>
      <c r="X102" s="1"/>
    </row>
    <row r="103" spans="1:24" ht="90" x14ac:dyDescent="0.25">
      <c r="A103" s="3"/>
      <c r="B103" s="3"/>
      <c r="C103" s="1"/>
      <c r="D103" s="1"/>
      <c r="E103" s="1"/>
      <c r="F103" s="1"/>
      <c r="G103" s="1"/>
      <c r="H103" s="1"/>
      <c r="I103" s="1"/>
      <c r="J103" s="12" t="s">
        <v>3212</v>
      </c>
      <c r="K103" s="429" t="s">
        <v>3197</v>
      </c>
      <c r="L103" s="72" t="s">
        <v>3096</v>
      </c>
      <c r="M103" s="429" t="s">
        <v>3184</v>
      </c>
      <c r="N103" s="429"/>
      <c r="O103" s="429"/>
      <c r="P103" s="892" t="s">
        <v>3185</v>
      </c>
      <c r="Q103" s="429" t="s">
        <v>3186</v>
      </c>
      <c r="R103" s="6"/>
      <c r="S103" s="1"/>
      <c r="T103" s="4"/>
      <c r="U103" s="4"/>
      <c r="V103" s="1"/>
      <c r="W103" s="1"/>
      <c r="X103" s="1"/>
    </row>
    <row r="104" spans="1:24" x14ac:dyDescent="0.25">
      <c r="A104" s="3"/>
      <c r="B104" s="3"/>
      <c r="C104" s="1"/>
      <c r="D104" s="1"/>
      <c r="E104" s="1"/>
      <c r="F104" s="1"/>
      <c r="G104" s="1"/>
      <c r="H104" s="1"/>
      <c r="I104" s="1228" t="s">
        <v>3219</v>
      </c>
      <c r="J104" s="1229"/>
      <c r="K104" s="899"/>
      <c r="L104" s="900"/>
      <c r="M104" s="899"/>
      <c r="N104" s="899"/>
      <c r="O104" s="899"/>
      <c r="P104" s="901"/>
      <c r="Q104" s="899"/>
      <c r="R104" s="902"/>
      <c r="S104" s="903"/>
      <c r="T104" s="904"/>
      <c r="U104" s="904"/>
      <c r="V104" s="903"/>
      <c r="W104" s="903"/>
      <c r="X104" s="903"/>
    </row>
    <row r="105" spans="1:24" x14ac:dyDescent="0.25">
      <c r="A105" s="3"/>
      <c r="B105" s="3"/>
      <c r="C105" s="1"/>
      <c r="D105" s="1"/>
      <c r="E105" s="1"/>
      <c r="F105" s="1"/>
      <c r="G105" s="1"/>
      <c r="H105" s="1"/>
      <c r="I105" s="1"/>
      <c r="J105" s="12" t="s">
        <v>3106</v>
      </c>
      <c r="K105" s="429" t="s">
        <v>3107</v>
      </c>
      <c r="L105" s="72"/>
      <c r="M105" s="429"/>
      <c r="N105" s="429"/>
      <c r="O105" s="429"/>
      <c r="P105" s="892"/>
      <c r="Q105" s="429"/>
      <c r="R105" s="6"/>
      <c r="S105" s="1"/>
      <c r="T105" s="4"/>
      <c r="U105" s="4"/>
      <c r="V105" s="1"/>
      <c r="W105" s="1"/>
      <c r="X105" s="1"/>
    </row>
    <row r="106" spans="1:24" x14ac:dyDescent="0.25">
      <c r="A106" s="3"/>
      <c r="B106" s="3"/>
      <c r="C106" s="1"/>
      <c r="D106" s="1"/>
      <c r="E106" s="1"/>
      <c r="F106" s="1"/>
      <c r="G106" s="1"/>
      <c r="H106" s="1"/>
      <c r="I106" s="1"/>
      <c r="J106" s="12" t="s">
        <v>3108</v>
      </c>
      <c r="K106" s="429" t="s">
        <v>3109</v>
      </c>
      <c r="L106" s="72"/>
      <c r="M106" s="429"/>
      <c r="N106" s="429"/>
      <c r="O106" s="429"/>
      <c r="P106" s="892"/>
      <c r="Q106" s="429"/>
      <c r="R106" s="6"/>
      <c r="S106" s="1"/>
      <c r="T106" s="4"/>
      <c r="U106" s="4"/>
      <c r="V106" s="1"/>
      <c r="W106" s="1"/>
      <c r="X106" s="1"/>
    </row>
    <row r="107" spans="1:24" x14ac:dyDescent="0.25">
      <c r="A107" s="3"/>
      <c r="B107" s="3"/>
      <c r="C107" s="1"/>
      <c r="D107" s="1"/>
      <c r="E107" s="1"/>
      <c r="F107" s="1"/>
      <c r="G107" s="1"/>
      <c r="H107" s="1"/>
      <c r="I107" s="1"/>
      <c r="J107" s="12" t="s">
        <v>3110</v>
      </c>
      <c r="K107" s="429" t="s">
        <v>3111</v>
      </c>
      <c r="L107" s="72"/>
      <c r="M107" s="429"/>
      <c r="N107" s="429"/>
      <c r="O107" s="429"/>
      <c r="P107" s="892"/>
      <c r="Q107" s="429"/>
      <c r="R107" s="6"/>
      <c r="S107" s="1"/>
      <c r="T107" s="4"/>
      <c r="U107" s="4"/>
      <c r="V107" s="1"/>
      <c r="W107" s="1"/>
      <c r="X107" s="1"/>
    </row>
    <row r="108" spans="1:24" ht="90" x14ac:dyDescent="0.25">
      <c r="A108" s="3"/>
      <c r="B108" s="3"/>
      <c r="C108" s="1"/>
      <c r="D108" s="1"/>
      <c r="E108" s="1"/>
      <c r="F108" s="1"/>
      <c r="G108" s="1"/>
      <c r="H108" s="1"/>
      <c r="I108" s="1"/>
      <c r="J108" s="12" t="s">
        <v>3212</v>
      </c>
      <c r="K108" s="429" t="s">
        <v>3197</v>
      </c>
      <c r="L108" s="72" t="s">
        <v>3096</v>
      </c>
      <c r="M108" s="429" t="s">
        <v>3184</v>
      </c>
      <c r="N108" s="429"/>
      <c r="O108" s="429"/>
      <c r="P108" s="892" t="s">
        <v>3185</v>
      </c>
      <c r="Q108" s="429" t="s">
        <v>3186</v>
      </c>
      <c r="R108" s="6"/>
      <c r="S108" s="1"/>
      <c r="T108" s="4"/>
      <c r="U108" s="4"/>
      <c r="V108" s="1"/>
      <c r="W108" s="1"/>
      <c r="X108" s="1"/>
    </row>
    <row r="109" spans="1:24" ht="45" x14ac:dyDescent="0.25">
      <c r="A109" s="3"/>
      <c r="B109" s="3"/>
      <c r="C109" s="1"/>
      <c r="D109" s="1"/>
      <c r="E109" s="426"/>
      <c r="F109" s="1"/>
      <c r="G109" s="1225" t="s">
        <v>3220</v>
      </c>
      <c r="H109" s="1225"/>
      <c r="I109" s="1225"/>
      <c r="J109" s="1225"/>
      <c r="K109" s="899" t="s">
        <v>3221</v>
      </c>
      <c r="L109" s="905" t="s">
        <v>3222</v>
      </c>
      <c r="M109" s="899" t="s">
        <v>3223</v>
      </c>
      <c r="N109" s="899"/>
      <c r="O109" s="899"/>
      <c r="P109" s="901" t="s">
        <v>3224</v>
      </c>
      <c r="Q109" s="899"/>
      <c r="R109" s="902"/>
      <c r="S109" s="903"/>
      <c r="T109" s="904"/>
      <c r="U109" s="904"/>
      <c r="V109" s="903"/>
      <c r="W109" s="903"/>
      <c r="X109" s="903"/>
    </row>
    <row r="110" spans="1:24" x14ac:dyDescent="0.25">
      <c r="A110" s="3"/>
      <c r="B110" s="3"/>
      <c r="C110" s="1"/>
      <c r="D110" s="1"/>
      <c r="E110" s="1"/>
      <c r="F110" s="1"/>
      <c r="G110" s="1"/>
      <c r="H110" s="1225" t="s">
        <v>3225</v>
      </c>
      <c r="I110" s="1225"/>
      <c r="J110" s="1225"/>
      <c r="K110" s="899" t="s">
        <v>3226</v>
      </c>
      <c r="L110" s="905" t="s">
        <v>3096</v>
      </c>
      <c r="M110" s="899"/>
      <c r="N110" s="899"/>
      <c r="O110" s="899"/>
      <c r="P110" s="901"/>
      <c r="Q110" s="899"/>
      <c r="R110" s="902"/>
      <c r="S110" s="903"/>
      <c r="T110" s="904"/>
      <c r="U110" s="904"/>
      <c r="V110" s="903"/>
      <c r="W110" s="903"/>
      <c r="X110" s="903"/>
    </row>
    <row r="111" spans="1:24" x14ac:dyDescent="0.25">
      <c r="A111" s="3"/>
      <c r="B111" s="3"/>
      <c r="C111" s="1"/>
      <c r="D111" s="1"/>
      <c r="E111" s="1"/>
      <c r="F111" s="1"/>
      <c r="G111" s="1"/>
      <c r="H111" s="1"/>
      <c r="I111" s="1223" t="s">
        <v>3138</v>
      </c>
      <c r="J111" s="1223"/>
      <c r="K111" s="906"/>
      <c r="L111" s="905"/>
      <c r="M111" s="899"/>
      <c r="N111" s="899"/>
      <c r="O111" s="899"/>
      <c r="P111" s="901"/>
      <c r="Q111" s="899"/>
      <c r="R111" s="902"/>
      <c r="S111" s="903"/>
      <c r="T111" s="904"/>
      <c r="U111" s="904"/>
      <c r="V111" s="903"/>
      <c r="W111" s="903"/>
      <c r="X111" s="903"/>
    </row>
    <row r="112" spans="1:24" ht="45" x14ac:dyDescent="0.25">
      <c r="A112" s="3"/>
      <c r="B112" s="3"/>
      <c r="C112" s="1"/>
      <c r="D112" s="1"/>
      <c r="E112" s="1"/>
      <c r="F112" s="1"/>
      <c r="G112" s="1"/>
      <c r="H112" s="1"/>
      <c r="I112" s="1"/>
      <c r="J112" s="12" t="s">
        <v>3094</v>
      </c>
      <c r="K112" s="429" t="s">
        <v>3208</v>
      </c>
      <c r="L112" s="72" t="s">
        <v>3096</v>
      </c>
      <c r="M112" s="429" t="s">
        <v>3178</v>
      </c>
      <c r="N112" s="429"/>
      <c r="O112" s="429"/>
      <c r="P112" s="892" t="s">
        <v>3227</v>
      </c>
      <c r="Q112" s="429"/>
      <c r="R112" s="6"/>
      <c r="S112" s="1"/>
      <c r="T112" s="4"/>
      <c r="U112" s="4"/>
      <c r="V112" s="1"/>
      <c r="W112" s="1"/>
      <c r="X112" s="1"/>
    </row>
    <row r="113" spans="1:24" ht="75" x14ac:dyDescent="0.25">
      <c r="A113" s="3"/>
      <c r="B113" s="3"/>
      <c r="C113" s="1"/>
      <c r="D113" s="1"/>
      <c r="E113" s="1"/>
      <c r="F113" s="1"/>
      <c r="G113" s="1"/>
      <c r="H113" s="1"/>
      <c r="I113" s="1"/>
      <c r="J113" s="12" t="s">
        <v>3140</v>
      </c>
      <c r="K113" s="429" t="s">
        <v>3228</v>
      </c>
      <c r="L113" s="72" t="s">
        <v>3096</v>
      </c>
      <c r="M113" s="429" t="s">
        <v>3180</v>
      </c>
      <c r="N113" s="429"/>
      <c r="O113" s="429"/>
      <c r="P113" s="892" t="s">
        <v>3181</v>
      </c>
      <c r="Q113" s="429" t="s">
        <v>3229</v>
      </c>
      <c r="R113" s="6"/>
      <c r="S113" s="1"/>
      <c r="T113" s="4"/>
      <c r="U113" s="4"/>
      <c r="V113" s="1"/>
      <c r="W113" s="1"/>
      <c r="X113" s="1"/>
    </row>
    <row r="114" spans="1:24" x14ac:dyDescent="0.25">
      <c r="A114" s="3"/>
      <c r="B114" s="3"/>
      <c r="C114" s="1"/>
      <c r="D114" s="1"/>
      <c r="E114" s="1"/>
      <c r="F114" s="1"/>
      <c r="G114" s="1"/>
      <c r="H114" s="1"/>
      <c r="I114" s="1223" t="s">
        <v>3187</v>
      </c>
      <c r="J114" s="1223"/>
      <c r="K114" s="908"/>
      <c r="L114" s="907"/>
      <c r="M114" s="899"/>
      <c r="N114" s="899"/>
      <c r="O114" s="899"/>
      <c r="P114" s="901"/>
      <c r="Q114" s="899"/>
      <c r="R114" s="902"/>
      <c r="S114" s="903"/>
      <c r="T114" s="904"/>
      <c r="U114" s="904"/>
      <c r="V114" s="903"/>
      <c r="W114" s="903"/>
      <c r="X114" s="903"/>
    </row>
    <row r="115" spans="1:24" ht="45" x14ac:dyDescent="0.25">
      <c r="A115" s="3"/>
      <c r="B115" s="3"/>
      <c r="C115" s="1"/>
      <c r="D115" s="1"/>
      <c r="E115" s="1"/>
      <c r="F115" s="1"/>
      <c r="G115" s="1"/>
      <c r="H115" s="1"/>
      <c r="I115" s="1"/>
      <c r="J115" s="12" t="s">
        <v>3156</v>
      </c>
      <c r="K115" s="429" t="s">
        <v>3189</v>
      </c>
      <c r="L115" s="72" t="s">
        <v>3096</v>
      </c>
      <c r="M115" s="429" t="s">
        <v>3190</v>
      </c>
      <c r="N115" s="429"/>
      <c r="O115" s="429"/>
      <c r="P115" s="892" t="s">
        <v>3227</v>
      </c>
      <c r="Q115" s="429"/>
      <c r="R115" s="6"/>
      <c r="S115" s="1"/>
      <c r="T115" s="4"/>
      <c r="U115" s="4"/>
      <c r="V115" s="1"/>
      <c r="W115" s="1"/>
      <c r="X115" s="1"/>
    </row>
    <row r="116" spans="1:24" ht="60" x14ac:dyDescent="0.25">
      <c r="A116" s="3"/>
      <c r="B116" s="3"/>
      <c r="C116" s="1"/>
      <c r="D116" s="1"/>
      <c r="E116" s="1"/>
      <c r="F116" s="1"/>
      <c r="G116" s="1"/>
      <c r="H116" s="1"/>
      <c r="I116" s="1"/>
      <c r="J116" s="12" t="s">
        <v>3159</v>
      </c>
      <c r="K116" s="429" t="s">
        <v>3191</v>
      </c>
      <c r="L116" s="72" t="s">
        <v>3096</v>
      </c>
      <c r="M116" s="429" t="s">
        <v>3192</v>
      </c>
      <c r="N116" s="429"/>
      <c r="O116" s="429"/>
      <c r="P116" s="892"/>
      <c r="Q116" s="429"/>
      <c r="R116" s="6"/>
      <c r="S116" s="1"/>
      <c r="T116" s="4"/>
      <c r="U116" s="4"/>
      <c r="V116" s="1"/>
      <c r="W116" s="1"/>
      <c r="X116" s="1"/>
    </row>
    <row r="117" spans="1:24" ht="45" x14ac:dyDescent="0.25">
      <c r="A117" s="3"/>
      <c r="B117" s="3"/>
      <c r="C117" s="1"/>
      <c r="D117" s="1"/>
      <c r="E117" s="1"/>
      <c r="F117" s="1"/>
      <c r="G117" s="1"/>
      <c r="H117" s="1"/>
      <c r="I117" s="1"/>
      <c r="J117" s="12" t="s">
        <v>3162</v>
      </c>
      <c r="K117" s="429" t="s">
        <v>3230</v>
      </c>
      <c r="L117" s="72" t="s">
        <v>3096</v>
      </c>
      <c r="M117" s="429" t="s">
        <v>3194</v>
      </c>
      <c r="N117" s="429"/>
      <c r="O117" s="429"/>
      <c r="P117" s="892"/>
      <c r="Q117" s="429"/>
      <c r="R117" s="6"/>
      <c r="S117" s="1"/>
      <c r="T117" s="4"/>
      <c r="U117" s="4"/>
      <c r="V117" s="1"/>
      <c r="W117" s="1"/>
      <c r="X117" s="1"/>
    </row>
    <row r="118" spans="1:24" ht="75" x14ac:dyDescent="0.25">
      <c r="A118" s="3"/>
      <c r="B118" s="3"/>
      <c r="C118" s="1"/>
      <c r="D118" s="1"/>
      <c r="E118" s="1"/>
      <c r="F118" s="1"/>
      <c r="G118" s="1"/>
      <c r="H118" s="1"/>
      <c r="I118" s="1"/>
      <c r="J118" s="12" t="s">
        <v>3165</v>
      </c>
      <c r="K118" s="429" t="s">
        <v>3195</v>
      </c>
      <c r="L118" s="72" t="s">
        <v>3096</v>
      </c>
      <c r="M118" s="429" t="s">
        <v>3196</v>
      </c>
      <c r="N118" s="429"/>
      <c r="O118" s="429"/>
      <c r="P118" s="892"/>
      <c r="Q118" s="429" t="s">
        <v>3229</v>
      </c>
      <c r="R118" s="6"/>
      <c r="S118" s="1"/>
      <c r="T118" s="4"/>
      <c r="U118" s="4"/>
      <c r="V118" s="1"/>
      <c r="W118" s="1"/>
      <c r="X118" s="1"/>
    </row>
    <row r="119" spans="1:24" x14ac:dyDescent="0.25">
      <c r="A119" s="3"/>
      <c r="B119" s="3"/>
      <c r="C119" s="1"/>
      <c r="D119" s="1"/>
      <c r="E119" s="1"/>
      <c r="F119" s="1"/>
      <c r="G119" s="1"/>
      <c r="H119" s="1"/>
      <c r="I119" s="1228" t="s">
        <v>3219</v>
      </c>
      <c r="J119" s="1229"/>
      <c r="K119" s="899"/>
      <c r="L119" s="900"/>
      <c r="M119" s="899"/>
      <c r="N119" s="899"/>
      <c r="O119" s="899"/>
      <c r="P119" s="901"/>
      <c r="Q119" s="899"/>
      <c r="R119" s="902"/>
      <c r="S119" s="903"/>
      <c r="T119" s="904"/>
      <c r="U119" s="904"/>
      <c r="V119" s="903"/>
      <c r="W119" s="903"/>
      <c r="X119" s="903"/>
    </row>
    <row r="120" spans="1:24" x14ac:dyDescent="0.25">
      <c r="A120" s="3"/>
      <c r="B120" s="3"/>
      <c r="C120" s="1"/>
      <c r="D120" s="1"/>
      <c r="E120" s="1"/>
      <c r="F120" s="1"/>
      <c r="G120" s="1"/>
      <c r="H120" s="1"/>
      <c r="I120" s="1"/>
      <c r="J120" s="12" t="s">
        <v>3106</v>
      </c>
      <c r="K120" s="429" t="s">
        <v>3107</v>
      </c>
      <c r="L120" s="72"/>
      <c r="M120" s="429"/>
      <c r="N120" s="429"/>
      <c r="O120" s="429"/>
      <c r="P120" s="892"/>
      <c r="Q120" s="429"/>
      <c r="R120" s="6"/>
      <c r="S120" s="1"/>
      <c r="T120" s="4"/>
      <c r="U120" s="4"/>
      <c r="V120" s="1"/>
      <c r="W120" s="1"/>
      <c r="X120" s="1"/>
    </row>
    <row r="121" spans="1:24" x14ac:dyDescent="0.25">
      <c r="A121" s="3"/>
      <c r="B121" s="3"/>
      <c r="C121" s="1"/>
      <c r="D121" s="1"/>
      <c r="E121" s="1"/>
      <c r="F121" s="1"/>
      <c r="G121" s="1"/>
      <c r="H121" s="1"/>
      <c r="I121" s="1"/>
      <c r="J121" s="12" t="s">
        <v>3108</v>
      </c>
      <c r="K121" s="429" t="s">
        <v>3109</v>
      </c>
      <c r="L121" s="72"/>
      <c r="M121" s="429"/>
      <c r="N121" s="429"/>
      <c r="O121" s="429"/>
      <c r="P121" s="892"/>
      <c r="Q121" s="429"/>
      <c r="R121" s="6"/>
      <c r="S121" s="1"/>
      <c r="T121" s="4"/>
      <c r="U121" s="4"/>
      <c r="V121" s="1"/>
      <c r="W121" s="1"/>
      <c r="X121" s="1"/>
    </row>
    <row r="122" spans="1:24" x14ac:dyDescent="0.25">
      <c r="A122" s="3"/>
      <c r="B122" s="3"/>
      <c r="C122" s="1"/>
      <c r="D122" s="1"/>
      <c r="E122" s="1"/>
      <c r="F122" s="1"/>
      <c r="G122" s="1"/>
      <c r="H122" s="1"/>
      <c r="I122" s="1"/>
      <c r="J122" s="12" t="s">
        <v>3110</v>
      </c>
      <c r="K122" s="429" t="s">
        <v>3111</v>
      </c>
      <c r="L122" s="72"/>
      <c r="M122" s="429"/>
      <c r="N122" s="429"/>
      <c r="O122" s="429"/>
      <c r="P122" s="892"/>
      <c r="Q122" s="429"/>
      <c r="R122" s="6"/>
      <c r="S122" s="1"/>
      <c r="T122" s="4"/>
      <c r="U122" s="4"/>
      <c r="V122" s="1"/>
      <c r="W122" s="1"/>
      <c r="X122" s="1"/>
    </row>
    <row r="123" spans="1:24" x14ac:dyDescent="0.25">
      <c r="A123" s="3"/>
      <c r="B123" s="3"/>
      <c r="C123" s="1"/>
      <c r="D123" s="1"/>
      <c r="E123" s="1208" t="s">
        <v>3231</v>
      </c>
      <c r="F123" s="1208"/>
      <c r="G123" s="1208"/>
      <c r="H123" s="1208"/>
      <c r="I123" s="1208"/>
      <c r="J123" s="1208"/>
      <c r="K123" s="895"/>
      <c r="L123" s="104"/>
      <c r="M123" s="895"/>
      <c r="N123" s="895"/>
      <c r="O123" s="895"/>
      <c r="P123" s="897"/>
      <c r="Q123" s="895"/>
      <c r="R123" s="896"/>
      <c r="S123" s="735"/>
      <c r="T123" s="898"/>
      <c r="U123" s="898"/>
      <c r="V123" s="735"/>
      <c r="W123" s="735"/>
      <c r="X123" s="735"/>
    </row>
    <row r="124" spans="1:24" ht="51" x14ac:dyDescent="0.25">
      <c r="A124" s="3"/>
      <c r="B124" s="3"/>
      <c r="C124" s="1"/>
      <c r="D124" s="1"/>
      <c r="E124" s="1"/>
      <c r="F124" s="1223" t="s">
        <v>3232</v>
      </c>
      <c r="G124" s="1223"/>
      <c r="H124" s="1223"/>
      <c r="I124" s="1223"/>
      <c r="J124" s="1223"/>
      <c r="K124" s="899" t="s">
        <v>3233</v>
      </c>
      <c r="L124" s="905" t="s">
        <v>3096</v>
      </c>
      <c r="M124" s="899" t="s">
        <v>3234</v>
      </c>
      <c r="N124" s="899"/>
      <c r="O124" s="899"/>
      <c r="P124" s="901" t="s">
        <v>3235</v>
      </c>
      <c r="Q124" s="899"/>
      <c r="R124" s="902"/>
      <c r="S124" s="903"/>
      <c r="T124" s="904"/>
      <c r="U124" s="904"/>
      <c r="V124" s="903"/>
      <c r="W124" s="903"/>
      <c r="X124" s="903"/>
    </row>
    <row r="125" spans="1:24" ht="51" x14ac:dyDescent="0.25">
      <c r="A125" s="3"/>
      <c r="B125" s="3"/>
      <c r="C125" s="1"/>
      <c r="D125" s="1"/>
      <c r="E125" s="1"/>
      <c r="F125" s="1"/>
      <c r="G125" s="1"/>
      <c r="H125" s="1"/>
      <c r="I125" s="1"/>
      <c r="J125" s="12" t="s">
        <v>3236</v>
      </c>
      <c r="K125" s="429" t="s">
        <v>3237</v>
      </c>
      <c r="L125" s="406" t="s">
        <v>3096</v>
      </c>
      <c r="M125" s="429" t="s">
        <v>3238</v>
      </c>
      <c r="N125" s="429"/>
      <c r="O125" s="429"/>
      <c r="P125" s="911" t="s">
        <v>3239</v>
      </c>
      <c r="Q125" s="429" t="s">
        <v>3240</v>
      </c>
      <c r="R125" s="6"/>
      <c r="S125" s="1"/>
      <c r="T125" s="4"/>
      <c r="U125" s="4"/>
      <c r="V125" s="1"/>
      <c r="W125" s="1"/>
      <c r="X125" s="1"/>
    </row>
    <row r="126" spans="1:24" ht="49.5" customHeight="1" x14ac:dyDescent="0.25">
      <c r="A126" s="3"/>
      <c r="B126" s="3"/>
      <c r="C126" s="1"/>
      <c r="D126" s="1"/>
      <c r="E126" s="1"/>
      <c r="F126" s="1225" t="s">
        <v>3241</v>
      </c>
      <c r="G126" s="1225"/>
      <c r="H126" s="1225"/>
      <c r="I126" s="1225"/>
      <c r="J126" s="1225"/>
      <c r="K126" s="899" t="s">
        <v>3242</v>
      </c>
      <c r="L126" s="905" t="s">
        <v>3243</v>
      </c>
      <c r="M126" s="899"/>
      <c r="N126" s="899"/>
      <c r="O126" s="899"/>
      <c r="P126" s="901"/>
      <c r="Q126" s="899"/>
      <c r="R126" s="902"/>
      <c r="S126" s="903"/>
      <c r="T126" s="904"/>
      <c r="U126" s="904"/>
      <c r="V126" s="903"/>
      <c r="W126" s="903"/>
      <c r="X126" s="903"/>
    </row>
    <row r="127" spans="1:24" x14ac:dyDescent="0.25">
      <c r="A127" s="3"/>
      <c r="B127" s="3"/>
      <c r="C127" s="1"/>
      <c r="D127" s="1"/>
      <c r="E127" s="1"/>
      <c r="F127" s="342"/>
      <c r="G127" s="1225" t="s">
        <v>3187</v>
      </c>
      <c r="H127" s="1225"/>
      <c r="I127" s="1225"/>
      <c r="J127" s="1225"/>
      <c r="K127" s="908"/>
      <c r="L127" s="905"/>
      <c r="M127" s="899"/>
      <c r="N127" s="899"/>
      <c r="O127" s="899"/>
      <c r="P127" s="901"/>
      <c r="Q127" s="899"/>
      <c r="R127" s="902"/>
      <c r="S127" s="903"/>
      <c r="T127" s="904"/>
      <c r="U127" s="904"/>
      <c r="V127" s="903"/>
      <c r="W127" s="903"/>
      <c r="X127" s="903"/>
    </row>
    <row r="128" spans="1:24" ht="45" x14ac:dyDescent="0.25">
      <c r="A128" s="3"/>
      <c r="B128" s="3"/>
      <c r="C128" s="1"/>
      <c r="D128" s="1"/>
      <c r="E128" s="1"/>
      <c r="F128" s="342"/>
      <c r="G128" s="342"/>
      <c r="H128" s="342"/>
      <c r="I128" s="1"/>
      <c r="J128" s="12" t="s">
        <v>3156</v>
      </c>
      <c r="K128" s="429" t="s">
        <v>3189</v>
      </c>
      <c r="L128" s="72" t="s">
        <v>3096</v>
      </c>
      <c r="M128" s="429" t="s">
        <v>3190</v>
      </c>
      <c r="N128" s="429"/>
      <c r="O128" s="429"/>
      <c r="P128" s="892" t="s">
        <v>3244</v>
      </c>
      <c r="Q128" s="429"/>
      <c r="R128" s="6"/>
      <c r="S128" s="1"/>
      <c r="T128" s="4"/>
      <c r="U128" s="4"/>
      <c r="V128" s="1"/>
      <c r="W128" s="1"/>
      <c r="X128" s="1"/>
    </row>
    <row r="129" spans="1:24" ht="60" x14ac:dyDescent="0.25">
      <c r="A129" s="3"/>
      <c r="B129" s="3"/>
      <c r="C129" s="1"/>
      <c r="D129" s="1"/>
      <c r="E129" s="1"/>
      <c r="F129" s="342"/>
      <c r="G129" s="342"/>
      <c r="H129" s="342"/>
      <c r="I129" s="1"/>
      <c r="J129" s="12" t="s">
        <v>3159</v>
      </c>
      <c r="K129" s="429" t="s">
        <v>3191</v>
      </c>
      <c r="L129" s="72" t="s">
        <v>3096</v>
      </c>
      <c r="M129" s="429" t="s">
        <v>3192</v>
      </c>
      <c r="N129" s="429"/>
      <c r="O129" s="429"/>
      <c r="P129" s="892" t="s">
        <v>3245</v>
      </c>
      <c r="Q129" s="429"/>
      <c r="R129" s="6"/>
      <c r="S129" s="1"/>
      <c r="T129" s="4"/>
      <c r="U129" s="4"/>
      <c r="V129" s="1"/>
      <c r="W129" s="1"/>
      <c r="X129" s="1"/>
    </row>
    <row r="130" spans="1:24" ht="45" x14ac:dyDescent="0.25">
      <c r="A130" s="3"/>
      <c r="B130" s="3"/>
      <c r="C130" s="1"/>
      <c r="D130" s="1"/>
      <c r="E130" s="1"/>
      <c r="F130" s="342"/>
      <c r="G130" s="342"/>
      <c r="H130" s="342"/>
      <c r="I130" s="1"/>
      <c r="J130" s="12" t="s">
        <v>3162</v>
      </c>
      <c r="K130" s="429" t="s">
        <v>3246</v>
      </c>
      <c r="L130" s="72" t="s">
        <v>3096</v>
      </c>
      <c r="M130" s="429" t="s">
        <v>3247</v>
      </c>
      <c r="N130" s="429"/>
      <c r="O130" s="429"/>
      <c r="P130" s="892" t="s">
        <v>3248</v>
      </c>
      <c r="Q130" s="429"/>
      <c r="R130" s="6"/>
      <c r="S130" s="1"/>
      <c r="T130" s="4"/>
      <c r="U130" s="4"/>
      <c r="V130" s="1"/>
      <c r="W130" s="1"/>
      <c r="X130" s="1"/>
    </row>
    <row r="131" spans="1:24" ht="30" x14ac:dyDescent="0.25">
      <c r="A131" s="3"/>
      <c r="B131" s="3"/>
      <c r="C131" s="1"/>
      <c r="D131" s="1"/>
      <c r="E131" s="1"/>
      <c r="F131" s="342"/>
      <c r="G131" s="342"/>
      <c r="H131" s="342"/>
      <c r="I131" s="1"/>
      <c r="J131" s="12" t="s">
        <v>3165</v>
      </c>
      <c r="K131" s="429" t="s">
        <v>3249</v>
      </c>
      <c r="L131" s="72" t="s">
        <v>3096</v>
      </c>
      <c r="M131" s="429" t="s">
        <v>3196</v>
      </c>
      <c r="N131" s="429"/>
      <c r="O131" s="429"/>
      <c r="P131" s="892" t="s">
        <v>3250</v>
      </c>
      <c r="Q131" s="429"/>
      <c r="R131" s="6"/>
      <c r="S131" s="1"/>
      <c r="T131" s="4"/>
      <c r="U131" s="4"/>
      <c r="V131" s="1"/>
      <c r="W131" s="1"/>
      <c r="X131" s="1"/>
    </row>
    <row r="132" spans="1:24" ht="75" x14ac:dyDescent="0.25">
      <c r="A132" s="3"/>
      <c r="B132" s="3"/>
      <c r="C132" s="1"/>
      <c r="D132" s="1"/>
      <c r="E132" s="1"/>
      <c r="F132" s="342"/>
      <c r="G132" s="342"/>
      <c r="H132" s="342"/>
      <c r="I132" s="1"/>
      <c r="J132" s="12" t="s">
        <v>3236</v>
      </c>
      <c r="K132" s="429" t="s">
        <v>3251</v>
      </c>
      <c r="L132" s="72" t="s">
        <v>3096</v>
      </c>
      <c r="M132" s="429" t="s">
        <v>3252</v>
      </c>
      <c r="N132" s="429"/>
      <c r="O132" s="429"/>
      <c r="P132" s="892"/>
      <c r="Q132" s="429" t="s">
        <v>3253</v>
      </c>
      <c r="R132" s="6"/>
      <c r="S132" s="1"/>
      <c r="T132" s="4"/>
      <c r="U132" s="4"/>
      <c r="V132" s="1"/>
      <c r="W132" s="1"/>
      <c r="X132" s="1"/>
    </row>
    <row r="133" spans="1:24" ht="30" x14ac:dyDescent="0.25">
      <c r="A133" s="3"/>
      <c r="B133" s="3"/>
      <c r="C133" s="1"/>
      <c r="D133" s="1"/>
      <c r="E133" s="1"/>
      <c r="F133" s="1"/>
      <c r="G133" s="1230" t="s">
        <v>3254</v>
      </c>
      <c r="H133" s="1230"/>
      <c r="I133" s="1230"/>
      <c r="J133" s="1230"/>
      <c r="K133" s="899" t="s">
        <v>3255</v>
      </c>
      <c r="L133" s="905" t="s">
        <v>3130</v>
      </c>
      <c r="M133" s="899" t="s">
        <v>3256</v>
      </c>
      <c r="N133" s="899"/>
      <c r="O133" s="899"/>
      <c r="P133" s="901" t="s">
        <v>3257</v>
      </c>
      <c r="Q133" s="899"/>
      <c r="R133" s="902"/>
      <c r="S133" s="903"/>
      <c r="T133" s="904"/>
      <c r="U133" s="904"/>
      <c r="V133" s="903"/>
      <c r="W133" s="903"/>
      <c r="X133" s="903"/>
    </row>
    <row r="134" spans="1:24" x14ac:dyDescent="0.25">
      <c r="A134" s="3"/>
      <c r="B134" s="3"/>
      <c r="C134" s="1"/>
      <c r="D134" s="1"/>
      <c r="E134" s="1"/>
      <c r="F134" s="1"/>
      <c r="G134" s="342"/>
      <c r="H134" s="1230" t="s">
        <v>3258</v>
      </c>
      <c r="I134" s="1230"/>
      <c r="J134" s="1230"/>
      <c r="K134" s="899" t="s">
        <v>3259</v>
      </c>
      <c r="L134" s="905" t="s">
        <v>3096</v>
      </c>
      <c r="M134" s="899"/>
      <c r="N134" s="899"/>
      <c r="O134" s="899"/>
      <c r="P134" s="901"/>
      <c r="Q134" s="899"/>
      <c r="R134" s="902"/>
      <c r="S134" s="903"/>
      <c r="T134" s="904"/>
      <c r="U134" s="904"/>
      <c r="V134" s="903"/>
      <c r="W134" s="903"/>
      <c r="X134" s="903"/>
    </row>
    <row r="135" spans="1:24" x14ac:dyDescent="0.25">
      <c r="A135" s="3"/>
      <c r="B135" s="3"/>
      <c r="C135" s="1"/>
      <c r="D135" s="1"/>
      <c r="E135" s="1"/>
      <c r="F135" s="1"/>
      <c r="G135" s="342"/>
      <c r="H135" s="1"/>
      <c r="I135" s="1225" t="s">
        <v>3138</v>
      </c>
      <c r="J135" s="1225"/>
      <c r="K135" s="906"/>
      <c r="L135" s="905"/>
      <c r="M135" s="899"/>
      <c r="N135" s="899"/>
      <c r="O135" s="899"/>
      <c r="P135" s="901"/>
      <c r="Q135" s="899"/>
      <c r="R135" s="902"/>
      <c r="S135" s="903"/>
      <c r="T135" s="904"/>
      <c r="U135" s="904"/>
      <c r="V135" s="903"/>
      <c r="W135" s="903"/>
      <c r="X135" s="903"/>
    </row>
    <row r="136" spans="1:24" ht="45" x14ac:dyDescent="0.25">
      <c r="A136" s="3"/>
      <c r="B136" s="3"/>
      <c r="C136" s="1"/>
      <c r="D136" s="1"/>
      <c r="E136" s="1"/>
      <c r="F136" s="1"/>
      <c r="G136" s="342"/>
      <c r="H136" s="1"/>
      <c r="I136" s="1"/>
      <c r="J136" s="12" t="s">
        <v>3094</v>
      </c>
      <c r="K136" s="429" t="s">
        <v>3208</v>
      </c>
      <c r="L136" s="72" t="s">
        <v>3096</v>
      </c>
      <c r="M136" s="429" t="s">
        <v>3178</v>
      </c>
      <c r="N136" s="429"/>
      <c r="O136" s="429"/>
      <c r="P136" s="892" t="s">
        <v>3244</v>
      </c>
      <c r="Q136" s="429"/>
      <c r="R136" s="6"/>
      <c r="S136" s="1"/>
      <c r="T136" s="4"/>
      <c r="U136" s="4"/>
      <c r="V136" s="1"/>
      <c r="W136" s="1"/>
      <c r="X136" s="1"/>
    </row>
    <row r="137" spans="1:24" ht="45" x14ac:dyDescent="0.25">
      <c r="A137" s="3"/>
      <c r="B137" s="3"/>
      <c r="C137" s="1"/>
      <c r="D137" s="1"/>
      <c r="E137" s="1"/>
      <c r="F137" s="1"/>
      <c r="G137" s="342"/>
      <c r="H137" s="1"/>
      <c r="I137" s="1"/>
      <c r="J137" s="12" t="s">
        <v>3140</v>
      </c>
      <c r="K137" s="429" t="s">
        <v>3228</v>
      </c>
      <c r="L137" s="72" t="s">
        <v>3096</v>
      </c>
      <c r="M137" s="429" t="s">
        <v>3180</v>
      </c>
      <c r="N137" s="429"/>
      <c r="O137" s="429"/>
      <c r="P137" s="892" t="s">
        <v>3181</v>
      </c>
      <c r="Q137" s="429"/>
      <c r="R137" s="6"/>
      <c r="S137" s="1"/>
      <c r="T137" s="4"/>
      <c r="U137" s="4"/>
      <c r="V137" s="1"/>
      <c r="W137" s="1"/>
      <c r="X137" s="1"/>
    </row>
    <row r="138" spans="1:24" ht="75" x14ac:dyDescent="0.25">
      <c r="A138" s="3"/>
      <c r="B138" s="3"/>
      <c r="C138" s="1"/>
      <c r="D138" s="1"/>
      <c r="E138" s="1"/>
      <c r="F138" s="1"/>
      <c r="G138" s="342"/>
      <c r="H138" s="1"/>
      <c r="I138" s="1"/>
      <c r="J138" s="12" t="s">
        <v>3236</v>
      </c>
      <c r="K138" s="429" t="s">
        <v>3251</v>
      </c>
      <c r="L138" s="72" t="s">
        <v>3096</v>
      </c>
      <c r="M138" s="429" t="s">
        <v>3252</v>
      </c>
      <c r="N138" s="429"/>
      <c r="O138" s="429"/>
      <c r="P138" s="892" t="s">
        <v>3260</v>
      </c>
      <c r="Q138" s="429" t="s">
        <v>3253</v>
      </c>
      <c r="R138" s="6"/>
      <c r="S138" s="1"/>
      <c r="T138" s="4"/>
      <c r="U138" s="4"/>
      <c r="V138" s="1"/>
      <c r="W138" s="1"/>
      <c r="X138" s="1"/>
    </row>
    <row r="139" spans="1:24" ht="15.75" customHeight="1" x14ac:dyDescent="0.25">
      <c r="A139" s="3"/>
      <c r="B139" s="3"/>
      <c r="C139" s="1"/>
      <c r="D139" s="1"/>
      <c r="E139" s="1"/>
      <c r="F139" s="1"/>
      <c r="G139" s="342"/>
      <c r="H139" s="1"/>
      <c r="I139" s="1225" t="s">
        <v>3187</v>
      </c>
      <c r="J139" s="1225"/>
      <c r="K139" s="908"/>
      <c r="L139" s="905"/>
      <c r="M139" s="899"/>
      <c r="N139" s="899"/>
      <c r="O139" s="899"/>
      <c r="P139" s="901"/>
      <c r="Q139" s="899"/>
      <c r="R139" s="902"/>
      <c r="S139" s="903"/>
      <c r="T139" s="904"/>
      <c r="U139" s="904"/>
      <c r="V139" s="903"/>
      <c r="W139" s="903"/>
      <c r="X139" s="903"/>
    </row>
    <row r="140" spans="1:24" ht="45" x14ac:dyDescent="0.25">
      <c r="A140" s="3"/>
      <c r="B140" s="3"/>
      <c r="C140" s="1"/>
      <c r="D140" s="1"/>
      <c r="E140" s="1"/>
      <c r="F140" s="1"/>
      <c r="G140" s="342"/>
      <c r="H140" s="1"/>
      <c r="I140" s="1"/>
      <c r="J140" s="12" t="s">
        <v>3156</v>
      </c>
      <c r="K140" s="429" t="s">
        <v>3189</v>
      </c>
      <c r="L140" s="72" t="s">
        <v>3096</v>
      </c>
      <c r="M140" s="429" t="s">
        <v>3190</v>
      </c>
      <c r="N140" s="429"/>
      <c r="O140" s="429"/>
      <c r="P140" s="892" t="s">
        <v>3244</v>
      </c>
      <c r="Q140" s="429"/>
      <c r="R140" s="6"/>
      <c r="S140" s="1"/>
      <c r="T140" s="4"/>
      <c r="U140" s="4"/>
      <c r="V140" s="1"/>
      <c r="W140" s="1"/>
      <c r="X140" s="1"/>
    </row>
    <row r="141" spans="1:24" ht="60" x14ac:dyDescent="0.25">
      <c r="A141" s="3"/>
      <c r="B141" s="3"/>
      <c r="C141" s="1"/>
      <c r="D141" s="1"/>
      <c r="E141" s="1"/>
      <c r="F141" s="1"/>
      <c r="G141" s="342"/>
      <c r="H141" s="1"/>
      <c r="I141" s="1"/>
      <c r="J141" s="12" t="s">
        <v>3159</v>
      </c>
      <c r="K141" s="429" t="s">
        <v>3191</v>
      </c>
      <c r="L141" s="72" t="s">
        <v>3096</v>
      </c>
      <c r="M141" s="429" t="s">
        <v>3192</v>
      </c>
      <c r="N141" s="429"/>
      <c r="O141" s="429"/>
      <c r="P141" s="892" t="s">
        <v>3245</v>
      </c>
      <c r="Q141" s="429"/>
      <c r="R141" s="6"/>
      <c r="S141" s="1"/>
      <c r="T141" s="4"/>
      <c r="U141" s="4"/>
      <c r="V141" s="1"/>
      <c r="W141" s="1"/>
      <c r="X141" s="1"/>
    </row>
    <row r="142" spans="1:24" ht="45" x14ac:dyDescent="0.25">
      <c r="A142" s="3"/>
      <c r="B142" s="3"/>
      <c r="C142" s="1"/>
      <c r="D142" s="1"/>
      <c r="E142" s="1"/>
      <c r="F142" s="1"/>
      <c r="G142" s="342"/>
      <c r="H142" s="1"/>
      <c r="I142" s="1"/>
      <c r="J142" s="12" t="s">
        <v>3162</v>
      </c>
      <c r="K142" s="429" t="s">
        <v>3246</v>
      </c>
      <c r="L142" s="72" t="s">
        <v>3096</v>
      </c>
      <c r="M142" s="429" t="s">
        <v>3247</v>
      </c>
      <c r="N142" s="429"/>
      <c r="O142" s="429"/>
      <c r="P142" s="892" t="s">
        <v>3248</v>
      </c>
      <c r="Q142" s="429"/>
      <c r="R142" s="6"/>
      <c r="S142" s="1"/>
      <c r="T142" s="4"/>
      <c r="U142" s="4"/>
      <c r="V142" s="1"/>
      <c r="W142" s="1"/>
      <c r="X142" s="1"/>
    </row>
    <row r="143" spans="1:24" ht="30" x14ac:dyDescent="0.25">
      <c r="A143" s="3"/>
      <c r="B143" s="3"/>
      <c r="C143" s="1"/>
      <c r="D143" s="1"/>
      <c r="E143" s="1"/>
      <c r="F143" s="1"/>
      <c r="G143" s="342"/>
      <c r="H143" s="1"/>
      <c r="I143" s="1"/>
      <c r="J143" s="12" t="s">
        <v>3165</v>
      </c>
      <c r="K143" s="429" t="s">
        <v>3249</v>
      </c>
      <c r="L143" s="72" t="s">
        <v>3096</v>
      </c>
      <c r="M143" s="429" t="s">
        <v>3196</v>
      </c>
      <c r="N143" s="429"/>
      <c r="O143" s="429"/>
      <c r="P143" s="892" t="s">
        <v>3250</v>
      </c>
      <c r="Q143" s="429"/>
      <c r="R143" s="6"/>
      <c r="S143" s="1"/>
      <c r="T143" s="4"/>
      <c r="U143" s="4"/>
      <c r="V143" s="1"/>
      <c r="W143" s="1"/>
      <c r="X143" s="1"/>
    </row>
    <row r="144" spans="1:24" ht="75" x14ac:dyDescent="0.25">
      <c r="A144" s="3"/>
      <c r="B144" s="3"/>
      <c r="C144" s="1"/>
      <c r="D144" s="1"/>
      <c r="E144" s="1"/>
      <c r="F144" s="1"/>
      <c r="G144" s="342"/>
      <c r="H144" s="1"/>
      <c r="I144" s="1"/>
      <c r="J144" s="12" t="s">
        <v>3236</v>
      </c>
      <c r="K144" s="429" t="s">
        <v>3251</v>
      </c>
      <c r="L144" s="72" t="s">
        <v>3096</v>
      </c>
      <c r="M144" s="429" t="s">
        <v>3252</v>
      </c>
      <c r="N144" s="429"/>
      <c r="O144" s="429"/>
      <c r="P144" s="892"/>
      <c r="Q144" s="429" t="s">
        <v>3253</v>
      </c>
      <c r="R144" s="6"/>
      <c r="S144" s="1"/>
      <c r="T144" s="4"/>
      <c r="U144" s="4"/>
      <c r="V144" s="1"/>
      <c r="W144" s="1"/>
      <c r="X144" s="1"/>
    </row>
    <row r="145" spans="1:24" ht="30" x14ac:dyDescent="0.25">
      <c r="A145" s="3"/>
      <c r="B145" s="3"/>
      <c r="C145" s="1"/>
      <c r="D145" s="1"/>
      <c r="E145" s="1"/>
      <c r="F145" s="1"/>
      <c r="G145" s="1230" t="s">
        <v>3261</v>
      </c>
      <c r="H145" s="1230"/>
      <c r="I145" s="1230"/>
      <c r="J145" s="1230"/>
      <c r="K145" s="899" t="s">
        <v>3255</v>
      </c>
      <c r="L145" s="905" t="s">
        <v>3130</v>
      </c>
      <c r="M145" s="899" t="s">
        <v>3256</v>
      </c>
      <c r="N145" s="899"/>
      <c r="O145" s="899"/>
      <c r="P145" s="901" t="s">
        <v>3262</v>
      </c>
      <c r="Q145" s="899"/>
      <c r="R145" s="902"/>
      <c r="S145" s="903"/>
      <c r="T145" s="904"/>
      <c r="U145" s="904"/>
      <c r="V145" s="903"/>
      <c r="W145" s="903"/>
      <c r="X145" s="903"/>
    </row>
    <row r="146" spans="1:24" x14ac:dyDescent="0.25">
      <c r="A146" s="3"/>
      <c r="B146" s="3"/>
      <c r="C146" s="1"/>
      <c r="D146" s="1"/>
      <c r="E146" s="1"/>
      <c r="F146" s="1"/>
      <c r="G146" s="342"/>
      <c r="H146" s="1230" t="s">
        <v>3258</v>
      </c>
      <c r="I146" s="1230"/>
      <c r="J146" s="1230"/>
      <c r="K146" s="899" t="s">
        <v>3259</v>
      </c>
      <c r="L146" s="905" t="s">
        <v>3096</v>
      </c>
      <c r="M146" s="899"/>
      <c r="N146" s="899"/>
      <c r="O146" s="899"/>
      <c r="P146" s="901"/>
      <c r="Q146" s="899"/>
      <c r="R146" s="902"/>
      <c r="S146" s="903"/>
      <c r="T146" s="904"/>
      <c r="U146" s="904"/>
      <c r="V146" s="903"/>
      <c r="W146" s="903"/>
      <c r="X146" s="903"/>
    </row>
    <row r="147" spans="1:24" x14ac:dyDescent="0.25">
      <c r="A147" s="3"/>
      <c r="B147" s="3"/>
      <c r="C147" s="1"/>
      <c r="D147" s="1"/>
      <c r="E147" s="1"/>
      <c r="F147" s="1"/>
      <c r="G147" s="342"/>
      <c r="H147" s="1"/>
      <c r="I147" s="1225" t="s">
        <v>3138</v>
      </c>
      <c r="J147" s="1225"/>
      <c r="K147" s="906"/>
      <c r="L147" s="905"/>
      <c r="M147" s="899"/>
      <c r="N147" s="899"/>
      <c r="O147" s="899"/>
      <c r="P147" s="901"/>
      <c r="Q147" s="899"/>
      <c r="R147" s="902"/>
      <c r="S147" s="903"/>
      <c r="T147" s="904"/>
      <c r="U147" s="904"/>
      <c r="V147" s="903"/>
      <c r="W147" s="903"/>
      <c r="X147" s="903"/>
    </row>
    <row r="148" spans="1:24" ht="45" x14ac:dyDescent="0.25">
      <c r="A148" s="3"/>
      <c r="B148" s="3"/>
      <c r="C148" s="1"/>
      <c r="D148" s="1"/>
      <c r="E148" s="1"/>
      <c r="F148" s="1"/>
      <c r="G148" s="342"/>
      <c r="H148" s="1"/>
      <c r="I148" s="1"/>
      <c r="J148" s="12" t="s">
        <v>3094</v>
      </c>
      <c r="K148" s="429" t="s">
        <v>3208</v>
      </c>
      <c r="L148" s="72" t="s">
        <v>3096</v>
      </c>
      <c r="M148" s="429" t="s">
        <v>3178</v>
      </c>
      <c r="N148" s="429"/>
      <c r="O148" s="429"/>
      <c r="P148" s="892" t="s">
        <v>3244</v>
      </c>
      <c r="Q148" s="429"/>
      <c r="R148" s="6"/>
      <c r="S148" s="1"/>
      <c r="T148" s="4"/>
      <c r="U148" s="4"/>
      <c r="V148" s="1"/>
      <c r="W148" s="1"/>
      <c r="X148" s="1"/>
    </row>
    <row r="149" spans="1:24" ht="45" x14ac:dyDescent="0.25">
      <c r="A149" s="3"/>
      <c r="B149" s="3"/>
      <c r="C149" s="1"/>
      <c r="D149" s="1"/>
      <c r="E149" s="1"/>
      <c r="F149" s="1"/>
      <c r="G149" s="342"/>
      <c r="H149" s="1"/>
      <c r="I149" s="1"/>
      <c r="J149" s="12" t="s">
        <v>3140</v>
      </c>
      <c r="K149" s="429" t="s">
        <v>3228</v>
      </c>
      <c r="L149" s="72" t="s">
        <v>3096</v>
      </c>
      <c r="M149" s="429" t="s">
        <v>3180</v>
      </c>
      <c r="N149" s="429"/>
      <c r="O149" s="429"/>
      <c r="P149" s="892" t="s">
        <v>3181</v>
      </c>
      <c r="Q149" s="429"/>
      <c r="R149" s="6"/>
      <c r="S149" s="1"/>
      <c r="T149" s="4"/>
      <c r="U149" s="4"/>
      <c r="V149" s="1"/>
      <c r="W149" s="1"/>
      <c r="X149" s="1"/>
    </row>
    <row r="150" spans="1:24" ht="75" x14ac:dyDescent="0.25">
      <c r="A150" s="3"/>
      <c r="B150" s="3"/>
      <c r="C150" s="1"/>
      <c r="D150" s="1"/>
      <c r="E150" s="1"/>
      <c r="F150" s="1"/>
      <c r="G150" s="342"/>
      <c r="H150" s="1"/>
      <c r="I150" s="1"/>
      <c r="J150" s="12" t="s">
        <v>3236</v>
      </c>
      <c r="K150" s="429" t="s">
        <v>3251</v>
      </c>
      <c r="L150" s="72" t="s">
        <v>3096</v>
      </c>
      <c r="M150" s="429" t="s">
        <v>3252</v>
      </c>
      <c r="N150" s="429"/>
      <c r="O150" s="429"/>
      <c r="P150" s="892" t="s">
        <v>3260</v>
      </c>
      <c r="Q150" s="429" t="s">
        <v>3253</v>
      </c>
      <c r="R150" s="6"/>
      <c r="S150" s="1"/>
      <c r="T150" s="4"/>
      <c r="U150" s="4"/>
      <c r="V150" s="1"/>
      <c r="W150" s="1"/>
      <c r="X150" s="1"/>
    </row>
    <row r="151" spans="1:24" x14ac:dyDescent="0.25">
      <c r="A151" s="3"/>
      <c r="B151" s="3"/>
      <c r="C151" s="1"/>
      <c r="D151" s="1"/>
      <c r="E151" s="1"/>
      <c r="F151" s="1"/>
      <c r="G151" s="342"/>
      <c r="H151" s="1"/>
      <c r="I151" s="1225" t="s">
        <v>3187</v>
      </c>
      <c r="J151" s="1225"/>
      <c r="K151" s="908"/>
      <c r="L151" s="905"/>
      <c r="M151" s="899"/>
      <c r="N151" s="899"/>
      <c r="O151" s="899"/>
      <c r="P151" s="901"/>
      <c r="Q151" s="899"/>
      <c r="R151" s="902"/>
      <c r="S151" s="903"/>
      <c r="T151" s="904"/>
      <c r="U151" s="904"/>
      <c r="V151" s="903"/>
      <c r="W151" s="903"/>
      <c r="X151" s="903"/>
    </row>
    <row r="152" spans="1:24" ht="45" x14ac:dyDescent="0.25">
      <c r="A152" s="3"/>
      <c r="B152" s="3"/>
      <c r="C152" s="1"/>
      <c r="D152" s="1"/>
      <c r="E152" s="1"/>
      <c r="F152" s="1"/>
      <c r="G152" s="342"/>
      <c r="H152" s="1"/>
      <c r="I152" s="1"/>
      <c r="J152" s="12" t="s">
        <v>3156</v>
      </c>
      <c r="K152" s="429" t="s">
        <v>3189</v>
      </c>
      <c r="L152" s="72" t="s">
        <v>3096</v>
      </c>
      <c r="M152" s="429" t="s">
        <v>3190</v>
      </c>
      <c r="N152" s="429"/>
      <c r="O152" s="429"/>
      <c r="P152" s="892" t="s">
        <v>3244</v>
      </c>
      <c r="Q152" s="429"/>
      <c r="R152" s="6"/>
      <c r="S152" s="1"/>
      <c r="T152" s="4"/>
      <c r="U152" s="4"/>
      <c r="V152" s="1"/>
      <c r="W152" s="1"/>
      <c r="X152" s="1"/>
    </row>
    <row r="153" spans="1:24" ht="60" x14ac:dyDescent="0.25">
      <c r="A153" s="3"/>
      <c r="B153" s="3"/>
      <c r="C153" s="1"/>
      <c r="D153" s="1"/>
      <c r="E153" s="1"/>
      <c r="F153" s="1"/>
      <c r="G153" s="342"/>
      <c r="H153" s="1"/>
      <c r="I153" s="1"/>
      <c r="J153" s="12" t="s">
        <v>3159</v>
      </c>
      <c r="K153" s="429" t="s">
        <v>3191</v>
      </c>
      <c r="L153" s="72" t="s">
        <v>3096</v>
      </c>
      <c r="M153" s="429" t="s">
        <v>3192</v>
      </c>
      <c r="N153" s="429"/>
      <c r="O153" s="429"/>
      <c r="P153" s="892" t="s">
        <v>3245</v>
      </c>
      <c r="Q153" s="429"/>
      <c r="R153" s="6"/>
      <c r="S153" s="1"/>
      <c r="T153" s="4"/>
      <c r="U153" s="4"/>
      <c r="V153" s="1"/>
      <c r="W153" s="1"/>
      <c r="X153" s="1"/>
    </row>
    <row r="154" spans="1:24" ht="45" x14ac:dyDescent="0.25">
      <c r="A154" s="3"/>
      <c r="B154" s="3"/>
      <c r="C154" s="1"/>
      <c r="D154" s="1"/>
      <c r="E154" s="1"/>
      <c r="F154" s="1"/>
      <c r="G154" s="342"/>
      <c r="H154" s="1"/>
      <c r="I154" s="1"/>
      <c r="J154" s="12" t="s">
        <v>3162</v>
      </c>
      <c r="K154" s="429" t="s">
        <v>3246</v>
      </c>
      <c r="L154" s="72" t="s">
        <v>3096</v>
      </c>
      <c r="M154" s="429" t="s">
        <v>3247</v>
      </c>
      <c r="N154" s="429"/>
      <c r="O154" s="429"/>
      <c r="P154" s="892" t="s">
        <v>3248</v>
      </c>
      <c r="Q154" s="429"/>
      <c r="R154" s="6"/>
      <c r="S154" s="1"/>
      <c r="T154" s="4"/>
      <c r="U154" s="4"/>
      <c r="V154" s="1"/>
      <c r="W154" s="1"/>
      <c r="X154" s="1"/>
    </row>
    <row r="155" spans="1:24" ht="45" x14ac:dyDescent="0.25">
      <c r="A155" s="3"/>
      <c r="B155" s="3"/>
      <c r="C155" s="1"/>
      <c r="D155" s="1"/>
      <c r="E155" s="1"/>
      <c r="F155" s="1"/>
      <c r="G155" s="342"/>
      <c r="H155" s="1"/>
      <c r="I155" s="1"/>
      <c r="J155" s="12" t="s">
        <v>3165</v>
      </c>
      <c r="K155" s="429" t="s">
        <v>3249</v>
      </c>
      <c r="L155" s="72" t="s">
        <v>3096</v>
      </c>
      <c r="M155" s="429" t="s">
        <v>3196</v>
      </c>
      <c r="N155" s="429"/>
      <c r="O155" s="429"/>
      <c r="P155" s="892" t="s">
        <v>3250</v>
      </c>
      <c r="Q155" s="429" t="s">
        <v>3263</v>
      </c>
      <c r="R155" s="6"/>
      <c r="S155" s="1"/>
      <c r="T155" s="4"/>
      <c r="U155" s="4"/>
      <c r="V155" s="1"/>
      <c r="W155" s="1"/>
      <c r="X155" s="1"/>
    </row>
    <row r="156" spans="1:24" ht="75" x14ac:dyDescent="0.25">
      <c r="A156" s="3"/>
      <c r="B156" s="3"/>
      <c r="C156" s="1"/>
      <c r="D156" s="1"/>
      <c r="E156" s="1"/>
      <c r="F156" s="1"/>
      <c r="G156" s="342"/>
      <c r="H156" s="1"/>
      <c r="I156" s="1"/>
      <c r="J156" s="12" t="s">
        <v>3236</v>
      </c>
      <c r="K156" s="429" t="s">
        <v>3251</v>
      </c>
      <c r="L156" s="72" t="s">
        <v>3096</v>
      </c>
      <c r="M156" s="429" t="s">
        <v>3252</v>
      </c>
      <c r="N156" s="429"/>
      <c r="O156" s="429"/>
      <c r="P156" s="892"/>
      <c r="Q156" s="429" t="s">
        <v>3253</v>
      </c>
      <c r="R156" s="6"/>
      <c r="S156" s="1"/>
      <c r="T156" s="4"/>
      <c r="U156" s="4"/>
      <c r="V156" s="1"/>
      <c r="W156" s="1"/>
      <c r="X156" s="1"/>
    </row>
    <row r="157" spans="1:24" x14ac:dyDescent="0.25">
      <c r="A157" s="3"/>
      <c r="B157" s="3"/>
      <c r="C157" s="1"/>
      <c r="D157" s="1"/>
      <c r="E157" s="1"/>
      <c r="F157" s="1"/>
      <c r="G157" s="342"/>
      <c r="H157" s="1"/>
      <c r="I157" s="1228" t="s">
        <v>3219</v>
      </c>
      <c r="J157" s="1229"/>
      <c r="K157" s="899"/>
      <c r="L157" s="900"/>
      <c r="M157" s="899"/>
      <c r="N157" s="899"/>
      <c r="O157" s="899"/>
      <c r="P157" s="901"/>
      <c r="Q157" s="899"/>
      <c r="R157" s="902"/>
      <c r="S157" s="903"/>
      <c r="T157" s="904"/>
      <c r="U157" s="904"/>
      <c r="V157" s="903"/>
      <c r="W157" s="903"/>
      <c r="X157" s="903"/>
    </row>
    <row r="158" spans="1:24" x14ac:dyDescent="0.25">
      <c r="A158" s="3"/>
      <c r="B158" s="3"/>
      <c r="C158" s="1"/>
      <c r="D158" s="1"/>
      <c r="E158" s="1"/>
      <c r="F158" s="1"/>
      <c r="G158" s="342"/>
      <c r="H158" s="1"/>
      <c r="I158" s="1"/>
      <c r="J158" s="12" t="s">
        <v>3106</v>
      </c>
      <c r="K158" s="429" t="s">
        <v>3107</v>
      </c>
      <c r="L158" s="72"/>
      <c r="M158" s="429"/>
      <c r="N158" s="429"/>
      <c r="O158" s="429"/>
      <c r="P158" s="892"/>
      <c r="Q158" s="429"/>
      <c r="R158" s="6"/>
      <c r="S158" s="1"/>
      <c r="T158" s="4"/>
      <c r="U158" s="4"/>
      <c r="V158" s="1"/>
      <c r="W158" s="1"/>
      <c r="X158" s="1"/>
    </row>
    <row r="159" spans="1:24" x14ac:dyDescent="0.25">
      <c r="A159" s="3"/>
      <c r="B159" s="3"/>
      <c r="C159" s="1"/>
      <c r="D159" s="1"/>
      <c r="E159" s="1"/>
      <c r="F159" s="1"/>
      <c r="G159" s="342"/>
      <c r="H159" s="1"/>
      <c r="I159" s="1"/>
      <c r="J159" s="12" t="s">
        <v>3108</v>
      </c>
      <c r="K159" s="429" t="s">
        <v>3109</v>
      </c>
      <c r="L159" s="72"/>
      <c r="M159" s="429"/>
      <c r="N159" s="429"/>
      <c r="O159" s="429"/>
      <c r="P159" s="892"/>
      <c r="Q159" s="429"/>
      <c r="R159" s="6"/>
      <c r="S159" s="1"/>
      <c r="T159" s="4"/>
      <c r="U159" s="4"/>
      <c r="V159" s="1"/>
      <c r="W159" s="1"/>
      <c r="X159" s="1"/>
    </row>
    <row r="160" spans="1:24" x14ac:dyDescent="0.25">
      <c r="A160" s="3"/>
      <c r="B160" s="3"/>
      <c r="C160" s="1"/>
      <c r="D160" s="1"/>
      <c r="E160" s="1"/>
      <c r="F160" s="1"/>
      <c r="G160" s="342"/>
      <c r="H160" s="1"/>
      <c r="I160" s="1"/>
      <c r="J160" s="12" t="s">
        <v>3110</v>
      </c>
      <c r="K160" s="429" t="s">
        <v>3111</v>
      </c>
      <c r="L160" s="72"/>
      <c r="M160" s="429"/>
      <c r="N160" s="429"/>
      <c r="O160" s="429"/>
      <c r="P160" s="892"/>
      <c r="Q160" s="429"/>
      <c r="R160" s="6"/>
      <c r="S160" s="1"/>
      <c r="T160" s="4"/>
      <c r="U160" s="4"/>
      <c r="V160" s="1"/>
      <c r="W160" s="1"/>
      <c r="X160" s="1"/>
    </row>
    <row r="161" spans="1:24" ht="75" x14ac:dyDescent="0.25">
      <c r="A161" s="3"/>
      <c r="B161" s="3"/>
      <c r="C161" s="1"/>
      <c r="D161" s="1"/>
      <c r="E161" s="1"/>
      <c r="F161" s="1"/>
      <c r="G161" s="342"/>
      <c r="H161" s="1"/>
      <c r="I161" s="1"/>
      <c r="J161" s="12" t="s">
        <v>3236</v>
      </c>
      <c r="K161" s="429" t="s">
        <v>3251</v>
      </c>
      <c r="L161" s="72" t="s">
        <v>3096</v>
      </c>
      <c r="M161" s="429" t="s">
        <v>3252</v>
      </c>
      <c r="N161" s="429"/>
      <c r="O161" s="429"/>
      <c r="P161" s="892"/>
      <c r="Q161" s="429" t="s">
        <v>3253</v>
      </c>
      <c r="R161" s="6"/>
      <c r="S161" s="1"/>
      <c r="T161" s="4"/>
      <c r="U161" s="4"/>
      <c r="V161" s="1"/>
      <c r="W161" s="1"/>
      <c r="X161" s="1"/>
    </row>
    <row r="162" spans="1:24" ht="60" x14ac:dyDescent="0.25">
      <c r="A162" s="3"/>
      <c r="B162" s="3"/>
      <c r="C162" s="1"/>
      <c r="D162" s="1"/>
      <c r="E162" s="1"/>
      <c r="F162" s="1"/>
      <c r="G162" s="1230" t="s">
        <v>3264</v>
      </c>
      <c r="H162" s="1230"/>
      <c r="I162" s="1230"/>
      <c r="J162" s="1230"/>
      <c r="K162" s="899" t="s">
        <v>3265</v>
      </c>
      <c r="L162" s="905" t="s">
        <v>3266</v>
      </c>
      <c r="M162" s="899" t="s">
        <v>3267</v>
      </c>
      <c r="N162" s="899"/>
      <c r="O162" s="899"/>
      <c r="P162" s="901" t="s">
        <v>3268</v>
      </c>
      <c r="Q162" s="899" t="s">
        <v>3269</v>
      </c>
      <c r="R162" s="6"/>
      <c r="S162" s="1"/>
      <c r="T162" s="4"/>
      <c r="U162" s="4"/>
      <c r="V162" s="1"/>
      <c r="W162" s="1"/>
      <c r="X162" s="1"/>
    </row>
    <row r="163" spans="1:24" ht="60" x14ac:dyDescent="0.25">
      <c r="A163" s="3"/>
      <c r="B163" s="3"/>
      <c r="C163" s="1"/>
      <c r="D163" s="1"/>
      <c r="E163" s="1"/>
      <c r="F163" s="1"/>
      <c r="G163" s="342"/>
      <c r="H163" s="1231" t="s">
        <v>3270</v>
      </c>
      <c r="I163" s="1231"/>
      <c r="J163" s="1231"/>
      <c r="K163" s="899" t="s">
        <v>3271</v>
      </c>
      <c r="L163" s="905" t="s">
        <v>3272</v>
      </c>
      <c r="M163" s="899" t="s">
        <v>3273</v>
      </c>
      <c r="N163" s="899"/>
      <c r="O163" s="899"/>
      <c r="P163" s="901"/>
      <c r="Q163" s="899" t="s">
        <v>3269</v>
      </c>
      <c r="R163" s="6"/>
      <c r="S163" s="1"/>
      <c r="T163" s="4"/>
      <c r="U163" s="4"/>
      <c r="V163" s="1"/>
      <c r="W163" s="1"/>
      <c r="X163" s="1"/>
    </row>
    <row r="164" spans="1:24" x14ac:dyDescent="0.25">
      <c r="A164" s="3"/>
      <c r="B164" s="3"/>
      <c r="C164" s="1"/>
      <c r="D164" s="1"/>
      <c r="E164" s="1"/>
      <c r="F164" s="1"/>
      <c r="G164" s="342"/>
      <c r="H164" s="1230" t="s">
        <v>3258</v>
      </c>
      <c r="I164" s="1230"/>
      <c r="J164" s="1230"/>
      <c r="K164" s="899" t="s">
        <v>3274</v>
      </c>
      <c r="L164" s="905" t="s">
        <v>3096</v>
      </c>
      <c r="M164" s="899"/>
      <c r="N164" s="899"/>
      <c r="O164" s="899"/>
      <c r="P164" s="901"/>
      <c r="Q164" s="899"/>
      <c r="R164" s="6"/>
      <c r="S164" s="1"/>
      <c r="T164" s="4"/>
      <c r="U164" s="4"/>
      <c r="V164" s="1"/>
      <c r="W164" s="1"/>
      <c r="X164" s="1"/>
    </row>
    <row r="165" spans="1:24" ht="45" x14ac:dyDescent="0.25">
      <c r="A165" s="3"/>
      <c r="B165" s="3"/>
      <c r="C165" s="1"/>
      <c r="D165" s="1"/>
      <c r="E165" s="1"/>
      <c r="F165" s="1"/>
      <c r="G165" s="342"/>
      <c r="H165" s="1"/>
      <c r="I165" s="1"/>
      <c r="J165" s="12" t="s">
        <v>3156</v>
      </c>
      <c r="K165" s="429" t="s">
        <v>3189</v>
      </c>
      <c r="L165" s="72" t="s">
        <v>3096</v>
      </c>
      <c r="M165" s="429" t="s">
        <v>3190</v>
      </c>
      <c r="N165" s="429"/>
      <c r="O165" s="429"/>
      <c r="P165" s="892" t="s">
        <v>3244</v>
      </c>
      <c r="Q165" s="429"/>
      <c r="R165" s="6"/>
      <c r="S165" s="1"/>
      <c r="T165" s="4"/>
      <c r="U165" s="4"/>
      <c r="V165" s="1"/>
      <c r="W165" s="1"/>
      <c r="X165" s="1"/>
    </row>
    <row r="166" spans="1:24" ht="60" x14ac:dyDescent="0.25">
      <c r="A166" s="3"/>
      <c r="B166" s="3"/>
      <c r="C166" s="1"/>
      <c r="D166" s="1"/>
      <c r="E166" s="1"/>
      <c r="F166" s="1"/>
      <c r="G166" s="342"/>
      <c r="H166" s="1"/>
      <c r="I166" s="1"/>
      <c r="J166" s="12" t="s">
        <v>3159</v>
      </c>
      <c r="K166" s="429" t="s">
        <v>3191</v>
      </c>
      <c r="L166" s="72" t="s">
        <v>3096</v>
      </c>
      <c r="M166" s="429" t="s">
        <v>3192</v>
      </c>
      <c r="N166" s="429"/>
      <c r="O166" s="429"/>
      <c r="P166" s="892" t="s">
        <v>3245</v>
      </c>
      <c r="Q166" s="429"/>
      <c r="R166" s="6"/>
      <c r="S166" s="1"/>
      <c r="T166" s="4"/>
      <c r="U166" s="4"/>
      <c r="V166" s="1"/>
      <c r="W166" s="1"/>
      <c r="X166" s="1"/>
    </row>
    <row r="167" spans="1:24" ht="45" x14ac:dyDescent="0.25">
      <c r="A167" s="3"/>
      <c r="B167" s="3"/>
      <c r="C167" s="1"/>
      <c r="D167" s="1"/>
      <c r="E167" s="1"/>
      <c r="F167" s="1"/>
      <c r="G167" s="342"/>
      <c r="H167" s="1"/>
      <c r="I167" s="1"/>
      <c r="J167" s="12" t="s">
        <v>3162</v>
      </c>
      <c r="K167" s="429" t="s">
        <v>3246</v>
      </c>
      <c r="L167" s="72" t="s">
        <v>3096</v>
      </c>
      <c r="M167" s="429" t="s">
        <v>3247</v>
      </c>
      <c r="N167" s="429"/>
      <c r="O167" s="429"/>
      <c r="P167" s="892" t="s">
        <v>3248</v>
      </c>
      <c r="Q167" s="429"/>
      <c r="R167" s="6"/>
      <c r="S167" s="1"/>
      <c r="T167" s="4"/>
      <c r="U167" s="4"/>
      <c r="V167" s="1"/>
      <c r="W167" s="1"/>
      <c r="X167" s="1"/>
    </row>
    <row r="168" spans="1:24" ht="30" x14ac:dyDescent="0.25">
      <c r="A168" s="3"/>
      <c r="B168" s="3"/>
      <c r="C168" s="1"/>
      <c r="D168" s="1"/>
      <c r="E168" s="1"/>
      <c r="F168" s="1"/>
      <c r="G168" s="342"/>
      <c r="H168" s="1"/>
      <c r="I168" s="1"/>
      <c r="J168" s="12" t="s">
        <v>3165</v>
      </c>
      <c r="K168" s="429" t="s">
        <v>3249</v>
      </c>
      <c r="L168" s="72" t="s">
        <v>3096</v>
      </c>
      <c r="M168" s="429" t="s">
        <v>3196</v>
      </c>
      <c r="N168" s="429"/>
      <c r="O168" s="429"/>
      <c r="P168" s="892" t="s">
        <v>3250</v>
      </c>
      <c r="Q168" s="429"/>
      <c r="R168" s="6"/>
      <c r="S168" s="1"/>
      <c r="T168" s="4"/>
      <c r="U168" s="4"/>
      <c r="V168" s="1"/>
      <c r="W168" s="1"/>
      <c r="X168" s="1"/>
    </row>
    <row r="169" spans="1:24" ht="105" x14ac:dyDescent="0.25">
      <c r="A169" s="3"/>
      <c r="B169" s="3"/>
      <c r="C169" s="1"/>
      <c r="D169" s="1"/>
      <c r="E169" s="1"/>
      <c r="F169" s="1"/>
      <c r="G169" s="342"/>
      <c r="H169" s="1"/>
      <c r="I169" s="1"/>
      <c r="J169" s="12" t="s">
        <v>3236</v>
      </c>
      <c r="K169" s="429" t="s">
        <v>3275</v>
      </c>
      <c r="L169" s="72" t="s">
        <v>3096</v>
      </c>
      <c r="M169" s="429" t="s">
        <v>3276</v>
      </c>
      <c r="N169" s="429"/>
      <c r="O169" s="429"/>
      <c r="P169" s="892"/>
      <c r="Q169" s="429" t="s">
        <v>3277</v>
      </c>
      <c r="R169" s="6"/>
      <c r="S169" s="1"/>
      <c r="T169" s="4"/>
      <c r="U169" s="4"/>
      <c r="V169" s="1"/>
      <c r="W169" s="1"/>
      <c r="X169" s="1"/>
    </row>
    <row r="170" spans="1:24" ht="15.75" customHeight="1" x14ac:dyDescent="0.25">
      <c r="A170" s="3"/>
      <c r="B170" s="3"/>
      <c r="C170" s="1"/>
      <c r="D170" s="1"/>
      <c r="E170" s="912" t="s">
        <v>3278</v>
      </c>
      <c r="F170" s="735"/>
      <c r="G170" s="89"/>
      <c r="H170" s="735"/>
      <c r="I170" s="735"/>
      <c r="J170" s="104"/>
      <c r="K170" s="895"/>
      <c r="L170" s="104"/>
      <c r="M170" s="895"/>
      <c r="N170" s="895"/>
      <c r="O170" s="895"/>
      <c r="P170" s="897"/>
      <c r="Q170" s="895"/>
      <c r="R170" s="896"/>
      <c r="S170" s="735"/>
      <c r="T170" s="898"/>
      <c r="U170" s="898"/>
      <c r="V170" s="735"/>
      <c r="W170" s="735"/>
      <c r="X170" s="735"/>
    </row>
    <row r="171" spans="1:24" ht="45" x14ac:dyDescent="0.25">
      <c r="A171" s="3"/>
      <c r="B171" s="3"/>
      <c r="C171" s="1"/>
      <c r="D171" s="1"/>
      <c r="E171" s="1"/>
      <c r="F171" s="1231" t="s">
        <v>3279</v>
      </c>
      <c r="G171" s="1231"/>
      <c r="H171" s="1231"/>
      <c r="I171" s="1231"/>
      <c r="J171" s="1231"/>
      <c r="K171" s="899" t="s">
        <v>3280</v>
      </c>
      <c r="L171" s="907" t="s">
        <v>3096</v>
      </c>
      <c r="M171" s="899"/>
      <c r="N171" s="899"/>
      <c r="O171" s="899"/>
      <c r="P171" s="901"/>
      <c r="Q171" s="899"/>
      <c r="R171" s="902"/>
      <c r="S171" s="903"/>
      <c r="T171" s="904"/>
      <c r="U171" s="904"/>
      <c r="V171" s="903"/>
      <c r="W171" s="903"/>
      <c r="X171" s="903"/>
    </row>
    <row r="172" spans="1:24" ht="30" x14ac:dyDescent="0.25">
      <c r="A172" s="3"/>
      <c r="B172" s="3"/>
      <c r="C172" s="1"/>
      <c r="D172" s="1"/>
      <c r="E172" s="1"/>
      <c r="F172" s="1"/>
      <c r="G172" s="1"/>
      <c r="H172" s="1"/>
      <c r="I172" s="1"/>
      <c r="J172" s="1" t="s">
        <v>3281</v>
      </c>
      <c r="K172" s="429" t="s">
        <v>3282</v>
      </c>
      <c r="L172" s="218" t="s">
        <v>3096</v>
      </c>
      <c r="M172" s="429" t="s">
        <v>3283</v>
      </c>
      <c r="N172" s="429"/>
      <c r="O172" s="429"/>
      <c r="P172" s="892" t="s">
        <v>3284</v>
      </c>
      <c r="Q172" s="429" t="s">
        <v>3285</v>
      </c>
      <c r="R172" s="6"/>
      <c r="S172" s="1"/>
      <c r="T172" s="4"/>
      <c r="U172" s="4"/>
      <c r="V172" s="1"/>
      <c r="W172" s="1"/>
      <c r="X172" s="1"/>
    </row>
    <row r="173" spans="1:24" ht="45" x14ac:dyDescent="0.25">
      <c r="A173" s="3"/>
      <c r="B173" s="3"/>
      <c r="C173" s="1"/>
      <c r="D173" s="1"/>
      <c r="E173" s="1"/>
      <c r="F173" s="1"/>
      <c r="G173" s="1"/>
      <c r="H173" s="1"/>
      <c r="I173" s="1"/>
      <c r="J173" s="12" t="s">
        <v>3286</v>
      </c>
      <c r="K173" s="429" t="s">
        <v>3287</v>
      </c>
      <c r="L173" s="218" t="s">
        <v>3096</v>
      </c>
      <c r="M173" s="429" t="s">
        <v>3288</v>
      </c>
      <c r="N173" s="429"/>
      <c r="O173" s="429"/>
      <c r="P173" s="892"/>
      <c r="Q173" s="429"/>
      <c r="R173" s="6"/>
      <c r="S173" s="1"/>
      <c r="T173" s="4"/>
      <c r="U173" s="4"/>
      <c r="V173" s="1"/>
      <c r="W173" s="1"/>
      <c r="X173" s="1"/>
    </row>
    <row r="174" spans="1:24" ht="30" x14ac:dyDescent="0.25">
      <c r="A174" s="3"/>
      <c r="B174" s="3"/>
      <c r="C174" s="1"/>
      <c r="D174" s="1"/>
      <c r="E174" s="1"/>
      <c r="F174" s="1"/>
      <c r="G174" s="1"/>
      <c r="H174" s="1"/>
      <c r="I174" s="1"/>
      <c r="J174" s="1" t="s">
        <v>3289</v>
      </c>
      <c r="K174" s="429" t="s">
        <v>3290</v>
      </c>
      <c r="L174" s="218" t="s">
        <v>3096</v>
      </c>
      <c r="M174" s="429" t="s">
        <v>3291</v>
      </c>
      <c r="N174" s="429"/>
      <c r="O174" s="429"/>
      <c r="P174" s="892"/>
      <c r="Q174" s="429"/>
      <c r="R174" s="6"/>
      <c r="S174" s="1"/>
      <c r="T174" s="4"/>
      <c r="U174" s="4"/>
      <c r="V174" s="1"/>
      <c r="W174" s="1"/>
      <c r="X174" s="1"/>
    </row>
    <row r="175" spans="1:24" ht="30" x14ac:dyDescent="0.25">
      <c r="A175" s="3"/>
      <c r="B175" s="3"/>
      <c r="C175" s="1"/>
      <c r="D175" s="1"/>
      <c r="E175" s="1"/>
      <c r="F175" s="1"/>
      <c r="G175" s="1"/>
      <c r="H175" s="1"/>
      <c r="I175" s="1"/>
      <c r="J175" s="1" t="s">
        <v>3292</v>
      </c>
      <c r="K175" s="429" t="s">
        <v>3293</v>
      </c>
      <c r="L175" s="218" t="s">
        <v>3096</v>
      </c>
      <c r="M175" s="429"/>
      <c r="N175" s="429"/>
      <c r="O175" s="429"/>
      <c r="P175" s="892"/>
      <c r="Q175" s="429"/>
      <c r="R175" s="6"/>
      <c r="S175" s="1"/>
      <c r="T175" s="4"/>
      <c r="U175" s="4"/>
      <c r="V175" s="1"/>
      <c r="W175" s="1"/>
      <c r="X175" s="1"/>
    </row>
    <row r="176" spans="1:24" ht="45" x14ac:dyDescent="0.25">
      <c r="A176" s="3"/>
      <c r="B176" s="3"/>
      <c r="C176" s="1"/>
      <c r="D176" s="1"/>
      <c r="E176" s="1"/>
      <c r="F176" s="1"/>
      <c r="G176" s="1"/>
      <c r="H176" s="1"/>
      <c r="I176" s="1"/>
      <c r="J176" s="1" t="s">
        <v>3294</v>
      </c>
      <c r="K176" s="438" t="s">
        <v>3295</v>
      </c>
      <c r="L176" s="218"/>
      <c r="M176" s="429"/>
      <c r="N176" s="429"/>
      <c r="O176" s="429"/>
      <c r="P176" s="892"/>
      <c r="Q176" s="429"/>
      <c r="R176" s="6"/>
      <c r="S176" s="1"/>
      <c r="T176" s="4"/>
      <c r="U176" s="4"/>
      <c r="V176" s="1"/>
      <c r="W176" s="1"/>
      <c r="X176" s="1"/>
    </row>
    <row r="177" spans="1:24" ht="105" x14ac:dyDescent="0.25">
      <c r="A177" s="3"/>
      <c r="B177" s="3"/>
      <c r="C177" s="1"/>
      <c r="D177" s="1"/>
      <c r="E177" s="1"/>
      <c r="F177" s="621"/>
      <c r="G177" s="621"/>
      <c r="H177" s="621"/>
      <c r="I177" s="621"/>
      <c r="J177" s="621" t="s">
        <v>3296</v>
      </c>
      <c r="K177" s="438" t="s">
        <v>3297</v>
      </c>
      <c r="L177" s="218"/>
      <c r="M177" s="429"/>
      <c r="N177" s="429"/>
      <c r="O177" s="429"/>
      <c r="P177" s="892"/>
      <c r="Q177" s="429" t="s">
        <v>3298</v>
      </c>
      <c r="R177" s="6"/>
      <c r="S177" s="1"/>
      <c r="T177" s="4"/>
      <c r="U177" s="4"/>
      <c r="V177" s="1"/>
      <c r="W177" s="1"/>
      <c r="X177" s="1"/>
    </row>
    <row r="178" spans="1:24" ht="45" x14ac:dyDescent="0.25">
      <c r="A178" s="3"/>
      <c r="B178" s="3"/>
      <c r="C178" s="1"/>
      <c r="D178" s="1"/>
      <c r="E178" s="66"/>
      <c r="F178" s="1231" t="s">
        <v>3299</v>
      </c>
      <c r="G178" s="1231"/>
      <c r="H178" s="1231"/>
      <c r="I178" s="1231"/>
      <c r="J178" s="1231"/>
      <c r="K178" s="913" t="s">
        <v>3300</v>
      </c>
      <c r="L178" s="907"/>
      <c r="M178" s="899"/>
      <c r="N178" s="899"/>
      <c r="O178" s="899"/>
      <c r="P178" s="901"/>
      <c r="Q178" s="899"/>
      <c r="R178" s="902"/>
      <c r="S178" s="903"/>
      <c r="T178" s="904"/>
      <c r="U178" s="904"/>
      <c r="V178" s="903"/>
      <c r="W178" s="903"/>
      <c r="X178" s="903"/>
    </row>
    <row r="179" spans="1:24" ht="30" x14ac:dyDescent="0.25">
      <c r="A179" s="3"/>
      <c r="B179" s="3"/>
      <c r="C179" s="1"/>
      <c r="D179" s="1"/>
      <c r="E179" s="1"/>
      <c r="F179" s="65"/>
      <c r="G179" s="65"/>
      <c r="H179" s="65"/>
      <c r="I179" s="65"/>
      <c r="J179" s="184" t="s">
        <v>3301</v>
      </c>
      <c r="K179" s="429" t="s">
        <v>3302</v>
      </c>
      <c r="L179" s="218"/>
      <c r="M179" s="429"/>
      <c r="N179" s="429"/>
      <c r="O179" s="429"/>
      <c r="P179" s="911" t="s">
        <v>3303</v>
      </c>
      <c r="Q179" s="429"/>
      <c r="R179" s="6"/>
      <c r="S179" s="1"/>
      <c r="T179" s="4"/>
      <c r="U179" s="4"/>
      <c r="V179" s="1"/>
      <c r="W179" s="1"/>
      <c r="X179" s="1"/>
    </row>
    <row r="180" spans="1:24" ht="30" x14ac:dyDescent="0.25">
      <c r="A180" s="3"/>
      <c r="B180" s="3"/>
      <c r="C180" s="1"/>
      <c r="D180" s="1"/>
      <c r="E180" s="1"/>
      <c r="F180" s="1"/>
      <c r="G180" s="1"/>
      <c r="H180" s="1"/>
      <c r="I180" s="1"/>
      <c r="J180" s="12" t="s">
        <v>3304</v>
      </c>
      <c r="K180" s="429" t="s">
        <v>3305</v>
      </c>
      <c r="L180" s="218"/>
      <c r="M180" s="429"/>
      <c r="N180" s="429"/>
      <c r="O180" s="429"/>
      <c r="P180" s="911" t="s">
        <v>3303</v>
      </c>
      <c r="Q180" s="429"/>
      <c r="R180" s="6"/>
      <c r="S180" s="1"/>
      <c r="T180" s="4"/>
      <c r="U180" s="4"/>
      <c r="V180" s="1"/>
      <c r="W180" s="1"/>
      <c r="X180" s="1"/>
    </row>
    <row r="181" spans="1:24" ht="30" x14ac:dyDescent="0.25">
      <c r="A181" s="3"/>
      <c r="B181" s="3"/>
      <c r="C181" s="1"/>
      <c r="D181" s="1"/>
      <c r="E181" s="1"/>
      <c r="F181" s="1"/>
      <c r="G181" s="1"/>
      <c r="H181" s="1"/>
      <c r="I181" s="1"/>
      <c r="J181" s="12" t="s">
        <v>3306</v>
      </c>
      <c r="K181" s="429" t="s">
        <v>3307</v>
      </c>
      <c r="L181" s="218"/>
      <c r="M181" s="429"/>
      <c r="N181" s="429"/>
      <c r="O181" s="429"/>
      <c r="P181" s="911" t="s">
        <v>3303</v>
      </c>
      <c r="Q181" s="429"/>
      <c r="R181" s="6"/>
      <c r="S181" s="1"/>
      <c r="T181" s="4"/>
      <c r="U181" s="4"/>
      <c r="V181" s="1"/>
      <c r="W181" s="1"/>
      <c r="X181" s="1"/>
    </row>
    <row r="182" spans="1:24" ht="25.5" x14ac:dyDescent="0.25">
      <c r="A182" s="3"/>
      <c r="B182" s="3"/>
      <c r="C182" s="1"/>
      <c r="D182" s="1"/>
      <c r="E182" s="1"/>
      <c r="F182" s="1"/>
      <c r="G182" s="1"/>
      <c r="H182" s="1"/>
      <c r="I182" s="1"/>
      <c r="J182" s="12" t="s">
        <v>3308</v>
      </c>
      <c r="K182" s="429" t="s">
        <v>3309</v>
      </c>
      <c r="L182" s="218"/>
      <c r="M182" s="429"/>
      <c r="N182" s="429"/>
      <c r="O182" s="429"/>
      <c r="P182" s="911" t="s">
        <v>3303</v>
      </c>
      <c r="Q182" s="429"/>
      <c r="R182" s="6"/>
      <c r="S182" s="1"/>
      <c r="T182" s="4"/>
      <c r="U182" s="4"/>
      <c r="V182" s="1"/>
      <c r="W182" s="1"/>
      <c r="X182" s="1"/>
    </row>
    <row r="183" spans="1:24" ht="30" x14ac:dyDescent="0.25">
      <c r="A183" s="3"/>
      <c r="B183" s="3"/>
      <c r="C183" s="1"/>
      <c r="D183" s="1"/>
      <c r="E183" s="1"/>
      <c r="F183" s="1"/>
      <c r="G183" s="1"/>
      <c r="H183" s="1"/>
      <c r="I183" s="1"/>
      <c r="J183" s="12" t="s">
        <v>3310</v>
      </c>
      <c r="K183" s="429" t="s">
        <v>3311</v>
      </c>
      <c r="L183" s="218"/>
      <c r="M183" s="429"/>
      <c r="N183" s="429"/>
      <c r="O183" s="429"/>
      <c r="P183" s="892"/>
      <c r="Q183" s="429"/>
      <c r="R183" s="6"/>
      <c r="S183" s="1"/>
      <c r="T183" s="4"/>
      <c r="U183" s="4"/>
      <c r="V183" s="1"/>
      <c r="W183" s="1"/>
      <c r="X183" s="1"/>
    </row>
    <row r="184" spans="1:24" x14ac:dyDescent="0.25">
      <c r="A184" s="3"/>
      <c r="B184" s="3"/>
      <c r="C184" s="1"/>
      <c r="D184" s="1"/>
      <c r="E184" s="1"/>
      <c r="F184" s="1"/>
      <c r="G184" s="1"/>
      <c r="H184" s="1"/>
      <c r="I184" s="1"/>
      <c r="J184" s="12" t="s">
        <v>3312</v>
      </c>
      <c r="K184" s="429" t="s">
        <v>3313</v>
      </c>
      <c r="L184" s="218"/>
      <c r="M184" s="429"/>
      <c r="N184" s="429"/>
      <c r="O184" s="429"/>
      <c r="P184" s="892"/>
      <c r="Q184" s="429"/>
      <c r="R184" s="6"/>
      <c r="S184" s="1"/>
      <c r="T184" s="4"/>
      <c r="U184" s="4"/>
      <c r="V184" s="1"/>
      <c r="W184" s="1"/>
      <c r="X184" s="1"/>
    </row>
    <row r="185" spans="1:24" x14ac:dyDescent="0.25">
      <c r="A185" s="3"/>
      <c r="B185" s="3"/>
      <c r="C185" s="1"/>
      <c r="D185" s="1"/>
      <c r="E185" s="1"/>
      <c r="F185" s="1"/>
      <c r="G185" s="1"/>
      <c r="H185" s="1"/>
      <c r="I185" s="1"/>
      <c r="J185" s="12" t="s">
        <v>3314</v>
      </c>
      <c r="K185" s="429"/>
      <c r="L185" s="218"/>
      <c r="M185" s="429"/>
      <c r="N185" s="429"/>
      <c r="O185" s="429"/>
      <c r="P185" s="892"/>
      <c r="Q185" s="429"/>
      <c r="R185" s="6"/>
      <c r="S185" s="1"/>
      <c r="T185" s="4"/>
      <c r="U185" s="4"/>
      <c r="V185" s="1"/>
      <c r="W185" s="1"/>
      <c r="X185" s="1"/>
    </row>
    <row r="186" spans="1:24" ht="30" x14ac:dyDescent="0.25">
      <c r="A186" s="3"/>
      <c r="B186" s="3"/>
      <c r="C186" s="1"/>
      <c r="D186" s="1"/>
      <c r="E186" s="1"/>
      <c r="F186" s="1"/>
      <c r="G186" s="1"/>
      <c r="H186" s="1"/>
      <c r="I186" s="1"/>
      <c r="J186" s="12" t="s">
        <v>3315</v>
      </c>
      <c r="K186" s="429"/>
      <c r="L186" s="218"/>
      <c r="M186" s="429"/>
      <c r="N186" s="429"/>
      <c r="O186" s="429"/>
      <c r="P186" s="892"/>
      <c r="Q186" s="429"/>
      <c r="R186" s="6"/>
      <c r="S186" s="1"/>
      <c r="T186" s="4"/>
      <c r="U186" s="4"/>
      <c r="V186" s="1"/>
      <c r="W186" s="1"/>
      <c r="X186" s="1"/>
    </row>
    <row r="187" spans="1:24" ht="30" x14ac:dyDescent="0.25">
      <c r="A187" s="3"/>
      <c r="B187" s="3"/>
      <c r="C187" s="1"/>
      <c r="D187" s="1"/>
      <c r="E187" s="1"/>
      <c r="F187" s="1"/>
      <c r="G187" s="1"/>
      <c r="H187" s="1"/>
      <c r="I187" s="1"/>
      <c r="J187" s="1" t="s">
        <v>3294</v>
      </c>
      <c r="K187" s="438" t="s">
        <v>3316</v>
      </c>
      <c r="L187" s="218"/>
      <c r="M187" s="429"/>
      <c r="N187" s="429"/>
      <c r="O187" s="429"/>
      <c r="P187" s="892"/>
      <c r="Q187" s="429"/>
      <c r="R187" s="6"/>
      <c r="S187" s="1"/>
      <c r="T187" s="4"/>
      <c r="U187" s="4"/>
      <c r="V187" s="1"/>
      <c r="W187" s="1"/>
      <c r="X187" s="1"/>
    </row>
    <row r="188" spans="1:24" ht="105" x14ac:dyDescent="0.25">
      <c r="A188" s="3"/>
      <c r="B188" s="3"/>
      <c r="C188" s="1"/>
      <c r="D188" s="1"/>
      <c r="E188" s="1"/>
      <c r="F188" s="1"/>
      <c r="G188" s="1"/>
      <c r="H188" s="1"/>
      <c r="I188" s="1"/>
      <c r="J188" s="1" t="s">
        <v>3296</v>
      </c>
      <c r="K188" s="438" t="s">
        <v>3297</v>
      </c>
      <c r="L188" s="218"/>
      <c r="M188" s="429"/>
      <c r="N188" s="429"/>
      <c r="O188" s="429"/>
      <c r="P188" s="892"/>
      <c r="Q188" s="429" t="s">
        <v>3298</v>
      </c>
      <c r="R188" s="6"/>
      <c r="S188" s="1"/>
      <c r="T188" s="4"/>
      <c r="U188" s="4"/>
      <c r="V188" s="1"/>
      <c r="W188" s="1"/>
      <c r="X188" s="1"/>
    </row>
    <row r="189" spans="1:24" x14ac:dyDescent="0.25">
      <c r="A189" s="3"/>
      <c r="B189" s="3"/>
      <c r="C189" s="1"/>
      <c r="D189" s="1"/>
      <c r="E189" s="1072" t="s">
        <v>3317</v>
      </c>
      <c r="F189" s="1072"/>
      <c r="G189" s="1072"/>
      <c r="H189" s="1072"/>
      <c r="I189" s="1072"/>
      <c r="J189" s="1072"/>
      <c r="K189" s="89"/>
      <c r="L189" s="89"/>
      <c r="M189" s="893"/>
      <c r="N189" s="893"/>
      <c r="O189" s="893"/>
      <c r="P189" s="893"/>
      <c r="Q189" s="893"/>
      <c r="R189" s="89"/>
      <c r="S189" s="89"/>
      <c r="T189" s="89"/>
      <c r="U189" s="89"/>
      <c r="V189" s="89"/>
      <c r="W189" s="89"/>
      <c r="X189" s="89"/>
    </row>
    <row r="190" spans="1:24" x14ac:dyDescent="0.25">
      <c r="A190" s="3"/>
      <c r="B190" s="3"/>
      <c r="C190" s="1"/>
      <c r="D190" s="1"/>
      <c r="E190" s="1"/>
      <c r="F190" s="1"/>
      <c r="G190" s="1"/>
      <c r="H190" s="1"/>
      <c r="I190" s="1"/>
      <c r="J190" s="12" t="s">
        <v>3318</v>
      </c>
      <c r="K190" s="429" t="s">
        <v>3319</v>
      </c>
      <c r="L190" s="218"/>
      <c r="M190" s="429"/>
      <c r="N190" s="429"/>
      <c r="O190" s="429"/>
      <c r="P190" s="892"/>
      <c r="Q190" s="429"/>
      <c r="R190" s="6"/>
      <c r="S190" s="1"/>
      <c r="T190" s="4"/>
      <c r="U190" s="4"/>
      <c r="V190" s="1"/>
      <c r="W190" s="1"/>
      <c r="X190" s="1"/>
    </row>
    <row r="191" spans="1:24" x14ac:dyDescent="0.25">
      <c r="A191" s="3"/>
      <c r="B191" s="3"/>
      <c r="C191" s="1"/>
      <c r="D191" s="1"/>
      <c r="E191" s="1"/>
      <c r="F191" s="1"/>
      <c r="G191" s="1"/>
      <c r="H191" s="1"/>
      <c r="I191" s="1"/>
      <c r="J191" s="12" t="s">
        <v>3320</v>
      </c>
      <c r="K191" s="429" t="s">
        <v>3321</v>
      </c>
      <c r="L191" s="218"/>
      <c r="M191" s="429"/>
      <c r="N191" s="429"/>
      <c r="O191" s="429"/>
      <c r="P191" s="892"/>
      <c r="Q191" s="429"/>
      <c r="R191" s="6"/>
      <c r="S191" s="1"/>
      <c r="T191" s="4"/>
      <c r="U191" s="4"/>
      <c r="V191" s="1"/>
      <c r="W191" s="1"/>
      <c r="X191" s="1"/>
    </row>
    <row r="192" spans="1:24" x14ac:dyDescent="0.25">
      <c r="A192" s="3"/>
      <c r="B192" s="3"/>
      <c r="C192" s="1"/>
      <c r="D192" s="1"/>
      <c r="E192" s="1"/>
      <c r="F192" s="1"/>
      <c r="G192" s="1"/>
      <c r="H192" s="1"/>
      <c r="I192" s="1"/>
      <c r="J192" s="12" t="s">
        <v>3322</v>
      </c>
      <c r="K192" s="429" t="s">
        <v>3323</v>
      </c>
      <c r="L192" s="218"/>
      <c r="M192" s="429"/>
      <c r="N192" s="429"/>
      <c r="O192" s="429"/>
      <c r="P192" s="892"/>
      <c r="Q192" s="429"/>
      <c r="R192" s="6"/>
      <c r="S192" s="1"/>
      <c r="T192" s="4"/>
      <c r="U192" s="4"/>
      <c r="V192" s="1"/>
      <c r="W192" s="1"/>
      <c r="X192" s="1"/>
    </row>
    <row r="193" spans="1:24" x14ac:dyDescent="0.25">
      <c r="A193" s="3"/>
      <c r="B193" s="3"/>
      <c r="C193" s="1"/>
      <c r="D193" s="1"/>
      <c r="E193" s="1"/>
      <c r="F193" s="1"/>
      <c r="G193" s="1"/>
      <c r="H193" s="1"/>
      <c r="I193" s="1"/>
      <c r="J193" s="12" t="s">
        <v>3324</v>
      </c>
      <c r="K193" s="429" t="s">
        <v>3325</v>
      </c>
      <c r="L193" s="218"/>
      <c r="M193" s="429"/>
      <c r="N193" s="429"/>
      <c r="O193" s="429"/>
      <c r="P193" s="892"/>
      <c r="Q193" s="429"/>
      <c r="R193" s="6"/>
      <c r="S193" s="1"/>
      <c r="T193" s="4"/>
      <c r="U193" s="4"/>
      <c r="V193" s="1"/>
      <c r="W193" s="1"/>
      <c r="X193" s="1"/>
    </row>
    <row r="194" spans="1:24" x14ac:dyDescent="0.25">
      <c r="A194" s="3"/>
      <c r="B194" s="3"/>
      <c r="C194" s="1"/>
      <c r="D194" s="1"/>
      <c r="E194" s="1"/>
      <c r="F194" s="1"/>
      <c r="G194" s="1"/>
      <c r="H194" s="1"/>
      <c r="I194" s="1"/>
      <c r="J194" s="12" t="s">
        <v>3326</v>
      </c>
      <c r="K194" s="429" t="s">
        <v>3327</v>
      </c>
      <c r="L194" s="218"/>
      <c r="M194" s="429"/>
      <c r="N194" s="429"/>
      <c r="O194" s="429"/>
      <c r="P194" s="892"/>
      <c r="Q194" s="429"/>
      <c r="R194" s="6"/>
      <c r="S194" s="1"/>
      <c r="T194" s="4"/>
      <c r="U194" s="4"/>
      <c r="V194" s="1"/>
      <c r="W194" s="1"/>
      <c r="X194" s="1"/>
    </row>
    <row r="195" spans="1:24" x14ac:dyDescent="0.25">
      <c r="C195" s="1"/>
      <c r="D195" s="1"/>
      <c r="E195" s="1081" t="s">
        <v>3328</v>
      </c>
      <c r="F195" s="1081"/>
      <c r="G195" s="1081"/>
      <c r="H195" s="1081"/>
      <c r="I195" s="1081"/>
      <c r="J195" s="1081"/>
      <c r="K195" s="895"/>
      <c r="L195" s="104"/>
      <c r="M195" s="895"/>
      <c r="N195" s="895"/>
      <c r="O195" s="895"/>
      <c r="P195" s="897"/>
      <c r="Q195" s="895"/>
      <c r="R195" s="896"/>
      <c r="S195" s="735"/>
      <c r="T195" s="898"/>
      <c r="U195" s="898"/>
      <c r="V195" s="735"/>
      <c r="W195" s="735"/>
      <c r="X195" s="735"/>
    </row>
    <row r="196" spans="1:24" x14ac:dyDescent="0.25">
      <c r="C196" s="1"/>
      <c r="D196" s="1"/>
      <c r="E196" s="1"/>
      <c r="F196" s="1231" t="s">
        <v>3329</v>
      </c>
      <c r="G196" s="1231"/>
      <c r="H196" s="1231"/>
      <c r="I196" s="1231"/>
      <c r="J196" s="1231"/>
      <c r="K196" s="907"/>
      <c r="L196" s="899"/>
      <c r="M196" s="908"/>
      <c r="N196" s="908"/>
      <c r="O196" s="908"/>
      <c r="P196" s="899"/>
      <c r="Q196" s="908"/>
      <c r="R196" s="903"/>
      <c r="S196" s="903"/>
      <c r="T196" s="904"/>
      <c r="U196" s="904"/>
      <c r="V196" s="903"/>
      <c r="W196" s="903"/>
      <c r="X196" s="903"/>
    </row>
    <row r="197" spans="1:24" x14ac:dyDescent="0.25">
      <c r="C197" s="1"/>
      <c r="D197" s="1"/>
      <c r="E197" s="1"/>
      <c r="F197" s="1"/>
      <c r="G197" s="1"/>
      <c r="H197" s="1"/>
      <c r="I197" s="1"/>
      <c r="J197" s="218"/>
      <c r="K197" s="429"/>
      <c r="L197" s="406"/>
      <c r="M197" s="430"/>
      <c r="N197" s="430"/>
      <c r="O197" s="430"/>
      <c r="P197" s="429"/>
      <c r="Q197" s="430"/>
      <c r="R197" s="1"/>
      <c r="S197" s="1"/>
      <c r="T197" s="4"/>
      <c r="U197" s="4"/>
      <c r="V197" s="1"/>
      <c r="W197" s="1"/>
      <c r="X197" s="1"/>
    </row>
    <row r="198" spans="1:24" x14ac:dyDescent="0.25">
      <c r="C198" s="1"/>
      <c r="D198" s="1"/>
      <c r="E198" s="1"/>
      <c r="F198" s="1"/>
      <c r="G198" s="1"/>
      <c r="H198" s="1"/>
      <c r="I198" s="1"/>
      <c r="J198" s="12"/>
      <c r="K198" s="429"/>
      <c r="L198" s="406"/>
      <c r="M198" s="430"/>
      <c r="N198" s="430"/>
      <c r="O198" s="430"/>
      <c r="P198" s="429"/>
      <c r="Q198" s="430"/>
      <c r="R198" s="1"/>
      <c r="S198" s="1"/>
      <c r="T198" s="4"/>
      <c r="U198" s="4"/>
      <c r="V198" s="1"/>
      <c r="W198" s="1"/>
      <c r="X198" s="1"/>
    </row>
    <row r="199" spans="1:24" x14ac:dyDescent="0.25">
      <c r="C199" s="1"/>
      <c r="D199" s="1"/>
      <c r="E199" s="1"/>
      <c r="F199" s="1"/>
      <c r="G199" s="1"/>
      <c r="H199" s="1"/>
      <c r="I199" s="1"/>
      <c r="J199" s="12"/>
      <c r="K199" s="429"/>
      <c r="L199" s="406"/>
      <c r="M199" s="430"/>
      <c r="N199" s="430"/>
      <c r="O199" s="430"/>
      <c r="P199" s="429"/>
      <c r="Q199" s="430"/>
      <c r="R199" s="1"/>
      <c r="S199" s="1"/>
      <c r="T199" s="4"/>
      <c r="U199" s="4"/>
      <c r="V199" s="1"/>
      <c r="W199" s="1"/>
      <c r="X199" s="1"/>
    </row>
    <row r="200" spans="1:24" x14ac:dyDescent="0.25">
      <c r="C200" s="1"/>
      <c r="D200" s="1"/>
      <c r="E200" s="1"/>
      <c r="F200" s="1"/>
      <c r="G200" s="1"/>
      <c r="H200" s="1"/>
      <c r="I200" s="1"/>
      <c r="J200" s="12"/>
      <c r="K200" s="429"/>
      <c r="L200" s="406"/>
      <c r="M200" s="430"/>
      <c r="N200" s="430"/>
      <c r="O200" s="430"/>
      <c r="P200" s="429"/>
      <c r="Q200" s="430"/>
      <c r="R200" s="1"/>
      <c r="S200" s="1"/>
      <c r="T200" s="4"/>
      <c r="U200" s="4"/>
      <c r="V200" s="1"/>
      <c r="W200" s="1"/>
      <c r="X200" s="1"/>
    </row>
    <row r="201" spans="1:24" x14ac:dyDescent="0.25">
      <c r="C201" s="1"/>
      <c r="D201" s="1"/>
      <c r="E201" s="1"/>
      <c r="F201" s="1"/>
      <c r="G201" s="1"/>
      <c r="H201" s="1"/>
      <c r="I201" s="1"/>
      <c r="J201" s="12"/>
      <c r="K201" s="429"/>
      <c r="L201" s="406"/>
      <c r="M201" s="430"/>
      <c r="N201" s="430"/>
      <c r="O201" s="430"/>
      <c r="P201" s="429"/>
      <c r="Q201" s="430"/>
      <c r="R201" s="1"/>
      <c r="S201" s="1"/>
      <c r="T201" s="4"/>
      <c r="U201" s="4"/>
      <c r="V201" s="1"/>
      <c r="W201" s="1"/>
      <c r="X201" s="1"/>
    </row>
    <row r="202" spans="1:24" x14ac:dyDescent="0.25">
      <c r="C202" s="1"/>
      <c r="D202" s="1"/>
      <c r="E202" s="1"/>
      <c r="F202" s="1"/>
      <c r="G202" s="1"/>
      <c r="H202" s="1"/>
      <c r="I202" s="1"/>
      <c r="J202" s="12"/>
      <c r="K202" s="429"/>
      <c r="L202" s="406"/>
      <c r="M202" s="430"/>
      <c r="N202" s="430"/>
      <c r="O202" s="430"/>
      <c r="P202" s="429"/>
      <c r="Q202" s="430"/>
      <c r="R202" s="1"/>
      <c r="S202" s="1"/>
      <c r="T202" s="4"/>
      <c r="U202" s="4"/>
      <c r="V202" s="1"/>
      <c r="W202" s="1"/>
      <c r="X202" s="1"/>
    </row>
    <row r="203" spans="1:24" x14ac:dyDescent="0.25">
      <c r="C203" s="1"/>
      <c r="D203" s="1"/>
      <c r="E203" s="1"/>
      <c r="F203" s="1234" t="s">
        <v>3330</v>
      </c>
      <c r="G203" s="1235"/>
      <c r="H203" s="1235"/>
      <c r="I203" s="1235"/>
      <c r="J203" s="1236"/>
      <c r="K203" s="899"/>
      <c r="L203" s="905"/>
      <c r="M203" s="908"/>
      <c r="N203" s="908"/>
      <c r="O203" s="908"/>
      <c r="P203" s="899"/>
      <c r="Q203" s="908"/>
      <c r="R203" s="903"/>
      <c r="S203" s="903"/>
      <c r="T203" s="904"/>
      <c r="U203" s="904"/>
      <c r="V203" s="903"/>
      <c r="W203" s="903"/>
      <c r="X203" s="903"/>
    </row>
    <row r="204" spans="1:24" x14ac:dyDescent="0.25">
      <c r="C204" s="1"/>
      <c r="D204" s="1"/>
      <c r="E204" s="1"/>
      <c r="F204" s="1"/>
      <c r="G204" s="1"/>
      <c r="H204" s="1"/>
      <c r="I204" s="1"/>
      <c r="J204" s="12"/>
      <c r="K204" s="429"/>
      <c r="L204" s="406"/>
      <c r="M204" s="430"/>
      <c r="N204" s="430"/>
      <c r="O204" s="430"/>
      <c r="P204" s="429"/>
      <c r="Q204" s="430"/>
      <c r="R204" s="1"/>
      <c r="S204" s="1"/>
      <c r="T204" s="4"/>
      <c r="U204" s="4"/>
      <c r="V204" s="1"/>
      <c r="W204" s="1"/>
      <c r="X204" s="1"/>
    </row>
    <row r="205" spans="1:24" x14ac:dyDescent="0.25">
      <c r="C205" s="1"/>
      <c r="D205" s="1"/>
      <c r="E205" s="1"/>
      <c r="F205" s="1"/>
      <c r="G205" s="1"/>
      <c r="H205" s="1"/>
      <c r="I205" s="1"/>
      <c r="J205" s="12"/>
      <c r="K205" s="429"/>
      <c r="L205" s="406"/>
      <c r="M205" s="430"/>
      <c r="N205" s="430"/>
      <c r="O205" s="430"/>
      <c r="P205" s="429"/>
      <c r="Q205" s="430"/>
      <c r="R205" s="1"/>
      <c r="S205" s="1"/>
      <c r="T205" s="4"/>
      <c r="U205" s="4"/>
      <c r="V205" s="1"/>
      <c r="W205" s="1"/>
      <c r="X205" s="1"/>
    </row>
    <row r="206" spans="1:24" x14ac:dyDescent="0.25">
      <c r="C206" s="1"/>
      <c r="D206" s="1"/>
      <c r="E206" s="1"/>
      <c r="F206" s="1"/>
      <c r="G206" s="1"/>
      <c r="H206" s="1"/>
      <c r="I206" s="1"/>
      <c r="J206" s="12"/>
      <c r="K206" s="429"/>
      <c r="L206" s="406"/>
      <c r="M206" s="430"/>
      <c r="N206" s="430"/>
      <c r="O206" s="430"/>
      <c r="P206" s="429"/>
      <c r="Q206" s="430"/>
      <c r="R206" s="1"/>
      <c r="S206" s="1"/>
      <c r="T206" s="4"/>
      <c r="U206" s="4"/>
      <c r="V206" s="1"/>
      <c r="W206" s="1"/>
      <c r="X206" s="1"/>
    </row>
    <row r="207" spans="1:24" x14ac:dyDescent="0.25">
      <c r="C207" s="1"/>
      <c r="D207" s="1"/>
      <c r="E207" s="1"/>
      <c r="F207" s="1"/>
      <c r="G207" s="1"/>
      <c r="H207" s="1"/>
      <c r="I207" s="1"/>
      <c r="J207" s="12"/>
      <c r="K207" s="429"/>
      <c r="L207" s="406"/>
      <c r="M207" s="430"/>
      <c r="N207" s="430"/>
      <c r="O207" s="430"/>
      <c r="P207" s="429"/>
      <c r="Q207" s="430"/>
      <c r="R207" s="1"/>
      <c r="S207" s="1"/>
      <c r="T207" s="4"/>
      <c r="U207" s="4"/>
      <c r="V207" s="1"/>
      <c r="W207" s="1"/>
      <c r="X207" s="1"/>
    </row>
    <row r="208" spans="1:24" x14ac:dyDescent="0.25">
      <c r="C208" s="1"/>
      <c r="D208" s="1"/>
      <c r="E208" s="1"/>
      <c r="F208" s="1"/>
      <c r="G208" s="1"/>
      <c r="H208" s="1"/>
      <c r="I208" s="1"/>
      <c r="J208" s="12"/>
      <c r="K208" s="429"/>
      <c r="L208" s="406"/>
      <c r="M208" s="430"/>
      <c r="N208" s="430"/>
      <c r="O208" s="430"/>
      <c r="P208" s="429"/>
      <c r="Q208" s="430"/>
      <c r="R208" s="1"/>
      <c r="S208" s="1"/>
      <c r="T208" s="4"/>
      <c r="U208" s="4"/>
      <c r="V208" s="1"/>
      <c r="W208" s="1"/>
      <c r="X208" s="1"/>
    </row>
    <row r="209" spans="3:24" x14ac:dyDescent="0.25">
      <c r="C209" s="1"/>
      <c r="D209" s="1"/>
      <c r="E209" s="1"/>
      <c r="F209" s="1"/>
      <c r="G209" s="1"/>
      <c r="H209" s="1"/>
      <c r="I209" s="1"/>
      <c r="J209" s="12"/>
      <c r="K209" s="429"/>
      <c r="L209" s="406"/>
      <c r="M209" s="430"/>
      <c r="N209" s="430"/>
      <c r="O209" s="430"/>
      <c r="P209" s="429"/>
      <c r="Q209" s="430"/>
      <c r="R209" s="1"/>
      <c r="S209" s="1"/>
      <c r="T209" s="4"/>
      <c r="U209" s="4"/>
      <c r="V209" s="1"/>
      <c r="W209" s="1"/>
      <c r="X209" s="1"/>
    </row>
    <row r="210" spans="3:24" x14ac:dyDescent="0.25">
      <c r="C210" s="1"/>
      <c r="D210" s="1"/>
      <c r="E210" s="1"/>
      <c r="F210" s="1"/>
      <c r="G210" s="1"/>
      <c r="H210" s="1"/>
      <c r="I210" s="1"/>
      <c r="J210" s="12"/>
      <c r="K210" s="429"/>
      <c r="L210" s="406"/>
      <c r="M210" s="430"/>
      <c r="N210" s="430"/>
      <c r="O210" s="430"/>
      <c r="P210" s="429"/>
      <c r="Q210" s="430"/>
      <c r="R210" s="1"/>
      <c r="S210" s="1"/>
      <c r="T210" s="4"/>
      <c r="U210" s="4"/>
      <c r="V210" s="1"/>
      <c r="W210" s="1"/>
      <c r="X210" s="1"/>
    </row>
    <row r="211" spans="3:24" x14ac:dyDescent="0.25">
      <c r="C211" s="1"/>
      <c r="D211" s="1"/>
      <c r="E211" s="1"/>
      <c r="F211" s="1"/>
      <c r="G211" s="1"/>
      <c r="H211" s="1"/>
      <c r="I211" s="1"/>
      <c r="J211" s="12"/>
      <c r="K211" s="430"/>
      <c r="L211" s="406"/>
      <c r="M211" s="430"/>
      <c r="N211" s="430"/>
      <c r="O211" s="430"/>
      <c r="P211" s="429"/>
      <c r="Q211" s="430"/>
      <c r="R211" s="1"/>
      <c r="S211" s="1"/>
      <c r="T211" s="4"/>
      <c r="U211" s="4"/>
      <c r="V211" s="1"/>
      <c r="W211" s="1"/>
      <c r="X211" s="1"/>
    </row>
    <row r="212" spans="3:24" x14ac:dyDescent="0.25">
      <c r="C212" s="1"/>
      <c r="D212" s="1232" t="s">
        <v>3331</v>
      </c>
      <c r="E212" s="1232"/>
      <c r="F212" s="1232"/>
      <c r="G212" s="1232"/>
      <c r="H212" s="1232"/>
      <c r="I212" s="1232"/>
      <c r="J212" s="1232"/>
      <c r="K212" s="617"/>
      <c r="L212" s="434"/>
      <c r="M212" s="620"/>
      <c r="N212" s="620"/>
      <c r="O212" s="620"/>
      <c r="P212" s="617"/>
      <c r="Q212" s="620"/>
      <c r="R212" s="302"/>
      <c r="S212" s="302"/>
      <c r="T212" s="619"/>
      <c r="U212" s="619"/>
      <c r="V212" s="302"/>
      <c r="W212" s="302"/>
      <c r="X212" s="302"/>
    </row>
    <row r="213" spans="3:24" x14ac:dyDescent="0.25">
      <c r="C213" s="1"/>
      <c r="D213" s="1"/>
      <c r="E213" s="912" t="s">
        <v>3332</v>
      </c>
      <c r="F213" s="912"/>
      <c r="G213" s="912"/>
      <c r="H213" s="912"/>
      <c r="I213" s="912"/>
      <c r="J213" s="93"/>
      <c r="K213" s="895"/>
      <c r="L213" s="915"/>
      <c r="M213" s="916"/>
      <c r="N213" s="916"/>
      <c r="O213" s="916"/>
      <c r="P213" s="895"/>
      <c r="Q213" s="916"/>
      <c r="R213" s="735"/>
      <c r="S213" s="735"/>
      <c r="T213" s="898"/>
      <c r="U213" s="898"/>
      <c r="V213" s="735"/>
      <c r="W213" s="735"/>
      <c r="X213" s="735"/>
    </row>
    <row r="214" spans="3:24" x14ac:dyDescent="0.25">
      <c r="C214" s="1"/>
      <c r="D214" s="1"/>
      <c r="E214" s="1"/>
      <c r="F214" s="1"/>
      <c r="G214" s="1"/>
      <c r="H214" s="1"/>
      <c r="I214" s="1"/>
      <c r="J214" s="12"/>
      <c r="K214" s="429"/>
      <c r="L214" s="406"/>
      <c r="M214" s="430"/>
      <c r="N214" s="430"/>
      <c r="O214" s="430"/>
      <c r="P214" s="429"/>
      <c r="Q214" s="430"/>
      <c r="R214" s="1"/>
      <c r="S214" s="1"/>
      <c r="T214" s="4"/>
      <c r="U214" s="4"/>
      <c r="V214" s="1"/>
      <c r="W214" s="1"/>
      <c r="X214" s="1"/>
    </row>
    <row r="215" spans="3:24" x14ac:dyDescent="0.25">
      <c r="C215" s="1"/>
      <c r="D215" s="1" t="s">
        <v>3333</v>
      </c>
      <c r="E215" s="1"/>
      <c r="F215" s="1"/>
      <c r="G215" s="1"/>
      <c r="H215" s="1"/>
      <c r="I215" s="1"/>
      <c r="J215" s="1"/>
      <c r="K215" s="429"/>
      <c r="L215" s="406"/>
      <c r="M215" s="430"/>
      <c r="N215" s="430"/>
      <c r="O215" s="430"/>
      <c r="P215" s="429"/>
      <c r="Q215" s="430"/>
      <c r="R215" s="1"/>
      <c r="S215" s="1"/>
      <c r="T215" s="4"/>
      <c r="U215" s="4"/>
      <c r="V215" s="1"/>
      <c r="W215" s="1"/>
      <c r="X215" s="1"/>
    </row>
    <row r="216" spans="3:24" x14ac:dyDescent="0.25">
      <c r="C216" s="1"/>
      <c r="E216" t="s">
        <v>3119</v>
      </c>
      <c r="J216" s="6"/>
      <c r="K216" s="429"/>
      <c r="L216" s="406"/>
      <c r="M216" s="430"/>
      <c r="N216" s="430"/>
      <c r="O216" s="430"/>
      <c r="P216" s="429"/>
      <c r="Q216" s="430"/>
      <c r="R216" s="1"/>
      <c r="S216" s="1"/>
      <c r="T216" s="4"/>
      <c r="U216" s="4"/>
      <c r="V216" s="1"/>
      <c r="W216" s="1"/>
      <c r="X216" s="1"/>
    </row>
    <row r="217" spans="3:24" x14ac:dyDescent="0.25">
      <c r="C217" s="1"/>
      <c r="F217" t="s">
        <v>3334</v>
      </c>
      <c r="J217" s="1"/>
      <c r="K217" s="429"/>
      <c r="L217" s="406"/>
      <c r="M217" s="430"/>
      <c r="N217" s="430"/>
      <c r="O217" s="430"/>
      <c r="P217" s="429"/>
      <c r="Q217" s="430"/>
      <c r="R217" s="1"/>
      <c r="S217" s="1"/>
      <c r="T217" s="4"/>
      <c r="U217" s="4"/>
      <c r="V217" s="1"/>
      <c r="W217" s="1"/>
      <c r="X217" s="1"/>
    </row>
    <row r="218" spans="3:24" x14ac:dyDescent="0.25">
      <c r="C218" s="1"/>
      <c r="F218" t="s">
        <v>3335</v>
      </c>
      <c r="J218"/>
      <c r="K218" s="429"/>
      <c r="L218" s="406"/>
      <c r="M218" s="430"/>
      <c r="N218" s="430"/>
      <c r="O218" s="430"/>
      <c r="P218" s="429"/>
      <c r="Q218" s="430"/>
      <c r="R218" s="1"/>
      <c r="S218" s="1"/>
      <c r="T218" s="4"/>
      <c r="U218" s="4"/>
      <c r="V218" s="1"/>
      <c r="W218" s="1"/>
      <c r="X218" s="1"/>
    </row>
    <row r="219" spans="3:24" x14ac:dyDescent="0.25">
      <c r="C219" s="1"/>
      <c r="F219" t="s">
        <v>3336</v>
      </c>
      <c r="J219" s="1"/>
      <c r="K219" s="429"/>
      <c r="L219" s="406"/>
      <c r="M219" s="430"/>
      <c r="N219" s="430"/>
      <c r="O219" s="430"/>
      <c r="P219" s="429"/>
      <c r="Q219" s="430"/>
      <c r="R219" s="1"/>
      <c r="S219" s="1"/>
      <c r="T219" s="4"/>
      <c r="U219" s="4"/>
      <c r="V219" s="1"/>
      <c r="W219" s="1"/>
      <c r="X219" s="1"/>
    </row>
    <row r="220" spans="3:24" x14ac:dyDescent="0.25">
      <c r="C220" s="1"/>
      <c r="F220" t="s">
        <v>3337</v>
      </c>
      <c r="J220" s="1"/>
      <c r="K220" s="429"/>
      <c r="L220" s="406"/>
      <c r="M220" s="430"/>
      <c r="N220" s="430"/>
      <c r="O220" s="430"/>
      <c r="P220" s="429"/>
      <c r="Q220" s="430"/>
      <c r="R220" s="1"/>
      <c r="S220" s="1"/>
      <c r="T220" s="4"/>
      <c r="U220" s="4"/>
      <c r="V220" s="1"/>
      <c r="W220" s="1"/>
      <c r="X220" s="1"/>
    </row>
    <row r="221" spans="3:24" x14ac:dyDescent="0.25">
      <c r="C221" s="1"/>
      <c r="E221" t="s">
        <v>3338</v>
      </c>
      <c r="J221" s="1"/>
      <c r="K221" s="429"/>
      <c r="L221" s="406"/>
      <c r="M221" s="430"/>
      <c r="N221" s="430"/>
      <c r="O221" s="430"/>
      <c r="P221" s="429"/>
      <c r="Q221" s="430"/>
      <c r="R221" s="1"/>
      <c r="S221" s="1"/>
      <c r="T221" s="4"/>
      <c r="U221" s="4"/>
      <c r="V221" s="1"/>
      <c r="W221" s="1"/>
      <c r="X221" s="1"/>
    </row>
    <row r="222" spans="3:24" x14ac:dyDescent="0.25">
      <c r="C222" s="1"/>
      <c r="E222" t="s">
        <v>3339</v>
      </c>
      <c r="J222" s="1"/>
      <c r="K222" s="429"/>
      <c r="L222" s="406"/>
      <c r="M222" s="430"/>
      <c r="N222" s="430"/>
      <c r="O222" s="430"/>
      <c r="P222" s="429"/>
      <c r="Q222" s="430"/>
      <c r="R222" s="1"/>
      <c r="S222" s="1"/>
      <c r="T222" s="4"/>
      <c r="U222" s="4"/>
      <c r="V222" s="1"/>
      <c r="W222" s="1"/>
      <c r="X222" s="1"/>
    </row>
    <row r="223" spans="3:24" x14ac:dyDescent="0.25">
      <c r="C223" s="742"/>
      <c r="D223" s="742">
        <v>6</v>
      </c>
      <c r="E223" s="1208" t="s">
        <v>3075</v>
      </c>
      <c r="F223" s="1208"/>
      <c r="G223" s="1208"/>
      <c r="H223" s="1208"/>
      <c r="I223" s="1208"/>
      <c r="J223" s="1208"/>
      <c r="K223" s="1233"/>
      <c r="L223" s="1208"/>
      <c r="M223" s="1208"/>
      <c r="N223" s="1233"/>
      <c r="O223" s="1233"/>
      <c r="P223" s="1233"/>
      <c r="Q223" s="1233"/>
      <c r="R223" s="1208"/>
      <c r="S223" s="1208"/>
      <c r="T223" s="1208"/>
      <c r="U223" s="1208"/>
      <c r="V223" s="1208"/>
      <c r="W223" s="1208"/>
      <c r="X223" s="1208"/>
    </row>
    <row r="224" spans="3:24" x14ac:dyDescent="0.25">
      <c r="C224" s="1"/>
      <c r="D224" s="1"/>
      <c r="E224" s="1193" t="s">
        <v>3340</v>
      </c>
      <c r="F224" s="1193"/>
      <c r="G224" s="1193"/>
      <c r="H224" s="1193"/>
      <c r="I224" s="1193"/>
      <c r="J224" s="1193"/>
      <c r="K224" s="430"/>
      <c r="L224" s="406"/>
      <c r="M224" s="1"/>
      <c r="N224" s="430"/>
      <c r="O224" s="430"/>
      <c r="P224" s="430"/>
      <c r="Q224" s="430"/>
      <c r="R224" s="1"/>
      <c r="S224" s="1"/>
      <c r="T224" s="4"/>
      <c r="U224" s="4"/>
      <c r="V224" s="1"/>
      <c r="W224" s="1"/>
      <c r="X224" s="1"/>
    </row>
    <row r="225" spans="3:24" x14ac:dyDescent="0.25">
      <c r="C225" s="1"/>
      <c r="D225" s="1"/>
      <c r="E225" s="1193" t="s">
        <v>3341</v>
      </c>
      <c r="F225" s="1193"/>
      <c r="G225" s="1193"/>
      <c r="H225" s="1193"/>
      <c r="I225" s="1193"/>
      <c r="J225" s="1193"/>
      <c r="K225" s="430"/>
      <c r="L225" s="406"/>
      <c r="M225" s="1"/>
      <c r="N225" s="430"/>
      <c r="O225" s="430"/>
      <c r="P225" s="430"/>
      <c r="Q225" s="430"/>
      <c r="R225" s="1"/>
      <c r="S225" s="1"/>
      <c r="T225" s="4"/>
      <c r="U225" s="4"/>
      <c r="V225" s="1"/>
      <c r="W225" s="1"/>
      <c r="X225" s="1"/>
    </row>
    <row r="226" spans="3:24" x14ac:dyDescent="0.25">
      <c r="C226" s="1"/>
      <c r="D226" s="1"/>
      <c r="E226" s="1193" t="s">
        <v>3342</v>
      </c>
      <c r="F226" s="1193"/>
      <c r="G226" s="1193"/>
      <c r="H226" s="1193"/>
      <c r="I226" s="1193"/>
      <c r="J226" s="1193"/>
      <c r="K226" s="430"/>
      <c r="L226" s="406"/>
      <c r="M226" s="1"/>
      <c r="N226" s="430"/>
      <c r="O226" s="430"/>
      <c r="P226" s="430"/>
      <c r="Q226" s="430"/>
      <c r="R226" s="1"/>
      <c r="S226" s="1"/>
      <c r="T226" s="4"/>
      <c r="U226" s="4"/>
      <c r="V226" s="1"/>
      <c r="W226" s="1"/>
      <c r="X226" s="1"/>
    </row>
    <row r="227" spans="3:24" x14ac:dyDescent="0.25">
      <c r="C227" s="1"/>
      <c r="D227" s="1"/>
      <c r="E227" s="1"/>
      <c r="F227" s="1"/>
      <c r="G227" s="1"/>
      <c r="H227" s="1"/>
      <c r="I227" s="1"/>
      <c r="J227" s="218"/>
      <c r="K227" s="429"/>
      <c r="L227" s="406"/>
      <c r="M227" s="1"/>
      <c r="N227" s="430"/>
      <c r="O227" s="430"/>
      <c r="P227" s="430"/>
      <c r="Q227" s="430"/>
      <c r="R227" s="1"/>
      <c r="S227" s="1"/>
      <c r="T227" s="4"/>
      <c r="U227" s="4"/>
      <c r="V227" s="1"/>
      <c r="W227" s="1"/>
      <c r="X227" s="1"/>
    </row>
    <row r="228" spans="3:24" x14ac:dyDescent="0.25">
      <c r="C228" s="1"/>
      <c r="D228" s="1"/>
      <c r="E228" s="1"/>
      <c r="F228" s="1"/>
      <c r="G228" s="1"/>
      <c r="H228" s="1"/>
      <c r="I228" s="1"/>
      <c r="J228" s="204"/>
      <c r="K228" s="432"/>
      <c r="L228" s="406"/>
      <c r="M228" s="1"/>
      <c r="N228" s="430"/>
      <c r="O228" s="430"/>
      <c r="P228" s="430"/>
      <c r="Q228" s="430"/>
      <c r="R228" s="1"/>
      <c r="S228" s="1"/>
      <c r="T228" s="4"/>
      <c r="U228" s="4"/>
      <c r="V228" s="1"/>
      <c r="W228" s="1"/>
      <c r="X228" s="1"/>
    </row>
    <row r="229" spans="3:24" x14ac:dyDescent="0.25">
      <c r="C229" s="1"/>
      <c r="D229" s="1"/>
      <c r="E229" s="1"/>
      <c r="F229" s="1"/>
      <c r="G229" s="1"/>
      <c r="H229" s="1"/>
      <c r="I229" s="1"/>
      <c r="J229" s="218"/>
      <c r="K229" s="430"/>
      <c r="L229" s="406"/>
      <c r="M229" s="1"/>
      <c r="N229" s="430"/>
      <c r="O229" s="430"/>
      <c r="P229" s="430"/>
      <c r="Q229" s="430"/>
      <c r="R229" s="1"/>
      <c r="S229" s="1"/>
      <c r="T229" s="4"/>
      <c r="U229" s="4"/>
      <c r="V229" s="1"/>
      <c r="W229" s="1"/>
      <c r="X229" s="1"/>
    </row>
    <row r="230" spans="3:24" x14ac:dyDescent="0.25">
      <c r="J230" s="407"/>
      <c r="L230" s="407"/>
    </row>
    <row r="232" spans="3:24" x14ac:dyDescent="0.25">
      <c r="J232" s="407"/>
      <c r="L232" s="407"/>
    </row>
    <row r="234" spans="3:24" x14ac:dyDescent="0.25">
      <c r="J234" s="407"/>
      <c r="L234" s="407"/>
    </row>
    <row r="236" spans="3:24" x14ac:dyDescent="0.25">
      <c r="J236" s="407"/>
      <c r="L236" s="407"/>
    </row>
    <row r="238" spans="3:24" x14ac:dyDescent="0.25">
      <c r="J238" s="407"/>
      <c r="L238" s="407"/>
    </row>
    <row r="240" spans="3:24" x14ac:dyDescent="0.25">
      <c r="J240" s="407"/>
      <c r="L240" s="407"/>
    </row>
    <row r="242" spans="10:12" x14ac:dyDescent="0.25">
      <c r="J242" s="407"/>
      <c r="L242" s="407"/>
    </row>
    <row r="244" spans="10:12" x14ac:dyDescent="0.25">
      <c r="J244" s="407"/>
      <c r="L244" s="407"/>
    </row>
    <row r="246" spans="10:12" x14ac:dyDescent="0.25">
      <c r="J246" s="407"/>
      <c r="L246" s="407"/>
    </row>
    <row r="248" spans="10:12" x14ac:dyDescent="0.25">
      <c r="J248" s="407"/>
      <c r="L248" s="407"/>
    </row>
    <row r="301" spans="1:25" s="2" customFormat="1" x14ac:dyDescent="0.25">
      <c r="A301"/>
      <c r="B301"/>
      <c r="C301"/>
      <c r="D301"/>
      <c r="E301"/>
      <c r="F301"/>
      <c r="G301"/>
      <c r="H301"/>
      <c r="I301"/>
      <c r="J301" s="31"/>
      <c r="K301" s="431"/>
      <c r="L301" s="31"/>
      <c r="M301"/>
      <c r="N301" s="431"/>
      <c r="O301" s="431"/>
      <c r="P301" s="431"/>
      <c r="Q301" s="431"/>
      <c r="R301"/>
      <c r="S301"/>
      <c r="T301"/>
      <c r="U301"/>
      <c r="V301"/>
      <c r="W301"/>
      <c r="X301"/>
      <c r="Y301"/>
    </row>
    <row r="309" spans="1:25" s="2" customFormat="1" x14ac:dyDescent="0.25">
      <c r="A309"/>
      <c r="B309"/>
      <c r="C309"/>
      <c r="D309"/>
      <c r="E309"/>
      <c r="F309"/>
      <c r="G309"/>
      <c r="H309"/>
      <c r="I309"/>
      <c r="J309" s="31"/>
      <c r="K309" s="431"/>
      <c r="L309" s="31"/>
      <c r="M309"/>
      <c r="N309" s="431"/>
      <c r="O309" s="431"/>
      <c r="P309" s="431"/>
      <c r="Q309" s="431"/>
      <c r="R309"/>
      <c r="S309"/>
      <c r="T309"/>
      <c r="U309"/>
      <c r="V309"/>
      <c r="W309"/>
      <c r="X309"/>
      <c r="Y309"/>
    </row>
    <row r="356" spans="1:25" s="2" customFormat="1" x14ac:dyDescent="0.25">
      <c r="A356"/>
      <c r="B356"/>
      <c r="C356"/>
      <c r="D356"/>
      <c r="E356"/>
      <c r="F356"/>
      <c r="G356"/>
      <c r="H356"/>
      <c r="I356"/>
      <c r="J356" s="31"/>
      <c r="K356" s="431"/>
      <c r="L356" s="31"/>
      <c r="M356"/>
      <c r="N356" s="431"/>
      <c r="O356" s="431"/>
      <c r="P356" s="431"/>
      <c r="Q356" s="431"/>
      <c r="R356"/>
      <c r="S356"/>
      <c r="T356"/>
      <c r="U356"/>
      <c r="V356"/>
      <c r="W356"/>
      <c r="X356"/>
      <c r="Y356"/>
    </row>
  </sheetData>
  <mergeCells count="61">
    <mergeCell ref="E224:J224"/>
    <mergeCell ref="E225:J225"/>
    <mergeCell ref="E226:J226"/>
    <mergeCell ref="E223:X223"/>
    <mergeCell ref="F196:J196"/>
    <mergeCell ref="F203:J203"/>
    <mergeCell ref="F171:J171"/>
    <mergeCell ref="F178:J178"/>
    <mergeCell ref="E189:J189"/>
    <mergeCell ref="D212:J212"/>
    <mergeCell ref="E195:J195"/>
    <mergeCell ref="I151:J151"/>
    <mergeCell ref="I157:J157"/>
    <mergeCell ref="G162:J162"/>
    <mergeCell ref="H163:J163"/>
    <mergeCell ref="H164:J164"/>
    <mergeCell ref="I135:J135"/>
    <mergeCell ref="I139:J139"/>
    <mergeCell ref="G145:J145"/>
    <mergeCell ref="H146:J146"/>
    <mergeCell ref="I147:J147"/>
    <mergeCell ref="F124:J124"/>
    <mergeCell ref="F126:J126"/>
    <mergeCell ref="G127:J127"/>
    <mergeCell ref="G133:J133"/>
    <mergeCell ref="H134:J134"/>
    <mergeCell ref="H110:J110"/>
    <mergeCell ref="I111:J111"/>
    <mergeCell ref="I114:J114"/>
    <mergeCell ref="I119:J119"/>
    <mergeCell ref="E123:J123"/>
    <mergeCell ref="H93:J93"/>
    <mergeCell ref="I94:J94"/>
    <mergeCell ref="I98:L98"/>
    <mergeCell ref="I104:J104"/>
    <mergeCell ref="G109:J109"/>
    <mergeCell ref="G73:J73"/>
    <mergeCell ref="F79:J79"/>
    <mergeCell ref="G80:J80"/>
    <mergeCell ref="I86:L86"/>
    <mergeCell ref="G92:J92"/>
    <mergeCell ref="F53:X53"/>
    <mergeCell ref="F59:X59"/>
    <mergeCell ref="E67:J67"/>
    <mergeCell ref="F68:J68"/>
    <mergeCell ref="G69:J69"/>
    <mergeCell ref="F27:J27"/>
    <mergeCell ref="F31:J31"/>
    <mergeCell ref="E42:J42"/>
    <mergeCell ref="E48:X48"/>
    <mergeCell ref="E49:J49"/>
    <mergeCell ref="F17:J17"/>
    <mergeCell ref="F18:J18"/>
    <mergeCell ref="D22:J22"/>
    <mergeCell ref="E23:J23"/>
    <mergeCell ref="F24:J24"/>
    <mergeCell ref="D8:X8"/>
    <mergeCell ref="E10:X10"/>
    <mergeCell ref="E11:J11"/>
    <mergeCell ref="F14:J14"/>
    <mergeCell ref="F16:J16"/>
  </mergeCells>
  <conditionalFormatting sqref="U1:X8 S9:X229 T230:X477">
    <cfRule type="containsText" dxfId="17" priority="1" operator="containsText" text="ja">
      <formula>NOT(ISERROR(SEARCH(("ja"),(U1))))</formula>
    </cfRule>
    <cfRule type="containsText" dxfId="16" priority="2" operator="containsText" text="nein">
      <formula>NOT(ISERROR(SEARCH(("nein"),(U1))))</formula>
    </cfRule>
  </conditionalFormatting>
  <dataValidations count="4">
    <dataValidation type="list" errorStyle="warning" showErrorMessage="1" sqref="A11:A22 A24:A194" xr:uid="{00000000-0002-0000-0D00-000000000000}">
      <formula1>"ja,nein"</formula1>
    </dataValidation>
    <dataValidation type="list" errorStyle="warning" showErrorMessage="1" sqref="X11:X47" xr:uid="{00000000-0002-0000-0D00-000001000000}">
      <formula1>",Ready, CICD"</formula1>
    </dataValidation>
    <dataValidation type="list" errorStyle="warning" showErrorMessage="1" sqref="U49:U52 U54:U58 U60:U93 U109:U118 U123:U126 U133:U144 U169:U221 U224:U229 T49:T52 T54:T58 T60:T93 T109:T118 T123:T126 T133:T144 T169:T221 T224:T229 T11:U47 T222:U222 T94:U108 T127:U132 T145:U161 T162:U168 T119:U122" xr:uid="{00000000-0002-0000-0D00-000002000000}">
      <formula1>"unbestimmt, ja, nein"</formula1>
    </dataValidation>
    <dataValidation type="list" errorStyle="warning" showErrorMessage="1" sqref="B11:B194" xr:uid="{00000000-0002-0000-0D00-000003000000}">
      <formula1>"ELA,Meistertask,Cleverreach,Synology,Miro,Google,WhatsApp,Canva,Adobe,Contao,Wiki,ecoDMS,Wiki,Facebook,Instagram,TikTok,LinkedIn,Youtube,Xing,X,SalesForce,Lexware,Volksbank,Articulate,Outlook,easy2book,Domainfactory,1&amp;1"</formula1>
    </dataValidation>
  </dataValidations>
  <hyperlinks>
    <hyperlink ref="P125" location="'KO (Korrektor*in)'!F68:X78" display="KO übernimmt die Prüfungsleistung direkt nach ENde von CUS_EXA_001" xr:uid="{00000000-0004-0000-0D00-000000000000}"/>
    <hyperlink ref="P179" location="'KO (Korrektor*in)'!C57:X57" display="1.2 Sichten des Lehrgangs" xr:uid="{00000000-0004-0000-0D00-000001000000}"/>
    <hyperlink ref="P180" location="'KO (Korrektor*in)'!C57:X57" display="1.2 Sichten des Lehrgangs" xr:uid="{00000000-0004-0000-0D00-000002000000}"/>
    <hyperlink ref="P181" location="'KO (Korrektor*in)'!C57:X57" display="1.2 Sichten des Lehrgangs" xr:uid="{00000000-0004-0000-0D00-000003000000}"/>
    <hyperlink ref="P182" location="'KO (Korrektor*in)'!C57:X57" display="1.2 Sichten des Lehrgangs" xr:uid="{00000000-0004-0000-0D00-000004000000}"/>
  </hyperlinks>
  <pageMargins left="0.75" right="0.75" top="1" bottom="1" header="0.5" footer="0.5"/>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Y217"/>
  <sheetViews>
    <sheetView workbookViewId="0">
      <pane ySplit="9" topLeftCell="A10" activePane="bottomLeft" state="frozen"/>
      <selection pane="bottomLeft"/>
    </sheetView>
  </sheetViews>
  <sheetFormatPr baseColWidth="10" defaultColWidth="14.5703125" defaultRowHeight="15" x14ac:dyDescent="0.25"/>
  <cols>
    <col min="1" max="1" width="12.140625" customWidth="1"/>
    <col min="2" max="2" width="11.5703125" customWidth="1"/>
    <col min="3" max="3" width="6.140625" customWidth="1"/>
    <col min="4" max="9" width="3.42578125" customWidth="1"/>
    <col min="10" max="10" width="42.7109375" customWidth="1"/>
    <col min="11" max="11" width="59" customWidth="1"/>
    <col min="12" max="12" width="23.140625" customWidth="1"/>
    <col min="13" max="17" width="17" customWidth="1"/>
    <col min="18" max="18" width="52" customWidth="1"/>
    <col min="20" max="20" width="14.42578125" customWidth="1"/>
    <col min="21" max="21" width="13.85546875" customWidth="1"/>
    <col min="22" max="23" width="31.85546875" customWidth="1"/>
    <col min="24" max="24" width="14.42578125" customWidth="1"/>
  </cols>
  <sheetData>
    <row r="2" spans="1:24" x14ac:dyDescent="0.25">
      <c r="I2" s="736"/>
      <c r="J2" t="s">
        <v>0</v>
      </c>
    </row>
    <row r="3" spans="1:24" x14ac:dyDescent="0.25">
      <c r="I3" s="43"/>
      <c r="J3" t="s">
        <v>1</v>
      </c>
    </row>
    <row r="4" spans="1:24" x14ac:dyDescent="0.25">
      <c r="I4" s="42"/>
      <c r="J4" t="s">
        <v>2</v>
      </c>
    </row>
    <row r="5" spans="1:24" x14ac:dyDescent="0.25">
      <c r="I5" s="106"/>
      <c r="J5" t="s">
        <v>3</v>
      </c>
    </row>
    <row r="6" spans="1:24" x14ac:dyDescent="0.25">
      <c r="I6" s="121"/>
      <c r="J6" t="s">
        <v>4</v>
      </c>
    </row>
    <row r="8" spans="1:24" x14ac:dyDescent="0.25">
      <c r="A8" s="122" t="s">
        <v>5</v>
      </c>
      <c r="B8" s="122" t="s">
        <v>6</v>
      </c>
      <c r="C8" s="122" t="s">
        <v>7</v>
      </c>
      <c r="D8" s="1077" t="s">
        <v>8</v>
      </c>
      <c r="E8" s="1077"/>
      <c r="F8" s="1077"/>
      <c r="G8" s="1077"/>
      <c r="H8" s="1077"/>
      <c r="I8" s="1077"/>
      <c r="J8" s="1077"/>
      <c r="K8" s="1078"/>
      <c r="L8" s="1079"/>
      <c r="M8" s="1080"/>
      <c r="N8" s="1080"/>
      <c r="O8" s="1080"/>
      <c r="P8" s="1080"/>
      <c r="Q8" s="1080"/>
      <c r="R8" s="1080"/>
      <c r="S8" s="1080"/>
      <c r="T8" s="1080"/>
      <c r="U8" s="1080"/>
      <c r="V8" s="1080"/>
      <c r="W8" s="1080"/>
      <c r="X8" s="1079"/>
    </row>
    <row r="9" spans="1:24" s="2" customFormat="1" ht="36.75" customHeight="1" x14ac:dyDescent="0.2">
      <c r="A9" s="7"/>
      <c r="B9" s="7"/>
      <c r="C9" s="7"/>
      <c r="D9" s="7" t="s">
        <v>9</v>
      </c>
      <c r="E9" s="32" t="s">
        <v>10</v>
      </c>
      <c r="F9" s="32" t="s">
        <v>11</v>
      </c>
      <c r="G9" s="32" t="s">
        <v>12</v>
      </c>
      <c r="H9" s="32" t="s">
        <v>13</v>
      </c>
      <c r="I9" s="32" t="s">
        <v>14</v>
      </c>
      <c r="J9" s="737" t="s">
        <v>15</v>
      </c>
      <c r="K9" s="738" t="s">
        <v>16</v>
      </c>
      <c r="L9" s="739" t="s">
        <v>17</v>
      </c>
      <c r="M9" s="740" t="s">
        <v>18</v>
      </c>
      <c r="N9" s="740" t="s">
        <v>19</v>
      </c>
      <c r="O9" s="33" t="s">
        <v>20</v>
      </c>
      <c r="P9" s="740" t="s">
        <v>21</v>
      </c>
      <c r="Q9" s="740" t="s">
        <v>22</v>
      </c>
      <c r="R9" s="740" t="s">
        <v>23</v>
      </c>
      <c r="S9" s="741" t="s">
        <v>24</v>
      </c>
      <c r="T9" s="34" t="s">
        <v>25</v>
      </c>
      <c r="U9" s="34" t="s">
        <v>26</v>
      </c>
      <c r="V9" s="35" t="s">
        <v>27</v>
      </c>
      <c r="W9" s="34" t="s">
        <v>28</v>
      </c>
      <c r="X9" s="34" t="s">
        <v>29</v>
      </c>
    </row>
    <row r="10" spans="1:24" s="2" customFormat="1" ht="20.25" customHeight="1" x14ac:dyDescent="0.2">
      <c r="A10" s="742"/>
      <c r="B10" s="742"/>
      <c r="C10" s="122"/>
      <c r="D10" s="122">
        <v>1</v>
      </c>
      <c r="E10" s="1077" t="s">
        <v>3080</v>
      </c>
      <c r="F10" s="1077"/>
      <c r="G10" s="1077"/>
      <c r="H10" s="1077"/>
      <c r="I10" s="1077"/>
      <c r="J10" s="1077"/>
      <c r="K10" s="1218"/>
      <c r="L10" s="1079"/>
      <c r="M10" s="1080"/>
      <c r="N10" s="1219"/>
      <c r="O10" s="1219"/>
      <c r="P10" s="1219"/>
      <c r="Q10" s="1219"/>
      <c r="R10" s="1080"/>
      <c r="S10" s="1080"/>
      <c r="T10" s="1080"/>
      <c r="U10" s="1080"/>
      <c r="V10" s="1080"/>
      <c r="W10" s="1080"/>
      <c r="X10" s="1079"/>
    </row>
    <row r="11" spans="1:24" s="2" customFormat="1" x14ac:dyDescent="0.25">
      <c r="A11" s="3" t="s">
        <v>1106</v>
      </c>
      <c r="B11" s="3" t="s">
        <v>57</v>
      </c>
      <c r="C11" s="3"/>
      <c r="D11" s="3"/>
      <c r="E11" s="1220" t="s">
        <v>3081</v>
      </c>
      <c r="F11" s="1220"/>
      <c r="G11" s="1220"/>
      <c r="H11" s="1220"/>
      <c r="I11" s="1220"/>
      <c r="J11" s="1220"/>
      <c r="K11" s="429"/>
      <c r="L11" s="12"/>
      <c r="M11" s="6"/>
      <c r="N11" s="428"/>
      <c r="O11" s="428"/>
      <c r="P11" s="429"/>
      <c r="Q11" s="429"/>
      <c r="R11" s="10"/>
      <c r="S11" s="3"/>
      <c r="T11" s="4" t="s">
        <v>31</v>
      </c>
      <c r="U11" s="4" t="s">
        <v>31</v>
      </c>
      <c r="V11" s="3"/>
      <c r="W11" s="3"/>
      <c r="X11" s="3"/>
    </row>
    <row r="12" spans="1:24" s="2" customFormat="1" x14ac:dyDescent="0.25">
      <c r="A12" s="3" t="s">
        <v>1106</v>
      </c>
      <c r="B12" s="3" t="s">
        <v>3082</v>
      </c>
      <c r="C12" s="3"/>
      <c r="D12" s="649"/>
      <c r="E12" s="2" t="s">
        <v>3083</v>
      </c>
      <c r="K12" s="438"/>
      <c r="L12" s="12"/>
      <c r="M12" s="6"/>
      <c r="N12" s="428"/>
      <c r="O12" s="428"/>
      <c r="P12" s="429"/>
      <c r="Q12" s="429"/>
      <c r="R12" s="10"/>
      <c r="S12" s="3"/>
      <c r="T12" s="4"/>
      <c r="U12" s="4"/>
      <c r="V12" s="3"/>
      <c r="W12" s="3"/>
      <c r="X12" s="3"/>
    </row>
    <row r="13" spans="1:24" s="2" customFormat="1" x14ac:dyDescent="0.25">
      <c r="A13" s="3" t="s">
        <v>1098</v>
      </c>
      <c r="B13" s="3" t="s">
        <v>40</v>
      </c>
      <c r="C13" s="3"/>
      <c r="D13" s="3"/>
      <c r="E13" s="2" t="s">
        <v>3084</v>
      </c>
      <c r="K13" s="429"/>
      <c r="L13" s="406"/>
      <c r="M13" s="6"/>
      <c r="N13" s="428"/>
      <c r="O13" s="428"/>
      <c r="P13" s="429"/>
      <c r="Q13" s="429"/>
      <c r="R13" s="10"/>
      <c r="S13" s="3"/>
      <c r="T13" s="4"/>
      <c r="U13" s="4"/>
      <c r="V13" s="3"/>
      <c r="W13" s="3"/>
      <c r="X13" s="3"/>
    </row>
    <row r="14" spans="1:24" s="2" customFormat="1" x14ac:dyDescent="0.25">
      <c r="A14" s="3" t="s">
        <v>1106</v>
      </c>
      <c r="B14" s="3" t="s">
        <v>32</v>
      </c>
      <c r="C14" s="3"/>
      <c r="D14" s="649"/>
      <c r="E14" s="650"/>
      <c r="F14" s="1220" t="s">
        <v>3085</v>
      </c>
      <c r="G14" s="1220"/>
      <c r="H14" s="1220"/>
      <c r="I14" s="1220"/>
      <c r="J14" s="1220"/>
      <c r="K14" s="438"/>
      <c r="L14" s="406"/>
      <c r="M14" s="6"/>
      <c r="N14" s="428"/>
      <c r="O14" s="428"/>
      <c r="P14" s="429"/>
      <c r="Q14" s="429"/>
      <c r="R14" s="10"/>
      <c r="S14" s="3"/>
      <c r="T14" s="4"/>
      <c r="U14" s="4"/>
      <c r="V14" s="3"/>
      <c r="W14" s="3"/>
      <c r="X14" s="3"/>
    </row>
    <row r="15" spans="1:24" s="2" customFormat="1" x14ac:dyDescent="0.25">
      <c r="A15" s="3" t="s">
        <v>1106</v>
      </c>
      <c r="B15" s="3" t="s">
        <v>32</v>
      </c>
      <c r="C15" s="3"/>
      <c r="D15" s="3"/>
      <c r="E15" s="436"/>
      <c r="F15" s="436" t="s">
        <v>3086</v>
      </c>
      <c r="G15" s="436"/>
      <c r="H15" s="436"/>
      <c r="I15" s="436"/>
      <c r="J15" s="184"/>
      <c r="K15" s="429"/>
      <c r="L15" s="406"/>
      <c r="M15" s="6"/>
      <c r="N15" s="428"/>
      <c r="O15" s="428"/>
      <c r="P15" s="429"/>
      <c r="Q15" s="429"/>
      <c r="R15" s="10"/>
      <c r="S15" s="3"/>
      <c r="T15" s="4"/>
      <c r="U15" s="4"/>
      <c r="V15" s="3"/>
      <c r="W15" s="3"/>
      <c r="X15" s="3"/>
    </row>
    <row r="16" spans="1:24" x14ac:dyDescent="0.25">
      <c r="A16" s="3" t="s">
        <v>1106</v>
      </c>
      <c r="B16" s="3" t="s">
        <v>32</v>
      </c>
      <c r="C16" s="3"/>
      <c r="D16" s="3"/>
      <c r="E16" s="3"/>
      <c r="F16" s="1220" t="s">
        <v>3087</v>
      </c>
      <c r="G16" s="1220"/>
      <c r="H16" s="1220"/>
      <c r="I16" s="1220"/>
      <c r="J16" s="1220"/>
      <c r="K16" s="429"/>
      <c r="L16" s="406"/>
      <c r="M16" s="6"/>
      <c r="N16" s="428"/>
      <c r="O16" s="428"/>
      <c r="P16" s="429"/>
      <c r="Q16" s="429"/>
      <c r="R16" s="10"/>
      <c r="S16" s="3"/>
      <c r="T16" s="4"/>
      <c r="U16" s="4"/>
      <c r="V16" s="3"/>
      <c r="W16" s="3"/>
      <c r="X16" s="3"/>
    </row>
    <row r="17" spans="1:24" x14ac:dyDescent="0.25">
      <c r="A17" s="3" t="s">
        <v>1098</v>
      </c>
      <c r="B17" s="3"/>
      <c r="C17" s="3"/>
      <c r="D17" s="3"/>
      <c r="E17" s="3"/>
      <c r="F17" s="1220" t="s">
        <v>3088</v>
      </c>
      <c r="G17" s="1220"/>
      <c r="H17" s="1220"/>
      <c r="I17" s="1220"/>
      <c r="J17" s="1220"/>
      <c r="K17" s="429"/>
      <c r="L17" s="406"/>
      <c r="M17" s="6"/>
      <c r="N17" s="428"/>
      <c r="O17" s="428"/>
      <c r="P17" s="429"/>
      <c r="Q17" s="429"/>
      <c r="R17" s="10"/>
      <c r="S17" s="3"/>
      <c r="T17" s="4"/>
      <c r="U17" s="4"/>
      <c r="V17" s="3"/>
      <c r="W17" s="3"/>
      <c r="X17" s="3"/>
    </row>
    <row r="18" spans="1:24" x14ac:dyDescent="0.25">
      <c r="A18" s="3" t="s">
        <v>1106</v>
      </c>
      <c r="B18" s="3" t="s">
        <v>32</v>
      </c>
      <c r="C18" s="3"/>
      <c r="D18" s="3"/>
      <c r="E18" s="3"/>
      <c r="F18" s="1220" t="s">
        <v>3343</v>
      </c>
      <c r="G18" s="1220"/>
      <c r="H18" s="1220"/>
      <c r="I18" s="1220"/>
      <c r="J18" s="1220"/>
      <c r="K18" s="429"/>
      <c r="L18" s="406"/>
      <c r="M18" s="6"/>
      <c r="N18" s="428"/>
      <c r="O18" s="428"/>
      <c r="P18" s="429"/>
      <c r="Q18" s="429"/>
      <c r="R18" s="10"/>
      <c r="S18" s="3"/>
      <c r="T18" s="4"/>
      <c r="U18" s="4"/>
      <c r="V18" s="3"/>
      <c r="W18" s="3"/>
      <c r="X18" s="3"/>
    </row>
    <row r="19" spans="1:24" x14ac:dyDescent="0.25">
      <c r="A19" s="3"/>
      <c r="B19" s="3"/>
      <c r="C19" s="3"/>
      <c r="D19" s="1221" t="s">
        <v>3090</v>
      </c>
      <c r="E19" s="1221"/>
      <c r="F19" s="1221"/>
      <c r="G19" s="1221"/>
      <c r="H19" s="1221"/>
      <c r="I19" s="1221"/>
      <c r="J19" s="1221"/>
      <c r="K19" s="617"/>
      <c r="L19" s="434"/>
      <c r="M19" s="618"/>
      <c r="N19" s="624"/>
      <c r="O19" s="624"/>
      <c r="P19" s="617"/>
      <c r="Q19" s="617"/>
      <c r="R19" s="625"/>
      <c r="S19" s="626"/>
      <c r="T19" s="619"/>
      <c r="U19" s="619"/>
      <c r="V19" s="626"/>
      <c r="W19" s="626"/>
      <c r="X19" s="626"/>
    </row>
    <row r="20" spans="1:24" x14ac:dyDescent="0.25">
      <c r="A20" s="3"/>
      <c r="B20" s="3"/>
      <c r="C20" s="1"/>
      <c r="D20" s="1"/>
      <c r="E20" s="1193" t="s">
        <v>3344</v>
      </c>
      <c r="F20" s="1193"/>
      <c r="G20" s="1193"/>
      <c r="H20" s="1193"/>
      <c r="I20" s="1193"/>
      <c r="J20" s="1193"/>
      <c r="K20" s="1"/>
      <c r="L20" s="5"/>
      <c r="M20" s="1"/>
      <c r="N20" s="1"/>
      <c r="O20" s="1"/>
      <c r="P20" s="1"/>
      <c r="Q20" s="1"/>
      <c r="R20" s="1"/>
      <c r="S20" s="1"/>
      <c r="T20" s="4"/>
      <c r="U20" s="4"/>
      <c r="V20" s="1"/>
      <c r="W20" s="1"/>
      <c r="X20" s="1"/>
    </row>
    <row r="21" spans="1:24" x14ac:dyDescent="0.25">
      <c r="A21" s="3"/>
      <c r="B21" s="3"/>
      <c r="C21" s="1"/>
      <c r="D21" s="1"/>
      <c r="E21" s="1"/>
      <c r="F21" s="1"/>
      <c r="G21" s="1"/>
      <c r="H21" s="1"/>
      <c r="I21" s="1"/>
      <c r="J21" s="1"/>
      <c r="K21" s="1"/>
      <c r="L21" s="5"/>
      <c r="M21" s="1"/>
      <c r="N21" s="1"/>
      <c r="O21" s="1"/>
      <c r="P21" s="1"/>
      <c r="Q21" s="1"/>
      <c r="R21" s="1"/>
      <c r="S21" s="1"/>
      <c r="T21" s="4"/>
      <c r="U21" s="4"/>
      <c r="V21" s="1"/>
      <c r="W21" s="1"/>
      <c r="X21" s="1"/>
    </row>
    <row r="22" spans="1:24" x14ac:dyDescent="0.25">
      <c r="A22" s="3"/>
      <c r="B22" s="3"/>
      <c r="C22" s="1"/>
      <c r="D22" s="1"/>
      <c r="E22" s="1193" t="s">
        <v>3345</v>
      </c>
      <c r="F22" s="1193"/>
      <c r="G22" s="1193"/>
      <c r="H22" s="1193"/>
      <c r="I22" s="1193"/>
      <c r="J22" s="1193"/>
      <c r="K22" s="1"/>
      <c r="L22" s="5"/>
      <c r="M22" s="1"/>
      <c r="N22" s="1"/>
      <c r="O22" s="1"/>
      <c r="P22" s="1"/>
      <c r="Q22" s="1"/>
      <c r="R22" s="1"/>
      <c r="S22" s="1"/>
      <c r="T22" s="4"/>
      <c r="U22" s="4"/>
      <c r="V22" s="1"/>
      <c r="W22" s="1"/>
      <c r="X22" s="1"/>
    </row>
    <row r="23" spans="1:24" x14ac:dyDescent="0.25">
      <c r="A23" s="3"/>
      <c r="B23" s="3"/>
      <c r="C23" s="1"/>
      <c r="D23" s="1"/>
      <c r="E23" s="1"/>
      <c r="F23" s="1"/>
      <c r="G23" s="1"/>
      <c r="H23" s="1"/>
      <c r="I23" s="1"/>
      <c r="J23" s="1"/>
      <c r="K23" s="1"/>
      <c r="L23" s="5"/>
      <c r="M23" s="1"/>
      <c r="N23" s="1"/>
      <c r="O23" s="1"/>
      <c r="P23" s="1"/>
      <c r="Q23" s="1"/>
      <c r="R23" s="1"/>
      <c r="S23" s="1"/>
      <c r="T23" s="4"/>
      <c r="U23" s="4"/>
      <c r="V23" s="1"/>
      <c r="W23" s="1"/>
      <c r="X23" s="1"/>
    </row>
    <row r="24" spans="1:24" x14ac:dyDescent="0.25">
      <c r="A24" s="3"/>
      <c r="B24" s="3"/>
      <c r="C24" s="1"/>
      <c r="D24" s="1221" t="s">
        <v>3346</v>
      </c>
      <c r="E24" s="1221"/>
      <c r="F24" s="1221"/>
      <c r="G24" s="1221"/>
      <c r="H24" s="1221"/>
      <c r="I24" s="1221"/>
      <c r="J24" s="1221"/>
      <c r="K24" s="617"/>
      <c r="L24" s="434"/>
      <c r="M24" s="618"/>
      <c r="N24" s="624"/>
      <c r="O24" s="624"/>
      <c r="P24" s="617"/>
      <c r="Q24" s="617"/>
      <c r="R24" s="625"/>
      <c r="S24" s="626"/>
      <c r="T24" s="619"/>
      <c r="U24" s="619"/>
      <c r="V24" s="626"/>
      <c r="W24" s="626"/>
      <c r="X24" s="626"/>
    </row>
    <row r="25" spans="1:24" x14ac:dyDescent="0.25">
      <c r="A25" s="3"/>
      <c r="B25" s="3"/>
      <c r="C25" s="1"/>
      <c r="D25" s="1"/>
      <c r="E25" t="s">
        <v>3347</v>
      </c>
      <c r="K25" s="1"/>
      <c r="L25" s="5"/>
      <c r="M25" s="1"/>
      <c r="N25" s="1"/>
      <c r="O25" s="1"/>
      <c r="P25" s="1"/>
      <c r="Q25" s="1"/>
      <c r="R25" s="1"/>
      <c r="S25" s="1"/>
      <c r="T25" s="4"/>
      <c r="U25" s="4"/>
      <c r="V25" s="1"/>
      <c r="W25" s="1"/>
      <c r="X25" s="1"/>
    </row>
    <row r="26" spans="1:24" x14ac:dyDescent="0.25">
      <c r="A26" s="3"/>
      <c r="B26" s="3"/>
      <c r="C26" s="1"/>
      <c r="D26" s="1"/>
      <c r="E26" s="1193" t="s">
        <v>3348</v>
      </c>
      <c r="F26" s="1193"/>
      <c r="G26" s="1193"/>
      <c r="H26" s="1193"/>
      <c r="I26" s="1193"/>
      <c r="J26" s="1193"/>
      <c r="K26" s="1"/>
      <c r="L26" s="5"/>
      <c r="M26" s="1"/>
      <c r="N26" s="1"/>
      <c r="O26" s="1"/>
      <c r="P26" s="1"/>
      <c r="Q26" s="1"/>
      <c r="R26" s="1"/>
      <c r="S26" s="1"/>
      <c r="T26" s="4"/>
      <c r="U26" s="4"/>
      <c r="V26" s="1"/>
      <c r="W26" s="1"/>
      <c r="X26" s="1"/>
    </row>
    <row r="27" spans="1:24" x14ac:dyDescent="0.25">
      <c r="A27" s="3"/>
      <c r="B27" s="3"/>
      <c r="C27" s="1"/>
      <c r="D27" s="1"/>
      <c r="E27" s="1193" t="s">
        <v>3349</v>
      </c>
      <c r="F27" s="1193"/>
      <c r="G27" s="1193"/>
      <c r="H27" s="1193"/>
      <c r="I27" s="1193"/>
      <c r="J27" s="1193"/>
      <c r="K27" s="6"/>
      <c r="L27" s="5"/>
      <c r="M27" s="1"/>
      <c r="N27" s="1"/>
      <c r="O27" s="1"/>
      <c r="P27" s="1"/>
      <c r="Q27" s="1"/>
      <c r="R27" s="1"/>
      <c r="S27" s="1"/>
      <c r="T27" s="4"/>
      <c r="U27" s="4"/>
      <c r="V27" s="1"/>
      <c r="W27" s="1"/>
      <c r="X27" s="1"/>
    </row>
    <row r="28" spans="1:24" x14ac:dyDescent="0.25">
      <c r="A28" s="3"/>
      <c r="B28" s="3"/>
      <c r="C28" s="1"/>
      <c r="D28" s="1"/>
      <c r="E28" s="1193" t="s">
        <v>3350</v>
      </c>
      <c r="F28" s="1193"/>
      <c r="G28" s="1193"/>
      <c r="H28" s="1193"/>
      <c r="I28" s="1193"/>
      <c r="J28" s="1193"/>
      <c r="K28" s="5"/>
      <c r="L28" s="5"/>
      <c r="M28" s="1"/>
      <c r="N28" s="1"/>
      <c r="O28" s="1"/>
      <c r="P28" s="1"/>
      <c r="Q28" s="1"/>
      <c r="R28" s="1"/>
      <c r="S28" s="1"/>
      <c r="T28" s="4"/>
      <c r="U28" s="4"/>
      <c r="V28" s="1"/>
      <c r="W28" s="1"/>
      <c r="X28" s="1"/>
    </row>
    <row r="29" spans="1:24" x14ac:dyDescent="0.25">
      <c r="A29" s="3"/>
      <c r="B29" s="3"/>
      <c r="C29" s="1"/>
      <c r="D29" s="1"/>
      <c r="E29" s="1" t="s">
        <v>3351</v>
      </c>
      <c r="F29" s="1"/>
      <c r="G29" s="1"/>
      <c r="H29" s="1"/>
      <c r="I29" s="1"/>
      <c r="J29" s="1"/>
      <c r="K29" s="1"/>
      <c r="L29" s="5"/>
      <c r="M29" s="1"/>
      <c r="N29" s="1"/>
      <c r="O29" s="1"/>
      <c r="P29" s="1"/>
      <c r="Q29" s="1"/>
      <c r="R29" s="1"/>
      <c r="S29" s="1"/>
      <c r="T29" s="4"/>
      <c r="U29" s="4"/>
      <c r="V29" s="1"/>
      <c r="W29" s="1"/>
      <c r="X29" s="1"/>
    </row>
    <row r="30" spans="1:24" x14ac:dyDescent="0.25">
      <c r="A30" s="3"/>
      <c r="B30" s="3"/>
      <c r="C30" s="1"/>
      <c r="D30" s="1"/>
      <c r="E30" s="1" t="s">
        <v>3352</v>
      </c>
      <c r="F30" s="1"/>
      <c r="G30" s="1"/>
      <c r="H30" s="1"/>
      <c r="I30" s="1"/>
      <c r="J30" s="1"/>
      <c r="K30" s="1"/>
      <c r="L30" s="5"/>
      <c r="M30" s="1"/>
      <c r="N30" s="1"/>
      <c r="O30" s="1"/>
      <c r="P30" s="1"/>
      <c r="Q30" s="1"/>
      <c r="R30" s="1"/>
      <c r="S30" s="1"/>
      <c r="T30" s="4"/>
      <c r="U30" s="4"/>
      <c r="V30" s="1"/>
      <c r="W30" s="1"/>
      <c r="X30" s="1"/>
    </row>
    <row r="31" spans="1:24" x14ac:dyDescent="0.25">
      <c r="A31" s="3"/>
      <c r="B31" s="3"/>
      <c r="C31" s="1"/>
      <c r="D31" s="1"/>
      <c r="E31" s="1" t="s">
        <v>3353</v>
      </c>
      <c r="F31" s="1"/>
      <c r="G31" s="1"/>
      <c r="H31" s="1"/>
      <c r="I31" s="1"/>
      <c r="J31" s="1"/>
      <c r="K31" s="1"/>
      <c r="L31" s="5"/>
      <c r="M31" s="1"/>
      <c r="N31" s="1"/>
      <c r="O31" s="1"/>
      <c r="P31" s="1"/>
      <c r="Q31" s="1"/>
      <c r="R31" s="1"/>
      <c r="S31" s="1"/>
      <c r="T31" s="4"/>
      <c r="U31" s="4"/>
      <c r="V31" s="1"/>
      <c r="W31" s="1"/>
      <c r="X31" s="1"/>
    </row>
    <row r="32" spans="1:24" x14ac:dyDescent="0.25">
      <c r="A32" s="3"/>
      <c r="B32" s="3"/>
      <c r="C32" s="1"/>
      <c r="D32" s="1"/>
      <c r="E32" s="1" t="s">
        <v>3354</v>
      </c>
      <c r="F32" s="1"/>
      <c r="G32" s="1"/>
      <c r="H32" s="1"/>
      <c r="I32" s="1"/>
      <c r="J32" s="1"/>
      <c r="K32" s="1"/>
      <c r="L32" s="5"/>
      <c r="M32" s="1"/>
      <c r="N32" s="1"/>
      <c r="O32" s="1"/>
      <c r="P32" s="1"/>
      <c r="Q32" s="1"/>
      <c r="R32" s="1"/>
      <c r="S32" s="1"/>
      <c r="T32" s="4"/>
      <c r="U32" s="4"/>
      <c r="V32" s="1"/>
      <c r="W32" s="1"/>
      <c r="X32" s="1"/>
    </row>
    <row r="33" spans="1:24" x14ac:dyDescent="0.25">
      <c r="A33" s="3"/>
      <c r="B33" s="3"/>
      <c r="C33" s="1"/>
      <c r="D33" s="1"/>
      <c r="E33" s="1" t="s">
        <v>3355</v>
      </c>
      <c r="F33" s="1"/>
      <c r="G33" s="1"/>
      <c r="H33" s="1"/>
      <c r="I33" s="1"/>
      <c r="J33" s="1"/>
      <c r="K33" s="1"/>
      <c r="L33" s="5"/>
      <c r="M33" s="1"/>
      <c r="N33" s="1"/>
      <c r="O33" s="1"/>
      <c r="P33" s="1"/>
      <c r="Q33" s="1"/>
      <c r="R33" s="1"/>
      <c r="S33" s="1"/>
      <c r="T33" s="4"/>
      <c r="U33" s="4"/>
      <c r="V33" s="1"/>
      <c r="W33" s="1"/>
      <c r="X33" s="1"/>
    </row>
    <row r="34" spans="1:24" x14ac:dyDescent="0.25">
      <c r="A34" s="3"/>
      <c r="B34" s="3"/>
      <c r="C34" s="1"/>
      <c r="D34" s="1"/>
      <c r="E34" s="1" t="s">
        <v>3356</v>
      </c>
      <c r="F34" s="1"/>
      <c r="G34" s="1"/>
      <c r="H34" s="1"/>
      <c r="I34" s="1"/>
      <c r="J34" s="1"/>
      <c r="K34" s="1"/>
      <c r="L34" s="5"/>
      <c r="M34" s="1"/>
      <c r="N34" s="1"/>
      <c r="O34" s="1"/>
      <c r="P34" s="1"/>
      <c r="Q34" s="1"/>
      <c r="R34" s="1"/>
      <c r="S34" s="1"/>
      <c r="T34" s="4"/>
      <c r="U34" s="4"/>
      <c r="V34" s="1"/>
      <c r="W34" s="1"/>
      <c r="X34" s="1"/>
    </row>
    <row r="35" spans="1:24" x14ac:dyDescent="0.25">
      <c r="A35" s="3"/>
      <c r="B35" s="3"/>
      <c r="C35" s="1"/>
      <c r="D35" s="1"/>
      <c r="E35" s="1" t="s">
        <v>3357</v>
      </c>
      <c r="F35" s="1"/>
      <c r="G35" s="1"/>
      <c r="H35" s="1"/>
      <c r="I35" s="1"/>
      <c r="J35" s="1"/>
      <c r="K35" s="1"/>
      <c r="L35" s="5"/>
      <c r="M35" s="1"/>
      <c r="N35" s="1"/>
      <c r="O35" s="1"/>
      <c r="P35" s="1"/>
      <c r="Q35" s="1"/>
      <c r="R35" s="1"/>
      <c r="S35" s="1"/>
      <c r="T35" s="4"/>
      <c r="U35" s="4"/>
      <c r="V35" s="1"/>
      <c r="W35" s="1"/>
      <c r="X35" s="1"/>
    </row>
    <row r="36" spans="1:24" x14ac:dyDescent="0.25">
      <c r="A36" s="3"/>
      <c r="B36" s="3"/>
      <c r="C36" s="1"/>
      <c r="D36" s="1"/>
      <c r="E36" s="1"/>
      <c r="F36" s="1" t="s">
        <v>3358</v>
      </c>
      <c r="G36" s="1"/>
      <c r="H36" s="1"/>
      <c r="I36" s="1"/>
      <c r="J36" s="1"/>
      <c r="K36" s="1"/>
      <c r="L36" s="5"/>
      <c r="M36" s="1"/>
      <c r="N36" s="1"/>
      <c r="O36" s="1"/>
      <c r="P36" s="1"/>
      <c r="Q36" s="1"/>
      <c r="R36" s="1"/>
      <c r="S36" s="1"/>
      <c r="T36" s="4"/>
      <c r="U36" s="4"/>
      <c r="V36" s="1"/>
      <c r="W36" s="1"/>
      <c r="X36" s="1"/>
    </row>
    <row r="37" spans="1:24" x14ac:dyDescent="0.25">
      <c r="A37" s="3"/>
      <c r="B37" s="3"/>
      <c r="C37" s="1"/>
      <c r="D37" s="1"/>
      <c r="E37" s="1"/>
      <c r="F37" s="1" t="s">
        <v>3359</v>
      </c>
      <c r="G37" s="1"/>
      <c r="H37" s="1"/>
      <c r="I37" s="1"/>
      <c r="J37" s="1"/>
      <c r="K37" s="1"/>
      <c r="L37" s="5"/>
      <c r="M37" s="1"/>
      <c r="N37" s="1"/>
      <c r="O37" s="1"/>
      <c r="P37" s="1"/>
      <c r="Q37" s="1"/>
      <c r="R37" s="1"/>
      <c r="S37" s="1"/>
      <c r="T37" s="4"/>
      <c r="U37" s="4"/>
      <c r="V37" s="1"/>
      <c r="W37" s="1"/>
      <c r="X37" s="1"/>
    </row>
    <row r="38" spans="1:24" x14ac:dyDescent="0.25">
      <c r="A38" s="3"/>
      <c r="B38" s="3"/>
      <c r="C38" s="1"/>
      <c r="D38" s="1"/>
      <c r="E38" s="1"/>
      <c r="F38" s="1" t="s">
        <v>3360</v>
      </c>
      <c r="G38" s="1"/>
      <c r="H38" s="1"/>
      <c r="I38" s="1"/>
      <c r="J38" s="1"/>
      <c r="K38" s="1"/>
      <c r="L38" s="5"/>
      <c r="M38" s="1"/>
      <c r="N38" s="1"/>
      <c r="O38" s="1"/>
      <c r="P38" s="1"/>
      <c r="Q38" s="1"/>
      <c r="R38" s="1"/>
      <c r="S38" s="1"/>
      <c r="T38" s="4"/>
      <c r="U38" s="4"/>
      <c r="V38" s="1"/>
      <c r="W38" s="1"/>
      <c r="X38" s="1"/>
    </row>
    <row r="39" spans="1:24" x14ac:dyDescent="0.25">
      <c r="A39" s="3"/>
      <c r="B39" s="3"/>
      <c r="C39" s="1"/>
      <c r="D39" s="1"/>
      <c r="E39" s="1"/>
      <c r="F39" s="1" t="s">
        <v>3361</v>
      </c>
      <c r="G39" s="1"/>
      <c r="H39" s="1"/>
      <c r="I39" s="1"/>
      <c r="J39" s="1"/>
      <c r="K39" s="1"/>
      <c r="L39" s="5"/>
      <c r="M39" s="1"/>
      <c r="N39" s="1"/>
      <c r="O39" s="1"/>
      <c r="P39" s="1"/>
      <c r="Q39" s="1"/>
      <c r="R39" s="1"/>
      <c r="S39" s="1"/>
      <c r="T39" s="4"/>
      <c r="U39" s="4"/>
      <c r="V39" s="1"/>
      <c r="W39" s="1"/>
      <c r="X39" s="1"/>
    </row>
    <row r="40" spans="1:24" x14ac:dyDescent="0.25">
      <c r="A40" s="3"/>
      <c r="B40" s="3"/>
      <c r="C40" s="1"/>
      <c r="D40" s="1"/>
      <c r="E40" s="1" t="s">
        <v>3362</v>
      </c>
      <c r="F40" s="1"/>
      <c r="G40" s="1"/>
      <c r="H40" s="1"/>
      <c r="I40" s="1"/>
      <c r="J40" s="1"/>
      <c r="K40" s="1"/>
      <c r="L40" s="5"/>
      <c r="M40" s="1"/>
      <c r="N40" s="1"/>
      <c r="O40" s="1"/>
      <c r="P40" s="1"/>
      <c r="Q40" s="1"/>
      <c r="R40" s="1"/>
      <c r="S40" s="1"/>
      <c r="T40" s="4"/>
      <c r="U40" s="4"/>
      <c r="V40" s="1"/>
      <c r="W40" s="1"/>
      <c r="X40" s="1"/>
    </row>
    <row r="41" spans="1:24" x14ac:dyDescent="0.25">
      <c r="A41" s="3"/>
      <c r="B41" s="3"/>
      <c r="C41" s="1"/>
      <c r="D41" s="1" t="s">
        <v>3363</v>
      </c>
      <c r="E41" s="1" t="s">
        <v>3364</v>
      </c>
      <c r="F41" s="1"/>
      <c r="G41" s="1"/>
      <c r="H41" s="1"/>
      <c r="I41" s="1"/>
      <c r="J41" s="1"/>
      <c r="K41" s="1"/>
      <c r="L41" s="5"/>
      <c r="M41" s="1"/>
      <c r="N41" s="1"/>
      <c r="O41" s="1"/>
      <c r="P41" s="1"/>
      <c r="Q41" s="1"/>
      <c r="R41" s="1"/>
      <c r="S41" s="1"/>
      <c r="T41" s="4"/>
      <c r="U41" s="4"/>
      <c r="V41" s="1"/>
      <c r="W41" s="1"/>
      <c r="X41" s="1"/>
    </row>
    <row r="42" spans="1:24" x14ac:dyDescent="0.25">
      <c r="A42" s="3"/>
      <c r="B42" s="3"/>
      <c r="C42" s="1"/>
      <c r="D42" s="1"/>
      <c r="E42" s="1" t="s">
        <v>3365</v>
      </c>
      <c r="F42" s="1"/>
      <c r="G42" s="1"/>
      <c r="H42" s="1"/>
      <c r="I42" s="1"/>
      <c r="J42" s="1"/>
      <c r="K42" s="1"/>
      <c r="L42" s="5"/>
      <c r="M42" s="1"/>
      <c r="N42" s="1"/>
      <c r="O42" s="1"/>
      <c r="P42" s="1"/>
      <c r="Q42" s="1"/>
      <c r="R42" s="1"/>
      <c r="S42" s="1"/>
      <c r="T42" s="4"/>
      <c r="U42" s="4"/>
      <c r="V42" s="1"/>
      <c r="W42" s="1"/>
      <c r="X42" s="1"/>
    </row>
    <row r="43" spans="1:24" x14ac:dyDescent="0.25">
      <c r="A43" s="3"/>
      <c r="B43" s="3"/>
      <c r="C43" s="1"/>
      <c r="D43" s="1"/>
      <c r="E43" s="1" t="s">
        <v>3366</v>
      </c>
      <c r="F43" s="1"/>
      <c r="G43" s="1"/>
      <c r="H43" s="1"/>
      <c r="I43" s="1"/>
      <c r="J43" s="1"/>
      <c r="K43" s="1"/>
      <c r="L43" s="5"/>
      <c r="M43" s="1"/>
      <c r="N43" s="1"/>
      <c r="O43" s="1"/>
      <c r="P43" s="1"/>
      <c r="Q43" s="1"/>
      <c r="R43" s="1"/>
      <c r="S43" s="1"/>
      <c r="T43" s="4"/>
      <c r="U43" s="4"/>
      <c r="V43" s="1"/>
      <c r="W43" s="1"/>
      <c r="X43" s="1"/>
    </row>
    <row r="44" spans="1:24" x14ac:dyDescent="0.25">
      <c r="A44" s="3"/>
      <c r="B44" s="3"/>
      <c r="C44" s="1"/>
      <c r="D44" s="1"/>
      <c r="E44" s="1" t="s">
        <v>3367</v>
      </c>
      <c r="F44" s="1"/>
      <c r="G44" s="1"/>
      <c r="H44" s="1"/>
      <c r="I44" s="1"/>
      <c r="J44" s="1"/>
      <c r="K44" s="1"/>
      <c r="L44" s="5"/>
      <c r="M44" s="1"/>
      <c r="N44" s="1"/>
      <c r="O44" s="1"/>
      <c r="P44" s="1"/>
      <c r="Q44" s="1"/>
      <c r="R44" s="1"/>
      <c r="S44" s="1"/>
      <c r="T44" s="4"/>
      <c r="U44" s="4"/>
      <c r="V44" s="1"/>
      <c r="W44" s="1"/>
      <c r="X44" s="1"/>
    </row>
    <row r="45" spans="1:24" x14ac:dyDescent="0.25">
      <c r="A45" s="3"/>
      <c r="B45" s="3"/>
      <c r="C45" s="1"/>
      <c r="D45" s="1"/>
      <c r="E45" s="1" t="s">
        <v>3368</v>
      </c>
      <c r="F45" s="1"/>
      <c r="G45" s="1"/>
      <c r="H45" s="1"/>
      <c r="I45" s="1"/>
      <c r="J45" s="1"/>
      <c r="K45" s="1"/>
      <c r="L45" s="5"/>
      <c r="M45" s="1"/>
      <c r="N45" s="1"/>
      <c r="O45" s="1"/>
      <c r="P45" s="1"/>
      <c r="Q45" s="1"/>
      <c r="R45" s="1"/>
      <c r="S45" s="1"/>
      <c r="T45" s="4"/>
      <c r="U45" s="4"/>
      <c r="V45" s="1"/>
      <c r="W45" s="1"/>
      <c r="X45" s="1"/>
    </row>
    <row r="46" spans="1:24" x14ac:dyDescent="0.25">
      <c r="A46" s="3"/>
      <c r="B46" s="3"/>
      <c r="C46" s="1"/>
      <c r="D46" s="1"/>
      <c r="E46" s="1"/>
      <c r="F46" s="1"/>
      <c r="G46" s="1"/>
      <c r="H46" s="1"/>
      <c r="I46" s="1"/>
      <c r="J46" s="1"/>
      <c r="K46" s="1"/>
      <c r="L46" s="5"/>
      <c r="M46" s="1"/>
      <c r="N46" s="1"/>
      <c r="O46" s="1"/>
      <c r="P46" s="1"/>
      <c r="Q46" s="1"/>
      <c r="R46" s="1"/>
      <c r="S46" s="1"/>
      <c r="T46" s="4"/>
      <c r="U46" s="4"/>
      <c r="V46" s="1"/>
      <c r="W46" s="1"/>
      <c r="X46" s="1"/>
    </row>
    <row r="47" spans="1:24" x14ac:dyDescent="0.25">
      <c r="A47" s="3"/>
      <c r="B47" s="3"/>
      <c r="C47" s="1"/>
      <c r="D47" s="1232" t="s">
        <v>3369</v>
      </c>
      <c r="E47" s="1232"/>
      <c r="F47" s="1232"/>
      <c r="G47" s="1232"/>
      <c r="H47" s="1232"/>
      <c r="I47" s="1232"/>
      <c r="J47" s="1232"/>
      <c r="K47" s="617"/>
      <c r="L47" s="434"/>
      <c r="M47" s="620"/>
      <c r="N47" s="620"/>
      <c r="O47" s="620"/>
      <c r="P47" s="617"/>
      <c r="Q47" s="620"/>
      <c r="R47" s="302"/>
      <c r="S47" s="302"/>
      <c r="T47" s="619"/>
      <c r="U47" s="619"/>
      <c r="V47" s="302"/>
      <c r="W47" s="302"/>
      <c r="X47" s="302"/>
    </row>
    <row r="48" spans="1:24" x14ac:dyDescent="0.25">
      <c r="A48" s="3" t="s">
        <v>1106</v>
      </c>
      <c r="B48" s="3" t="s">
        <v>57</v>
      </c>
      <c r="C48" s="1"/>
      <c r="D48" s="1"/>
      <c r="E48" s="1" t="s">
        <v>3370</v>
      </c>
      <c r="F48" s="1"/>
      <c r="G48" s="1"/>
      <c r="H48" s="1"/>
      <c r="I48" s="1"/>
      <c r="J48" s="1"/>
      <c r="K48" s="1"/>
      <c r="L48" s="5"/>
      <c r="M48" s="1"/>
      <c r="N48" s="1"/>
      <c r="O48" s="1"/>
      <c r="P48" s="1"/>
      <c r="Q48" s="1"/>
      <c r="R48" s="1"/>
      <c r="S48" s="1"/>
      <c r="T48" s="4"/>
      <c r="U48" s="4"/>
      <c r="V48" s="1"/>
      <c r="W48" s="1"/>
      <c r="X48" s="1"/>
    </row>
    <row r="49" spans="1:24" x14ac:dyDescent="0.25">
      <c r="A49" s="3"/>
      <c r="B49" s="3"/>
      <c r="C49" s="1"/>
      <c r="D49" s="1"/>
      <c r="E49" s="1"/>
      <c r="F49" s="1" t="s">
        <v>3371</v>
      </c>
      <c r="G49" s="1"/>
      <c r="H49" s="1"/>
      <c r="I49" s="1"/>
      <c r="J49" s="1"/>
      <c r="K49" s="1"/>
      <c r="L49" s="5"/>
      <c r="M49" s="1"/>
      <c r="N49" s="1"/>
      <c r="O49" s="1"/>
      <c r="P49" s="1"/>
      <c r="Q49" s="1"/>
      <c r="R49" s="1"/>
      <c r="S49" s="1"/>
      <c r="T49" s="4"/>
      <c r="U49" s="4"/>
      <c r="V49" s="1"/>
      <c r="W49" s="1"/>
      <c r="X49" s="1"/>
    </row>
    <row r="50" spans="1:24" x14ac:dyDescent="0.25">
      <c r="A50" s="3"/>
      <c r="B50" s="3"/>
      <c r="C50" s="1"/>
      <c r="D50" s="1"/>
      <c r="E50" s="1"/>
      <c r="F50" s="1" t="s">
        <v>3372</v>
      </c>
      <c r="G50" s="1"/>
      <c r="H50" s="1"/>
      <c r="I50" s="1"/>
      <c r="J50" s="1"/>
      <c r="K50" s="1"/>
      <c r="L50" s="5"/>
      <c r="M50" s="1"/>
      <c r="N50" s="1"/>
      <c r="O50" s="1"/>
      <c r="P50" s="1"/>
      <c r="Q50" s="1"/>
      <c r="R50" s="1"/>
      <c r="S50" s="1"/>
      <c r="T50" s="4"/>
      <c r="U50" s="4"/>
      <c r="V50" s="1"/>
      <c r="W50" s="1"/>
      <c r="X50" s="1"/>
    </row>
    <row r="51" spans="1:24" x14ac:dyDescent="0.25">
      <c r="A51" s="3" t="s">
        <v>1098</v>
      </c>
      <c r="B51" s="3" t="s">
        <v>57</v>
      </c>
      <c r="C51" s="1"/>
      <c r="D51" s="1"/>
      <c r="E51" s="1" t="s">
        <v>3373</v>
      </c>
      <c r="F51" s="1"/>
      <c r="G51" s="1"/>
      <c r="H51" s="1"/>
      <c r="I51" s="1"/>
      <c r="J51" s="1"/>
      <c r="K51" s="1"/>
      <c r="L51" s="5"/>
      <c r="M51" s="1"/>
      <c r="N51" s="1"/>
      <c r="O51" s="1"/>
      <c r="P51" s="1"/>
      <c r="Q51" s="1"/>
      <c r="R51" s="1"/>
      <c r="S51" s="1"/>
      <c r="T51" s="4"/>
      <c r="U51" s="4"/>
      <c r="V51" s="1"/>
      <c r="W51" s="1"/>
      <c r="X51" s="1"/>
    </row>
    <row r="52" spans="1:24" x14ac:dyDescent="0.25">
      <c r="A52" s="3"/>
      <c r="B52" s="3"/>
      <c r="C52" s="1"/>
      <c r="D52" s="1"/>
      <c r="E52" s="1"/>
      <c r="F52" s="1"/>
      <c r="G52" s="1"/>
      <c r="H52" s="1"/>
      <c r="I52" s="1"/>
      <c r="J52" s="1"/>
      <c r="K52" s="1"/>
      <c r="L52" s="5"/>
      <c r="M52" s="1"/>
      <c r="N52" s="1"/>
      <c r="O52" s="1"/>
      <c r="P52" s="1"/>
      <c r="Q52" s="1"/>
      <c r="R52" s="1"/>
      <c r="S52" s="1"/>
      <c r="T52" s="4"/>
      <c r="U52" s="4"/>
      <c r="V52" s="1"/>
      <c r="W52" s="1"/>
      <c r="X52" s="1"/>
    </row>
    <row r="53" spans="1:24" x14ac:dyDescent="0.25">
      <c r="A53" s="3"/>
      <c r="B53" s="3"/>
      <c r="C53" s="1"/>
      <c r="D53" s="1" t="s">
        <v>3374</v>
      </c>
      <c r="E53" s="1"/>
      <c r="F53" s="1"/>
      <c r="G53" s="1"/>
      <c r="H53" s="1"/>
      <c r="I53" s="1"/>
      <c r="J53" s="1"/>
      <c r="K53" s="1"/>
      <c r="L53" s="5"/>
      <c r="M53" s="1"/>
      <c r="N53" s="1"/>
      <c r="O53" s="1"/>
      <c r="P53" s="1"/>
      <c r="Q53" s="1"/>
      <c r="R53" s="1"/>
      <c r="S53" s="1"/>
      <c r="T53" s="4"/>
      <c r="U53" s="4"/>
      <c r="V53" s="1"/>
      <c r="W53" s="1"/>
      <c r="X53" s="1"/>
    </row>
    <row r="54" spans="1:24" x14ac:dyDescent="0.25">
      <c r="A54" s="3"/>
      <c r="B54" s="3"/>
      <c r="C54" s="1"/>
      <c r="E54" t="s">
        <v>3119</v>
      </c>
      <c r="J54" s="6"/>
      <c r="K54" s="1"/>
      <c r="L54" s="5"/>
      <c r="M54" s="1"/>
      <c r="N54" s="1"/>
      <c r="O54" s="1"/>
      <c r="P54" s="1"/>
      <c r="Q54" s="1"/>
      <c r="R54" s="1"/>
      <c r="S54" s="1"/>
      <c r="T54" s="4"/>
      <c r="U54" s="4"/>
      <c r="V54" s="1"/>
      <c r="W54" s="1"/>
      <c r="X54" s="1"/>
    </row>
    <row r="55" spans="1:24" x14ac:dyDescent="0.25">
      <c r="A55" s="3"/>
      <c r="B55" s="3"/>
      <c r="C55" s="1"/>
      <c r="F55" t="s">
        <v>3334</v>
      </c>
      <c r="J55" s="1"/>
      <c r="K55" s="1"/>
      <c r="L55" s="5"/>
      <c r="M55" s="1"/>
      <c r="N55" s="1"/>
      <c r="O55" s="1"/>
      <c r="P55" s="1"/>
      <c r="Q55" s="1"/>
      <c r="R55" s="1"/>
      <c r="S55" s="1"/>
      <c r="T55" s="4"/>
      <c r="U55" s="4"/>
      <c r="V55" s="1"/>
      <c r="W55" s="1"/>
      <c r="X55" s="1"/>
    </row>
    <row r="56" spans="1:24" x14ac:dyDescent="0.25">
      <c r="A56" s="3"/>
      <c r="B56" s="3"/>
      <c r="C56" s="1"/>
      <c r="F56" t="s">
        <v>3335</v>
      </c>
      <c r="K56" s="1"/>
      <c r="L56" s="5"/>
      <c r="M56" s="1"/>
      <c r="N56" s="1"/>
      <c r="O56" s="1"/>
      <c r="P56" s="1"/>
      <c r="Q56" s="1"/>
      <c r="R56" s="1"/>
      <c r="S56" s="1"/>
      <c r="T56" s="4"/>
      <c r="U56" s="4"/>
      <c r="V56" s="1"/>
      <c r="W56" s="1"/>
      <c r="X56" s="1"/>
    </row>
    <row r="57" spans="1:24" x14ac:dyDescent="0.25">
      <c r="A57" s="3"/>
      <c r="B57" s="3"/>
      <c r="C57" s="1"/>
      <c r="F57" t="s">
        <v>3336</v>
      </c>
      <c r="J57" s="1"/>
      <c r="K57" s="1"/>
      <c r="L57" s="5"/>
      <c r="M57" s="1"/>
      <c r="N57" s="1"/>
      <c r="O57" s="1"/>
      <c r="P57" s="1"/>
      <c r="Q57" s="1"/>
      <c r="R57" s="1"/>
      <c r="S57" s="1"/>
      <c r="T57" s="4"/>
      <c r="U57" s="4"/>
      <c r="V57" s="1"/>
      <c r="W57" s="1"/>
      <c r="X57" s="1"/>
    </row>
    <row r="58" spans="1:24" x14ac:dyDescent="0.25">
      <c r="A58" s="3"/>
      <c r="B58" s="3"/>
      <c r="C58" s="1"/>
      <c r="F58" t="s">
        <v>3337</v>
      </c>
      <c r="J58" s="1"/>
      <c r="K58" s="1"/>
      <c r="L58" s="5"/>
      <c r="M58" s="1"/>
      <c r="N58" s="1"/>
      <c r="O58" s="1"/>
      <c r="P58" s="1"/>
      <c r="Q58" s="1"/>
      <c r="R58" s="1"/>
      <c r="S58" s="1"/>
      <c r="T58" s="4"/>
      <c r="U58" s="4"/>
      <c r="V58" s="1"/>
      <c r="W58" s="1"/>
      <c r="X58" s="1"/>
    </row>
    <row r="59" spans="1:24" ht="15.75" customHeight="1" x14ac:dyDescent="0.25">
      <c r="A59" s="3"/>
      <c r="B59" s="3"/>
      <c r="E59" t="s">
        <v>3338</v>
      </c>
      <c r="J59" s="1"/>
      <c r="L59" s="2"/>
    </row>
    <row r="60" spans="1:24" x14ac:dyDescent="0.25">
      <c r="A60" s="3"/>
      <c r="B60" s="3"/>
      <c r="E60" t="s">
        <v>3339</v>
      </c>
      <c r="J60" s="1"/>
      <c r="L60" s="2"/>
    </row>
    <row r="61" spans="1:24" x14ac:dyDescent="0.25">
      <c r="A61" s="3"/>
      <c r="B61" s="3"/>
      <c r="J61" s="1"/>
      <c r="L61" s="2"/>
    </row>
    <row r="62" spans="1:24" x14ac:dyDescent="0.25">
      <c r="A62" s="3"/>
      <c r="B62" s="3"/>
      <c r="D62" t="s">
        <v>3375</v>
      </c>
      <c r="J62" s="1"/>
    </row>
    <row r="63" spans="1:24" x14ac:dyDescent="0.25">
      <c r="A63" s="3"/>
      <c r="B63" s="3"/>
      <c r="J63" s="2"/>
      <c r="L63" s="2"/>
    </row>
    <row r="64" spans="1:24" x14ac:dyDescent="0.25">
      <c r="A64" s="3"/>
      <c r="B64" s="3"/>
    </row>
    <row r="65" spans="1:12" x14ac:dyDescent="0.25">
      <c r="A65" s="3"/>
      <c r="B65" s="3"/>
      <c r="J65" s="2"/>
      <c r="L65" s="2"/>
    </row>
    <row r="66" spans="1:12" x14ac:dyDescent="0.25">
      <c r="A66" s="3"/>
      <c r="B66" s="3"/>
    </row>
    <row r="67" spans="1:12" x14ac:dyDescent="0.25">
      <c r="A67" s="3"/>
      <c r="B67" s="3"/>
      <c r="J67" s="2"/>
      <c r="L67" s="2"/>
    </row>
    <row r="68" spans="1:12" x14ac:dyDescent="0.25">
      <c r="A68" s="3"/>
      <c r="B68" s="3"/>
    </row>
    <row r="69" spans="1:12" x14ac:dyDescent="0.25">
      <c r="A69" s="3"/>
      <c r="B69" s="3"/>
      <c r="J69" s="2"/>
      <c r="L69" s="2"/>
    </row>
    <row r="70" spans="1:12" x14ac:dyDescent="0.25">
      <c r="A70" s="3"/>
      <c r="B70" s="3"/>
    </row>
    <row r="71" spans="1:12" x14ac:dyDescent="0.25">
      <c r="A71" s="3"/>
      <c r="B71" s="3"/>
      <c r="J71" s="2"/>
      <c r="L71" s="2"/>
    </row>
    <row r="72" spans="1:12" x14ac:dyDescent="0.25">
      <c r="A72" s="3"/>
      <c r="B72" s="3"/>
    </row>
    <row r="73" spans="1:12" x14ac:dyDescent="0.25">
      <c r="A73" s="3"/>
      <c r="B73" s="3"/>
      <c r="J73" s="2"/>
      <c r="L73" s="2"/>
    </row>
    <row r="74" spans="1:12" x14ac:dyDescent="0.25">
      <c r="A74" s="3"/>
      <c r="B74" s="3"/>
    </row>
    <row r="75" spans="1:12" x14ac:dyDescent="0.25">
      <c r="A75" s="3"/>
      <c r="B75" s="3"/>
      <c r="J75" s="2"/>
      <c r="L75" s="2"/>
    </row>
    <row r="76" spans="1:12" x14ac:dyDescent="0.25">
      <c r="A76" s="3"/>
      <c r="B76" s="3"/>
    </row>
    <row r="77" spans="1:12" x14ac:dyDescent="0.25">
      <c r="A77" s="3"/>
      <c r="B77" s="3"/>
      <c r="J77" s="2"/>
      <c r="L77" s="2"/>
    </row>
    <row r="78" spans="1:12" x14ac:dyDescent="0.25">
      <c r="A78" s="3"/>
      <c r="B78" s="3"/>
    </row>
    <row r="79" spans="1:12" x14ac:dyDescent="0.25">
      <c r="A79" s="3"/>
      <c r="B79" s="3"/>
      <c r="J79" s="2"/>
      <c r="L79" s="2"/>
    </row>
    <row r="80" spans="1:12" x14ac:dyDescent="0.25">
      <c r="A80" s="3"/>
      <c r="B80" s="3"/>
    </row>
    <row r="81" spans="1:2" x14ac:dyDescent="0.25">
      <c r="A81" s="3"/>
      <c r="B81" s="3"/>
    </row>
    <row r="82" spans="1:2" x14ac:dyDescent="0.25">
      <c r="A82" s="3"/>
      <c r="B82" s="3"/>
    </row>
    <row r="83" spans="1:2" x14ac:dyDescent="0.25">
      <c r="A83" s="3"/>
      <c r="B83" s="3"/>
    </row>
    <row r="84" spans="1:2" x14ac:dyDescent="0.25">
      <c r="A84" s="3"/>
      <c r="B84" s="3"/>
    </row>
    <row r="85" spans="1:2" x14ac:dyDescent="0.25">
      <c r="A85" s="3"/>
      <c r="B85" s="3"/>
    </row>
    <row r="86" spans="1:2" x14ac:dyDescent="0.25">
      <c r="A86" s="3"/>
      <c r="B86" s="3"/>
    </row>
    <row r="87" spans="1:2" x14ac:dyDescent="0.25">
      <c r="A87" s="3"/>
      <c r="B87" s="3"/>
    </row>
    <row r="88" spans="1:2" x14ac:dyDescent="0.25">
      <c r="A88" s="3"/>
      <c r="B88" s="3"/>
    </row>
    <row r="89" spans="1:2" x14ac:dyDescent="0.25">
      <c r="A89" s="3"/>
      <c r="B89" s="3"/>
    </row>
    <row r="90" spans="1:2" x14ac:dyDescent="0.25">
      <c r="A90" s="3"/>
      <c r="B90" s="3"/>
    </row>
    <row r="91" spans="1:2" x14ac:dyDescent="0.25">
      <c r="A91" s="3"/>
      <c r="B91" s="3"/>
    </row>
    <row r="92" spans="1:2" x14ac:dyDescent="0.25">
      <c r="A92" s="3"/>
      <c r="B92" s="3"/>
    </row>
    <row r="93" spans="1:2" x14ac:dyDescent="0.25">
      <c r="A93" s="3"/>
      <c r="B93" s="3"/>
    </row>
    <row r="94" spans="1:2" x14ac:dyDescent="0.25">
      <c r="A94" s="3"/>
      <c r="B94" s="3"/>
    </row>
    <row r="95" spans="1:2" x14ac:dyDescent="0.25">
      <c r="A95" s="3"/>
      <c r="B95" s="3"/>
    </row>
    <row r="96" spans="1:2" x14ac:dyDescent="0.25">
      <c r="A96" s="3"/>
      <c r="B96" s="3"/>
    </row>
    <row r="97" spans="1:2" x14ac:dyDescent="0.25">
      <c r="A97" s="3"/>
      <c r="B97" s="3"/>
    </row>
    <row r="98" spans="1:2" x14ac:dyDescent="0.25">
      <c r="A98" s="3"/>
      <c r="B98" s="3"/>
    </row>
    <row r="99" spans="1:2" x14ac:dyDescent="0.25">
      <c r="A99" s="3"/>
      <c r="B99" s="3"/>
    </row>
    <row r="100" spans="1:2" x14ac:dyDescent="0.25">
      <c r="A100" s="3"/>
      <c r="B100" s="3"/>
    </row>
    <row r="101" spans="1:2" x14ac:dyDescent="0.25">
      <c r="A101" s="3"/>
      <c r="B101" s="3"/>
    </row>
    <row r="102" spans="1:2" x14ac:dyDescent="0.25">
      <c r="A102" s="3"/>
      <c r="B102" s="3"/>
    </row>
    <row r="103" spans="1:2" x14ac:dyDescent="0.25">
      <c r="A103" s="3"/>
      <c r="B103" s="3"/>
    </row>
    <row r="104" spans="1:2" x14ac:dyDescent="0.25">
      <c r="A104" s="3"/>
      <c r="B104" s="3"/>
    </row>
    <row r="105" spans="1:2" x14ac:dyDescent="0.25">
      <c r="A105" s="3"/>
      <c r="B105" s="3"/>
    </row>
    <row r="106" spans="1:2" x14ac:dyDescent="0.25">
      <c r="A106" s="3"/>
      <c r="B106" s="3"/>
    </row>
    <row r="107" spans="1:2" x14ac:dyDescent="0.25">
      <c r="A107" s="3"/>
      <c r="B107" s="3"/>
    </row>
    <row r="108" spans="1:2" x14ac:dyDescent="0.25">
      <c r="A108" s="3"/>
      <c r="B108" s="3"/>
    </row>
    <row r="109" spans="1:2" x14ac:dyDescent="0.25">
      <c r="A109" s="3"/>
      <c r="B109" s="3"/>
    </row>
    <row r="110" spans="1:2" x14ac:dyDescent="0.25">
      <c r="A110" s="3"/>
      <c r="B110" s="3"/>
    </row>
    <row r="111" spans="1:2" x14ac:dyDescent="0.25">
      <c r="A111" s="3"/>
      <c r="B111" s="3"/>
    </row>
    <row r="112" spans="1:2" x14ac:dyDescent="0.25">
      <c r="A112" s="3"/>
      <c r="B112" s="3"/>
    </row>
    <row r="113" spans="1:2" x14ac:dyDescent="0.25">
      <c r="A113" s="3"/>
      <c r="B113" s="3"/>
    </row>
    <row r="114" spans="1:2" x14ac:dyDescent="0.25">
      <c r="A114" s="3"/>
      <c r="B114" s="3"/>
    </row>
    <row r="115" spans="1:2" x14ac:dyDescent="0.25">
      <c r="A115" s="3"/>
      <c r="B115" s="3"/>
    </row>
    <row r="116" spans="1:2" x14ac:dyDescent="0.25">
      <c r="A116" s="3"/>
      <c r="B116" s="3"/>
    </row>
    <row r="117" spans="1:2" x14ac:dyDescent="0.25">
      <c r="A117" s="3"/>
      <c r="B117" s="3"/>
    </row>
    <row r="118" spans="1:2" x14ac:dyDescent="0.25">
      <c r="A118" s="3"/>
      <c r="B118" s="3"/>
    </row>
    <row r="119" spans="1:2" x14ac:dyDescent="0.25">
      <c r="A119" s="3"/>
      <c r="B119" s="3"/>
    </row>
    <row r="120" spans="1:2" x14ac:dyDescent="0.25">
      <c r="A120" s="3"/>
      <c r="B120" s="3"/>
    </row>
    <row r="121" spans="1:2" x14ac:dyDescent="0.25">
      <c r="A121" s="3"/>
      <c r="B121" s="3"/>
    </row>
    <row r="122" spans="1:2" x14ac:dyDescent="0.25">
      <c r="A122" s="3"/>
      <c r="B122" s="3"/>
    </row>
    <row r="123" spans="1:2" x14ac:dyDescent="0.25">
      <c r="A123" s="3"/>
      <c r="B123" s="3"/>
    </row>
    <row r="124" spans="1:2" x14ac:dyDescent="0.25">
      <c r="A124" s="3"/>
      <c r="B124" s="3"/>
    </row>
    <row r="125" spans="1:2" x14ac:dyDescent="0.25">
      <c r="A125" s="3"/>
      <c r="B125" s="3"/>
    </row>
    <row r="126" spans="1:2" x14ac:dyDescent="0.25">
      <c r="A126" s="3"/>
      <c r="B126" s="3"/>
    </row>
    <row r="127" spans="1:2" x14ac:dyDescent="0.25">
      <c r="A127" s="3"/>
      <c r="B127" s="3"/>
    </row>
    <row r="128" spans="1:2" x14ac:dyDescent="0.25">
      <c r="A128" s="3"/>
      <c r="B128" s="3"/>
    </row>
    <row r="129" spans="1:25" x14ac:dyDescent="0.25">
      <c r="A129" s="3"/>
      <c r="B129" s="3"/>
    </row>
    <row r="130" spans="1:25" x14ac:dyDescent="0.25">
      <c r="A130" s="3"/>
      <c r="B130" s="3"/>
    </row>
    <row r="131" spans="1:25" x14ac:dyDescent="0.25">
      <c r="A131" s="3"/>
      <c r="B131" s="3"/>
    </row>
    <row r="132" spans="1:25" s="2" customFormat="1" x14ac:dyDescent="0.25">
      <c r="A132" s="3"/>
      <c r="B132" s="3"/>
      <c r="C132"/>
      <c r="D132"/>
      <c r="E132"/>
      <c r="F132"/>
      <c r="G132"/>
      <c r="H132"/>
      <c r="I132"/>
      <c r="J132"/>
      <c r="K132"/>
      <c r="L132"/>
      <c r="M132"/>
      <c r="N132"/>
      <c r="O132"/>
      <c r="P132"/>
      <c r="Q132"/>
      <c r="R132"/>
      <c r="S132"/>
      <c r="T132"/>
      <c r="U132"/>
      <c r="V132"/>
      <c r="W132"/>
      <c r="X132"/>
      <c r="Y132"/>
    </row>
    <row r="133" spans="1:25" x14ac:dyDescent="0.25">
      <c r="A133" s="3"/>
      <c r="B133" s="3"/>
    </row>
    <row r="134" spans="1:25" x14ac:dyDescent="0.25">
      <c r="A134" s="3"/>
      <c r="B134" s="3"/>
    </row>
    <row r="135" spans="1:25" x14ac:dyDescent="0.25">
      <c r="A135" s="3"/>
      <c r="B135" s="3"/>
    </row>
    <row r="136" spans="1:25" x14ac:dyDescent="0.25">
      <c r="A136" s="3"/>
      <c r="B136" s="3"/>
    </row>
    <row r="137" spans="1:25" x14ac:dyDescent="0.25">
      <c r="A137" s="3"/>
      <c r="B137" s="3"/>
    </row>
    <row r="138" spans="1:25" x14ac:dyDescent="0.25">
      <c r="A138" s="3"/>
      <c r="B138" s="3"/>
    </row>
    <row r="139" spans="1:25" x14ac:dyDescent="0.25">
      <c r="A139" s="3"/>
      <c r="B139" s="3"/>
    </row>
    <row r="140" spans="1:25" s="2" customFormat="1" x14ac:dyDescent="0.25">
      <c r="A140" s="3"/>
      <c r="B140" s="3"/>
      <c r="C140"/>
      <c r="D140"/>
      <c r="E140"/>
      <c r="F140"/>
      <c r="G140"/>
      <c r="H140"/>
      <c r="I140"/>
      <c r="J140"/>
      <c r="K140"/>
      <c r="L140"/>
      <c r="M140"/>
      <c r="N140"/>
      <c r="O140"/>
      <c r="P140"/>
      <c r="Q140"/>
      <c r="R140"/>
      <c r="S140"/>
      <c r="T140"/>
      <c r="U140"/>
      <c r="V140"/>
      <c r="W140"/>
      <c r="X140"/>
      <c r="Y140"/>
    </row>
    <row r="141" spans="1:25" x14ac:dyDescent="0.25">
      <c r="A141" s="3"/>
      <c r="B141" s="3"/>
    </row>
    <row r="142" spans="1:25" x14ac:dyDescent="0.25">
      <c r="A142" s="3"/>
      <c r="B142" s="3"/>
    </row>
    <row r="143" spans="1:25" x14ac:dyDescent="0.25">
      <c r="A143" s="3"/>
      <c r="B143" s="3"/>
    </row>
    <row r="144" spans="1:25" x14ac:dyDescent="0.25">
      <c r="A144" s="3"/>
      <c r="B144" s="3"/>
    </row>
    <row r="145" spans="1:2" x14ac:dyDescent="0.25">
      <c r="A145" s="3"/>
      <c r="B145" s="3"/>
    </row>
    <row r="146" spans="1:2" x14ac:dyDescent="0.25">
      <c r="A146" s="3"/>
      <c r="B146" s="3"/>
    </row>
    <row r="147" spans="1:2" x14ac:dyDescent="0.25">
      <c r="A147" s="3"/>
      <c r="B147" s="3"/>
    </row>
    <row r="148" spans="1:2" x14ac:dyDescent="0.25">
      <c r="A148" s="3"/>
      <c r="B148" s="3"/>
    </row>
    <row r="149" spans="1:2" x14ac:dyDescent="0.25">
      <c r="A149" s="3"/>
      <c r="B149" s="3"/>
    </row>
    <row r="150" spans="1:2" x14ac:dyDescent="0.25">
      <c r="A150" s="3"/>
      <c r="B150" s="3"/>
    </row>
    <row r="151" spans="1:2" x14ac:dyDescent="0.25">
      <c r="A151" s="3"/>
      <c r="B151" s="3"/>
    </row>
    <row r="152" spans="1:2" x14ac:dyDescent="0.25">
      <c r="A152" s="3"/>
      <c r="B152" s="3"/>
    </row>
    <row r="153" spans="1:2" x14ac:dyDescent="0.25">
      <c r="A153" s="3"/>
      <c r="B153" s="3"/>
    </row>
    <row r="154" spans="1:2" x14ac:dyDescent="0.25">
      <c r="A154" s="3"/>
      <c r="B154" s="3"/>
    </row>
    <row r="155" spans="1:2" x14ac:dyDescent="0.25">
      <c r="A155" s="3"/>
      <c r="B155" s="3"/>
    </row>
    <row r="156" spans="1:2" x14ac:dyDescent="0.25">
      <c r="A156" s="3"/>
      <c r="B156" s="3"/>
    </row>
    <row r="157" spans="1:2" x14ac:dyDescent="0.25">
      <c r="A157" s="3"/>
      <c r="B157" s="3"/>
    </row>
    <row r="158" spans="1:2" x14ac:dyDescent="0.25">
      <c r="A158" s="3"/>
      <c r="B158" s="3"/>
    </row>
    <row r="159" spans="1:2" x14ac:dyDescent="0.25">
      <c r="A159" s="3"/>
      <c r="B159" s="3"/>
    </row>
    <row r="160" spans="1:2" x14ac:dyDescent="0.25">
      <c r="A160" s="3"/>
      <c r="B160" s="3"/>
    </row>
    <row r="161" spans="1:2" x14ac:dyDescent="0.25">
      <c r="A161" s="3"/>
      <c r="B161" s="3"/>
    </row>
    <row r="162" spans="1:2" x14ac:dyDescent="0.25">
      <c r="A162" s="3"/>
      <c r="B162" s="3"/>
    </row>
    <row r="163" spans="1:2" x14ac:dyDescent="0.25">
      <c r="A163" s="3"/>
      <c r="B163" s="3"/>
    </row>
    <row r="164" spans="1:2" x14ac:dyDescent="0.25">
      <c r="A164" s="3"/>
      <c r="B164" s="3"/>
    </row>
    <row r="165" spans="1:2" x14ac:dyDescent="0.25">
      <c r="A165" s="3"/>
      <c r="B165" s="3"/>
    </row>
    <row r="166" spans="1:2" x14ac:dyDescent="0.25">
      <c r="A166" s="3"/>
      <c r="B166" s="3"/>
    </row>
    <row r="167" spans="1:2" x14ac:dyDescent="0.25">
      <c r="A167" s="3"/>
      <c r="B167" s="3"/>
    </row>
    <row r="168" spans="1:2" x14ac:dyDescent="0.25">
      <c r="A168" s="3"/>
      <c r="B168" s="3"/>
    </row>
    <row r="169" spans="1:2" x14ac:dyDescent="0.25">
      <c r="A169" s="3"/>
      <c r="B169" s="3"/>
    </row>
    <row r="170" spans="1:2" x14ac:dyDescent="0.25">
      <c r="A170" s="3"/>
      <c r="B170" s="3"/>
    </row>
    <row r="171" spans="1:2" x14ac:dyDescent="0.25">
      <c r="A171" s="3"/>
      <c r="B171" s="3"/>
    </row>
    <row r="172" spans="1:2" x14ac:dyDescent="0.25">
      <c r="A172" s="3"/>
      <c r="B172" s="3"/>
    </row>
    <row r="173" spans="1:2" x14ac:dyDescent="0.25">
      <c r="A173" s="3"/>
      <c r="B173" s="3"/>
    </row>
    <row r="174" spans="1:2" x14ac:dyDescent="0.25">
      <c r="A174" s="3"/>
      <c r="B174" s="3"/>
    </row>
    <row r="175" spans="1:2" x14ac:dyDescent="0.25">
      <c r="A175" s="3"/>
      <c r="B175" s="3"/>
    </row>
    <row r="176" spans="1:2" x14ac:dyDescent="0.25">
      <c r="A176" s="3"/>
      <c r="B176" s="3"/>
    </row>
    <row r="177" spans="1:25" x14ac:dyDescent="0.25">
      <c r="A177" s="3"/>
      <c r="B177" s="3"/>
    </row>
    <row r="178" spans="1:25" x14ac:dyDescent="0.25">
      <c r="A178" s="3"/>
      <c r="B178" s="3"/>
    </row>
    <row r="179" spans="1:25" x14ac:dyDescent="0.25">
      <c r="A179" s="3"/>
      <c r="B179" s="3"/>
    </row>
    <row r="180" spans="1:25" x14ac:dyDescent="0.25">
      <c r="A180" s="3"/>
      <c r="B180" s="3"/>
    </row>
    <row r="181" spans="1:25" x14ac:dyDescent="0.25">
      <c r="A181" s="3"/>
      <c r="B181" s="3"/>
    </row>
    <row r="182" spans="1:25" x14ac:dyDescent="0.25">
      <c r="A182" s="3"/>
      <c r="B182" s="3"/>
    </row>
    <row r="183" spans="1:25" x14ac:dyDescent="0.25">
      <c r="A183" s="3"/>
      <c r="B183" s="3"/>
    </row>
    <row r="184" spans="1:25" x14ac:dyDescent="0.25">
      <c r="A184" s="3"/>
      <c r="B184" s="3"/>
    </row>
    <row r="185" spans="1:25" x14ac:dyDescent="0.25">
      <c r="A185" s="3"/>
      <c r="B185" s="3"/>
    </row>
    <row r="186" spans="1:25" x14ac:dyDescent="0.25">
      <c r="A186" s="3"/>
      <c r="B186" s="3"/>
    </row>
    <row r="187" spans="1:25" s="2" customFormat="1" x14ac:dyDescent="0.25">
      <c r="A187" s="3"/>
      <c r="B187" s="3"/>
      <c r="C187"/>
      <c r="D187"/>
      <c r="E187"/>
      <c r="F187"/>
      <c r="G187"/>
      <c r="H187"/>
      <c r="I187"/>
      <c r="J187"/>
      <c r="K187"/>
      <c r="L187"/>
      <c r="M187"/>
      <c r="N187"/>
      <c r="O187"/>
      <c r="P187"/>
      <c r="Q187"/>
      <c r="R187"/>
      <c r="S187"/>
      <c r="T187"/>
      <c r="U187"/>
      <c r="V187"/>
      <c r="W187"/>
      <c r="X187"/>
      <c r="Y187"/>
    </row>
    <row r="188" spans="1:25" x14ac:dyDescent="0.25">
      <c r="A188" s="3"/>
      <c r="B188" s="3"/>
    </row>
    <row r="189" spans="1:25" x14ac:dyDescent="0.25">
      <c r="A189" s="3"/>
      <c r="B189" s="3"/>
    </row>
    <row r="190" spans="1:25" x14ac:dyDescent="0.25">
      <c r="A190" s="3"/>
      <c r="B190" s="3"/>
    </row>
    <row r="191" spans="1:25" x14ac:dyDescent="0.25">
      <c r="A191" s="3"/>
      <c r="B191" s="3"/>
    </row>
    <row r="192" spans="1:25" x14ac:dyDescent="0.25">
      <c r="A192" s="3"/>
      <c r="B192" s="3"/>
    </row>
    <row r="193" spans="1:2" x14ac:dyDescent="0.25">
      <c r="A193" s="3"/>
      <c r="B193" s="3"/>
    </row>
    <row r="194" spans="1:2" x14ac:dyDescent="0.25">
      <c r="A194" s="3"/>
      <c r="B194" s="3"/>
    </row>
    <row r="195" spans="1:2" x14ac:dyDescent="0.25">
      <c r="A195" s="3"/>
      <c r="B195" s="3"/>
    </row>
    <row r="196" spans="1:2" x14ac:dyDescent="0.25">
      <c r="A196" s="3"/>
      <c r="B196" s="3"/>
    </row>
    <row r="197" spans="1:2" x14ac:dyDescent="0.25">
      <c r="A197" s="3"/>
      <c r="B197" s="3"/>
    </row>
    <row r="198" spans="1:2" x14ac:dyDescent="0.25">
      <c r="A198" s="3"/>
      <c r="B198" s="3"/>
    </row>
    <row r="199" spans="1:2" x14ac:dyDescent="0.25">
      <c r="A199" s="3"/>
      <c r="B199" s="3"/>
    </row>
    <row r="200" spans="1:2" x14ac:dyDescent="0.25">
      <c r="A200" s="3"/>
      <c r="B200" s="3"/>
    </row>
    <row r="201" spans="1:2" x14ac:dyDescent="0.25">
      <c r="A201" s="3"/>
      <c r="B201" s="3"/>
    </row>
    <row r="202" spans="1:2" x14ac:dyDescent="0.25">
      <c r="A202" s="3"/>
      <c r="B202" s="3"/>
    </row>
    <row r="203" spans="1:2" x14ac:dyDescent="0.25">
      <c r="A203" s="3"/>
      <c r="B203" s="3"/>
    </row>
    <row r="204" spans="1:2" x14ac:dyDescent="0.25">
      <c r="A204" s="3"/>
      <c r="B204" s="3"/>
    </row>
    <row r="205" spans="1:2" x14ac:dyDescent="0.25">
      <c r="A205" s="3"/>
      <c r="B205" s="3"/>
    </row>
    <row r="206" spans="1:2" x14ac:dyDescent="0.25">
      <c r="A206" s="3"/>
      <c r="B206" s="3"/>
    </row>
    <row r="207" spans="1:2" x14ac:dyDescent="0.25">
      <c r="A207" s="3"/>
      <c r="B207" s="3"/>
    </row>
    <row r="208" spans="1:2" x14ac:dyDescent="0.25">
      <c r="A208" s="3"/>
      <c r="B208" s="3"/>
    </row>
    <row r="209" spans="1:2" x14ac:dyDescent="0.25">
      <c r="A209" s="3"/>
      <c r="B209" s="3"/>
    </row>
    <row r="210" spans="1:2" x14ac:dyDescent="0.25">
      <c r="A210" s="3"/>
      <c r="B210" s="3"/>
    </row>
    <row r="211" spans="1:2" x14ac:dyDescent="0.25">
      <c r="A211" s="3"/>
      <c r="B211" s="3"/>
    </row>
    <row r="212" spans="1:2" x14ac:dyDescent="0.25">
      <c r="A212" s="3"/>
      <c r="B212" s="3"/>
    </row>
    <row r="213" spans="1:2" x14ac:dyDescent="0.25">
      <c r="A213" s="3"/>
      <c r="B213" s="3"/>
    </row>
    <row r="214" spans="1:2" x14ac:dyDescent="0.25">
      <c r="A214" s="3"/>
      <c r="B214" s="3"/>
    </row>
    <row r="215" spans="1:2" x14ac:dyDescent="0.25">
      <c r="A215" s="3"/>
      <c r="B215" s="3"/>
    </row>
    <row r="216" spans="1:2" x14ac:dyDescent="0.25">
      <c r="A216" s="3"/>
      <c r="B216" s="3"/>
    </row>
    <row r="217" spans="1:2" x14ac:dyDescent="0.25">
      <c r="A217" s="3"/>
      <c r="B217" s="3"/>
    </row>
  </sheetData>
  <mergeCells count="15">
    <mergeCell ref="D24:J24"/>
    <mergeCell ref="E26:J26"/>
    <mergeCell ref="E27:J27"/>
    <mergeCell ref="E28:J28"/>
    <mergeCell ref="D47:J47"/>
    <mergeCell ref="F17:J17"/>
    <mergeCell ref="F18:J18"/>
    <mergeCell ref="D19:J19"/>
    <mergeCell ref="E20:J20"/>
    <mergeCell ref="E22:J22"/>
    <mergeCell ref="D8:X8"/>
    <mergeCell ref="E10:X10"/>
    <mergeCell ref="E11:J11"/>
    <mergeCell ref="F14:J14"/>
    <mergeCell ref="F16:J16"/>
  </mergeCells>
  <conditionalFormatting sqref="U1:X8 S9:X58 T59:X308">
    <cfRule type="containsText" dxfId="15" priority="1" operator="containsText" text="ja">
      <formula>NOT(ISERROR(SEARCH(("ja"),(U1))))</formula>
    </cfRule>
    <cfRule type="containsText" dxfId="14" priority="2" operator="containsText" text="nein">
      <formula>NOT(ISERROR(SEARCH(("nein"),(U1))))</formula>
    </cfRule>
  </conditionalFormatting>
  <dataValidations count="4">
    <dataValidation type="list" errorStyle="warning" showErrorMessage="1" sqref="A11:A217" xr:uid="{00000000-0002-0000-0E00-000000000000}">
      <formula1>"ja,nein"</formula1>
    </dataValidation>
    <dataValidation type="list" errorStyle="warning" showErrorMessage="1" sqref="X11:X19 X24" xr:uid="{00000000-0002-0000-0E00-000001000000}">
      <formula1>",Ready, CICD"</formula1>
    </dataValidation>
    <dataValidation type="list" errorStyle="warning" showErrorMessage="1" sqref="U20:U23 U25:U46 U48:U58 T20:T23 T25:T46 T48:T58 T11:U19 T24:U24 T47:U47" xr:uid="{00000000-0002-0000-0E00-000002000000}">
      <formula1>"unbestimmt, ja, nein"</formula1>
    </dataValidation>
    <dataValidation type="list" errorStyle="warning" showErrorMessage="1" sqref="B11:B217" xr:uid="{00000000-0002-0000-0E00-000003000000}">
      <formula1>"ELA,Meistertask,Cleverreach,Synology,Miro,Google,WhatsApp,Canva,Adobe,Contao,Wiki,ecoDMS,Wiki,Facebook,Instagram,TikTok,LinkedIn,Youtube,Xing,X,SalesForce,Lexware,Volksbank,Articulate,Outlook,easy2book,Domainfactory,1&amp;1"</formula1>
    </dataValidation>
  </dataValidations>
  <pageMargins left="0.75" right="0.75" top="1" bottom="1" header="0.5" footer="0.5"/>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Y204"/>
  <sheetViews>
    <sheetView workbookViewId="0">
      <pane ySplit="9" topLeftCell="A10" activePane="bottomLeft" state="frozen"/>
      <selection pane="bottomLeft"/>
    </sheetView>
  </sheetViews>
  <sheetFormatPr baseColWidth="10" defaultColWidth="14.5703125" defaultRowHeight="15" x14ac:dyDescent="0.25"/>
  <cols>
    <col min="1" max="1" width="13.140625" customWidth="1"/>
    <col min="2" max="2" width="10.7109375" customWidth="1"/>
    <col min="3" max="3" width="6.140625" customWidth="1"/>
    <col min="4" max="9" width="3.42578125" customWidth="1"/>
    <col min="10" max="10" width="42.7109375" customWidth="1"/>
    <col min="11" max="11" width="59" customWidth="1"/>
    <col min="12" max="12" width="23.140625" customWidth="1"/>
    <col min="13" max="17" width="17" customWidth="1"/>
    <col min="18" max="18" width="52" customWidth="1"/>
    <col min="20" max="20" width="14.42578125" customWidth="1"/>
    <col min="21" max="21" width="13.85546875" customWidth="1"/>
    <col min="22" max="23" width="31.85546875" customWidth="1"/>
    <col min="24" max="24" width="14.42578125" customWidth="1"/>
  </cols>
  <sheetData>
    <row r="2" spans="1:24" x14ac:dyDescent="0.25">
      <c r="I2" s="736"/>
      <c r="J2" t="s">
        <v>0</v>
      </c>
    </row>
    <row r="3" spans="1:24" x14ac:dyDescent="0.25">
      <c r="I3" s="43"/>
      <c r="J3" t="s">
        <v>1</v>
      </c>
    </row>
    <row r="4" spans="1:24" x14ac:dyDescent="0.25">
      <c r="I4" s="42"/>
      <c r="J4" t="s">
        <v>2</v>
      </c>
    </row>
    <row r="5" spans="1:24" x14ac:dyDescent="0.25">
      <c r="I5" s="106"/>
      <c r="J5" t="s">
        <v>3</v>
      </c>
    </row>
    <row r="6" spans="1:24" x14ac:dyDescent="0.25">
      <c r="I6" s="121"/>
      <c r="J6" t="s">
        <v>4</v>
      </c>
    </row>
    <row r="8" spans="1:24" x14ac:dyDescent="0.25">
      <c r="A8" s="122" t="s">
        <v>5</v>
      </c>
      <c r="B8" s="122" t="s">
        <v>6</v>
      </c>
      <c r="C8" s="122" t="s">
        <v>7</v>
      </c>
      <c r="D8" s="1077" t="s">
        <v>8</v>
      </c>
      <c r="E8" s="1077"/>
      <c r="F8" s="1077"/>
      <c r="G8" s="1077"/>
      <c r="H8" s="1077"/>
      <c r="I8" s="1077"/>
      <c r="J8" s="1077"/>
      <c r="K8" s="1078"/>
      <c r="L8" s="1079"/>
      <c r="M8" s="1080"/>
      <c r="N8" s="1080"/>
      <c r="O8" s="1080"/>
      <c r="P8" s="1080"/>
      <c r="Q8" s="1080"/>
      <c r="R8" s="1080"/>
      <c r="S8" s="1080"/>
      <c r="T8" s="1080"/>
      <c r="U8" s="1080"/>
      <c r="V8" s="1080"/>
      <c r="W8" s="1080"/>
      <c r="X8" s="1079"/>
    </row>
    <row r="9" spans="1:24" s="2" customFormat="1" ht="36.75" customHeight="1" x14ac:dyDescent="0.2">
      <c r="A9" s="7"/>
      <c r="B9" s="7"/>
      <c r="C9" s="7"/>
      <c r="D9" s="7" t="s">
        <v>9</v>
      </c>
      <c r="E9" s="32" t="s">
        <v>10</v>
      </c>
      <c r="F9" s="32" t="s">
        <v>11</v>
      </c>
      <c r="G9" s="32" t="s">
        <v>12</v>
      </c>
      <c r="H9" s="32" t="s">
        <v>13</v>
      </c>
      <c r="I9" s="32" t="s">
        <v>14</v>
      </c>
      <c r="J9" s="737" t="s">
        <v>15</v>
      </c>
      <c r="K9" s="738" t="s">
        <v>16</v>
      </c>
      <c r="L9" s="739" t="s">
        <v>17</v>
      </c>
      <c r="M9" s="740" t="s">
        <v>18</v>
      </c>
      <c r="N9" s="740" t="s">
        <v>19</v>
      </c>
      <c r="O9" s="33" t="s">
        <v>20</v>
      </c>
      <c r="P9" s="740" t="s">
        <v>21</v>
      </c>
      <c r="Q9" s="740" t="s">
        <v>22</v>
      </c>
      <c r="R9" s="740" t="s">
        <v>23</v>
      </c>
      <c r="S9" s="741" t="s">
        <v>24</v>
      </c>
      <c r="T9" s="34" t="s">
        <v>25</v>
      </c>
      <c r="U9" s="34" t="s">
        <v>26</v>
      </c>
      <c r="V9" s="35" t="s">
        <v>27</v>
      </c>
      <c r="W9" s="34" t="s">
        <v>28</v>
      </c>
      <c r="X9" s="34" t="s">
        <v>29</v>
      </c>
    </row>
    <row r="10" spans="1:24" s="2" customFormat="1" ht="20.25" customHeight="1" x14ac:dyDescent="0.2">
      <c r="A10" s="742"/>
      <c r="B10" s="742"/>
      <c r="C10" s="122"/>
      <c r="D10" s="122">
        <v>1</v>
      </c>
      <c r="E10" s="1077" t="s">
        <v>3080</v>
      </c>
      <c r="F10" s="1077"/>
      <c r="G10" s="1077"/>
      <c r="H10" s="1077"/>
      <c r="I10" s="1077"/>
      <c r="J10" s="1077"/>
      <c r="K10" s="1218"/>
      <c r="L10" s="1079"/>
      <c r="M10" s="1080"/>
      <c r="N10" s="1219"/>
      <c r="O10" s="1219"/>
      <c r="P10" s="1219"/>
      <c r="Q10" s="1219"/>
      <c r="R10" s="1080"/>
      <c r="S10" s="1080"/>
      <c r="T10" s="1080"/>
      <c r="U10" s="1080"/>
      <c r="V10" s="1080"/>
      <c r="W10" s="1080"/>
      <c r="X10" s="1079"/>
    </row>
    <row r="11" spans="1:24" s="2" customFormat="1" ht="20.25" customHeight="1" x14ac:dyDescent="0.25">
      <c r="A11" s="3" t="s">
        <v>1106</v>
      </c>
      <c r="B11" s="3" t="s">
        <v>57</v>
      </c>
      <c r="C11" s="3"/>
      <c r="D11" s="3"/>
      <c r="E11" s="1220" t="s">
        <v>3081</v>
      </c>
      <c r="F11" s="1220"/>
      <c r="G11" s="1220"/>
      <c r="H11" s="1220"/>
      <c r="I11" s="1220"/>
      <c r="J11" s="1220"/>
      <c r="K11" s="429"/>
      <c r="L11" s="12"/>
      <c r="M11" s="6"/>
      <c r="N11" s="428"/>
      <c r="O11" s="428"/>
      <c r="P11" s="429"/>
      <c r="Q11" s="429"/>
      <c r="R11" s="10"/>
      <c r="S11" s="3"/>
      <c r="T11" s="4" t="s">
        <v>31</v>
      </c>
      <c r="U11" s="4" t="s">
        <v>31</v>
      </c>
      <c r="V11" s="3"/>
      <c r="W11" s="3"/>
      <c r="X11" s="3"/>
    </row>
    <row r="12" spans="1:24" s="2" customFormat="1" x14ac:dyDescent="0.25">
      <c r="A12" s="3" t="s">
        <v>1106</v>
      </c>
      <c r="B12" s="3" t="s">
        <v>3082</v>
      </c>
      <c r="C12" s="3"/>
      <c r="D12" s="649"/>
      <c r="E12" s="2" t="s">
        <v>3083</v>
      </c>
      <c r="K12" s="438"/>
      <c r="L12" s="12"/>
      <c r="M12" s="6"/>
      <c r="N12" s="428"/>
      <c r="O12" s="428"/>
      <c r="P12" s="429"/>
      <c r="Q12" s="429"/>
      <c r="R12" s="10"/>
      <c r="S12" s="3"/>
      <c r="T12" s="4"/>
      <c r="U12" s="4"/>
      <c r="V12" s="3"/>
      <c r="W12" s="3"/>
      <c r="X12" s="3"/>
    </row>
    <row r="13" spans="1:24" s="2" customFormat="1" x14ac:dyDescent="0.25">
      <c r="A13" s="3" t="s">
        <v>1098</v>
      </c>
      <c r="B13" s="3" t="s">
        <v>40</v>
      </c>
      <c r="C13" s="3"/>
      <c r="D13" s="3"/>
      <c r="E13" s="2" t="s">
        <v>3084</v>
      </c>
      <c r="K13" s="429"/>
      <c r="L13" s="406"/>
      <c r="M13" s="6"/>
      <c r="N13" s="428"/>
      <c r="O13" s="428"/>
      <c r="P13" s="429"/>
      <c r="Q13" s="429"/>
      <c r="R13" s="10"/>
      <c r="S13" s="3"/>
      <c r="T13" s="4"/>
      <c r="U13" s="4"/>
      <c r="V13" s="3"/>
      <c r="W13" s="3"/>
      <c r="X13" s="3"/>
    </row>
    <row r="14" spans="1:24" s="2" customFormat="1" x14ac:dyDescent="0.25">
      <c r="A14" s="3" t="s">
        <v>1106</v>
      </c>
      <c r="B14" s="3" t="s">
        <v>32</v>
      </c>
      <c r="C14" s="3"/>
      <c r="D14" s="649"/>
      <c r="E14" s="650"/>
      <c r="F14" s="1220" t="s">
        <v>3085</v>
      </c>
      <c r="G14" s="1220"/>
      <c r="H14" s="1220"/>
      <c r="I14" s="1220"/>
      <c r="J14" s="1220"/>
      <c r="K14" s="438"/>
      <c r="L14" s="406"/>
      <c r="M14" s="6"/>
      <c r="N14" s="428"/>
      <c r="O14" s="428"/>
      <c r="P14" s="429"/>
      <c r="Q14" s="429"/>
      <c r="R14" s="10"/>
      <c r="S14" s="3"/>
      <c r="T14" s="4"/>
      <c r="U14" s="4"/>
      <c r="V14" s="3"/>
      <c r="W14" s="3"/>
      <c r="X14" s="3"/>
    </row>
    <row r="15" spans="1:24" s="2" customFormat="1" x14ac:dyDescent="0.25">
      <c r="A15" s="3" t="s">
        <v>1106</v>
      </c>
      <c r="B15" s="3" t="s">
        <v>32</v>
      </c>
      <c r="C15" s="3"/>
      <c r="D15" s="3"/>
      <c r="E15" s="436"/>
      <c r="F15" s="436" t="s">
        <v>3086</v>
      </c>
      <c r="G15" s="436"/>
      <c r="H15" s="436"/>
      <c r="I15" s="436"/>
      <c r="J15" s="184"/>
      <c r="K15" s="429"/>
      <c r="L15" s="406"/>
      <c r="M15" s="6"/>
      <c r="N15" s="428"/>
      <c r="O15" s="428"/>
      <c r="P15" s="429"/>
      <c r="Q15" s="429"/>
      <c r="R15" s="10"/>
      <c r="S15" s="3"/>
      <c r="T15" s="4"/>
      <c r="U15" s="4"/>
      <c r="V15" s="3"/>
      <c r="W15" s="3"/>
      <c r="X15" s="3"/>
    </row>
    <row r="16" spans="1:24" s="2" customFormat="1" x14ac:dyDescent="0.25">
      <c r="A16" s="3" t="s">
        <v>1106</v>
      </c>
      <c r="B16" s="3" t="s">
        <v>32</v>
      </c>
      <c r="C16" s="3"/>
      <c r="D16" s="3"/>
      <c r="E16" s="3"/>
      <c r="F16" s="1220" t="s">
        <v>3087</v>
      </c>
      <c r="G16" s="1220"/>
      <c r="H16" s="1220"/>
      <c r="I16" s="1220"/>
      <c r="J16" s="1220"/>
      <c r="K16" s="429"/>
      <c r="L16" s="406"/>
      <c r="M16" s="6"/>
      <c r="N16" s="428"/>
      <c r="O16" s="428"/>
      <c r="P16" s="429"/>
      <c r="Q16" s="429"/>
      <c r="R16" s="10"/>
      <c r="S16" s="3"/>
      <c r="T16" s="4"/>
      <c r="U16" s="4"/>
      <c r="V16" s="3"/>
      <c r="W16" s="3"/>
      <c r="X16" s="3"/>
    </row>
    <row r="17" spans="1:24" s="2" customFormat="1" x14ac:dyDescent="0.25">
      <c r="A17" s="3" t="s">
        <v>1098</v>
      </c>
      <c r="B17" s="3"/>
      <c r="C17" s="3"/>
      <c r="D17" s="3"/>
      <c r="E17" s="3"/>
      <c r="F17" s="1220" t="s">
        <v>3088</v>
      </c>
      <c r="G17" s="1220"/>
      <c r="H17" s="1220"/>
      <c r="I17" s="1220"/>
      <c r="J17" s="1220"/>
      <c r="K17" s="429"/>
      <c r="L17" s="406"/>
      <c r="M17" s="6"/>
      <c r="N17" s="428"/>
      <c r="O17" s="428"/>
      <c r="P17" s="429"/>
      <c r="Q17" s="429"/>
      <c r="R17" s="10"/>
      <c r="S17" s="3"/>
      <c r="T17" s="4"/>
      <c r="U17" s="4"/>
      <c r="V17" s="3"/>
      <c r="W17" s="3"/>
      <c r="X17" s="3"/>
    </row>
    <row r="18" spans="1:24" s="2" customFormat="1" x14ac:dyDescent="0.25">
      <c r="A18" s="3" t="s">
        <v>1106</v>
      </c>
      <c r="B18" s="3" t="s">
        <v>32</v>
      </c>
      <c r="C18" s="3"/>
      <c r="D18" s="3"/>
      <c r="E18" s="649"/>
      <c r="F18" s="1220" t="s">
        <v>3376</v>
      </c>
      <c r="G18" s="1220"/>
      <c r="H18" s="1220"/>
      <c r="I18" s="1220"/>
      <c r="J18" s="1220"/>
      <c r="K18" s="438"/>
      <c r="L18" s="406"/>
      <c r="M18" s="6"/>
      <c r="N18" s="428"/>
      <c r="O18" s="428"/>
      <c r="P18" s="429"/>
      <c r="Q18" s="429"/>
      <c r="R18" s="10"/>
      <c r="S18" s="3"/>
      <c r="T18" s="4"/>
      <c r="U18" s="4"/>
      <c r="V18" s="3"/>
      <c r="W18" s="3"/>
      <c r="X18" s="3"/>
    </row>
    <row r="19" spans="1:24" s="2" customFormat="1" x14ac:dyDescent="0.25">
      <c r="A19" s="3"/>
      <c r="B19" s="3" t="s">
        <v>40</v>
      </c>
      <c r="C19" s="3"/>
      <c r="D19" s="3"/>
      <c r="E19" s="3"/>
      <c r="F19" s="1220" t="s">
        <v>3377</v>
      </c>
      <c r="G19" s="1220"/>
      <c r="H19" s="1220"/>
      <c r="I19" s="1220"/>
      <c r="J19" s="1220"/>
      <c r="K19" s="429"/>
      <c r="L19" s="406"/>
      <c r="M19" s="6"/>
      <c r="N19" s="428"/>
      <c r="O19" s="428"/>
      <c r="P19" s="429"/>
      <c r="Q19" s="429"/>
      <c r="R19" s="10"/>
      <c r="S19" s="3"/>
      <c r="T19" s="4"/>
      <c r="U19" s="4"/>
      <c r="V19" s="3"/>
      <c r="W19" s="3"/>
      <c r="X19" s="3"/>
    </row>
    <row r="20" spans="1:24" s="2" customFormat="1" ht="12.75" x14ac:dyDescent="0.2">
      <c r="A20" s="3"/>
      <c r="B20" s="3"/>
      <c r="C20" s="3"/>
      <c r="D20" s="3" t="s">
        <v>3378</v>
      </c>
      <c r="E20" s="747"/>
      <c r="F20" s="748"/>
      <c r="G20" s="748"/>
      <c r="H20" s="748"/>
      <c r="I20" s="748"/>
      <c r="J20" s="748"/>
      <c r="K20" s="748"/>
      <c r="L20" s="748"/>
      <c r="M20" s="748"/>
      <c r="N20" s="748"/>
      <c r="O20" s="748"/>
      <c r="P20" s="748"/>
      <c r="Q20" s="748"/>
      <c r="R20" s="748"/>
      <c r="S20" s="748"/>
      <c r="T20" s="748"/>
      <c r="U20" s="748"/>
      <c r="V20" s="748"/>
      <c r="W20" s="748"/>
      <c r="X20" s="748"/>
    </row>
    <row r="21" spans="1:24" s="2" customFormat="1" x14ac:dyDescent="0.25">
      <c r="A21" s="3"/>
      <c r="B21" s="3"/>
      <c r="C21" s="3"/>
      <c r="D21" s="3"/>
      <c r="E21" s="3"/>
      <c r="F21" s="3"/>
      <c r="G21" s="3"/>
      <c r="H21" s="3"/>
      <c r="I21" s="3"/>
      <c r="J21" s="6"/>
      <c r="K21" s="6"/>
      <c r="L21" s="6"/>
      <c r="M21" s="6"/>
      <c r="N21" s="10"/>
      <c r="O21" s="10"/>
      <c r="P21" s="6"/>
      <c r="Q21" s="6"/>
      <c r="R21" s="10"/>
      <c r="S21" s="3"/>
      <c r="T21" s="4" t="s">
        <v>31</v>
      </c>
      <c r="U21" s="4" t="s">
        <v>31</v>
      </c>
      <c r="V21" s="3"/>
      <c r="W21" s="3"/>
      <c r="X21" s="3"/>
    </row>
    <row r="22" spans="1:24" s="2" customFormat="1" x14ac:dyDescent="0.25">
      <c r="A22" s="3"/>
      <c r="B22" s="3"/>
      <c r="C22" s="3"/>
      <c r="D22" s="3"/>
      <c r="E22" s="3"/>
      <c r="F22" s="3"/>
      <c r="G22" s="3"/>
      <c r="H22" s="3"/>
      <c r="I22" s="3"/>
      <c r="J22" s="6"/>
      <c r="K22" s="6"/>
      <c r="L22" s="5"/>
      <c r="M22" s="6"/>
      <c r="N22" s="10"/>
      <c r="O22" s="10"/>
      <c r="P22" s="6"/>
      <c r="Q22" s="6"/>
      <c r="R22" s="10"/>
      <c r="S22" s="3"/>
      <c r="T22" s="4"/>
      <c r="U22" s="4"/>
      <c r="V22" s="3"/>
      <c r="W22" s="3"/>
      <c r="X22" s="3"/>
    </row>
    <row r="23" spans="1:24" s="2" customFormat="1" x14ac:dyDescent="0.25">
      <c r="A23" s="3"/>
      <c r="B23" s="3"/>
      <c r="C23" s="3"/>
      <c r="D23" s="3"/>
      <c r="E23" s="3"/>
      <c r="F23" s="3"/>
      <c r="G23" s="3"/>
      <c r="H23" s="3"/>
      <c r="I23" s="3"/>
      <c r="J23" s="6"/>
      <c r="K23" s="6"/>
      <c r="L23" s="5"/>
      <c r="M23" s="6"/>
      <c r="N23" s="10"/>
      <c r="O23" s="10"/>
      <c r="P23" s="6"/>
      <c r="Q23" s="6"/>
      <c r="R23" s="10"/>
      <c r="S23" s="3"/>
      <c r="T23" s="4"/>
      <c r="U23" s="4"/>
      <c r="V23" s="3"/>
      <c r="W23" s="3"/>
      <c r="X23" s="3"/>
    </row>
    <row r="24" spans="1:24" s="2" customFormat="1" x14ac:dyDescent="0.25">
      <c r="A24" s="3"/>
      <c r="B24" s="3"/>
      <c r="C24" s="3"/>
      <c r="D24" s="3" t="s">
        <v>3379</v>
      </c>
      <c r="E24" s="3"/>
      <c r="F24" s="3"/>
      <c r="G24" s="3"/>
      <c r="H24" s="3"/>
      <c r="I24" s="3"/>
      <c r="J24" s="6"/>
      <c r="K24" s="6"/>
      <c r="L24" s="5"/>
      <c r="M24" s="6"/>
      <c r="N24" s="10"/>
      <c r="O24" s="10"/>
      <c r="P24" s="6"/>
      <c r="Q24" s="6"/>
      <c r="R24" s="10"/>
      <c r="S24" s="3"/>
      <c r="T24" s="4"/>
      <c r="U24" s="4"/>
      <c r="V24" s="3"/>
      <c r="W24" s="3"/>
      <c r="X24" s="3"/>
    </row>
    <row r="25" spans="1:24" x14ac:dyDescent="0.25">
      <c r="A25" s="3"/>
      <c r="B25" s="3"/>
      <c r="C25" s="1"/>
      <c r="D25" s="1"/>
      <c r="E25" s="1" t="s">
        <v>3380</v>
      </c>
      <c r="F25" s="1"/>
      <c r="G25" s="1"/>
      <c r="H25" s="1"/>
      <c r="I25" s="1"/>
      <c r="J25" s="6"/>
      <c r="K25" s="6"/>
      <c r="L25" s="8"/>
      <c r="M25" s="6"/>
      <c r="N25" s="6"/>
      <c r="O25" s="6"/>
      <c r="P25" s="6"/>
      <c r="Q25" s="6"/>
      <c r="R25" s="6"/>
      <c r="S25" s="1"/>
      <c r="T25" s="4"/>
      <c r="U25" s="4"/>
      <c r="V25" s="1"/>
      <c r="W25" s="1"/>
      <c r="X25" s="1"/>
    </row>
    <row r="26" spans="1:24" x14ac:dyDescent="0.25">
      <c r="A26" s="3"/>
      <c r="B26" s="3"/>
      <c r="C26" s="1"/>
      <c r="D26" s="1"/>
      <c r="E26" s="1"/>
      <c r="F26" s="1" t="s">
        <v>3381</v>
      </c>
      <c r="G26" s="1"/>
      <c r="H26" s="1"/>
      <c r="I26" s="1"/>
      <c r="J26" s="6"/>
      <c r="K26" s="6"/>
      <c r="L26" s="8"/>
      <c r="M26" s="6"/>
      <c r="N26" s="6"/>
      <c r="O26" s="6"/>
      <c r="P26" s="6"/>
      <c r="Q26" s="6"/>
      <c r="R26" s="6"/>
      <c r="S26" s="1"/>
      <c r="T26" s="4"/>
      <c r="U26" s="4"/>
      <c r="V26" s="1"/>
      <c r="W26" s="1"/>
      <c r="X26" s="1"/>
    </row>
    <row r="27" spans="1:24" x14ac:dyDescent="0.25">
      <c r="A27" s="3"/>
      <c r="B27" s="3"/>
      <c r="C27" s="1"/>
      <c r="D27" s="1"/>
      <c r="E27" s="1"/>
      <c r="F27" s="1" t="s">
        <v>3055</v>
      </c>
      <c r="G27" s="1"/>
      <c r="H27" s="1"/>
      <c r="I27" s="1"/>
      <c r="J27" s="6"/>
      <c r="K27" s="6"/>
      <c r="L27" s="8"/>
      <c r="M27" s="6"/>
      <c r="N27" s="6"/>
      <c r="O27" s="6"/>
      <c r="P27" s="6"/>
      <c r="Q27" s="6"/>
      <c r="R27" s="6"/>
      <c r="S27" s="1"/>
      <c r="T27" s="4"/>
      <c r="U27" s="4"/>
      <c r="V27" s="1"/>
      <c r="W27" s="1"/>
      <c r="X27" s="1"/>
    </row>
    <row r="28" spans="1:24" x14ac:dyDescent="0.25">
      <c r="A28" s="3"/>
      <c r="B28" s="3"/>
      <c r="C28" s="1"/>
      <c r="D28" s="1"/>
      <c r="E28" s="1" t="s">
        <v>3382</v>
      </c>
      <c r="F28" s="1"/>
      <c r="G28" s="1"/>
      <c r="H28" s="1"/>
      <c r="I28" s="1"/>
      <c r="J28" s="6"/>
      <c r="K28" s="6" t="s">
        <v>3383</v>
      </c>
      <c r="L28" s="8"/>
      <c r="M28" s="6"/>
      <c r="N28" s="6"/>
      <c r="O28" s="6"/>
      <c r="P28" s="6"/>
      <c r="Q28" s="6"/>
      <c r="R28" s="6"/>
      <c r="S28" s="1"/>
      <c r="T28" s="4"/>
      <c r="U28" s="4"/>
      <c r="V28" s="1"/>
      <c r="W28" s="1"/>
      <c r="X28" s="1"/>
    </row>
    <row r="29" spans="1:24" x14ac:dyDescent="0.25">
      <c r="A29" s="3"/>
      <c r="B29" s="3"/>
      <c r="C29" s="1"/>
      <c r="D29" s="1"/>
      <c r="E29" s="1" t="s">
        <v>3384</v>
      </c>
      <c r="F29" s="1"/>
      <c r="G29" s="1"/>
      <c r="H29" s="1"/>
      <c r="I29" s="1"/>
      <c r="J29" s="6"/>
      <c r="K29" s="6"/>
      <c r="L29" s="8"/>
      <c r="M29" s="6"/>
      <c r="N29" s="6"/>
      <c r="O29" s="6"/>
      <c r="P29" s="6"/>
      <c r="Q29" s="6"/>
      <c r="R29" s="6"/>
      <c r="S29" s="1"/>
      <c r="T29" s="4"/>
      <c r="U29" s="4"/>
      <c r="V29" s="1"/>
      <c r="W29" s="1"/>
      <c r="X29" s="1"/>
    </row>
    <row r="30" spans="1:24" x14ac:dyDescent="0.25">
      <c r="A30" s="3"/>
      <c r="B30" s="3"/>
      <c r="C30" s="1"/>
      <c r="D30" s="1"/>
      <c r="E30" s="1"/>
      <c r="F30" s="1" t="s">
        <v>3385</v>
      </c>
      <c r="G30" s="1"/>
      <c r="H30" s="1"/>
      <c r="I30" s="1"/>
      <c r="J30" s="6"/>
      <c r="K30" s="6"/>
      <c r="L30" s="8"/>
      <c r="M30" s="6"/>
      <c r="N30" s="6"/>
      <c r="O30" s="6"/>
      <c r="P30" s="6"/>
      <c r="Q30" s="6"/>
      <c r="R30" s="6"/>
      <c r="S30" s="1"/>
      <c r="T30" s="4"/>
      <c r="U30" s="4"/>
      <c r="V30" s="1"/>
      <c r="W30" s="1"/>
      <c r="X30" s="1"/>
    </row>
    <row r="31" spans="1:24" x14ac:dyDescent="0.25">
      <c r="A31" s="3"/>
      <c r="B31" s="3"/>
      <c r="C31" s="1"/>
      <c r="D31" s="1"/>
      <c r="E31" s="1"/>
      <c r="F31" s="1" t="s">
        <v>3386</v>
      </c>
      <c r="G31" s="1"/>
      <c r="H31" s="1"/>
      <c r="I31" s="1"/>
      <c r="J31" s="1"/>
      <c r="K31" s="1"/>
      <c r="L31" s="5"/>
      <c r="M31" s="1"/>
      <c r="N31" s="1"/>
      <c r="O31" s="1"/>
      <c r="P31" s="1"/>
      <c r="Q31" s="1"/>
      <c r="R31" s="1"/>
      <c r="S31" s="1"/>
      <c r="T31" s="4"/>
      <c r="U31" s="4"/>
      <c r="V31" s="1"/>
      <c r="W31" s="1"/>
      <c r="X31" s="1"/>
    </row>
    <row r="32" spans="1:24" x14ac:dyDescent="0.25">
      <c r="A32" s="3"/>
      <c r="B32" s="3"/>
      <c r="C32" s="1"/>
      <c r="D32" s="1"/>
      <c r="E32" s="1" t="s">
        <v>3387</v>
      </c>
      <c r="F32" s="1"/>
      <c r="G32" s="1"/>
      <c r="H32" s="1"/>
      <c r="I32" s="1"/>
      <c r="J32" s="1"/>
      <c r="K32" s="1"/>
      <c r="L32" s="5"/>
      <c r="M32" s="1"/>
      <c r="N32" s="1"/>
      <c r="O32" s="1"/>
      <c r="P32" s="1"/>
      <c r="Q32" s="1"/>
      <c r="R32" s="1"/>
      <c r="S32" s="1"/>
      <c r="T32" s="4"/>
      <c r="U32" s="4"/>
      <c r="V32" s="1"/>
      <c r="W32" s="1"/>
      <c r="X32" s="1"/>
    </row>
    <row r="33" spans="1:24" x14ac:dyDescent="0.25">
      <c r="A33" s="3"/>
      <c r="B33" s="3"/>
      <c r="C33" s="1"/>
      <c r="D33" s="1"/>
      <c r="E33" s="1" t="s">
        <v>3388</v>
      </c>
      <c r="F33" s="1"/>
      <c r="G33" s="1"/>
      <c r="H33" s="1"/>
      <c r="I33" s="1"/>
      <c r="J33" s="1"/>
      <c r="K33" s="1"/>
      <c r="L33" s="5"/>
      <c r="M33" s="1"/>
      <c r="N33" s="1"/>
      <c r="O33" s="1"/>
      <c r="P33" s="1"/>
      <c r="Q33" s="1"/>
      <c r="R33" s="1"/>
      <c r="S33" s="1"/>
      <c r="T33" s="4"/>
      <c r="U33" s="4"/>
      <c r="V33" s="1"/>
      <c r="W33" s="1"/>
      <c r="X33" s="1"/>
    </row>
    <row r="34" spans="1:24" x14ac:dyDescent="0.25">
      <c r="A34" s="3"/>
      <c r="B34" s="3"/>
      <c r="C34" s="1"/>
      <c r="D34" s="1"/>
      <c r="E34" s="1"/>
      <c r="F34" s="1" t="s">
        <v>3385</v>
      </c>
      <c r="G34" s="1"/>
      <c r="H34" s="1"/>
      <c r="I34" s="1"/>
      <c r="J34" s="1"/>
      <c r="K34" s="1"/>
      <c r="L34" s="5"/>
      <c r="M34" s="1"/>
      <c r="N34" s="1"/>
      <c r="O34" s="1"/>
      <c r="P34" s="1"/>
      <c r="Q34" s="1"/>
      <c r="R34" s="1"/>
      <c r="S34" s="1"/>
      <c r="T34" s="4"/>
      <c r="U34" s="4"/>
      <c r="V34" s="1"/>
      <c r="W34" s="1"/>
      <c r="X34" s="1"/>
    </row>
    <row r="35" spans="1:24" x14ac:dyDescent="0.25">
      <c r="A35" s="3"/>
      <c r="B35" s="3"/>
      <c r="C35" s="1"/>
      <c r="D35" s="1"/>
      <c r="E35" s="1"/>
      <c r="F35" s="1" t="s">
        <v>3386</v>
      </c>
      <c r="G35" s="1"/>
      <c r="H35" s="1"/>
      <c r="I35" s="1"/>
      <c r="J35" s="1"/>
      <c r="K35" s="1"/>
      <c r="L35" s="5"/>
      <c r="M35" s="1"/>
      <c r="N35" s="1"/>
      <c r="O35" s="1"/>
      <c r="P35" s="1"/>
      <c r="Q35" s="1"/>
      <c r="R35" s="1"/>
      <c r="S35" s="1"/>
      <c r="T35" s="4"/>
      <c r="U35" s="4"/>
      <c r="V35" s="1"/>
      <c r="W35" s="1"/>
      <c r="X35" s="1"/>
    </row>
    <row r="36" spans="1:24" x14ac:dyDescent="0.25">
      <c r="A36" s="3"/>
      <c r="B36" s="3"/>
      <c r="C36" s="1"/>
      <c r="D36" s="1"/>
      <c r="E36" s="1" t="s">
        <v>3389</v>
      </c>
      <c r="F36" s="1"/>
      <c r="G36" s="1"/>
      <c r="H36" s="1"/>
      <c r="I36" s="1"/>
      <c r="J36" s="1"/>
      <c r="K36" s="1"/>
      <c r="L36" s="5"/>
      <c r="M36" s="1"/>
      <c r="N36" s="1"/>
      <c r="O36" s="1"/>
      <c r="P36" s="1"/>
      <c r="Q36" s="1"/>
      <c r="R36" s="1"/>
      <c r="S36" s="1"/>
      <c r="T36" s="4"/>
      <c r="U36" s="4"/>
      <c r="V36" s="1"/>
      <c r="W36" s="1"/>
      <c r="X36" s="1"/>
    </row>
    <row r="37" spans="1:24" x14ac:dyDescent="0.25">
      <c r="A37" s="3"/>
      <c r="B37" s="3"/>
      <c r="C37" s="1"/>
      <c r="D37" s="1" t="s">
        <v>3390</v>
      </c>
      <c r="E37" s="1"/>
      <c r="F37" s="1"/>
      <c r="G37" s="1"/>
      <c r="H37" s="1"/>
      <c r="I37" s="1"/>
      <c r="J37" s="1"/>
      <c r="K37" s="1"/>
      <c r="L37" s="5"/>
      <c r="M37" s="1"/>
      <c r="N37" s="1"/>
      <c r="O37" s="1"/>
      <c r="P37" s="1"/>
      <c r="Q37" s="1"/>
      <c r="R37" s="1"/>
      <c r="S37" s="1"/>
      <c r="T37" s="4"/>
      <c r="U37" s="4"/>
      <c r="V37" s="1"/>
      <c r="W37" s="1"/>
      <c r="X37" s="1"/>
    </row>
    <row r="38" spans="1:24" x14ac:dyDescent="0.25">
      <c r="A38" s="3"/>
      <c r="B38" s="3"/>
      <c r="C38" s="1"/>
      <c r="D38" s="1"/>
      <c r="E38" s="1" t="s">
        <v>3391</v>
      </c>
      <c r="F38" s="1"/>
      <c r="G38" s="1"/>
      <c r="H38" s="1"/>
      <c r="I38" s="1"/>
      <c r="J38" s="1"/>
      <c r="K38" s="1"/>
      <c r="L38" s="5"/>
      <c r="M38" s="1"/>
      <c r="N38" s="1"/>
      <c r="O38" s="1"/>
      <c r="P38" s="1"/>
      <c r="Q38" s="1"/>
      <c r="R38" s="1"/>
      <c r="S38" s="1"/>
      <c r="T38" s="4"/>
      <c r="U38" s="4"/>
      <c r="V38" s="1"/>
      <c r="W38" s="1"/>
      <c r="X38" s="1"/>
    </row>
    <row r="39" spans="1:24" x14ac:dyDescent="0.25">
      <c r="A39" s="3"/>
      <c r="B39" s="3"/>
      <c r="C39" s="1"/>
      <c r="D39" s="1"/>
      <c r="E39" s="1" t="s">
        <v>3392</v>
      </c>
      <c r="F39" s="1"/>
      <c r="G39" s="1"/>
      <c r="H39" s="1"/>
      <c r="I39" s="1"/>
      <c r="J39" s="1"/>
      <c r="K39" s="6"/>
      <c r="L39" s="5"/>
      <c r="M39" s="1"/>
      <c r="N39" s="1"/>
      <c r="O39" s="1"/>
      <c r="P39" s="1"/>
      <c r="Q39" s="1"/>
      <c r="R39" s="1"/>
      <c r="S39" s="1"/>
      <c r="T39" s="4"/>
      <c r="U39" s="4"/>
      <c r="V39" s="1"/>
      <c r="W39" s="1"/>
      <c r="X39" s="1"/>
    </row>
    <row r="40" spans="1:24" x14ac:dyDescent="0.25">
      <c r="A40" s="3"/>
      <c r="B40" s="3"/>
      <c r="C40" s="1"/>
      <c r="D40" s="1"/>
      <c r="E40" s="1" t="s">
        <v>3393</v>
      </c>
      <c r="F40" s="1"/>
      <c r="G40" s="1"/>
      <c r="H40" s="1"/>
      <c r="I40" s="1"/>
      <c r="J40" s="9"/>
      <c r="K40" s="5"/>
      <c r="L40" s="5"/>
      <c r="M40" s="1"/>
      <c r="N40" s="1"/>
      <c r="O40" s="1"/>
      <c r="P40" s="1"/>
      <c r="Q40" s="1"/>
      <c r="R40" s="1"/>
      <c r="S40" s="1"/>
      <c r="T40" s="4"/>
      <c r="U40" s="4"/>
      <c r="V40" s="1"/>
      <c r="W40" s="1"/>
      <c r="X40" s="1"/>
    </row>
    <row r="41" spans="1:24" x14ac:dyDescent="0.25">
      <c r="A41" s="3"/>
      <c r="B41" s="3"/>
      <c r="C41" s="1"/>
      <c r="D41" s="1"/>
      <c r="E41" s="1" t="s">
        <v>3394</v>
      </c>
      <c r="F41" s="1"/>
      <c r="G41" s="1"/>
      <c r="H41" s="1"/>
      <c r="I41" s="1"/>
      <c r="J41" s="1"/>
      <c r="K41" s="1"/>
      <c r="L41" s="5"/>
      <c r="M41" s="1"/>
      <c r="N41" s="1"/>
      <c r="O41" s="1"/>
      <c r="P41" s="1"/>
      <c r="Q41" s="1"/>
      <c r="R41" s="1"/>
      <c r="S41" s="1"/>
      <c r="T41" s="4"/>
      <c r="U41" s="4"/>
      <c r="V41" s="1"/>
      <c r="W41" s="1"/>
      <c r="X41" s="1"/>
    </row>
    <row r="42" spans="1:24" x14ac:dyDescent="0.25">
      <c r="A42" s="3"/>
      <c r="B42" s="3"/>
      <c r="E42" t="s">
        <v>3395</v>
      </c>
      <c r="J42" s="2"/>
      <c r="L42" s="2"/>
    </row>
    <row r="43" spans="1:24" x14ac:dyDescent="0.25">
      <c r="A43" s="3"/>
      <c r="B43" s="3"/>
      <c r="E43" t="s">
        <v>3396</v>
      </c>
      <c r="J43" s="747"/>
      <c r="K43" s="748"/>
      <c r="L43" s="748"/>
      <c r="M43" s="748"/>
      <c r="N43" s="748"/>
      <c r="O43" s="748"/>
    </row>
    <row r="44" spans="1:24" x14ac:dyDescent="0.25">
      <c r="A44" s="3"/>
      <c r="B44" s="3"/>
      <c r="E44" t="s">
        <v>3397</v>
      </c>
      <c r="J44" s="747"/>
      <c r="K44" s="748"/>
      <c r="L44" s="748"/>
      <c r="M44" s="748"/>
      <c r="N44" s="748"/>
      <c r="O44" s="748"/>
    </row>
    <row r="45" spans="1:24" x14ac:dyDescent="0.25">
      <c r="A45" s="3"/>
      <c r="B45" s="3"/>
      <c r="K45" s="748"/>
      <c r="L45" s="748"/>
      <c r="M45" s="748"/>
      <c r="N45" s="748"/>
      <c r="O45" s="748"/>
    </row>
    <row r="46" spans="1:24" x14ac:dyDescent="0.25">
      <c r="A46" s="3"/>
      <c r="B46" s="3"/>
      <c r="D46" t="s">
        <v>3398</v>
      </c>
      <c r="J46" s="6"/>
      <c r="K46" s="3"/>
      <c r="L46" s="3"/>
      <c r="M46" s="3"/>
      <c r="N46" s="3"/>
    </row>
    <row r="47" spans="1:24" x14ac:dyDescent="0.25">
      <c r="A47" s="3"/>
      <c r="B47" s="3"/>
      <c r="E47" t="s">
        <v>3399</v>
      </c>
      <c r="J47" s="6"/>
      <c r="K47" s="3"/>
      <c r="L47" s="3"/>
      <c r="M47" s="3"/>
      <c r="N47" s="3"/>
    </row>
    <row r="48" spans="1:24" x14ac:dyDescent="0.25">
      <c r="A48" s="3"/>
      <c r="B48" s="3"/>
      <c r="E48" t="s">
        <v>3400</v>
      </c>
      <c r="J48" s="6"/>
      <c r="K48" s="3"/>
      <c r="L48" s="3"/>
      <c r="M48" s="3"/>
      <c r="N48" s="3"/>
    </row>
    <row r="49" spans="1:14" x14ac:dyDescent="0.25">
      <c r="A49" s="3"/>
      <c r="B49" s="3"/>
      <c r="E49" t="s">
        <v>3401</v>
      </c>
      <c r="J49" s="6"/>
      <c r="K49" s="3"/>
      <c r="L49" s="3"/>
      <c r="M49" s="3"/>
      <c r="N49" s="3"/>
    </row>
    <row r="50" spans="1:14" x14ac:dyDescent="0.25">
      <c r="A50" s="3"/>
      <c r="B50" s="3"/>
      <c r="E50" t="s">
        <v>3402</v>
      </c>
      <c r="J50" s="6"/>
      <c r="K50" s="1"/>
      <c r="L50" s="1"/>
      <c r="M50" s="1"/>
      <c r="N50" s="1"/>
    </row>
    <row r="51" spans="1:14" x14ac:dyDescent="0.25">
      <c r="A51" s="3"/>
      <c r="B51" s="3"/>
      <c r="E51" t="s">
        <v>3403</v>
      </c>
      <c r="J51" s="6"/>
      <c r="K51" s="1"/>
      <c r="L51" s="1"/>
      <c r="M51" s="1"/>
      <c r="N51" s="1"/>
    </row>
    <row r="52" spans="1:14" x14ac:dyDescent="0.25">
      <c r="A52" s="3"/>
      <c r="B52" s="3"/>
      <c r="J52" s="6"/>
      <c r="K52" s="1"/>
      <c r="L52" s="1"/>
      <c r="M52" s="1"/>
      <c r="N52" s="1"/>
    </row>
    <row r="53" spans="1:14" x14ac:dyDescent="0.25">
      <c r="A53" s="3"/>
      <c r="B53" s="3"/>
      <c r="D53" t="s">
        <v>3404</v>
      </c>
      <c r="J53" s="6"/>
      <c r="K53" s="1"/>
      <c r="L53" s="1"/>
      <c r="M53" s="1"/>
      <c r="N53" s="1"/>
    </row>
    <row r="54" spans="1:14" x14ac:dyDescent="0.25">
      <c r="A54" s="3"/>
      <c r="B54" s="3"/>
      <c r="E54" t="s">
        <v>3405</v>
      </c>
      <c r="J54" s="6"/>
      <c r="K54" s="1"/>
      <c r="L54" s="1"/>
      <c r="M54" s="1"/>
      <c r="N54" s="1"/>
    </row>
    <row r="55" spans="1:14" x14ac:dyDescent="0.25">
      <c r="A55" s="3"/>
      <c r="B55" s="3"/>
      <c r="E55" s="1" t="s">
        <v>3406</v>
      </c>
      <c r="J55" s="747"/>
      <c r="K55" s="1"/>
      <c r="L55" s="1"/>
      <c r="M55" s="1"/>
      <c r="N55" s="1"/>
    </row>
    <row r="56" spans="1:14" x14ac:dyDescent="0.25">
      <c r="A56" s="3"/>
      <c r="B56" s="3"/>
      <c r="D56" t="s">
        <v>3072</v>
      </c>
      <c r="J56" s="6"/>
      <c r="K56" s="1"/>
      <c r="L56" s="1"/>
      <c r="M56" s="1"/>
      <c r="N56" s="1"/>
    </row>
    <row r="57" spans="1:14" x14ac:dyDescent="0.25">
      <c r="A57" s="3"/>
      <c r="B57" s="3"/>
      <c r="E57" t="s">
        <v>3334</v>
      </c>
      <c r="J57" s="1"/>
      <c r="K57" s="1"/>
      <c r="L57" s="1"/>
      <c r="M57" s="1"/>
      <c r="N57" s="1"/>
    </row>
    <row r="58" spans="1:14" x14ac:dyDescent="0.25">
      <c r="A58" s="3"/>
      <c r="B58" s="3"/>
      <c r="E58" t="s">
        <v>3335</v>
      </c>
      <c r="K58" s="1"/>
      <c r="L58" s="1"/>
      <c r="M58" s="1"/>
      <c r="N58" s="1"/>
    </row>
    <row r="59" spans="1:14" x14ac:dyDescent="0.25">
      <c r="A59" s="3"/>
      <c r="B59" s="3"/>
      <c r="E59" t="s">
        <v>3336</v>
      </c>
      <c r="J59" s="1"/>
      <c r="K59" s="1"/>
      <c r="L59" s="1"/>
      <c r="M59" s="1"/>
      <c r="N59" s="1"/>
    </row>
    <row r="60" spans="1:14" x14ac:dyDescent="0.25">
      <c r="A60" s="3"/>
      <c r="B60" s="3"/>
      <c r="E60" t="s">
        <v>3337</v>
      </c>
      <c r="J60" s="1"/>
      <c r="K60" s="1"/>
      <c r="L60" s="1"/>
      <c r="M60" s="1"/>
      <c r="N60" s="1"/>
    </row>
    <row r="61" spans="1:14" x14ac:dyDescent="0.25">
      <c r="A61" s="3"/>
      <c r="B61" s="3"/>
      <c r="J61" s="1"/>
      <c r="K61" s="1"/>
      <c r="L61" s="1"/>
      <c r="M61" s="1"/>
      <c r="N61" s="1"/>
    </row>
    <row r="62" spans="1:14" x14ac:dyDescent="0.25">
      <c r="A62" s="3"/>
      <c r="B62" s="3"/>
      <c r="D62" t="s">
        <v>3407</v>
      </c>
      <c r="J62" s="1"/>
      <c r="K62" s="1"/>
      <c r="L62" s="1"/>
      <c r="M62" s="1"/>
      <c r="N62" s="1"/>
    </row>
    <row r="63" spans="1:14" x14ac:dyDescent="0.25">
      <c r="A63" s="3"/>
      <c r="B63" s="3"/>
      <c r="J63" s="1"/>
      <c r="K63" s="1"/>
      <c r="L63" s="1"/>
      <c r="M63" s="1"/>
      <c r="N63" s="1"/>
    </row>
    <row r="64" spans="1:14" x14ac:dyDescent="0.25">
      <c r="A64" s="3"/>
      <c r="B64" s="3"/>
      <c r="J64" s="1"/>
      <c r="K64" s="1"/>
      <c r="L64" s="1"/>
      <c r="M64" s="1"/>
      <c r="N64" s="1"/>
    </row>
    <row r="65" spans="1:14" x14ac:dyDescent="0.25">
      <c r="A65" s="3"/>
      <c r="B65" s="3"/>
      <c r="J65" s="9"/>
      <c r="K65" s="1"/>
      <c r="L65" s="1"/>
      <c r="M65" s="1"/>
      <c r="N65" s="1"/>
    </row>
    <row r="66" spans="1:14" x14ac:dyDescent="0.25">
      <c r="A66" s="3"/>
      <c r="B66" s="3"/>
      <c r="J66" s="2"/>
      <c r="L66" s="2"/>
    </row>
    <row r="67" spans="1:14" x14ac:dyDescent="0.25">
      <c r="A67" s="3"/>
      <c r="B67" s="3"/>
    </row>
    <row r="68" spans="1:14" x14ac:dyDescent="0.25">
      <c r="A68" s="3"/>
      <c r="B68" s="3"/>
    </row>
    <row r="69" spans="1:14" x14ac:dyDescent="0.25">
      <c r="A69" s="3"/>
      <c r="B69" s="3"/>
    </row>
    <row r="70" spans="1:14" x14ac:dyDescent="0.25">
      <c r="A70" s="3"/>
      <c r="B70" s="3"/>
    </row>
    <row r="71" spans="1:14" x14ac:dyDescent="0.25">
      <c r="A71" s="3"/>
      <c r="B71" s="3"/>
    </row>
    <row r="72" spans="1:14" x14ac:dyDescent="0.25">
      <c r="A72" s="3"/>
      <c r="B72" s="3"/>
    </row>
    <row r="73" spans="1:14" x14ac:dyDescent="0.25">
      <c r="A73" s="3"/>
      <c r="B73" s="3"/>
    </row>
    <row r="74" spans="1:14" x14ac:dyDescent="0.25">
      <c r="A74" s="3"/>
      <c r="B74" s="3"/>
    </row>
    <row r="75" spans="1:14" x14ac:dyDescent="0.25">
      <c r="A75" s="3"/>
      <c r="B75" s="3"/>
    </row>
    <row r="76" spans="1:14" x14ac:dyDescent="0.25">
      <c r="A76" s="3"/>
      <c r="B76" s="3"/>
    </row>
    <row r="77" spans="1:14" x14ac:dyDescent="0.25">
      <c r="A77" s="3"/>
      <c r="B77" s="3"/>
    </row>
    <row r="78" spans="1:14" x14ac:dyDescent="0.25">
      <c r="A78" s="3"/>
      <c r="B78" s="3"/>
    </row>
    <row r="79" spans="1:14" x14ac:dyDescent="0.25">
      <c r="A79" s="3"/>
      <c r="B79" s="3"/>
    </row>
    <row r="80" spans="1:14" x14ac:dyDescent="0.25">
      <c r="A80" s="3"/>
      <c r="B80" s="3"/>
    </row>
    <row r="81" spans="1:2" x14ac:dyDescent="0.25">
      <c r="A81" s="3"/>
      <c r="B81" s="3"/>
    </row>
    <row r="82" spans="1:2" x14ac:dyDescent="0.25">
      <c r="A82" s="3"/>
      <c r="B82" s="3"/>
    </row>
    <row r="83" spans="1:2" x14ac:dyDescent="0.25">
      <c r="A83" s="3"/>
      <c r="B83" s="3"/>
    </row>
    <row r="84" spans="1:2" x14ac:dyDescent="0.25">
      <c r="A84" s="3"/>
      <c r="B84" s="3"/>
    </row>
    <row r="85" spans="1:2" x14ac:dyDescent="0.25">
      <c r="A85" s="3"/>
      <c r="B85" s="3"/>
    </row>
    <row r="86" spans="1:2" x14ac:dyDescent="0.25">
      <c r="A86" s="3"/>
      <c r="B86" s="3"/>
    </row>
    <row r="87" spans="1:2" x14ac:dyDescent="0.25">
      <c r="A87" s="3"/>
      <c r="B87" s="3"/>
    </row>
    <row r="88" spans="1:2" x14ac:dyDescent="0.25">
      <c r="A88" s="3"/>
      <c r="B88" s="3"/>
    </row>
    <row r="89" spans="1:2" x14ac:dyDescent="0.25">
      <c r="A89" s="3"/>
      <c r="B89" s="3"/>
    </row>
    <row r="90" spans="1:2" x14ac:dyDescent="0.25">
      <c r="A90" s="3"/>
      <c r="B90" s="3"/>
    </row>
    <row r="91" spans="1:2" x14ac:dyDescent="0.25">
      <c r="A91" s="3"/>
      <c r="B91" s="3"/>
    </row>
    <row r="92" spans="1:2" x14ac:dyDescent="0.25">
      <c r="A92" s="3"/>
      <c r="B92" s="3"/>
    </row>
    <row r="93" spans="1:2" x14ac:dyDescent="0.25">
      <c r="A93" s="3"/>
      <c r="B93" s="3"/>
    </row>
    <row r="94" spans="1:2" x14ac:dyDescent="0.25">
      <c r="A94" s="3"/>
      <c r="B94" s="3"/>
    </row>
    <row r="95" spans="1:2" x14ac:dyDescent="0.25">
      <c r="A95" s="3"/>
      <c r="B95" s="3"/>
    </row>
    <row r="96" spans="1:2" x14ac:dyDescent="0.25">
      <c r="A96" s="3"/>
      <c r="B96" s="3"/>
    </row>
    <row r="97" spans="1:2" x14ac:dyDescent="0.25">
      <c r="A97" s="3"/>
      <c r="B97" s="3"/>
    </row>
    <row r="98" spans="1:2" x14ac:dyDescent="0.25">
      <c r="A98" s="3"/>
      <c r="B98" s="3"/>
    </row>
    <row r="99" spans="1:2" x14ac:dyDescent="0.25">
      <c r="A99" s="3"/>
      <c r="B99" s="3"/>
    </row>
    <row r="100" spans="1:2" x14ac:dyDescent="0.25">
      <c r="A100" s="3"/>
      <c r="B100" s="3"/>
    </row>
    <row r="101" spans="1:2" x14ac:dyDescent="0.25">
      <c r="A101" s="3"/>
      <c r="B101" s="3"/>
    </row>
    <row r="102" spans="1:2" x14ac:dyDescent="0.25">
      <c r="A102" s="3"/>
      <c r="B102" s="3"/>
    </row>
    <row r="103" spans="1:2" x14ac:dyDescent="0.25">
      <c r="A103" s="3"/>
      <c r="B103" s="3"/>
    </row>
    <row r="104" spans="1:2" x14ac:dyDescent="0.25">
      <c r="A104" s="3"/>
      <c r="B104" s="3"/>
    </row>
    <row r="105" spans="1:2" x14ac:dyDescent="0.25">
      <c r="A105" s="3"/>
      <c r="B105" s="3"/>
    </row>
    <row r="106" spans="1:2" x14ac:dyDescent="0.25">
      <c r="A106" s="3"/>
      <c r="B106" s="3"/>
    </row>
    <row r="107" spans="1:2" x14ac:dyDescent="0.25">
      <c r="A107" s="3"/>
      <c r="B107" s="3"/>
    </row>
    <row r="108" spans="1:2" x14ac:dyDescent="0.25">
      <c r="A108" s="3"/>
      <c r="B108" s="3"/>
    </row>
    <row r="109" spans="1:2" x14ac:dyDescent="0.25">
      <c r="A109" s="3"/>
      <c r="B109" s="3"/>
    </row>
    <row r="110" spans="1:2" x14ac:dyDescent="0.25">
      <c r="A110" s="3"/>
      <c r="B110" s="3"/>
    </row>
    <row r="111" spans="1:2" x14ac:dyDescent="0.25">
      <c r="A111" s="3"/>
      <c r="B111" s="3"/>
    </row>
    <row r="112" spans="1:2" x14ac:dyDescent="0.25">
      <c r="A112" s="3"/>
      <c r="B112" s="3"/>
    </row>
    <row r="113" spans="1:25" x14ac:dyDescent="0.25">
      <c r="A113" s="3"/>
      <c r="B113" s="3"/>
    </row>
    <row r="114" spans="1:25" x14ac:dyDescent="0.25">
      <c r="A114" s="3"/>
      <c r="B114" s="3"/>
    </row>
    <row r="115" spans="1:25" x14ac:dyDescent="0.25">
      <c r="A115" s="3"/>
      <c r="B115" s="3"/>
    </row>
    <row r="116" spans="1:25" x14ac:dyDescent="0.25">
      <c r="A116" s="3"/>
      <c r="B116" s="3"/>
    </row>
    <row r="117" spans="1:25" x14ac:dyDescent="0.25">
      <c r="A117" s="3"/>
      <c r="B117" s="3"/>
    </row>
    <row r="118" spans="1:25" x14ac:dyDescent="0.25">
      <c r="A118" s="3"/>
      <c r="B118" s="3"/>
    </row>
    <row r="119" spans="1:25" s="2" customFormat="1" x14ac:dyDescent="0.25">
      <c r="A119" s="3"/>
      <c r="B119" s="3"/>
      <c r="C119"/>
      <c r="D119"/>
      <c r="E119"/>
      <c r="F119"/>
      <c r="G119"/>
      <c r="H119"/>
      <c r="I119"/>
      <c r="J119"/>
      <c r="K119"/>
      <c r="L119"/>
      <c r="M119"/>
      <c r="N119"/>
      <c r="O119"/>
      <c r="P119"/>
      <c r="Q119"/>
      <c r="R119"/>
      <c r="S119"/>
      <c r="T119"/>
      <c r="U119"/>
      <c r="V119"/>
      <c r="W119"/>
      <c r="X119"/>
      <c r="Y119"/>
    </row>
    <row r="120" spans="1:25" x14ac:dyDescent="0.25">
      <c r="A120" s="3"/>
      <c r="B120" s="3"/>
    </row>
    <row r="121" spans="1:25" x14ac:dyDescent="0.25">
      <c r="A121" s="3"/>
      <c r="B121" s="3"/>
    </row>
    <row r="122" spans="1:25" x14ac:dyDescent="0.25">
      <c r="A122" s="3"/>
      <c r="B122" s="3"/>
    </row>
    <row r="123" spans="1:25" x14ac:dyDescent="0.25">
      <c r="A123" s="3"/>
      <c r="B123" s="3"/>
    </row>
    <row r="124" spans="1:25" x14ac:dyDescent="0.25">
      <c r="A124" s="3"/>
      <c r="B124" s="3"/>
    </row>
    <row r="125" spans="1:25" x14ac:dyDescent="0.25">
      <c r="A125" s="3"/>
      <c r="B125" s="3"/>
    </row>
    <row r="126" spans="1:25" x14ac:dyDescent="0.25">
      <c r="A126" s="3"/>
      <c r="B126" s="3"/>
    </row>
    <row r="127" spans="1:25" s="2" customFormat="1" x14ac:dyDescent="0.25">
      <c r="A127" s="3"/>
      <c r="B127" s="3"/>
      <c r="C127"/>
      <c r="D127"/>
      <c r="E127"/>
      <c r="F127"/>
      <c r="G127"/>
      <c r="H127"/>
      <c r="I127"/>
      <c r="J127"/>
      <c r="K127"/>
      <c r="L127"/>
      <c r="M127"/>
      <c r="N127"/>
      <c r="O127"/>
      <c r="P127"/>
      <c r="Q127"/>
      <c r="R127"/>
      <c r="S127"/>
      <c r="T127"/>
      <c r="U127"/>
      <c r="V127"/>
      <c r="W127"/>
      <c r="X127"/>
      <c r="Y127"/>
    </row>
    <row r="128" spans="1:25" x14ac:dyDescent="0.25">
      <c r="A128" s="3"/>
      <c r="B128" s="3"/>
    </row>
    <row r="129" spans="1:2" x14ac:dyDescent="0.25">
      <c r="A129" s="3"/>
      <c r="B129" s="3"/>
    </row>
    <row r="130" spans="1:2" x14ac:dyDescent="0.25">
      <c r="A130" s="3"/>
      <c r="B130" s="3"/>
    </row>
    <row r="131" spans="1:2" x14ac:dyDescent="0.25">
      <c r="A131" s="3"/>
      <c r="B131" s="3"/>
    </row>
    <row r="132" spans="1:2" x14ac:dyDescent="0.25">
      <c r="A132" s="3"/>
      <c r="B132" s="3"/>
    </row>
    <row r="133" spans="1:2" x14ac:dyDescent="0.25">
      <c r="A133" s="3"/>
      <c r="B133" s="3"/>
    </row>
    <row r="134" spans="1:2" x14ac:dyDescent="0.25">
      <c r="A134" s="3"/>
      <c r="B134" s="3"/>
    </row>
    <row r="135" spans="1:2" x14ac:dyDescent="0.25">
      <c r="A135" s="3"/>
      <c r="B135" s="3"/>
    </row>
    <row r="136" spans="1:2" x14ac:dyDescent="0.25">
      <c r="A136" s="3"/>
      <c r="B136" s="3"/>
    </row>
    <row r="137" spans="1:2" x14ac:dyDescent="0.25">
      <c r="A137" s="3"/>
      <c r="B137" s="3"/>
    </row>
    <row r="138" spans="1:2" x14ac:dyDescent="0.25">
      <c r="A138" s="3"/>
      <c r="B138" s="3"/>
    </row>
    <row r="139" spans="1:2" x14ac:dyDescent="0.25">
      <c r="A139" s="3"/>
      <c r="B139" s="3"/>
    </row>
    <row r="140" spans="1:2" x14ac:dyDescent="0.25">
      <c r="A140" s="3"/>
      <c r="B140" s="3"/>
    </row>
    <row r="141" spans="1:2" x14ac:dyDescent="0.25">
      <c r="A141" s="3"/>
      <c r="B141" s="3"/>
    </row>
    <row r="142" spans="1:2" x14ac:dyDescent="0.25">
      <c r="A142" s="3"/>
      <c r="B142" s="3"/>
    </row>
    <row r="143" spans="1:2" x14ac:dyDescent="0.25">
      <c r="A143" s="3"/>
      <c r="B143" s="3"/>
    </row>
    <row r="144" spans="1:2" x14ac:dyDescent="0.25">
      <c r="A144" s="3"/>
      <c r="B144" s="3"/>
    </row>
    <row r="145" spans="1:2" x14ac:dyDescent="0.25">
      <c r="A145" s="3"/>
      <c r="B145" s="3"/>
    </row>
    <row r="146" spans="1:2" x14ac:dyDescent="0.25">
      <c r="A146" s="3"/>
      <c r="B146" s="3"/>
    </row>
    <row r="147" spans="1:2" x14ac:dyDescent="0.25">
      <c r="A147" s="3"/>
      <c r="B147" s="3"/>
    </row>
    <row r="148" spans="1:2" x14ac:dyDescent="0.25">
      <c r="A148" s="3"/>
      <c r="B148" s="3"/>
    </row>
    <row r="149" spans="1:2" x14ac:dyDescent="0.25">
      <c r="A149" s="3"/>
      <c r="B149" s="3"/>
    </row>
    <row r="150" spans="1:2" x14ac:dyDescent="0.25">
      <c r="A150" s="3"/>
      <c r="B150" s="3"/>
    </row>
    <row r="151" spans="1:2" x14ac:dyDescent="0.25">
      <c r="A151" s="3"/>
      <c r="B151" s="3"/>
    </row>
    <row r="152" spans="1:2" x14ac:dyDescent="0.25">
      <c r="A152" s="3"/>
      <c r="B152" s="3"/>
    </row>
    <row r="153" spans="1:2" x14ac:dyDescent="0.25">
      <c r="A153" s="3"/>
      <c r="B153" s="3"/>
    </row>
    <row r="154" spans="1:2" x14ac:dyDescent="0.25">
      <c r="A154" s="3"/>
      <c r="B154" s="3"/>
    </row>
    <row r="155" spans="1:2" x14ac:dyDescent="0.25">
      <c r="A155" s="3"/>
      <c r="B155" s="3"/>
    </row>
    <row r="156" spans="1:2" x14ac:dyDescent="0.25">
      <c r="A156" s="3"/>
      <c r="B156" s="3"/>
    </row>
    <row r="157" spans="1:2" x14ac:dyDescent="0.25">
      <c r="A157" s="3"/>
      <c r="B157" s="3"/>
    </row>
    <row r="158" spans="1:2" x14ac:dyDescent="0.25">
      <c r="A158" s="3"/>
      <c r="B158" s="3"/>
    </row>
    <row r="159" spans="1:2" x14ac:dyDescent="0.25">
      <c r="A159" s="3"/>
      <c r="B159" s="3"/>
    </row>
    <row r="160" spans="1:2" x14ac:dyDescent="0.25">
      <c r="A160" s="3"/>
      <c r="B160" s="3"/>
    </row>
    <row r="161" spans="1:25" x14ac:dyDescent="0.25">
      <c r="A161" s="3"/>
      <c r="B161" s="3"/>
    </row>
    <row r="162" spans="1:25" x14ac:dyDescent="0.25">
      <c r="A162" s="3"/>
      <c r="B162" s="3"/>
    </row>
    <row r="163" spans="1:25" x14ac:dyDescent="0.25">
      <c r="A163" s="3"/>
      <c r="B163" s="3"/>
    </row>
    <row r="164" spans="1:25" x14ac:dyDescent="0.25">
      <c r="A164" s="3"/>
      <c r="B164" s="3"/>
    </row>
    <row r="165" spans="1:25" x14ac:dyDescent="0.25">
      <c r="A165" s="3"/>
      <c r="B165" s="3"/>
    </row>
    <row r="166" spans="1:25" x14ac:dyDescent="0.25">
      <c r="A166" s="3"/>
      <c r="B166" s="3"/>
    </row>
    <row r="167" spans="1:25" x14ac:dyDescent="0.25">
      <c r="A167" s="3"/>
      <c r="B167" s="3"/>
    </row>
    <row r="168" spans="1:25" x14ac:dyDescent="0.25">
      <c r="A168" s="3"/>
      <c r="B168" s="3"/>
    </row>
    <row r="169" spans="1:25" x14ac:dyDescent="0.25">
      <c r="A169" s="3"/>
      <c r="B169" s="3"/>
    </row>
    <row r="170" spans="1:25" x14ac:dyDescent="0.25">
      <c r="A170" s="3"/>
      <c r="B170" s="3"/>
    </row>
    <row r="171" spans="1:25" x14ac:dyDescent="0.25">
      <c r="A171" s="3"/>
      <c r="B171" s="3"/>
    </row>
    <row r="172" spans="1:25" x14ac:dyDescent="0.25">
      <c r="A172" s="3"/>
      <c r="B172" s="3"/>
    </row>
    <row r="173" spans="1:25" x14ac:dyDescent="0.25">
      <c r="A173" s="3"/>
      <c r="B173" s="3"/>
    </row>
    <row r="174" spans="1:25" s="2" customFormat="1" x14ac:dyDescent="0.25">
      <c r="A174" s="3"/>
      <c r="B174" s="3"/>
      <c r="C174"/>
      <c r="D174"/>
      <c r="E174"/>
      <c r="F174"/>
      <c r="G174"/>
      <c r="H174"/>
      <c r="I174"/>
      <c r="J174"/>
      <c r="K174"/>
      <c r="L174"/>
      <c r="M174"/>
      <c r="N174"/>
      <c r="O174"/>
      <c r="P174"/>
      <c r="Q174"/>
      <c r="R174"/>
      <c r="S174"/>
      <c r="T174"/>
      <c r="U174"/>
      <c r="V174"/>
      <c r="W174"/>
      <c r="X174"/>
      <c r="Y174"/>
    </row>
    <row r="175" spans="1:25" x14ac:dyDescent="0.25">
      <c r="A175" s="3"/>
      <c r="B175" s="3"/>
    </row>
    <row r="176" spans="1:25" x14ac:dyDescent="0.25">
      <c r="A176" s="3"/>
      <c r="B176" s="3"/>
    </row>
    <row r="177" spans="1:2" x14ac:dyDescent="0.25">
      <c r="A177" s="3"/>
      <c r="B177" s="3"/>
    </row>
    <row r="178" spans="1:2" x14ac:dyDescent="0.25">
      <c r="A178" s="3"/>
      <c r="B178" s="3"/>
    </row>
    <row r="179" spans="1:2" x14ac:dyDescent="0.25">
      <c r="A179" s="3"/>
      <c r="B179" s="3"/>
    </row>
    <row r="180" spans="1:2" x14ac:dyDescent="0.25">
      <c r="A180" s="3"/>
      <c r="B180" s="3"/>
    </row>
    <row r="181" spans="1:2" x14ac:dyDescent="0.25">
      <c r="A181" s="3"/>
      <c r="B181" s="3"/>
    </row>
    <row r="182" spans="1:2" x14ac:dyDescent="0.25">
      <c r="A182" s="3"/>
      <c r="B182" s="3"/>
    </row>
    <row r="183" spans="1:2" x14ac:dyDescent="0.25">
      <c r="A183" s="3"/>
      <c r="B183" s="3"/>
    </row>
    <row r="184" spans="1:2" x14ac:dyDescent="0.25">
      <c r="A184" s="3"/>
      <c r="B184" s="3"/>
    </row>
    <row r="185" spans="1:2" x14ac:dyDescent="0.25">
      <c r="A185" s="3"/>
      <c r="B185" s="3"/>
    </row>
    <row r="186" spans="1:2" x14ac:dyDescent="0.25">
      <c r="A186" s="3"/>
      <c r="B186" s="3"/>
    </row>
    <row r="187" spans="1:2" x14ac:dyDescent="0.25">
      <c r="A187" s="3"/>
      <c r="B187" s="3"/>
    </row>
    <row r="188" spans="1:2" x14ac:dyDescent="0.25">
      <c r="A188" s="3"/>
      <c r="B188" s="3"/>
    </row>
    <row r="189" spans="1:2" x14ac:dyDescent="0.25">
      <c r="A189" s="3"/>
      <c r="B189" s="3"/>
    </row>
    <row r="190" spans="1:2" x14ac:dyDescent="0.25">
      <c r="A190" s="3"/>
      <c r="B190" s="3"/>
    </row>
    <row r="191" spans="1:2" x14ac:dyDescent="0.25">
      <c r="A191" s="3"/>
      <c r="B191" s="3"/>
    </row>
    <row r="192" spans="1:2" x14ac:dyDescent="0.25">
      <c r="A192" s="3"/>
      <c r="B192" s="3"/>
    </row>
    <row r="193" spans="1:2" x14ac:dyDescent="0.25">
      <c r="A193" s="3"/>
      <c r="B193" s="3"/>
    </row>
    <row r="194" spans="1:2" x14ac:dyDescent="0.25">
      <c r="A194" s="3"/>
      <c r="B194" s="3"/>
    </row>
    <row r="195" spans="1:2" x14ac:dyDescent="0.25">
      <c r="A195" s="3"/>
      <c r="B195" s="3"/>
    </row>
    <row r="196" spans="1:2" x14ac:dyDescent="0.25">
      <c r="A196" s="3"/>
      <c r="B196" s="3"/>
    </row>
    <row r="197" spans="1:2" x14ac:dyDescent="0.25">
      <c r="A197" s="3"/>
      <c r="B197" s="3"/>
    </row>
    <row r="198" spans="1:2" x14ac:dyDescent="0.25">
      <c r="A198" s="3"/>
      <c r="B198" s="3"/>
    </row>
    <row r="199" spans="1:2" x14ac:dyDescent="0.25">
      <c r="A199" s="3"/>
      <c r="B199" s="3"/>
    </row>
    <row r="200" spans="1:2" x14ac:dyDescent="0.25">
      <c r="A200" s="3"/>
      <c r="B200" s="3"/>
    </row>
    <row r="201" spans="1:2" x14ac:dyDescent="0.25">
      <c r="A201" s="3"/>
      <c r="B201" s="3"/>
    </row>
    <row r="202" spans="1:2" x14ac:dyDescent="0.25">
      <c r="A202" s="3"/>
      <c r="B202" s="3"/>
    </row>
    <row r="203" spans="1:2" x14ac:dyDescent="0.25">
      <c r="A203" s="3"/>
      <c r="B203" s="3"/>
    </row>
    <row r="204" spans="1:2" x14ac:dyDescent="0.25">
      <c r="A204" s="3"/>
      <c r="B204" s="3"/>
    </row>
  </sheetData>
  <mergeCells count="8">
    <mergeCell ref="F17:J17"/>
    <mergeCell ref="F18:J18"/>
    <mergeCell ref="F19:J19"/>
    <mergeCell ref="D8:X8"/>
    <mergeCell ref="E10:X10"/>
    <mergeCell ref="E11:J11"/>
    <mergeCell ref="F14:J14"/>
    <mergeCell ref="F16:J16"/>
  </mergeCells>
  <conditionalFormatting sqref="U1:X8 S9:X41 T42:X295">
    <cfRule type="containsText" dxfId="13" priority="1" operator="containsText" text="ja">
      <formula>NOT(ISERROR(SEARCH(("ja"),(U1))))</formula>
    </cfRule>
    <cfRule type="containsText" dxfId="12" priority="2" operator="containsText" text="nein">
      <formula>NOT(ISERROR(SEARCH(("nein"),(U1))))</formula>
    </cfRule>
  </conditionalFormatting>
  <dataValidations count="4">
    <dataValidation type="list" errorStyle="warning" showErrorMessage="1" sqref="A11:A22 A24:A204" xr:uid="{00000000-0002-0000-0F00-000000000000}">
      <formula1>"ja,nein"</formula1>
    </dataValidation>
    <dataValidation type="list" errorStyle="warning" showErrorMessage="1" sqref="X21:X24 X11:X19" xr:uid="{00000000-0002-0000-0F00-000001000000}">
      <formula1>",Ready, CICD"</formula1>
    </dataValidation>
    <dataValidation type="list" errorStyle="warning" showErrorMessage="1" sqref="U25:U41 T25:T41 T21:U24 T11:U19" xr:uid="{00000000-0002-0000-0F00-000002000000}">
      <formula1>"unbestimmt, ja, nein"</formula1>
    </dataValidation>
    <dataValidation type="list" errorStyle="warning" showErrorMessage="1" sqref="B11:B204" xr:uid="{00000000-0002-0000-0F00-000003000000}">
      <formula1>"ELA,Meistertask,Cleverreach,Synology,Miro,Google,WhatsApp,Canva,Adobe,Contao,Wiki,ecoDMS,Wiki,Facebook,Instagram,TikTok,LinkedIn,Youtube,Xing,X,SalesForce,Lexware,Volksbank,Articulate,Outlook,easy2book,Domainfactory,1&amp;1"</formula1>
    </dataValidation>
  </dataValidations>
  <pageMargins left="0.75" right="0.75" top="1" bottom="1" header="0.5" footer="0.5"/>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4:X241"/>
  <sheetViews>
    <sheetView workbookViewId="0">
      <pane ySplit="5" topLeftCell="A6" activePane="bottomLeft" state="frozen"/>
      <selection pane="bottomLeft"/>
    </sheetView>
  </sheetViews>
  <sheetFormatPr baseColWidth="10" defaultColWidth="14.5703125" defaultRowHeight="15" x14ac:dyDescent="0.25"/>
  <cols>
    <col min="1" max="1" width="12.140625" style="14" customWidth="1"/>
    <col min="2" max="2" width="10.85546875" style="14" customWidth="1"/>
    <col min="3" max="8" width="3.42578125" style="14" customWidth="1"/>
    <col min="9" max="9" width="42.7109375" style="14" customWidth="1"/>
    <col min="10" max="10" width="59" style="14" customWidth="1"/>
    <col min="11" max="11" width="23.140625" style="14" customWidth="1"/>
    <col min="12" max="16" width="17" style="14" customWidth="1"/>
    <col min="17" max="17" width="73.85546875" style="14" customWidth="1"/>
    <col min="18" max="18" width="14.5703125" style="14" customWidth="1"/>
    <col min="19" max="19" width="14.42578125" style="14" customWidth="1"/>
    <col min="20" max="20" width="13.85546875" style="14" customWidth="1"/>
    <col min="21" max="22" width="31.85546875" style="14" customWidth="1"/>
    <col min="23" max="23" width="14.42578125" style="14" customWidth="1"/>
    <col min="24" max="24" width="14.5703125" style="14" customWidth="1"/>
    <col min="25" max="16384" width="14.5703125" style="14"/>
  </cols>
  <sheetData>
    <row r="4" spans="1:23" x14ac:dyDescent="0.25">
      <c r="C4" s="1237" t="s">
        <v>8</v>
      </c>
      <c r="D4" s="1238"/>
      <c r="E4" s="1238"/>
      <c r="F4" s="1238"/>
      <c r="G4" s="1238"/>
      <c r="H4" s="1239"/>
      <c r="M4" s="23"/>
    </row>
    <row r="5" spans="1:23" s="13" customFormat="1" ht="36.75" customHeight="1" x14ac:dyDescent="0.2">
      <c r="A5" s="122" t="s">
        <v>5</v>
      </c>
      <c r="B5" s="122" t="s">
        <v>6</v>
      </c>
      <c r="C5" s="15" t="s">
        <v>9</v>
      </c>
      <c r="D5" s="15" t="s">
        <v>10</v>
      </c>
      <c r="E5" s="15" t="s">
        <v>11</v>
      </c>
      <c r="F5" s="15" t="s">
        <v>12</v>
      </c>
      <c r="G5" s="15" t="s">
        <v>13</v>
      </c>
      <c r="H5" s="15" t="s">
        <v>14</v>
      </c>
      <c r="I5" s="918" t="s">
        <v>15</v>
      </c>
      <c r="J5" s="738" t="s">
        <v>16</v>
      </c>
      <c r="K5" s="739" t="s">
        <v>17</v>
      </c>
      <c r="L5" s="829" t="s">
        <v>18</v>
      </c>
      <c r="M5" s="919" t="s">
        <v>19</v>
      </c>
      <c r="N5" s="37" t="s">
        <v>20</v>
      </c>
      <c r="O5" s="829" t="s">
        <v>21</v>
      </c>
      <c r="P5" s="829" t="s">
        <v>22</v>
      </c>
      <c r="Q5" s="829" t="s">
        <v>209</v>
      </c>
      <c r="R5" s="828" t="s">
        <v>24</v>
      </c>
      <c r="S5" s="59" t="s">
        <v>25</v>
      </c>
      <c r="T5" s="59" t="s">
        <v>26</v>
      </c>
      <c r="U5" s="60" t="s">
        <v>27</v>
      </c>
      <c r="V5" s="59" t="s">
        <v>28</v>
      </c>
      <c r="W5" s="59" t="s">
        <v>29</v>
      </c>
    </row>
    <row r="6" spans="1:23" s="13" customFormat="1" ht="20.25" customHeight="1" x14ac:dyDescent="0.25">
      <c r="A6" s="7"/>
      <c r="B6" s="7"/>
      <c r="C6" s="315"/>
      <c r="D6" s="315"/>
      <c r="E6" s="315"/>
      <c r="F6" s="315"/>
      <c r="G6" s="315"/>
      <c r="H6" s="315"/>
      <c r="I6" s="315"/>
      <c r="J6" s="920"/>
      <c r="K6" s="917"/>
      <c r="L6" s="921"/>
      <c r="M6" s="921"/>
      <c r="N6" s="921"/>
      <c r="O6" s="921"/>
      <c r="P6" s="921"/>
      <c r="Q6" s="921"/>
      <c r="R6" s="315"/>
      <c r="S6" s="922"/>
      <c r="T6" s="922"/>
      <c r="U6" s="315"/>
      <c r="V6" s="315"/>
      <c r="W6" s="315"/>
    </row>
    <row r="7" spans="1:23" s="13" customFormat="1" x14ac:dyDescent="0.25">
      <c r="A7" s="742"/>
      <c r="B7" s="742"/>
      <c r="C7" s="10" t="s">
        <v>50</v>
      </c>
      <c r="D7" s="10"/>
      <c r="E7" s="10"/>
      <c r="F7" s="10"/>
      <c r="G7" s="10"/>
      <c r="H7" s="10"/>
      <c r="I7" s="17" t="s">
        <v>3408</v>
      </c>
      <c r="J7" s="6"/>
      <c r="K7" s="8"/>
      <c r="L7" s="10"/>
      <c r="M7" s="10"/>
      <c r="N7" s="10"/>
      <c r="O7" s="10"/>
      <c r="P7" s="10"/>
      <c r="Q7" s="10"/>
      <c r="R7" s="11"/>
      <c r="S7" s="16"/>
      <c r="T7" s="16"/>
      <c r="U7" s="11"/>
      <c r="V7" s="11"/>
      <c r="W7" s="11"/>
    </row>
    <row r="8" spans="1:23" s="13" customFormat="1" ht="45" x14ac:dyDescent="0.25">
      <c r="A8" s="3"/>
      <c r="B8" s="3"/>
      <c r="C8" s="10"/>
      <c r="D8" s="10" t="s">
        <v>50</v>
      </c>
      <c r="E8" s="10"/>
      <c r="F8" s="10"/>
      <c r="G8" s="10"/>
      <c r="H8" s="10"/>
      <c r="I8" s="923" t="s">
        <v>3409</v>
      </c>
      <c r="J8" s="6" t="s">
        <v>3410</v>
      </c>
      <c r="K8" s="8"/>
      <c r="L8" s="10"/>
      <c r="M8" s="10"/>
      <c r="N8" s="10"/>
      <c r="O8" s="10"/>
      <c r="P8" s="10"/>
      <c r="Q8" s="10"/>
      <c r="R8" s="11"/>
      <c r="S8" s="16"/>
      <c r="T8" s="16"/>
      <c r="U8" s="11"/>
      <c r="V8" s="11"/>
      <c r="W8" s="11"/>
    </row>
    <row r="9" spans="1:23" s="13" customFormat="1" x14ac:dyDescent="0.25">
      <c r="A9" s="3"/>
      <c r="B9" s="3"/>
      <c r="C9" s="10"/>
      <c r="D9" s="10"/>
      <c r="E9" s="10" t="s">
        <v>50</v>
      </c>
      <c r="F9" s="10"/>
      <c r="G9" s="10"/>
      <c r="H9" s="10"/>
      <c r="I9" s="924" t="s">
        <v>3411</v>
      </c>
      <c r="J9" s="6"/>
      <c r="K9" s="8"/>
      <c r="L9" s="10"/>
      <c r="M9" s="10"/>
      <c r="N9" s="10"/>
      <c r="O9" s="10"/>
      <c r="P9" s="10"/>
      <c r="Q9" s="10"/>
      <c r="R9" s="11"/>
      <c r="S9" s="16"/>
      <c r="T9" s="16"/>
      <c r="U9" s="11"/>
      <c r="V9" s="11"/>
      <c r="W9" s="11"/>
    </row>
    <row r="10" spans="1:23" s="13" customFormat="1" ht="45" x14ac:dyDescent="0.25">
      <c r="A10" s="3"/>
      <c r="B10" s="3"/>
      <c r="C10" s="10"/>
      <c r="D10" s="10"/>
      <c r="E10" s="10"/>
      <c r="F10" s="10" t="s">
        <v>50</v>
      </c>
      <c r="G10" s="10"/>
      <c r="H10" s="10"/>
      <c r="I10" s="18" t="s">
        <v>3412</v>
      </c>
      <c r="J10" s="6" t="s">
        <v>3413</v>
      </c>
      <c r="K10" s="8"/>
      <c r="L10" s="10"/>
      <c r="M10" s="10"/>
      <c r="N10" s="10"/>
      <c r="O10" s="10"/>
      <c r="P10" s="10"/>
      <c r="Q10" s="10"/>
      <c r="R10" s="11"/>
      <c r="S10" s="16"/>
      <c r="T10" s="16"/>
      <c r="U10" s="11"/>
      <c r="V10" s="11"/>
      <c r="W10" s="11"/>
    </row>
    <row r="11" spans="1:23" s="13" customFormat="1" ht="45" x14ac:dyDescent="0.25">
      <c r="A11" s="3"/>
      <c r="B11" s="3"/>
      <c r="C11" s="10"/>
      <c r="D11" s="10"/>
      <c r="E11" s="10"/>
      <c r="F11" s="10" t="s">
        <v>50</v>
      </c>
      <c r="G11" s="10"/>
      <c r="H11" s="10"/>
      <c r="I11" s="18" t="s">
        <v>3414</v>
      </c>
      <c r="J11" s="6" t="s">
        <v>3415</v>
      </c>
      <c r="K11" s="8"/>
      <c r="L11" s="10"/>
      <c r="M11" s="10"/>
      <c r="N11" s="10"/>
      <c r="O11" s="10"/>
      <c r="P11" s="10"/>
      <c r="Q11" s="10"/>
      <c r="R11" s="11"/>
      <c r="S11" s="16"/>
      <c r="T11" s="16"/>
      <c r="U11" s="11"/>
      <c r="V11" s="11"/>
      <c r="W11" s="11"/>
    </row>
    <row r="12" spans="1:23" s="13" customFormat="1" ht="30" x14ac:dyDescent="0.25">
      <c r="A12" s="3"/>
      <c r="B12" s="3"/>
      <c r="C12" s="10"/>
      <c r="D12" s="10"/>
      <c r="E12" s="10" t="s">
        <v>50</v>
      </c>
      <c r="F12" s="10"/>
      <c r="G12" s="10"/>
      <c r="H12" s="10"/>
      <c r="I12" s="924" t="s">
        <v>3416</v>
      </c>
      <c r="J12" s="6" t="s">
        <v>3417</v>
      </c>
      <c r="K12" s="8"/>
      <c r="L12" s="10"/>
      <c r="M12" s="10"/>
      <c r="N12" s="10"/>
      <c r="O12" s="10"/>
      <c r="P12" s="10"/>
      <c r="Q12" s="10"/>
      <c r="R12" s="11"/>
      <c r="S12" s="16"/>
      <c r="T12" s="16"/>
      <c r="U12" s="11"/>
      <c r="V12" s="11"/>
      <c r="W12" s="11"/>
    </row>
    <row r="13" spans="1:23" s="13" customFormat="1" ht="45" x14ac:dyDescent="0.25">
      <c r="A13" s="3"/>
      <c r="B13" s="3"/>
      <c r="C13" s="10"/>
      <c r="D13" s="10"/>
      <c r="E13" s="10"/>
      <c r="F13" s="10" t="s">
        <v>50</v>
      </c>
      <c r="G13" s="10"/>
      <c r="H13" s="10"/>
      <c r="I13" s="18" t="s">
        <v>3418</v>
      </c>
      <c r="J13" s="6" t="s">
        <v>3419</v>
      </c>
      <c r="K13" s="8"/>
      <c r="L13" s="10"/>
      <c r="M13" s="10"/>
      <c r="N13" s="10"/>
      <c r="O13" s="10"/>
      <c r="P13" s="10"/>
      <c r="Q13" s="10"/>
      <c r="R13" s="11"/>
      <c r="S13" s="16"/>
      <c r="T13" s="16"/>
      <c r="U13" s="11"/>
      <c r="V13" s="11"/>
      <c r="W13" s="11"/>
    </row>
    <row r="14" spans="1:23" s="13" customFormat="1" ht="30" x14ac:dyDescent="0.25">
      <c r="A14" s="3"/>
      <c r="B14" s="3"/>
      <c r="C14" s="10"/>
      <c r="D14" s="10"/>
      <c r="E14" s="10"/>
      <c r="F14" s="10" t="s">
        <v>50</v>
      </c>
      <c r="G14" s="10"/>
      <c r="H14" s="10"/>
      <c r="I14" s="18" t="s">
        <v>3420</v>
      </c>
      <c r="J14" s="6" t="s">
        <v>3421</v>
      </c>
      <c r="K14" s="8"/>
      <c r="L14" s="10"/>
      <c r="M14" s="10"/>
      <c r="N14" s="10"/>
      <c r="O14" s="10"/>
      <c r="P14" s="10"/>
      <c r="Q14" s="10"/>
      <c r="R14" s="11"/>
      <c r="S14" s="16"/>
      <c r="T14" s="16"/>
      <c r="U14" s="11"/>
      <c r="V14" s="11"/>
      <c r="W14" s="11"/>
    </row>
    <row r="15" spans="1:23" s="13" customFormat="1" x14ac:dyDescent="0.25">
      <c r="A15" s="3"/>
      <c r="B15" s="3"/>
      <c r="C15" s="10"/>
      <c r="D15" s="10"/>
      <c r="E15" s="10" t="s">
        <v>50</v>
      </c>
      <c r="F15" s="10"/>
      <c r="G15" s="10"/>
      <c r="H15" s="10"/>
      <c r="I15" s="924" t="s">
        <v>3422</v>
      </c>
      <c r="J15" s="6"/>
      <c r="K15" s="8"/>
      <c r="L15" s="10"/>
      <c r="M15" s="10"/>
      <c r="N15" s="10"/>
      <c r="O15" s="10"/>
      <c r="P15" s="10"/>
      <c r="Q15" s="10"/>
      <c r="R15" s="11"/>
      <c r="S15" s="16"/>
      <c r="T15" s="16"/>
      <c r="U15" s="11"/>
      <c r="V15" s="11"/>
      <c r="W15" s="11"/>
    </row>
    <row r="16" spans="1:23" s="13" customFormat="1" ht="45" x14ac:dyDescent="0.25">
      <c r="A16" s="3"/>
      <c r="B16" s="3"/>
      <c r="C16" s="10"/>
      <c r="D16" s="10"/>
      <c r="E16" s="10"/>
      <c r="F16" s="10" t="s">
        <v>50</v>
      </c>
      <c r="G16" s="10"/>
      <c r="H16" s="10"/>
      <c r="I16" s="18" t="s">
        <v>3423</v>
      </c>
      <c r="J16" s="6" t="s">
        <v>3424</v>
      </c>
      <c r="K16" s="8"/>
      <c r="L16" s="10"/>
      <c r="M16" s="10"/>
      <c r="N16" s="10"/>
      <c r="O16" s="10"/>
      <c r="P16" s="10"/>
      <c r="Q16" s="10"/>
      <c r="R16" s="11"/>
      <c r="S16" s="16"/>
      <c r="T16" s="16"/>
      <c r="U16" s="11"/>
      <c r="V16" s="11"/>
      <c r="W16" s="11"/>
    </row>
    <row r="17" spans="1:23" s="13" customFormat="1" ht="30" x14ac:dyDescent="0.25">
      <c r="A17" s="3"/>
      <c r="B17" s="3"/>
      <c r="C17" s="10"/>
      <c r="D17" s="10"/>
      <c r="E17" s="10"/>
      <c r="F17" s="10" t="s">
        <v>50</v>
      </c>
      <c r="G17" s="10"/>
      <c r="H17" s="10"/>
      <c r="I17" s="18" t="s">
        <v>3425</v>
      </c>
      <c r="J17" s="6" t="s">
        <v>3426</v>
      </c>
      <c r="K17" s="8"/>
      <c r="L17" s="10"/>
      <c r="M17" s="10"/>
      <c r="N17" s="10"/>
      <c r="O17" s="10"/>
      <c r="P17" s="10"/>
      <c r="Q17" s="10"/>
      <c r="R17" s="11"/>
      <c r="S17" s="16"/>
      <c r="T17" s="16"/>
      <c r="U17" s="11"/>
      <c r="V17" s="11"/>
      <c r="W17" s="11"/>
    </row>
    <row r="18" spans="1:23" s="13" customFormat="1" ht="45" x14ac:dyDescent="0.25">
      <c r="A18" s="3"/>
      <c r="B18" s="3"/>
      <c r="C18" s="10"/>
      <c r="D18" s="10" t="s">
        <v>50</v>
      </c>
      <c r="E18" s="10"/>
      <c r="F18" s="10"/>
      <c r="G18" s="10"/>
      <c r="H18" s="10"/>
      <c r="I18" s="923" t="s">
        <v>3427</v>
      </c>
      <c r="J18" s="6" t="s">
        <v>3428</v>
      </c>
      <c r="K18" s="8"/>
      <c r="L18" s="6"/>
      <c r="M18" s="10"/>
      <c r="N18" s="10"/>
      <c r="O18" s="6"/>
      <c r="P18" s="6"/>
      <c r="Q18" s="10"/>
      <c r="R18" s="11"/>
      <c r="S18" s="16" t="s">
        <v>31</v>
      </c>
      <c r="T18" s="16" t="s">
        <v>31</v>
      </c>
      <c r="U18" s="11"/>
      <c r="V18" s="11"/>
      <c r="W18" s="11"/>
    </row>
    <row r="19" spans="1:23" s="13" customFormat="1" ht="45" x14ac:dyDescent="0.25">
      <c r="A19" s="3"/>
      <c r="B19" s="3"/>
      <c r="C19" s="10"/>
      <c r="D19" s="10"/>
      <c r="E19" s="10"/>
      <c r="F19" s="10" t="s">
        <v>50</v>
      </c>
      <c r="G19" s="10"/>
      <c r="H19" s="10"/>
      <c r="I19" s="18" t="s">
        <v>3429</v>
      </c>
      <c r="J19" s="6" t="s">
        <v>3430</v>
      </c>
      <c r="K19" s="8"/>
      <c r="L19" s="10"/>
      <c r="M19" s="10"/>
      <c r="N19" s="10"/>
      <c r="O19" s="10"/>
      <c r="P19" s="10"/>
      <c r="Q19" s="10"/>
      <c r="R19" s="11"/>
      <c r="S19" s="16"/>
      <c r="T19" s="16"/>
      <c r="U19" s="11"/>
      <c r="V19" s="11"/>
      <c r="W19" s="11"/>
    </row>
    <row r="20" spans="1:23" s="13" customFormat="1" ht="45" x14ac:dyDescent="0.25">
      <c r="A20" s="3"/>
      <c r="B20" s="3"/>
      <c r="C20" s="10"/>
      <c r="D20" s="10"/>
      <c r="E20" s="10"/>
      <c r="F20" s="10" t="s">
        <v>50</v>
      </c>
      <c r="G20" s="10"/>
      <c r="H20" s="10"/>
      <c r="I20" s="18" t="s">
        <v>3431</v>
      </c>
      <c r="J20" s="6" t="s">
        <v>3432</v>
      </c>
      <c r="K20" s="8"/>
      <c r="L20" s="10"/>
      <c r="M20" s="10"/>
      <c r="N20" s="10"/>
      <c r="O20" s="10"/>
      <c r="P20" s="10"/>
      <c r="Q20" s="10"/>
      <c r="R20" s="11"/>
      <c r="S20" s="16"/>
      <c r="T20" s="16"/>
      <c r="U20" s="11"/>
      <c r="V20" s="11"/>
      <c r="W20" s="11"/>
    </row>
    <row r="21" spans="1:23" s="13" customFormat="1" ht="45" x14ac:dyDescent="0.25">
      <c r="A21" s="3"/>
      <c r="B21" s="3"/>
      <c r="C21" s="10"/>
      <c r="D21" s="10"/>
      <c r="E21" s="10"/>
      <c r="F21" s="10" t="s">
        <v>50</v>
      </c>
      <c r="G21" s="10"/>
      <c r="H21" s="10"/>
      <c r="I21" s="18" t="s">
        <v>3433</v>
      </c>
      <c r="J21" s="6" t="s">
        <v>3434</v>
      </c>
      <c r="K21" s="8"/>
      <c r="L21" s="10"/>
      <c r="M21" s="10"/>
      <c r="N21" s="10"/>
      <c r="O21" s="10"/>
      <c r="P21" s="10"/>
      <c r="Q21" s="10"/>
      <c r="R21" s="11"/>
      <c r="S21" s="16"/>
      <c r="T21" s="16"/>
      <c r="U21" s="11"/>
      <c r="V21" s="11"/>
      <c r="W21" s="11"/>
    </row>
    <row r="22" spans="1:23" s="13" customFormat="1" x14ac:dyDescent="0.25">
      <c r="A22" s="3"/>
      <c r="B22" s="3"/>
      <c r="C22" s="10" t="s">
        <v>50</v>
      </c>
      <c r="D22" s="10"/>
      <c r="E22" s="10"/>
      <c r="F22" s="10"/>
      <c r="G22" s="10"/>
      <c r="H22" s="10"/>
      <c r="I22" s="17" t="s">
        <v>3435</v>
      </c>
      <c r="J22" s="6"/>
      <c r="K22" s="8"/>
      <c r="L22" s="6"/>
      <c r="M22" s="10"/>
      <c r="N22" s="10"/>
      <c r="O22" s="6"/>
      <c r="P22" s="6"/>
      <c r="Q22" s="10"/>
      <c r="R22" s="11"/>
      <c r="S22" s="16"/>
      <c r="T22" s="16"/>
      <c r="U22" s="11"/>
      <c r="V22" s="11"/>
      <c r="W22" s="11"/>
    </row>
    <row r="23" spans="1:23" s="13" customFormat="1" ht="30" x14ac:dyDescent="0.25">
      <c r="A23" s="3"/>
      <c r="B23" s="3"/>
      <c r="C23" s="10"/>
      <c r="D23" s="10" t="s">
        <v>50</v>
      </c>
      <c r="E23" s="10"/>
      <c r="F23" s="10"/>
      <c r="G23" s="10"/>
      <c r="H23" s="10"/>
      <c r="I23" s="923" t="s">
        <v>3436</v>
      </c>
      <c r="J23" s="6" t="s">
        <v>3437</v>
      </c>
      <c r="K23" s="8"/>
      <c r="L23" s="6"/>
      <c r="M23" s="10"/>
      <c r="N23" s="10"/>
      <c r="O23" s="6"/>
      <c r="P23" s="6"/>
      <c r="Q23" s="10"/>
      <c r="R23" s="11"/>
      <c r="S23" s="16"/>
      <c r="T23" s="16"/>
      <c r="U23" s="11"/>
      <c r="V23" s="11"/>
      <c r="W23" s="11"/>
    </row>
    <row r="24" spans="1:23" s="13" customFormat="1" ht="30" x14ac:dyDescent="0.25">
      <c r="A24" s="3"/>
      <c r="B24" s="3"/>
      <c r="C24" s="10"/>
      <c r="D24" s="10"/>
      <c r="E24" s="10" t="s">
        <v>50</v>
      </c>
      <c r="F24" s="10"/>
      <c r="G24" s="10"/>
      <c r="H24" s="10"/>
      <c r="I24" s="924" t="s">
        <v>3438</v>
      </c>
      <c r="J24" s="6"/>
      <c r="K24" s="8"/>
      <c r="L24" s="6"/>
      <c r="M24" s="10"/>
      <c r="N24" s="10"/>
      <c r="O24" s="6"/>
      <c r="P24" s="6"/>
      <c r="Q24" s="10"/>
      <c r="R24" s="11"/>
      <c r="S24" s="16"/>
      <c r="T24" s="16"/>
      <c r="U24" s="11"/>
      <c r="V24" s="11"/>
      <c r="W24" s="11"/>
    </row>
    <row r="25" spans="1:23" s="13" customFormat="1" ht="30" x14ac:dyDescent="0.25">
      <c r="A25" s="3"/>
      <c r="B25" s="3"/>
      <c r="C25" s="10"/>
      <c r="D25" s="10"/>
      <c r="E25" s="10" t="s">
        <v>50</v>
      </c>
      <c r="F25" s="10"/>
      <c r="G25" s="10"/>
      <c r="H25" s="10"/>
      <c r="I25" s="19" t="s">
        <v>3439</v>
      </c>
      <c r="J25" s="6"/>
      <c r="K25" s="8"/>
      <c r="L25" s="6"/>
      <c r="M25" s="10"/>
      <c r="N25" s="10"/>
      <c r="O25" s="6"/>
      <c r="P25" s="6"/>
      <c r="Q25" s="10"/>
      <c r="R25" s="11"/>
      <c r="S25" s="16"/>
      <c r="T25" s="16"/>
      <c r="U25" s="11"/>
      <c r="V25" s="11"/>
      <c r="W25" s="11"/>
    </row>
    <row r="26" spans="1:23" s="13" customFormat="1" x14ac:dyDescent="0.25">
      <c r="A26" s="3"/>
      <c r="B26" s="3"/>
      <c r="C26" s="10"/>
      <c r="D26" s="10"/>
      <c r="E26" s="10" t="s">
        <v>50</v>
      </c>
      <c r="F26" s="10"/>
      <c r="G26" s="10"/>
      <c r="H26" s="10"/>
      <c r="I26" s="924" t="s">
        <v>3440</v>
      </c>
      <c r="J26" s="6"/>
      <c r="K26" s="8"/>
      <c r="L26" s="6"/>
      <c r="M26" s="10"/>
      <c r="N26" s="10"/>
      <c r="O26" s="6"/>
      <c r="P26" s="6"/>
      <c r="Q26" s="10"/>
      <c r="R26" s="11"/>
      <c r="S26" s="16"/>
      <c r="T26" s="16"/>
      <c r="U26" s="11"/>
      <c r="V26" s="11"/>
      <c r="W26" s="11"/>
    </row>
    <row r="27" spans="1:23" s="13" customFormat="1" x14ac:dyDescent="0.25">
      <c r="A27" s="3"/>
      <c r="B27" s="3"/>
      <c r="C27" s="10"/>
      <c r="D27" s="10"/>
      <c r="E27" s="10" t="s">
        <v>50</v>
      </c>
      <c r="F27" s="10"/>
      <c r="G27" s="10"/>
      <c r="H27" s="10"/>
      <c r="I27" s="924" t="s">
        <v>3441</v>
      </c>
      <c r="J27" s="6"/>
      <c r="K27" s="8"/>
      <c r="L27" s="6"/>
      <c r="M27" s="10"/>
      <c r="N27" s="10"/>
      <c r="O27" s="6"/>
      <c r="P27" s="6"/>
      <c r="Q27" s="10"/>
      <c r="R27" s="11"/>
      <c r="S27" s="16"/>
      <c r="T27" s="16"/>
      <c r="U27" s="11"/>
      <c r="V27" s="11"/>
      <c r="W27" s="11"/>
    </row>
    <row r="28" spans="1:23" s="13" customFormat="1" ht="30" x14ac:dyDescent="0.25">
      <c r="A28" s="3"/>
      <c r="B28" s="3"/>
      <c r="C28" s="10"/>
      <c r="D28" s="10"/>
      <c r="E28" s="10"/>
      <c r="F28" s="10"/>
      <c r="G28" s="10"/>
      <c r="H28" s="10"/>
      <c r="I28" s="924" t="s">
        <v>3442</v>
      </c>
      <c r="J28" s="6"/>
      <c r="K28" s="8"/>
      <c r="L28" s="6"/>
      <c r="M28" s="10"/>
      <c r="N28" s="10"/>
      <c r="O28" s="6"/>
      <c r="P28" s="6"/>
      <c r="Q28" s="10"/>
      <c r="R28" s="11"/>
      <c r="S28" s="16"/>
      <c r="T28" s="16"/>
      <c r="U28" s="11"/>
      <c r="V28" s="11"/>
      <c r="W28" s="11"/>
    </row>
    <row r="29" spans="1:23" s="13" customFormat="1" ht="45" x14ac:dyDescent="0.25">
      <c r="A29" s="3"/>
      <c r="B29" s="3"/>
      <c r="C29" s="10"/>
      <c r="D29" s="10" t="s">
        <v>50</v>
      </c>
      <c r="E29" s="10"/>
      <c r="F29" s="10"/>
      <c r="G29" s="10"/>
      <c r="H29" s="10"/>
      <c r="I29" s="923" t="s">
        <v>3443</v>
      </c>
      <c r="J29" s="6" t="s">
        <v>3444</v>
      </c>
      <c r="K29" s="8"/>
      <c r="L29" s="6"/>
      <c r="M29" s="10"/>
      <c r="N29" s="10"/>
      <c r="O29" s="6"/>
      <c r="P29" s="6"/>
      <c r="Q29" s="10"/>
      <c r="R29" s="11"/>
      <c r="S29" s="16"/>
      <c r="T29" s="16"/>
      <c r="U29" s="11"/>
      <c r="V29" s="11"/>
      <c r="W29" s="11"/>
    </row>
    <row r="30" spans="1:23" s="13" customFormat="1" x14ac:dyDescent="0.25">
      <c r="A30" s="3"/>
      <c r="B30" s="3"/>
      <c r="C30" s="10"/>
      <c r="D30" s="10"/>
      <c r="E30" s="10" t="s">
        <v>50</v>
      </c>
      <c r="F30" s="10"/>
      <c r="G30" s="10"/>
      <c r="H30" s="10"/>
      <c r="I30" s="924" t="s">
        <v>3445</v>
      </c>
      <c r="J30" s="6"/>
      <c r="K30" s="8"/>
      <c r="L30" s="6"/>
      <c r="M30" s="10"/>
      <c r="N30" s="10"/>
      <c r="O30" s="6"/>
      <c r="P30" s="6"/>
      <c r="Q30" s="10"/>
      <c r="R30" s="11"/>
      <c r="S30" s="16"/>
      <c r="T30" s="16"/>
      <c r="U30" s="11"/>
      <c r="V30" s="11"/>
      <c r="W30" s="11"/>
    </row>
    <row r="31" spans="1:23" s="13" customFormat="1" ht="30" x14ac:dyDescent="0.25">
      <c r="A31" s="3"/>
      <c r="B31" s="3"/>
      <c r="C31" s="10"/>
      <c r="D31" s="10"/>
      <c r="E31" s="10"/>
      <c r="F31" s="10" t="s">
        <v>50</v>
      </c>
      <c r="G31" s="10"/>
      <c r="H31" s="10"/>
      <c r="I31" s="18" t="s">
        <v>3446</v>
      </c>
      <c r="J31" s="6" t="s">
        <v>3447</v>
      </c>
      <c r="K31" s="8"/>
      <c r="L31" s="6"/>
      <c r="M31" s="10"/>
      <c r="N31" s="10"/>
      <c r="O31" s="6"/>
      <c r="P31" s="6"/>
      <c r="Q31" s="10"/>
      <c r="R31" s="11"/>
      <c r="S31" s="16"/>
      <c r="T31" s="16"/>
      <c r="U31" s="11"/>
      <c r="V31" s="11"/>
      <c r="W31" s="11"/>
    </row>
    <row r="32" spans="1:23" s="13" customFormat="1" ht="30" x14ac:dyDescent="0.25">
      <c r="A32" s="3"/>
      <c r="B32" s="3"/>
      <c r="C32" s="10"/>
      <c r="D32" s="10"/>
      <c r="E32" s="10"/>
      <c r="F32" s="10" t="s">
        <v>50</v>
      </c>
      <c r="G32" s="10"/>
      <c r="H32" s="10"/>
      <c r="I32" s="18" t="s">
        <v>3448</v>
      </c>
      <c r="J32" s="6" t="s">
        <v>3449</v>
      </c>
      <c r="K32" s="8"/>
      <c r="L32" s="6"/>
      <c r="M32" s="10"/>
      <c r="N32" s="10"/>
      <c r="O32" s="6"/>
      <c r="P32" s="6"/>
      <c r="Q32" s="10"/>
      <c r="R32" s="11"/>
      <c r="S32" s="16"/>
      <c r="T32" s="16"/>
      <c r="U32" s="11"/>
      <c r="V32" s="11"/>
      <c r="W32" s="11"/>
    </row>
    <row r="33" spans="1:23" s="13" customFormat="1" ht="30" x14ac:dyDescent="0.25">
      <c r="A33" s="3"/>
      <c r="B33" s="3"/>
      <c r="C33" s="10"/>
      <c r="D33" s="10"/>
      <c r="E33" s="10"/>
      <c r="F33" s="10" t="s">
        <v>50</v>
      </c>
      <c r="G33" s="10"/>
      <c r="H33" s="10"/>
      <c r="I33" s="18" t="s">
        <v>3450</v>
      </c>
      <c r="J33" s="6" t="s">
        <v>3451</v>
      </c>
      <c r="K33" s="8"/>
      <c r="L33" s="6"/>
      <c r="M33" s="10"/>
      <c r="N33" s="10"/>
      <c r="O33" s="6"/>
      <c r="P33" s="6"/>
      <c r="Q33" s="10"/>
      <c r="R33" s="11"/>
      <c r="S33" s="16"/>
      <c r="T33" s="16"/>
      <c r="U33" s="11"/>
      <c r="V33" s="11"/>
      <c r="W33" s="11"/>
    </row>
    <row r="34" spans="1:23" s="13" customFormat="1" x14ac:dyDescent="0.25">
      <c r="A34" s="3"/>
      <c r="B34" s="3"/>
      <c r="C34" s="10"/>
      <c r="D34" s="10"/>
      <c r="E34" s="10" t="s">
        <v>50</v>
      </c>
      <c r="F34" s="10"/>
      <c r="G34" s="10"/>
      <c r="H34" s="10"/>
      <c r="I34" s="924" t="s">
        <v>3452</v>
      </c>
      <c r="J34" s="6"/>
      <c r="K34" s="8"/>
      <c r="L34" s="6"/>
      <c r="M34" s="10"/>
      <c r="N34" s="10"/>
      <c r="O34" s="6"/>
      <c r="P34" s="6"/>
      <c r="Q34" s="10"/>
      <c r="R34" s="11"/>
      <c r="S34" s="16"/>
      <c r="T34" s="16"/>
      <c r="U34" s="11"/>
      <c r="V34" s="11"/>
      <c r="W34" s="11"/>
    </row>
    <row r="35" spans="1:23" s="13" customFormat="1" ht="30" x14ac:dyDescent="0.25">
      <c r="A35" s="3"/>
      <c r="B35" s="3"/>
      <c r="C35" s="10"/>
      <c r="D35" s="10"/>
      <c r="E35" s="10"/>
      <c r="F35" s="10" t="s">
        <v>50</v>
      </c>
      <c r="G35" s="10"/>
      <c r="H35" s="10"/>
      <c r="I35" s="18" t="s">
        <v>3453</v>
      </c>
      <c r="J35" s="6" t="s">
        <v>3454</v>
      </c>
      <c r="K35" s="8"/>
      <c r="L35" s="6"/>
      <c r="M35" s="10"/>
      <c r="N35" s="10"/>
      <c r="O35" s="6"/>
      <c r="P35" s="6"/>
      <c r="Q35" s="10"/>
      <c r="R35" s="11"/>
      <c r="S35" s="16"/>
      <c r="T35" s="16"/>
      <c r="U35" s="11"/>
      <c r="V35" s="11"/>
      <c r="W35" s="11"/>
    </row>
    <row r="36" spans="1:23" s="13" customFormat="1" ht="30" x14ac:dyDescent="0.25">
      <c r="A36" s="3"/>
      <c r="B36" s="3"/>
      <c r="C36" s="10"/>
      <c r="D36" s="10"/>
      <c r="E36" s="10"/>
      <c r="F36" s="10" t="s">
        <v>50</v>
      </c>
      <c r="G36" s="10"/>
      <c r="H36" s="10"/>
      <c r="I36" s="18" t="s">
        <v>3455</v>
      </c>
      <c r="J36" s="6" t="s">
        <v>3456</v>
      </c>
      <c r="K36" s="8"/>
      <c r="L36" s="6"/>
      <c r="M36" s="10"/>
      <c r="N36" s="10"/>
      <c r="O36" s="6"/>
      <c r="P36" s="6"/>
      <c r="Q36" s="10"/>
      <c r="R36" s="11"/>
      <c r="S36" s="16"/>
      <c r="T36" s="16"/>
      <c r="U36" s="11"/>
      <c r="V36" s="11"/>
      <c r="W36" s="11"/>
    </row>
    <row r="37" spans="1:23" s="13" customFormat="1" ht="30" x14ac:dyDescent="0.25">
      <c r="A37" s="3"/>
      <c r="B37" s="3"/>
      <c r="C37" s="10"/>
      <c r="D37" s="10"/>
      <c r="E37" s="10"/>
      <c r="F37" s="10" t="s">
        <v>50</v>
      </c>
      <c r="G37" s="10"/>
      <c r="H37" s="10"/>
      <c r="I37" s="18" t="s">
        <v>3457</v>
      </c>
      <c r="J37" s="6" t="s">
        <v>3458</v>
      </c>
      <c r="K37" s="8"/>
      <c r="L37" s="6"/>
      <c r="M37" s="10"/>
      <c r="N37" s="10"/>
      <c r="O37" s="6"/>
      <c r="P37" s="6"/>
      <c r="Q37" s="10"/>
      <c r="R37" s="11"/>
      <c r="S37" s="16"/>
      <c r="T37" s="16"/>
      <c r="U37" s="11"/>
      <c r="V37" s="11"/>
      <c r="W37" s="11"/>
    </row>
    <row r="38" spans="1:23" s="13" customFormat="1" ht="30" x14ac:dyDescent="0.25">
      <c r="A38" s="3"/>
      <c r="B38" s="3"/>
      <c r="C38" s="10"/>
      <c r="D38" s="10"/>
      <c r="E38" s="10"/>
      <c r="F38" s="10" t="s">
        <v>50</v>
      </c>
      <c r="G38" s="10"/>
      <c r="H38" s="10"/>
      <c r="I38" s="18" t="s">
        <v>3459</v>
      </c>
      <c r="J38" s="6" t="s">
        <v>3460</v>
      </c>
      <c r="K38" s="8"/>
      <c r="L38" s="6"/>
      <c r="M38" s="10"/>
      <c r="N38" s="10"/>
      <c r="O38" s="6"/>
      <c r="P38" s="6"/>
      <c r="Q38" s="10"/>
      <c r="R38" s="11"/>
      <c r="S38" s="16"/>
      <c r="T38" s="16"/>
      <c r="U38" s="11"/>
      <c r="V38" s="11"/>
      <c r="W38" s="11"/>
    </row>
    <row r="39" spans="1:23" s="13" customFormat="1" x14ac:dyDescent="0.25">
      <c r="A39" s="3"/>
      <c r="B39" s="3"/>
      <c r="C39" s="10"/>
      <c r="D39" s="10"/>
      <c r="E39" s="10" t="s">
        <v>50</v>
      </c>
      <c r="F39" s="10"/>
      <c r="G39" s="10"/>
      <c r="H39" s="10"/>
      <c r="I39" s="924" t="s">
        <v>3461</v>
      </c>
      <c r="J39" s="6"/>
      <c r="K39" s="8"/>
      <c r="L39" s="6"/>
      <c r="M39" s="10"/>
      <c r="N39" s="10"/>
      <c r="O39" s="6"/>
      <c r="P39" s="6"/>
      <c r="Q39" s="10"/>
      <c r="R39" s="11"/>
      <c r="S39" s="16"/>
      <c r="T39" s="16"/>
      <c r="U39" s="11"/>
      <c r="V39" s="11"/>
      <c r="W39" s="11"/>
    </row>
    <row r="40" spans="1:23" s="13" customFormat="1" ht="30" x14ac:dyDescent="0.25">
      <c r="A40" s="3"/>
      <c r="B40" s="3"/>
      <c r="C40" s="10"/>
      <c r="D40" s="10"/>
      <c r="E40" s="10"/>
      <c r="F40" s="10" t="s">
        <v>50</v>
      </c>
      <c r="G40" s="10"/>
      <c r="H40" s="10"/>
      <c r="I40" s="18" t="s">
        <v>3462</v>
      </c>
      <c r="J40" s="6" t="s">
        <v>3463</v>
      </c>
      <c r="K40" s="8"/>
      <c r="L40" s="6"/>
      <c r="M40" s="10"/>
      <c r="N40" s="10"/>
      <c r="O40" s="6"/>
      <c r="P40" s="6"/>
      <c r="Q40" s="10"/>
      <c r="R40" s="11"/>
      <c r="S40" s="16"/>
      <c r="T40" s="16"/>
      <c r="U40" s="11"/>
      <c r="V40" s="11"/>
      <c r="W40" s="11"/>
    </row>
    <row r="41" spans="1:23" s="13" customFormat="1" ht="30" x14ac:dyDescent="0.25">
      <c r="A41" s="3"/>
      <c r="B41" s="3"/>
      <c r="C41" s="10"/>
      <c r="D41" s="10"/>
      <c r="E41" s="10"/>
      <c r="F41" s="10" t="s">
        <v>50</v>
      </c>
      <c r="G41" s="10"/>
      <c r="H41" s="10"/>
      <c r="I41" s="18" t="s">
        <v>3464</v>
      </c>
      <c r="J41" s="6" t="s">
        <v>3465</v>
      </c>
      <c r="K41" s="8"/>
      <c r="L41" s="6"/>
      <c r="M41" s="10"/>
      <c r="N41" s="10"/>
      <c r="O41" s="6"/>
      <c r="P41" s="6"/>
      <c r="Q41" s="10"/>
      <c r="R41" s="11"/>
      <c r="S41" s="16"/>
      <c r="T41" s="16"/>
      <c r="U41" s="11"/>
      <c r="V41" s="11"/>
      <c r="W41" s="11"/>
    </row>
    <row r="42" spans="1:23" s="13" customFormat="1" x14ac:dyDescent="0.25">
      <c r="A42" s="3"/>
      <c r="B42" s="3"/>
      <c r="C42" s="10"/>
      <c r="D42" s="10"/>
      <c r="E42" s="10" t="s">
        <v>50</v>
      </c>
      <c r="F42" s="10"/>
      <c r="G42" s="10"/>
      <c r="H42" s="10"/>
      <c r="I42" s="924" t="s">
        <v>3466</v>
      </c>
      <c r="J42" s="6"/>
      <c r="K42" s="8"/>
      <c r="L42" s="6"/>
      <c r="M42" s="10"/>
      <c r="N42" s="10"/>
      <c r="O42" s="6"/>
      <c r="P42" s="6"/>
      <c r="Q42" s="10"/>
      <c r="R42" s="11"/>
      <c r="S42" s="16"/>
      <c r="T42" s="16"/>
      <c r="U42" s="11"/>
      <c r="V42" s="11"/>
      <c r="W42" s="11"/>
    </row>
    <row r="43" spans="1:23" s="13" customFormat="1" ht="30" x14ac:dyDescent="0.25">
      <c r="A43" s="3"/>
      <c r="B43" s="3"/>
      <c r="C43" s="10"/>
      <c r="D43" s="10"/>
      <c r="E43" s="10"/>
      <c r="F43" s="10" t="s">
        <v>50</v>
      </c>
      <c r="G43" s="10"/>
      <c r="H43" s="10"/>
      <c r="I43" s="18" t="s">
        <v>3467</v>
      </c>
      <c r="J43" s="6" t="s">
        <v>3468</v>
      </c>
      <c r="K43" s="8"/>
      <c r="L43" s="6"/>
      <c r="M43" s="10"/>
      <c r="N43" s="10"/>
      <c r="O43" s="6"/>
      <c r="P43" s="6"/>
      <c r="Q43" s="10"/>
      <c r="R43" s="11"/>
      <c r="S43" s="16"/>
      <c r="T43" s="16"/>
      <c r="U43" s="11"/>
      <c r="V43" s="11"/>
      <c r="W43" s="11"/>
    </row>
    <row r="44" spans="1:23" s="13" customFormat="1" ht="45" x14ac:dyDescent="0.25">
      <c r="A44" s="3"/>
      <c r="B44" s="3"/>
      <c r="C44" s="10"/>
      <c r="D44" s="10"/>
      <c r="E44" s="10"/>
      <c r="F44" s="10" t="s">
        <v>50</v>
      </c>
      <c r="G44" s="10"/>
      <c r="H44" s="10"/>
      <c r="I44" s="18" t="s">
        <v>3469</v>
      </c>
      <c r="J44" s="6" t="s">
        <v>3470</v>
      </c>
      <c r="K44" s="8"/>
      <c r="L44" s="6"/>
      <c r="M44" s="10"/>
      <c r="N44" s="10"/>
      <c r="O44" s="6"/>
      <c r="P44" s="6"/>
      <c r="Q44" s="10"/>
      <c r="R44" s="11"/>
      <c r="S44" s="16"/>
      <c r="T44" s="16"/>
      <c r="U44" s="11"/>
      <c r="V44" s="11"/>
      <c r="W44" s="11"/>
    </row>
    <row r="45" spans="1:23" s="13" customFormat="1" ht="30" x14ac:dyDescent="0.25">
      <c r="A45" s="3"/>
      <c r="B45" s="3"/>
      <c r="C45" s="10"/>
      <c r="D45" s="10" t="s">
        <v>50</v>
      </c>
      <c r="E45" s="10"/>
      <c r="F45" s="10"/>
      <c r="G45" s="10"/>
      <c r="H45" s="10"/>
      <c r="I45" s="923" t="s">
        <v>3471</v>
      </c>
      <c r="J45" s="6" t="s">
        <v>3472</v>
      </c>
      <c r="K45" s="8"/>
      <c r="L45" s="6"/>
      <c r="M45" s="10"/>
      <c r="N45" s="10"/>
      <c r="O45" s="6"/>
      <c r="P45" s="6"/>
      <c r="Q45" s="10"/>
      <c r="R45" s="11"/>
      <c r="S45" s="16"/>
      <c r="T45" s="16"/>
      <c r="U45" s="11"/>
      <c r="V45" s="11"/>
      <c r="W45" s="11"/>
    </row>
    <row r="46" spans="1:23" s="13" customFormat="1" x14ac:dyDescent="0.25">
      <c r="A46" s="3"/>
      <c r="B46" s="3"/>
      <c r="C46" s="10"/>
      <c r="D46" s="10"/>
      <c r="E46" s="10" t="s">
        <v>50</v>
      </c>
      <c r="F46" s="10"/>
      <c r="G46" s="10"/>
      <c r="H46" s="10"/>
      <c r="I46" s="924" t="s">
        <v>3473</v>
      </c>
      <c r="J46" s="6"/>
      <c r="K46" s="8"/>
      <c r="L46" s="6"/>
      <c r="M46" s="10"/>
      <c r="N46" s="10"/>
      <c r="O46" s="6"/>
      <c r="P46" s="6"/>
      <c r="Q46" s="10"/>
      <c r="R46" s="11"/>
      <c r="S46" s="16"/>
      <c r="T46" s="16"/>
      <c r="U46" s="11"/>
      <c r="V46" s="11"/>
      <c r="W46" s="11"/>
    </row>
    <row r="47" spans="1:23" s="13" customFormat="1" ht="30" x14ac:dyDescent="0.25">
      <c r="A47" s="3"/>
      <c r="B47" s="3"/>
      <c r="C47" s="10"/>
      <c r="D47" s="10"/>
      <c r="E47" s="10"/>
      <c r="F47" s="10" t="s">
        <v>50</v>
      </c>
      <c r="G47" s="10"/>
      <c r="H47" s="10"/>
      <c r="I47" s="18" t="s">
        <v>3474</v>
      </c>
      <c r="J47" s="6" t="s">
        <v>3475</v>
      </c>
      <c r="K47" s="8"/>
      <c r="L47" s="6"/>
      <c r="M47" s="10"/>
      <c r="N47" s="10"/>
      <c r="O47" s="6"/>
      <c r="P47" s="6"/>
      <c r="Q47" s="10"/>
      <c r="R47" s="11"/>
      <c r="S47" s="16"/>
      <c r="T47" s="16"/>
      <c r="U47" s="11"/>
      <c r="V47" s="11"/>
      <c r="W47" s="11"/>
    </row>
    <row r="48" spans="1:23" s="13" customFormat="1" ht="30" x14ac:dyDescent="0.25">
      <c r="A48" s="3"/>
      <c r="B48" s="3"/>
      <c r="C48" s="10"/>
      <c r="D48" s="10"/>
      <c r="E48" s="10"/>
      <c r="F48" s="10" t="s">
        <v>50</v>
      </c>
      <c r="G48" s="10"/>
      <c r="H48" s="10"/>
      <c r="I48" s="18" t="s">
        <v>3476</v>
      </c>
      <c r="J48" s="6" t="s">
        <v>3477</v>
      </c>
      <c r="K48" s="8"/>
      <c r="L48" s="6"/>
      <c r="M48" s="10"/>
      <c r="N48" s="10"/>
      <c r="O48" s="6"/>
      <c r="P48" s="6"/>
      <c r="Q48" s="10"/>
      <c r="R48" s="11"/>
      <c r="S48" s="16"/>
      <c r="T48" s="16"/>
      <c r="U48" s="11"/>
      <c r="V48" s="11"/>
      <c r="W48" s="11"/>
    </row>
    <row r="49" spans="1:23" s="13" customFormat="1" ht="30" x14ac:dyDescent="0.25">
      <c r="A49" s="3"/>
      <c r="B49" s="3"/>
      <c r="C49" s="10"/>
      <c r="D49" s="10"/>
      <c r="E49" s="10"/>
      <c r="F49" s="10" t="s">
        <v>50</v>
      </c>
      <c r="G49" s="10"/>
      <c r="H49" s="10"/>
      <c r="I49" s="18" t="s">
        <v>3478</v>
      </c>
      <c r="J49" s="6"/>
      <c r="K49" s="8"/>
      <c r="L49" s="6"/>
      <c r="M49" s="10"/>
      <c r="N49" s="10"/>
      <c r="O49" s="6"/>
      <c r="P49" s="6"/>
      <c r="Q49" s="10"/>
      <c r="R49" s="11"/>
      <c r="S49" s="16"/>
      <c r="T49" s="16"/>
      <c r="U49" s="11"/>
      <c r="V49" s="11"/>
      <c r="W49" s="11"/>
    </row>
    <row r="50" spans="1:23" s="13" customFormat="1" x14ac:dyDescent="0.25">
      <c r="A50" s="3"/>
      <c r="B50" s="3"/>
      <c r="C50" s="10"/>
      <c r="D50" s="10"/>
      <c r="E50" s="10" t="s">
        <v>50</v>
      </c>
      <c r="F50" s="10"/>
      <c r="G50" s="10"/>
      <c r="H50" s="10"/>
      <c r="I50" s="924" t="s">
        <v>3479</v>
      </c>
      <c r="J50" s="6"/>
      <c r="K50" s="8"/>
      <c r="L50" s="6"/>
      <c r="M50" s="10"/>
      <c r="N50" s="10"/>
      <c r="O50" s="6"/>
      <c r="P50" s="6"/>
      <c r="Q50" s="10"/>
      <c r="R50" s="11"/>
      <c r="S50" s="16"/>
      <c r="T50" s="16"/>
      <c r="U50" s="11"/>
      <c r="V50" s="11"/>
      <c r="W50" s="11"/>
    </row>
    <row r="51" spans="1:23" s="13" customFormat="1" ht="45" x14ac:dyDescent="0.25">
      <c r="A51" s="3"/>
      <c r="B51" s="3"/>
      <c r="C51" s="10"/>
      <c r="D51" s="10"/>
      <c r="E51" s="10"/>
      <c r="F51" s="10" t="s">
        <v>50</v>
      </c>
      <c r="G51" s="10"/>
      <c r="H51" s="10"/>
      <c r="I51" s="18" t="s">
        <v>3480</v>
      </c>
      <c r="J51" s="6" t="s">
        <v>3481</v>
      </c>
      <c r="K51" s="8"/>
      <c r="L51" s="6"/>
      <c r="M51" s="10"/>
      <c r="N51" s="10"/>
      <c r="O51" s="6"/>
      <c r="P51" s="6"/>
      <c r="Q51" s="10"/>
      <c r="R51" s="11"/>
      <c r="S51" s="16"/>
      <c r="T51" s="16"/>
      <c r="U51" s="11"/>
      <c r="V51" s="11"/>
      <c r="W51" s="11"/>
    </row>
    <row r="52" spans="1:23" s="13" customFormat="1" ht="45" x14ac:dyDescent="0.25">
      <c r="A52" s="3"/>
      <c r="B52" s="3"/>
      <c r="C52" s="10"/>
      <c r="D52" s="10"/>
      <c r="E52" s="10"/>
      <c r="F52" s="10" t="s">
        <v>50</v>
      </c>
      <c r="G52" s="10"/>
      <c r="H52" s="10"/>
      <c r="I52" s="18" t="s">
        <v>3482</v>
      </c>
      <c r="J52" s="6" t="s">
        <v>3483</v>
      </c>
      <c r="K52" s="8"/>
      <c r="L52" s="6"/>
      <c r="M52" s="10"/>
      <c r="N52" s="10"/>
      <c r="O52" s="6"/>
      <c r="P52" s="6"/>
      <c r="Q52" s="10"/>
      <c r="R52" s="11"/>
      <c r="S52" s="16"/>
      <c r="T52" s="16"/>
      <c r="U52" s="11"/>
      <c r="V52" s="11"/>
      <c r="W52" s="11"/>
    </row>
    <row r="53" spans="1:23" s="13" customFormat="1" ht="45" x14ac:dyDescent="0.25">
      <c r="A53" s="3"/>
      <c r="B53" s="3"/>
      <c r="C53" s="10"/>
      <c r="D53" s="10"/>
      <c r="E53" s="10"/>
      <c r="F53" s="10" t="s">
        <v>50</v>
      </c>
      <c r="G53" s="10"/>
      <c r="H53" s="10"/>
      <c r="I53" s="18" t="s">
        <v>3484</v>
      </c>
      <c r="J53" s="6" t="s">
        <v>3485</v>
      </c>
      <c r="K53" s="8"/>
      <c r="L53" s="6"/>
      <c r="M53" s="10"/>
      <c r="N53" s="10"/>
      <c r="O53" s="6"/>
      <c r="P53" s="6"/>
      <c r="Q53" s="10"/>
      <c r="R53" s="11"/>
      <c r="S53" s="16"/>
      <c r="T53" s="16"/>
      <c r="U53" s="11"/>
      <c r="V53" s="11"/>
      <c r="W53" s="11"/>
    </row>
    <row r="54" spans="1:23" s="13" customFormat="1" ht="30" x14ac:dyDescent="0.25">
      <c r="A54" s="3"/>
      <c r="B54" s="3"/>
      <c r="C54" s="10"/>
      <c r="D54" s="10" t="s">
        <v>50</v>
      </c>
      <c r="E54" s="10"/>
      <c r="F54" s="10"/>
      <c r="G54" s="10"/>
      <c r="H54" s="10"/>
      <c r="I54" s="923" t="s">
        <v>3486</v>
      </c>
      <c r="J54" s="6" t="s">
        <v>3487</v>
      </c>
      <c r="K54" s="8"/>
      <c r="L54" s="6"/>
      <c r="M54" s="10"/>
      <c r="N54" s="10"/>
      <c r="O54" s="6"/>
      <c r="P54" s="6"/>
      <c r="Q54" s="10"/>
      <c r="R54" s="11"/>
      <c r="S54" s="16"/>
      <c r="T54" s="16"/>
      <c r="U54" s="11"/>
      <c r="V54" s="11"/>
      <c r="W54" s="11"/>
    </row>
    <row r="55" spans="1:23" s="13" customFormat="1" ht="45" x14ac:dyDescent="0.25">
      <c r="A55" s="3"/>
      <c r="B55" s="3"/>
      <c r="C55" s="10"/>
      <c r="D55" s="10"/>
      <c r="E55" s="10" t="s">
        <v>50</v>
      </c>
      <c r="F55" s="10"/>
      <c r="G55" s="10"/>
      <c r="H55" s="10"/>
      <c r="I55" s="924" t="s">
        <v>3488</v>
      </c>
      <c r="J55" s="6" t="s">
        <v>3489</v>
      </c>
      <c r="K55" s="8"/>
      <c r="L55" s="6"/>
      <c r="M55" s="10"/>
      <c r="N55" s="10"/>
      <c r="O55" s="6"/>
      <c r="P55" s="6"/>
      <c r="Q55" s="10"/>
      <c r="R55" s="11"/>
      <c r="S55" s="16"/>
      <c r="T55" s="16"/>
      <c r="U55" s="11"/>
      <c r="V55" s="11"/>
      <c r="W55" s="11"/>
    </row>
    <row r="56" spans="1:23" s="13" customFormat="1" ht="45" x14ac:dyDescent="0.25">
      <c r="A56" s="3"/>
      <c r="B56" s="3"/>
      <c r="C56" s="10"/>
      <c r="D56" s="10"/>
      <c r="E56" s="10" t="s">
        <v>50</v>
      </c>
      <c r="F56" s="10"/>
      <c r="G56" s="10"/>
      <c r="H56" s="10"/>
      <c r="I56" s="924" t="s">
        <v>3490</v>
      </c>
      <c r="J56" s="6" t="s">
        <v>3491</v>
      </c>
      <c r="K56" s="8"/>
      <c r="L56" s="6"/>
      <c r="M56" s="10"/>
      <c r="N56" s="10"/>
      <c r="O56" s="6"/>
      <c r="P56" s="6"/>
      <c r="Q56" s="10"/>
      <c r="R56" s="11"/>
      <c r="S56" s="16"/>
      <c r="T56" s="16"/>
      <c r="U56" s="11"/>
      <c r="V56" s="11"/>
      <c r="W56" s="11"/>
    </row>
    <row r="57" spans="1:23" s="13" customFormat="1" ht="45" x14ac:dyDescent="0.25">
      <c r="A57" s="3"/>
      <c r="B57" s="3"/>
      <c r="C57" s="10"/>
      <c r="D57" s="10"/>
      <c r="E57" s="10" t="s">
        <v>50</v>
      </c>
      <c r="F57" s="10"/>
      <c r="G57" s="10"/>
      <c r="H57" s="10"/>
      <c r="I57" s="924" t="s">
        <v>3492</v>
      </c>
      <c r="J57" s="6" t="s">
        <v>3493</v>
      </c>
      <c r="K57" s="8"/>
      <c r="L57" s="6"/>
      <c r="M57" s="10"/>
      <c r="N57" s="10"/>
      <c r="O57" s="6"/>
      <c r="P57" s="6"/>
      <c r="Q57" s="10"/>
      <c r="R57" s="11"/>
      <c r="S57" s="16"/>
      <c r="T57" s="16"/>
      <c r="U57" s="11"/>
      <c r="V57" s="11"/>
      <c r="W57" s="11"/>
    </row>
    <row r="58" spans="1:23" s="13" customFormat="1" ht="45" x14ac:dyDescent="0.25">
      <c r="A58" s="3"/>
      <c r="B58" s="3"/>
      <c r="C58" s="10"/>
      <c r="D58" s="10"/>
      <c r="E58" s="10" t="s">
        <v>50</v>
      </c>
      <c r="F58" s="10"/>
      <c r="G58" s="10"/>
      <c r="H58" s="10"/>
      <c r="I58" s="924" t="s">
        <v>3494</v>
      </c>
      <c r="J58" s="6" t="s">
        <v>3495</v>
      </c>
      <c r="K58" s="8"/>
      <c r="L58" s="6"/>
      <c r="M58" s="10"/>
      <c r="N58" s="10"/>
      <c r="O58" s="6"/>
      <c r="P58" s="6"/>
      <c r="Q58" s="10"/>
      <c r="R58" s="11"/>
      <c r="S58" s="16"/>
      <c r="T58" s="16"/>
      <c r="U58" s="11"/>
      <c r="V58" s="11"/>
      <c r="W58" s="11"/>
    </row>
    <row r="59" spans="1:23" s="13" customFormat="1" ht="45" x14ac:dyDescent="0.25">
      <c r="A59" s="3"/>
      <c r="B59" s="3"/>
      <c r="C59" s="10"/>
      <c r="D59" s="10"/>
      <c r="E59" s="10" t="s">
        <v>50</v>
      </c>
      <c r="F59" s="10"/>
      <c r="G59" s="10"/>
      <c r="H59" s="10"/>
      <c r="I59" s="924" t="s">
        <v>3496</v>
      </c>
      <c r="J59" s="6" t="s">
        <v>3497</v>
      </c>
      <c r="K59" s="8"/>
      <c r="L59" s="6"/>
      <c r="M59" s="10"/>
      <c r="N59" s="10"/>
      <c r="O59" s="6"/>
      <c r="P59" s="6"/>
      <c r="Q59" s="10"/>
      <c r="R59" s="11"/>
      <c r="S59" s="16"/>
      <c r="T59" s="16"/>
      <c r="U59" s="11"/>
      <c r="V59" s="11"/>
      <c r="W59" s="11"/>
    </row>
    <row r="60" spans="1:23" s="13" customFormat="1" ht="45" x14ac:dyDescent="0.25">
      <c r="A60" s="3"/>
      <c r="B60" s="3"/>
      <c r="C60" s="10"/>
      <c r="D60" s="10"/>
      <c r="E60" s="10" t="s">
        <v>50</v>
      </c>
      <c r="F60" s="10"/>
      <c r="G60" s="10"/>
      <c r="H60" s="10"/>
      <c r="I60" s="924" t="s">
        <v>3498</v>
      </c>
      <c r="J60" s="6" t="s">
        <v>3499</v>
      </c>
      <c r="K60" s="8"/>
      <c r="L60" s="6"/>
      <c r="M60" s="10"/>
      <c r="N60" s="10"/>
      <c r="O60" s="6"/>
      <c r="P60" s="6"/>
      <c r="Q60" s="10"/>
      <c r="R60" s="11"/>
      <c r="S60" s="16"/>
      <c r="T60" s="16"/>
      <c r="U60" s="11"/>
      <c r="V60" s="11"/>
      <c r="W60" s="11"/>
    </row>
    <row r="61" spans="1:23" s="13" customFormat="1" ht="30" x14ac:dyDescent="0.25">
      <c r="A61" s="3"/>
      <c r="B61" s="3"/>
      <c r="C61" s="10"/>
      <c r="D61" s="10" t="s">
        <v>50</v>
      </c>
      <c r="E61" s="10"/>
      <c r="F61" s="10"/>
      <c r="G61" s="10"/>
      <c r="H61" s="10"/>
      <c r="I61" s="923" t="s">
        <v>3500</v>
      </c>
      <c r="J61" s="6" t="s">
        <v>3501</v>
      </c>
      <c r="K61" s="8"/>
      <c r="L61" s="6"/>
      <c r="M61" s="10"/>
      <c r="N61" s="10"/>
      <c r="O61" s="6"/>
      <c r="P61" s="6"/>
      <c r="Q61" s="10"/>
      <c r="R61" s="11"/>
      <c r="S61" s="16"/>
      <c r="T61" s="16"/>
      <c r="U61" s="11"/>
      <c r="V61" s="11"/>
      <c r="W61" s="11"/>
    </row>
    <row r="62" spans="1:23" s="13" customFormat="1" ht="60" x14ac:dyDescent="0.25">
      <c r="A62" s="3"/>
      <c r="B62" s="3"/>
      <c r="C62" s="10"/>
      <c r="D62" s="10"/>
      <c r="E62" s="10" t="s">
        <v>50</v>
      </c>
      <c r="F62" s="10"/>
      <c r="G62" s="10"/>
      <c r="H62" s="10"/>
      <c r="I62" s="924" t="s">
        <v>3502</v>
      </c>
      <c r="J62" s="6" t="s">
        <v>3503</v>
      </c>
      <c r="K62" s="8"/>
      <c r="L62" s="6"/>
      <c r="M62" s="10"/>
      <c r="N62" s="10"/>
      <c r="O62" s="6"/>
      <c r="P62" s="6"/>
      <c r="Q62" s="10"/>
      <c r="R62" s="11"/>
      <c r="S62" s="16"/>
      <c r="T62" s="16"/>
      <c r="U62" s="11"/>
      <c r="V62" s="11"/>
      <c r="W62" s="11"/>
    </row>
    <row r="63" spans="1:23" s="13" customFormat="1" ht="60" x14ac:dyDescent="0.25">
      <c r="A63" s="3"/>
      <c r="B63" s="3"/>
      <c r="C63" s="10"/>
      <c r="D63" s="10"/>
      <c r="E63" s="10" t="s">
        <v>50</v>
      </c>
      <c r="F63" s="10"/>
      <c r="G63" s="10"/>
      <c r="H63" s="10"/>
      <c r="I63" s="924" t="s">
        <v>3504</v>
      </c>
      <c r="J63" s="6" t="s">
        <v>3505</v>
      </c>
      <c r="K63" s="8"/>
      <c r="L63" s="6"/>
      <c r="M63" s="10"/>
      <c r="N63" s="10"/>
      <c r="O63" s="6"/>
      <c r="P63" s="6"/>
      <c r="Q63" s="10"/>
      <c r="R63" s="11"/>
      <c r="S63" s="16"/>
      <c r="T63" s="16"/>
      <c r="U63" s="11"/>
      <c r="V63" s="11"/>
      <c r="W63" s="11"/>
    </row>
    <row r="64" spans="1:23" s="13" customFormat="1" ht="60" x14ac:dyDescent="0.25">
      <c r="A64" s="3"/>
      <c r="B64" s="3"/>
      <c r="C64" s="10"/>
      <c r="D64" s="10"/>
      <c r="E64" s="10" t="s">
        <v>50</v>
      </c>
      <c r="F64" s="10"/>
      <c r="G64" s="10"/>
      <c r="H64" s="10"/>
      <c r="I64" s="924" t="s">
        <v>815</v>
      </c>
      <c r="J64" s="6" t="s">
        <v>3506</v>
      </c>
      <c r="K64" s="8"/>
      <c r="L64" s="6"/>
      <c r="M64" s="10"/>
      <c r="N64" s="10"/>
      <c r="O64" s="6"/>
      <c r="P64" s="6"/>
      <c r="Q64" s="10"/>
      <c r="R64" s="11"/>
      <c r="S64" s="16"/>
      <c r="T64" s="16"/>
      <c r="U64" s="11"/>
      <c r="V64" s="11"/>
      <c r="W64" s="11"/>
    </row>
    <row r="65" spans="1:23" s="13" customFormat="1" ht="75" x14ac:dyDescent="0.25">
      <c r="A65" s="3"/>
      <c r="B65" s="3"/>
      <c r="C65" s="10"/>
      <c r="D65" s="10"/>
      <c r="E65" s="10" t="s">
        <v>50</v>
      </c>
      <c r="F65" s="10"/>
      <c r="G65" s="10"/>
      <c r="H65" s="10"/>
      <c r="I65" s="924" t="s">
        <v>3507</v>
      </c>
      <c r="J65" s="6" t="s">
        <v>3508</v>
      </c>
      <c r="K65" s="8"/>
      <c r="L65" s="6"/>
      <c r="M65" s="10"/>
      <c r="N65" s="10"/>
      <c r="O65" s="6"/>
      <c r="P65" s="6"/>
      <c r="Q65" s="10"/>
      <c r="R65" s="11"/>
      <c r="S65" s="16"/>
      <c r="T65" s="16"/>
      <c r="U65" s="11"/>
      <c r="V65" s="11"/>
      <c r="W65" s="11"/>
    </row>
    <row r="66" spans="1:23" s="13" customFormat="1" ht="60" x14ac:dyDescent="0.25">
      <c r="A66" s="3"/>
      <c r="B66" s="3"/>
      <c r="C66" s="10"/>
      <c r="D66" s="10"/>
      <c r="E66" s="10" t="s">
        <v>50</v>
      </c>
      <c r="F66" s="10"/>
      <c r="G66" s="10"/>
      <c r="H66" s="10"/>
      <c r="I66" s="924" t="s">
        <v>3509</v>
      </c>
      <c r="J66" s="6" t="s">
        <v>3510</v>
      </c>
      <c r="K66" s="8"/>
      <c r="L66" s="6"/>
      <c r="M66" s="10"/>
      <c r="N66" s="10"/>
      <c r="O66" s="6"/>
      <c r="P66" s="6"/>
      <c r="Q66" s="10"/>
      <c r="R66" s="11"/>
      <c r="S66" s="16"/>
      <c r="T66" s="16"/>
      <c r="U66" s="11"/>
      <c r="V66" s="11"/>
      <c r="W66" s="11"/>
    </row>
    <row r="67" spans="1:23" x14ac:dyDescent="0.25">
      <c r="A67" s="3"/>
      <c r="B67" s="3"/>
      <c r="C67" s="10" t="s">
        <v>50</v>
      </c>
      <c r="D67" s="10"/>
      <c r="E67" s="10"/>
      <c r="F67" s="10"/>
      <c r="G67" s="10"/>
      <c r="H67" s="10"/>
      <c r="I67" s="17" t="s">
        <v>1381</v>
      </c>
      <c r="J67" s="6"/>
      <c r="K67" s="8"/>
      <c r="L67" s="6"/>
      <c r="M67" s="6"/>
      <c r="N67" s="6"/>
      <c r="O67" s="6"/>
      <c r="P67" s="6"/>
      <c r="Q67" s="6"/>
      <c r="R67" s="6"/>
      <c r="S67" s="16"/>
      <c r="T67" s="16"/>
      <c r="U67" s="6"/>
      <c r="V67" s="6"/>
      <c r="W67" s="6"/>
    </row>
    <row r="68" spans="1:23" ht="30" x14ac:dyDescent="0.25">
      <c r="A68" s="3"/>
      <c r="B68" s="3"/>
      <c r="C68" s="10"/>
      <c r="D68" s="10" t="s">
        <v>50</v>
      </c>
      <c r="E68" s="10"/>
      <c r="F68" s="10"/>
      <c r="G68" s="10"/>
      <c r="H68" s="10"/>
      <c r="I68" s="923" t="s">
        <v>3511</v>
      </c>
      <c r="J68" s="6" t="s">
        <v>3512</v>
      </c>
      <c r="K68" s="8"/>
      <c r="L68" s="6"/>
      <c r="M68" s="6"/>
      <c r="N68" s="6"/>
      <c r="O68" s="6"/>
      <c r="P68" s="6"/>
      <c r="Q68" s="6"/>
      <c r="R68" s="6"/>
      <c r="S68" s="16"/>
      <c r="T68" s="16"/>
      <c r="U68" s="6"/>
      <c r="V68" s="6"/>
      <c r="W68" s="6"/>
    </row>
    <row r="69" spans="1:23" ht="60" x14ac:dyDescent="0.25">
      <c r="A69" s="3"/>
      <c r="B69" s="3"/>
      <c r="C69" s="10"/>
      <c r="D69" s="10"/>
      <c r="E69" s="10" t="s">
        <v>50</v>
      </c>
      <c r="F69" s="10"/>
      <c r="G69" s="10"/>
      <c r="H69" s="10"/>
      <c r="I69" s="924" t="s">
        <v>3513</v>
      </c>
      <c r="J69" s="6" t="s">
        <v>3514</v>
      </c>
      <c r="K69" s="8"/>
      <c r="L69" s="6"/>
      <c r="M69" s="6"/>
      <c r="N69" s="6"/>
      <c r="O69" s="6"/>
      <c r="P69" s="6"/>
      <c r="Q69" s="6"/>
      <c r="R69" s="6"/>
      <c r="S69" s="16"/>
      <c r="T69" s="16"/>
      <c r="U69" s="6"/>
      <c r="V69" s="6"/>
      <c r="W69" s="6"/>
    </row>
    <row r="70" spans="1:23" ht="45" x14ac:dyDescent="0.25">
      <c r="A70" s="3"/>
      <c r="B70" s="3"/>
      <c r="C70" s="10"/>
      <c r="D70" s="10"/>
      <c r="E70" s="10" t="s">
        <v>50</v>
      </c>
      <c r="F70" s="10"/>
      <c r="G70" s="10"/>
      <c r="H70" s="10"/>
      <c r="I70" s="924" t="s">
        <v>3515</v>
      </c>
      <c r="J70" s="6" t="s">
        <v>3516</v>
      </c>
      <c r="K70" s="8"/>
      <c r="L70" s="6"/>
      <c r="M70" s="6"/>
      <c r="N70" s="6"/>
      <c r="O70" s="6"/>
      <c r="P70" s="6"/>
      <c r="Q70" s="6"/>
      <c r="R70" s="6"/>
      <c r="S70" s="16"/>
      <c r="T70" s="16"/>
      <c r="U70" s="6"/>
      <c r="V70" s="6"/>
      <c r="W70" s="6"/>
    </row>
    <row r="71" spans="1:23" ht="45" x14ac:dyDescent="0.25">
      <c r="A71" s="3"/>
      <c r="B71" s="3"/>
      <c r="C71" s="10"/>
      <c r="D71" s="10"/>
      <c r="E71" s="10" t="s">
        <v>50</v>
      </c>
      <c r="F71" s="10"/>
      <c r="G71" s="10"/>
      <c r="H71" s="10"/>
      <c r="I71" s="924" t="s">
        <v>3517</v>
      </c>
      <c r="J71" s="6" t="s">
        <v>3518</v>
      </c>
      <c r="K71" s="8"/>
      <c r="L71" s="6"/>
      <c r="M71" s="6"/>
      <c r="N71" s="6"/>
      <c r="O71" s="6"/>
      <c r="P71" s="6"/>
      <c r="Q71" s="6"/>
      <c r="R71" s="6"/>
      <c r="S71" s="16"/>
      <c r="T71" s="16"/>
      <c r="U71" s="6"/>
      <c r="V71" s="6"/>
      <c r="W71" s="6"/>
    </row>
    <row r="72" spans="1:23" ht="60" x14ac:dyDescent="0.25">
      <c r="A72" s="3"/>
      <c r="B72" s="3"/>
      <c r="C72" s="10"/>
      <c r="D72" s="10"/>
      <c r="E72" s="10" t="s">
        <v>50</v>
      </c>
      <c r="F72" s="10"/>
      <c r="G72" s="10"/>
      <c r="H72" s="10"/>
      <c r="I72" s="924" t="s">
        <v>3519</v>
      </c>
      <c r="J72" s="6" t="s">
        <v>3520</v>
      </c>
      <c r="K72" s="8"/>
      <c r="L72" s="6"/>
      <c r="M72" s="6"/>
      <c r="N72" s="6"/>
      <c r="O72" s="6"/>
      <c r="P72" s="6"/>
      <c r="Q72" s="6"/>
      <c r="R72" s="6"/>
      <c r="S72" s="16"/>
      <c r="T72" s="16"/>
      <c r="U72" s="6"/>
      <c r="V72" s="6"/>
      <c r="W72" s="6"/>
    </row>
    <row r="73" spans="1:23" ht="45" x14ac:dyDescent="0.25">
      <c r="A73" s="3"/>
      <c r="B73" s="3"/>
      <c r="C73" s="10"/>
      <c r="D73" s="10"/>
      <c r="E73" s="10" t="s">
        <v>50</v>
      </c>
      <c r="F73" s="10"/>
      <c r="G73" s="10"/>
      <c r="H73" s="10"/>
      <c r="I73" s="924" t="s">
        <v>3521</v>
      </c>
      <c r="J73" s="6" t="s">
        <v>3522</v>
      </c>
      <c r="K73" s="8"/>
      <c r="L73" s="6"/>
      <c r="M73" s="6"/>
      <c r="N73" s="6"/>
      <c r="O73" s="6"/>
      <c r="P73" s="6"/>
      <c r="Q73" s="6"/>
      <c r="R73" s="6"/>
      <c r="S73" s="16"/>
      <c r="T73" s="16"/>
      <c r="U73" s="6"/>
      <c r="V73" s="6"/>
      <c r="W73" s="6"/>
    </row>
    <row r="74" spans="1:23" ht="60" x14ac:dyDescent="0.25">
      <c r="A74" s="3"/>
      <c r="B74" s="3"/>
      <c r="C74" s="10"/>
      <c r="D74" s="10"/>
      <c r="E74" s="10" t="s">
        <v>50</v>
      </c>
      <c r="F74" s="10"/>
      <c r="G74" s="10"/>
      <c r="H74" s="10"/>
      <c r="I74" s="924" t="s">
        <v>3523</v>
      </c>
      <c r="J74" s="6" t="s">
        <v>3524</v>
      </c>
      <c r="K74" s="8"/>
      <c r="L74" s="6"/>
      <c r="M74" s="6"/>
      <c r="N74" s="6"/>
      <c r="O74" s="6"/>
      <c r="P74" s="6"/>
      <c r="Q74" s="6"/>
      <c r="R74" s="6"/>
      <c r="S74" s="16"/>
      <c r="T74" s="16"/>
      <c r="U74" s="6"/>
      <c r="V74" s="6"/>
      <c r="W74" s="6"/>
    </row>
    <row r="75" spans="1:23" ht="60" x14ac:dyDescent="0.25">
      <c r="A75" s="3"/>
      <c r="B75" s="3"/>
      <c r="C75" s="10"/>
      <c r="D75" s="10"/>
      <c r="E75" s="10" t="s">
        <v>50</v>
      </c>
      <c r="F75" s="10"/>
      <c r="G75" s="10"/>
      <c r="H75" s="10"/>
      <c r="I75" s="924" t="s">
        <v>3525</v>
      </c>
      <c r="J75" s="6" t="s">
        <v>3526</v>
      </c>
      <c r="K75" s="8"/>
      <c r="L75" s="6"/>
      <c r="M75" s="6"/>
      <c r="N75" s="6"/>
      <c r="O75" s="6"/>
      <c r="P75" s="6"/>
      <c r="Q75" s="6"/>
      <c r="R75" s="6"/>
      <c r="S75" s="16"/>
      <c r="T75" s="16"/>
      <c r="U75" s="6"/>
      <c r="V75" s="6"/>
      <c r="W75" s="6"/>
    </row>
    <row r="76" spans="1:23" ht="30" x14ac:dyDescent="0.25">
      <c r="A76" s="3"/>
      <c r="B76" s="3"/>
      <c r="C76" s="10"/>
      <c r="D76" s="10" t="s">
        <v>50</v>
      </c>
      <c r="E76" s="10"/>
      <c r="F76" s="10"/>
      <c r="G76" s="10"/>
      <c r="H76" s="10"/>
      <c r="I76" s="923" t="s">
        <v>3527</v>
      </c>
      <c r="J76" s="6" t="s">
        <v>3528</v>
      </c>
      <c r="K76" s="8"/>
      <c r="L76" s="6"/>
      <c r="M76" s="6"/>
      <c r="N76" s="6"/>
      <c r="O76" s="6"/>
      <c r="P76" s="6"/>
      <c r="Q76" s="6"/>
      <c r="R76" s="6"/>
      <c r="S76" s="16"/>
      <c r="T76" s="16"/>
      <c r="U76" s="6"/>
      <c r="V76" s="6"/>
      <c r="W76" s="6"/>
    </row>
    <row r="77" spans="1:23" x14ac:dyDescent="0.25">
      <c r="A77" s="3"/>
      <c r="B77" s="3"/>
      <c r="C77" s="10"/>
      <c r="D77" s="10"/>
      <c r="E77" s="10" t="s">
        <v>50</v>
      </c>
      <c r="F77" s="10"/>
      <c r="G77" s="10"/>
      <c r="H77" s="10"/>
      <c r="I77" s="924" t="s">
        <v>3441</v>
      </c>
      <c r="J77" s="6" t="s">
        <v>68</v>
      </c>
      <c r="K77" s="8"/>
      <c r="L77" s="6"/>
      <c r="M77" s="6"/>
      <c r="N77" s="6"/>
      <c r="O77" s="6"/>
      <c r="P77" s="6"/>
      <c r="Q77" s="6"/>
      <c r="R77" s="6"/>
      <c r="S77" s="16"/>
      <c r="T77" s="16"/>
      <c r="U77" s="6"/>
      <c r="V77" s="6"/>
      <c r="W77" s="6"/>
    </row>
    <row r="78" spans="1:23" ht="45" x14ac:dyDescent="0.25">
      <c r="A78" s="3"/>
      <c r="B78" s="3"/>
      <c r="C78" s="10"/>
      <c r="D78" s="10"/>
      <c r="E78" s="10" t="s">
        <v>50</v>
      </c>
      <c r="F78" s="10"/>
      <c r="G78" s="10"/>
      <c r="H78" s="10"/>
      <c r="I78" s="924" t="s">
        <v>3529</v>
      </c>
      <c r="J78" s="6" t="s">
        <v>3530</v>
      </c>
      <c r="K78" s="8"/>
      <c r="L78" s="6"/>
      <c r="M78" s="6"/>
      <c r="N78" s="6"/>
      <c r="O78" s="6"/>
      <c r="P78" s="6"/>
      <c r="Q78" s="6"/>
      <c r="R78" s="6"/>
      <c r="S78" s="16"/>
      <c r="T78" s="16"/>
      <c r="U78" s="6"/>
      <c r="V78" s="6"/>
      <c r="W78" s="6"/>
    </row>
    <row r="79" spans="1:23" ht="45" x14ac:dyDescent="0.25">
      <c r="A79" s="3"/>
      <c r="B79" s="3"/>
      <c r="C79" s="10"/>
      <c r="D79" s="10"/>
      <c r="E79" s="10" t="s">
        <v>50</v>
      </c>
      <c r="F79" s="10"/>
      <c r="G79" s="10"/>
      <c r="H79" s="10"/>
      <c r="I79" s="924" t="s">
        <v>3531</v>
      </c>
      <c r="J79" s="6" t="s">
        <v>3532</v>
      </c>
      <c r="K79" s="8"/>
      <c r="L79" s="6"/>
      <c r="M79" s="6"/>
      <c r="N79" s="6"/>
      <c r="O79" s="6"/>
      <c r="P79" s="6"/>
      <c r="Q79" s="6"/>
      <c r="R79" s="6"/>
      <c r="S79" s="16"/>
      <c r="T79" s="16"/>
      <c r="U79" s="6"/>
      <c r="V79" s="6"/>
      <c r="W79" s="6"/>
    </row>
    <row r="80" spans="1:23" ht="45" x14ac:dyDescent="0.25">
      <c r="A80" s="3"/>
      <c r="B80" s="3"/>
      <c r="C80" s="10"/>
      <c r="D80" s="10"/>
      <c r="E80" s="10" t="s">
        <v>50</v>
      </c>
      <c r="F80" s="10"/>
      <c r="G80" s="10"/>
      <c r="H80" s="10"/>
      <c r="I80" s="924" t="s">
        <v>3533</v>
      </c>
      <c r="J80" s="6" t="s">
        <v>3534</v>
      </c>
      <c r="K80" s="8"/>
      <c r="L80" s="6"/>
      <c r="M80" s="6"/>
      <c r="N80" s="6"/>
      <c r="O80" s="6"/>
      <c r="P80" s="6"/>
      <c r="Q80" s="6"/>
      <c r="R80" s="6"/>
      <c r="S80" s="16"/>
      <c r="T80" s="16"/>
      <c r="U80" s="6"/>
      <c r="V80" s="6"/>
      <c r="W80" s="6"/>
    </row>
    <row r="81" spans="1:23" ht="45" x14ac:dyDescent="0.25">
      <c r="A81" s="3"/>
      <c r="B81" s="3"/>
      <c r="C81" s="10"/>
      <c r="D81" s="10"/>
      <c r="E81" s="10" t="s">
        <v>50</v>
      </c>
      <c r="F81" s="10"/>
      <c r="G81" s="10"/>
      <c r="H81" s="10"/>
      <c r="I81" s="924" t="s">
        <v>3535</v>
      </c>
      <c r="J81" s="6" t="s">
        <v>3536</v>
      </c>
      <c r="K81" s="8"/>
      <c r="L81" s="6"/>
      <c r="M81" s="6"/>
      <c r="N81" s="6"/>
      <c r="O81" s="6"/>
      <c r="P81" s="6"/>
      <c r="Q81" s="6"/>
      <c r="R81" s="6"/>
      <c r="S81" s="16"/>
      <c r="T81" s="16"/>
      <c r="U81" s="6"/>
      <c r="V81" s="6"/>
      <c r="W81" s="6"/>
    </row>
    <row r="82" spans="1:23" ht="45" x14ac:dyDescent="0.25">
      <c r="A82" s="3"/>
      <c r="B82" s="3"/>
      <c r="C82" s="10"/>
      <c r="D82" s="10"/>
      <c r="E82" s="10" t="s">
        <v>50</v>
      </c>
      <c r="F82" s="10"/>
      <c r="G82" s="10"/>
      <c r="H82" s="10"/>
      <c r="I82" s="924" t="s">
        <v>3537</v>
      </c>
      <c r="J82" s="6" t="s">
        <v>3538</v>
      </c>
      <c r="K82" s="8"/>
      <c r="L82" s="6"/>
      <c r="M82" s="6"/>
      <c r="N82" s="6"/>
      <c r="O82" s="6"/>
      <c r="P82" s="6"/>
      <c r="Q82" s="6"/>
      <c r="R82" s="6"/>
      <c r="S82" s="16"/>
      <c r="T82" s="16"/>
      <c r="U82" s="6"/>
      <c r="V82" s="6"/>
      <c r="W82" s="6"/>
    </row>
    <row r="83" spans="1:23" ht="45" x14ac:dyDescent="0.25">
      <c r="A83" s="3"/>
      <c r="B83" s="3"/>
      <c r="C83" s="10"/>
      <c r="D83" s="10"/>
      <c r="E83" s="10" t="s">
        <v>50</v>
      </c>
      <c r="F83" s="10"/>
      <c r="G83" s="10"/>
      <c r="H83" s="10"/>
      <c r="I83" s="924" t="s">
        <v>3539</v>
      </c>
      <c r="J83" s="6" t="s">
        <v>3540</v>
      </c>
      <c r="K83" s="8"/>
      <c r="L83" s="6"/>
      <c r="M83" s="6"/>
      <c r="N83" s="6"/>
      <c r="O83" s="6"/>
      <c r="P83" s="6"/>
      <c r="Q83" s="6"/>
      <c r="R83" s="6"/>
      <c r="S83" s="16"/>
      <c r="T83" s="16"/>
      <c r="U83" s="6"/>
      <c r="V83" s="6"/>
      <c r="W83" s="6"/>
    </row>
    <row r="84" spans="1:23" ht="30" x14ac:dyDescent="0.25">
      <c r="A84" s="3"/>
      <c r="B84" s="3"/>
      <c r="C84" s="10"/>
      <c r="D84" s="10" t="s">
        <v>50</v>
      </c>
      <c r="E84" s="10"/>
      <c r="F84" s="10"/>
      <c r="G84" s="10"/>
      <c r="H84" s="10"/>
      <c r="I84" s="923" t="s">
        <v>3541</v>
      </c>
      <c r="J84" s="6" t="s">
        <v>3542</v>
      </c>
      <c r="K84" s="8"/>
      <c r="L84" s="6"/>
      <c r="M84" s="6"/>
      <c r="N84" s="6"/>
      <c r="O84" s="6"/>
      <c r="P84" s="6"/>
      <c r="Q84" s="6"/>
      <c r="R84" s="6"/>
      <c r="S84" s="16"/>
      <c r="T84" s="16"/>
      <c r="U84" s="6"/>
      <c r="V84" s="6"/>
      <c r="W84" s="6"/>
    </row>
    <row r="85" spans="1:23" x14ac:dyDescent="0.25">
      <c r="A85" s="3"/>
      <c r="B85" s="3"/>
      <c r="C85" s="156"/>
      <c r="D85" s="156"/>
      <c r="E85" s="156" t="s">
        <v>50</v>
      </c>
      <c r="F85" s="156"/>
      <c r="G85" s="156"/>
      <c r="H85" s="156"/>
      <c r="I85" s="627" t="s">
        <v>3543</v>
      </c>
      <c r="J85" s="156" t="s">
        <v>68</v>
      </c>
      <c r="K85" s="157"/>
      <c r="L85" s="156"/>
      <c r="M85" s="156"/>
      <c r="N85" s="156"/>
      <c r="O85" s="156"/>
      <c r="P85" s="156"/>
      <c r="Q85" s="156"/>
      <c r="R85" s="156"/>
      <c r="S85" s="160"/>
      <c r="T85" s="160"/>
      <c r="U85" s="156"/>
      <c r="V85" s="156"/>
      <c r="W85" s="156"/>
    </row>
    <row r="86" spans="1:23" ht="45" x14ac:dyDescent="0.25">
      <c r="A86" s="3"/>
      <c r="B86" s="3"/>
      <c r="C86" s="10"/>
      <c r="D86" s="10"/>
      <c r="E86" s="10" t="s">
        <v>50</v>
      </c>
      <c r="F86" s="10"/>
      <c r="G86" s="10"/>
      <c r="H86" s="10"/>
      <c r="I86" s="924" t="s">
        <v>3544</v>
      </c>
      <c r="J86" s="6" t="s">
        <v>3545</v>
      </c>
      <c r="K86" s="8"/>
      <c r="L86" s="6"/>
      <c r="M86" s="6"/>
      <c r="N86" s="6"/>
      <c r="O86" s="6"/>
      <c r="P86" s="6"/>
      <c r="Q86" s="6"/>
      <c r="R86" s="6"/>
      <c r="S86" s="16"/>
      <c r="T86" s="16"/>
      <c r="U86" s="6"/>
      <c r="V86" s="6"/>
      <c r="W86" s="6"/>
    </row>
    <row r="87" spans="1:23" ht="45" x14ac:dyDescent="0.25">
      <c r="A87" s="3"/>
      <c r="B87" s="3"/>
      <c r="C87" s="10"/>
      <c r="D87" s="10"/>
      <c r="E87" s="10" t="s">
        <v>50</v>
      </c>
      <c r="F87" s="10"/>
      <c r="G87" s="10"/>
      <c r="H87" s="10"/>
      <c r="I87" s="924" t="s">
        <v>3546</v>
      </c>
      <c r="J87" s="6" t="s">
        <v>3547</v>
      </c>
      <c r="K87" s="8"/>
      <c r="L87" s="6"/>
      <c r="M87" s="6"/>
      <c r="N87" s="6"/>
      <c r="O87" s="6"/>
      <c r="P87" s="6"/>
      <c r="Q87" s="6"/>
      <c r="R87" s="6"/>
      <c r="S87" s="16"/>
      <c r="T87" s="16"/>
      <c r="U87" s="6"/>
      <c r="V87" s="6"/>
      <c r="W87" s="6"/>
    </row>
    <row r="88" spans="1:23" s="241" customFormat="1" ht="38.25" x14ac:dyDescent="0.2">
      <c r="A88" s="3"/>
      <c r="B88" s="3"/>
      <c r="C88" s="248"/>
      <c r="D88" s="248"/>
      <c r="E88" s="248" t="s">
        <v>50</v>
      </c>
      <c r="F88" s="248"/>
      <c r="G88" s="248"/>
      <c r="H88" s="248"/>
      <c r="I88" s="925" t="s">
        <v>3519</v>
      </c>
      <c r="J88" s="248" t="s">
        <v>3548</v>
      </c>
      <c r="K88" s="247"/>
      <c r="L88" s="248"/>
      <c r="M88" s="248"/>
      <c r="N88" s="248"/>
      <c r="O88" s="248"/>
      <c r="P88" s="248"/>
      <c r="Q88" s="248"/>
      <c r="R88" s="248"/>
      <c r="S88" s="252"/>
      <c r="T88" s="252"/>
      <c r="U88" s="248"/>
      <c r="V88" s="248"/>
      <c r="W88" s="248"/>
    </row>
    <row r="89" spans="1:23" s="241" customFormat="1" ht="25.5" x14ac:dyDescent="0.2">
      <c r="A89" s="3"/>
      <c r="B89" s="3"/>
      <c r="C89" s="248"/>
      <c r="D89" s="248"/>
      <c r="E89" s="248" t="s">
        <v>50</v>
      </c>
      <c r="F89" s="248"/>
      <c r="G89" s="248"/>
      <c r="H89" s="248"/>
      <c r="I89" s="925" t="s">
        <v>3521</v>
      </c>
      <c r="J89" s="248" t="s">
        <v>3522</v>
      </c>
      <c r="K89" s="247"/>
      <c r="L89" s="248"/>
      <c r="M89" s="248"/>
      <c r="N89" s="248"/>
      <c r="O89" s="248"/>
      <c r="P89" s="248"/>
      <c r="Q89" s="248"/>
      <c r="R89" s="248"/>
      <c r="S89" s="252"/>
      <c r="T89" s="252"/>
      <c r="U89" s="248"/>
      <c r="V89" s="248"/>
      <c r="W89" s="248"/>
    </row>
    <row r="90" spans="1:23" x14ac:dyDescent="0.25">
      <c r="A90" s="3"/>
      <c r="B90" s="3"/>
      <c r="C90" s="10"/>
      <c r="D90" s="10"/>
      <c r="E90" s="10" t="s">
        <v>50</v>
      </c>
      <c r="F90" s="10"/>
      <c r="G90" s="10"/>
      <c r="H90" s="10"/>
      <c r="I90" s="924" t="s">
        <v>3549</v>
      </c>
      <c r="J90" s="6"/>
      <c r="K90" s="8"/>
      <c r="L90" s="6"/>
      <c r="M90" s="6"/>
      <c r="N90" s="6"/>
      <c r="O90" s="6"/>
      <c r="P90" s="6"/>
      <c r="Q90" s="6"/>
      <c r="R90" s="6"/>
      <c r="S90" s="16"/>
      <c r="T90" s="16"/>
      <c r="U90" s="6"/>
      <c r="V90" s="6"/>
      <c r="W90" s="6"/>
    </row>
    <row r="91" spans="1:23" ht="45" x14ac:dyDescent="0.25">
      <c r="A91" s="3"/>
      <c r="B91" s="3"/>
      <c r="C91" s="10"/>
      <c r="D91" s="10"/>
      <c r="E91" s="10"/>
      <c r="F91" s="10" t="s">
        <v>50</v>
      </c>
      <c r="G91" s="10"/>
      <c r="H91" s="10"/>
      <c r="I91" s="18" t="s">
        <v>3550</v>
      </c>
      <c r="J91" s="6" t="s">
        <v>3551</v>
      </c>
      <c r="K91" s="8"/>
      <c r="L91" s="6"/>
      <c r="M91" s="6"/>
      <c r="N91" s="6"/>
      <c r="O91" s="6"/>
      <c r="P91" s="6"/>
      <c r="Q91" s="6"/>
      <c r="R91" s="6"/>
      <c r="S91" s="16"/>
      <c r="T91" s="16"/>
      <c r="U91" s="6"/>
      <c r="V91" s="6"/>
      <c r="W91" s="6"/>
    </row>
    <row r="92" spans="1:23" ht="45" x14ac:dyDescent="0.25">
      <c r="A92" s="3"/>
      <c r="B92" s="3"/>
      <c r="C92" s="10"/>
      <c r="D92" s="10"/>
      <c r="E92" s="10"/>
      <c r="F92" s="10" t="s">
        <v>50</v>
      </c>
      <c r="G92" s="10"/>
      <c r="H92" s="10"/>
      <c r="I92" s="18" t="s">
        <v>3552</v>
      </c>
      <c r="J92" s="6" t="s">
        <v>3553</v>
      </c>
      <c r="K92" s="8"/>
      <c r="L92" s="6"/>
      <c r="M92" s="6"/>
      <c r="N92" s="6"/>
      <c r="O92" s="6"/>
      <c r="P92" s="6"/>
      <c r="Q92" s="6"/>
      <c r="R92" s="6"/>
      <c r="S92" s="16"/>
      <c r="T92" s="16"/>
      <c r="U92" s="6"/>
      <c r="V92" s="6"/>
      <c r="W92" s="6"/>
    </row>
    <row r="93" spans="1:23" ht="45" x14ac:dyDescent="0.25">
      <c r="A93" s="3"/>
      <c r="B93" s="3"/>
      <c r="C93" s="10"/>
      <c r="D93" s="10"/>
      <c r="E93" s="10"/>
      <c r="F93" s="10" t="s">
        <v>50</v>
      </c>
      <c r="G93" s="10"/>
      <c r="H93" s="10"/>
      <c r="I93" s="18" t="s">
        <v>3554</v>
      </c>
      <c r="J93" s="6" t="s">
        <v>3555</v>
      </c>
      <c r="K93" s="8"/>
      <c r="L93" s="6"/>
      <c r="M93" s="6"/>
      <c r="N93" s="6"/>
      <c r="O93" s="6"/>
      <c r="P93" s="6"/>
      <c r="Q93" s="6"/>
      <c r="R93" s="6"/>
      <c r="S93" s="16"/>
      <c r="T93" s="16"/>
      <c r="U93" s="6"/>
      <c r="V93" s="6"/>
      <c r="W93" s="6"/>
    </row>
    <row r="94" spans="1:23" x14ac:dyDescent="0.25">
      <c r="A94" s="3"/>
      <c r="B94" s="3"/>
      <c r="C94" s="10"/>
      <c r="D94" s="10"/>
      <c r="E94" s="10" t="s">
        <v>50</v>
      </c>
      <c r="F94" s="10"/>
      <c r="G94" s="10"/>
      <c r="H94" s="10"/>
      <c r="I94" s="924" t="s">
        <v>3556</v>
      </c>
      <c r="J94" s="6"/>
      <c r="K94" s="8"/>
      <c r="L94" s="6"/>
      <c r="M94" s="6"/>
      <c r="N94" s="6"/>
      <c r="O94" s="6"/>
      <c r="P94" s="6"/>
      <c r="Q94" s="6"/>
      <c r="R94" s="6"/>
      <c r="S94" s="16"/>
      <c r="T94" s="16"/>
      <c r="U94" s="6"/>
      <c r="V94" s="6"/>
      <c r="W94" s="6"/>
    </row>
    <row r="95" spans="1:23" ht="30" x14ac:dyDescent="0.25">
      <c r="A95" s="3"/>
      <c r="B95" s="3"/>
      <c r="C95" s="10"/>
      <c r="D95" s="10"/>
      <c r="E95" s="10"/>
      <c r="F95" s="10" t="s">
        <v>50</v>
      </c>
      <c r="G95" s="10"/>
      <c r="H95" s="10"/>
      <c r="I95" s="18" t="s">
        <v>3557</v>
      </c>
      <c r="J95" s="6" t="s">
        <v>3558</v>
      </c>
      <c r="K95" s="8"/>
      <c r="L95" s="6"/>
      <c r="M95" s="6"/>
      <c r="N95" s="6"/>
      <c r="O95" s="6"/>
      <c r="P95" s="6"/>
      <c r="Q95" s="6"/>
      <c r="R95" s="6"/>
      <c r="S95" s="16"/>
      <c r="T95" s="16"/>
      <c r="U95" s="6"/>
      <c r="V95" s="6"/>
      <c r="W95" s="6"/>
    </row>
    <row r="96" spans="1:23" ht="45" x14ac:dyDescent="0.25">
      <c r="A96" s="3"/>
      <c r="B96" s="3"/>
      <c r="C96" s="10"/>
      <c r="D96" s="10"/>
      <c r="E96" s="10"/>
      <c r="F96" s="10" t="s">
        <v>50</v>
      </c>
      <c r="G96" s="10"/>
      <c r="H96" s="10"/>
      <c r="I96" s="18" t="s">
        <v>3559</v>
      </c>
      <c r="J96" s="6" t="s">
        <v>3560</v>
      </c>
      <c r="K96" s="8"/>
      <c r="L96" s="6"/>
      <c r="M96" s="6"/>
      <c r="N96" s="6"/>
      <c r="O96" s="6"/>
      <c r="P96" s="6"/>
      <c r="Q96" s="6"/>
      <c r="R96" s="6"/>
      <c r="S96" s="16"/>
      <c r="T96" s="16"/>
      <c r="U96" s="6"/>
      <c r="V96" s="6"/>
      <c r="W96" s="6"/>
    </row>
    <row r="97" spans="1:23" x14ac:dyDescent="0.25">
      <c r="A97" s="3"/>
      <c r="B97" s="3"/>
      <c r="C97" s="10" t="s">
        <v>50</v>
      </c>
      <c r="D97" s="10"/>
      <c r="E97" s="10"/>
      <c r="F97" s="10"/>
      <c r="G97" s="10"/>
      <c r="H97" s="10"/>
      <c r="I97" s="17" t="s">
        <v>3561</v>
      </c>
      <c r="J97" s="6"/>
      <c r="K97" s="8"/>
      <c r="L97" s="6"/>
      <c r="M97" s="6"/>
      <c r="N97" s="6"/>
      <c r="O97" s="6"/>
      <c r="P97" s="6"/>
      <c r="Q97" s="6"/>
      <c r="R97" s="6"/>
      <c r="S97" s="16"/>
      <c r="T97" s="16"/>
      <c r="U97" s="6"/>
      <c r="V97" s="6"/>
      <c r="W97" s="6"/>
    </row>
    <row r="98" spans="1:23" ht="45" x14ac:dyDescent="0.25">
      <c r="A98" s="3"/>
      <c r="B98" s="3"/>
      <c r="C98" s="10"/>
      <c r="D98" s="10" t="s">
        <v>50</v>
      </c>
      <c r="E98" s="10"/>
      <c r="F98" s="10"/>
      <c r="G98" s="10"/>
      <c r="H98" s="10"/>
      <c r="I98" s="923" t="s">
        <v>3562</v>
      </c>
      <c r="J98" s="6" t="s">
        <v>3563</v>
      </c>
      <c r="K98" s="8"/>
      <c r="L98" s="6"/>
      <c r="M98" s="6"/>
      <c r="N98" s="6"/>
      <c r="O98" s="6"/>
      <c r="P98" s="6"/>
      <c r="Q98" s="6"/>
      <c r="R98" s="6"/>
      <c r="S98" s="16"/>
      <c r="T98" s="16"/>
      <c r="U98" s="6"/>
      <c r="V98" s="6"/>
      <c r="W98" s="6"/>
    </row>
    <row r="99" spans="1:23" ht="45" x14ac:dyDescent="0.25">
      <c r="A99" s="3"/>
      <c r="B99" s="3"/>
      <c r="C99" s="10"/>
      <c r="D99" s="10"/>
      <c r="E99" s="10" t="s">
        <v>50</v>
      </c>
      <c r="F99" s="10"/>
      <c r="G99" s="10"/>
      <c r="H99" s="10"/>
      <c r="I99" s="924" t="s">
        <v>3564</v>
      </c>
      <c r="J99" s="6" t="s">
        <v>3565</v>
      </c>
      <c r="K99" s="8"/>
      <c r="L99" s="6"/>
      <c r="M99" s="6"/>
      <c r="N99" s="6"/>
      <c r="O99" s="6"/>
      <c r="P99" s="6"/>
      <c r="Q99" s="6"/>
      <c r="R99" s="6"/>
      <c r="S99" s="16"/>
      <c r="T99" s="16"/>
      <c r="U99" s="6"/>
      <c r="V99" s="6"/>
      <c r="W99" s="6"/>
    </row>
    <row r="100" spans="1:23" ht="30" customHeight="1" x14ac:dyDescent="0.25">
      <c r="A100" s="3"/>
      <c r="B100" s="3"/>
      <c r="C100" s="10"/>
      <c r="D100" s="10"/>
      <c r="E100" s="10" t="s">
        <v>50</v>
      </c>
      <c r="F100" s="10"/>
      <c r="G100" s="10"/>
      <c r="H100" s="10"/>
      <c r="I100" s="924" t="s">
        <v>3566</v>
      </c>
      <c r="J100" s="6" t="s">
        <v>3567</v>
      </c>
      <c r="K100" s="8"/>
      <c r="L100" s="6"/>
      <c r="M100" s="6"/>
      <c r="N100" s="6"/>
      <c r="O100" s="6"/>
      <c r="P100" s="6"/>
      <c r="Q100" s="6"/>
      <c r="R100" s="6"/>
      <c r="S100" s="16"/>
      <c r="T100" s="16"/>
      <c r="U100" s="6"/>
      <c r="V100" s="6"/>
      <c r="W100" s="6"/>
    </row>
    <row r="101" spans="1:23" ht="30" customHeight="1" x14ac:dyDescent="0.25">
      <c r="A101" s="3"/>
      <c r="B101" s="3"/>
      <c r="C101" s="10"/>
      <c r="D101" s="10"/>
      <c r="E101" s="10" t="s">
        <v>50</v>
      </c>
      <c r="F101" s="10"/>
      <c r="G101" s="10"/>
      <c r="H101" s="10"/>
      <c r="I101" s="924" t="s">
        <v>3568</v>
      </c>
      <c r="J101" s="6" t="s">
        <v>3569</v>
      </c>
      <c r="K101" s="8"/>
      <c r="L101" s="6"/>
      <c r="M101" s="6"/>
      <c r="N101" s="6"/>
      <c r="O101" s="6"/>
      <c r="P101" s="6"/>
      <c r="Q101" s="6"/>
      <c r="R101" s="6"/>
      <c r="S101" s="16"/>
      <c r="T101" s="16"/>
      <c r="U101" s="6"/>
      <c r="V101" s="6"/>
      <c r="W101" s="6"/>
    </row>
    <row r="102" spans="1:23" ht="45" x14ac:dyDescent="0.25">
      <c r="A102" s="3"/>
      <c r="B102" s="3"/>
      <c r="C102" s="10"/>
      <c r="D102" s="10"/>
      <c r="E102" s="10" t="s">
        <v>50</v>
      </c>
      <c r="F102" s="10"/>
      <c r="G102" s="10"/>
      <c r="H102" s="10"/>
      <c r="I102" s="924" t="s">
        <v>3570</v>
      </c>
      <c r="J102" s="6" t="s">
        <v>3571</v>
      </c>
      <c r="K102" s="8"/>
      <c r="L102" s="6"/>
      <c r="M102" s="6"/>
      <c r="N102" s="6"/>
      <c r="O102" s="6"/>
      <c r="P102" s="6"/>
      <c r="Q102" s="6"/>
      <c r="R102" s="6"/>
      <c r="S102" s="16"/>
      <c r="T102" s="16"/>
      <c r="U102" s="6"/>
      <c r="V102" s="6"/>
      <c r="W102" s="6"/>
    </row>
    <row r="103" spans="1:23" x14ac:dyDescent="0.25">
      <c r="A103" s="3"/>
      <c r="B103" s="3"/>
      <c r="C103" s="10"/>
      <c r="D103" s="10" t="s">
        <v>50</v>
      </c>
      <c r="E103" s="10"/>
      <c r="F103" s="10"/>
      <c r="G103" s="10"/>
      <c r="H103" s="10"/>
      <c r="I103" s="923" t="s">
        <v>3572</v>
      </c>
      <c r="J103" s="6"/>
      <c r="K103" s="8"/>
      <c r="L103" s="6"/>
      <c r="M103" s="6"/>
      <c r="N103" s="6"/>
      <c r="O103" s="6"/>
      <c r="P103" s="6"/>
      <c r="Q103" s="6"/>
      <c r="R103" s="6"/>
      <c r="S103" s="16"/>
      <c r="T103" s="16"/>
      <c r="U103" s="6"/>
      <c r="V103" s="6"/>
      <c r="W103" s="6"/>
    </row>
    <row r="104" spans="1:23" ht="45" x14ac:dyDescent="0.25">
      <c r="A104" s="3"/>
      <c r="B104" s="3"/>
      <c r="C104" s="10"/>
      <c r="D104" s="10"/>
      <c r="E104" s="10" t="s">
        <v>50</v>
      </c>
      <c r="F104" s="10"/>
      <c r="G104" s="10"/>
      <c r="H104" s="10"/>
      <c r="I104" s="924" t="s">
        <v>3573</v>
      </c>
      <c r="J104" s="6" t="s">
        <v>3574</v>
      </c>
      <c r="K104" s="8"/>
      <c r="L104" s="6"/>
      <c r="M104" s="6"/>
      <c r="N104" s="6"/>
      <c r="O104" s="6"/>
      <c r="P104" s="6"/>
      <c r="Q104" s="6"/>
      <c r="R104" s="6"/>
      <c r="S104" s="16"/>
      <c r="T104" s="16"/>
      <c r="U104" s="6"/>
      <c r="V104" s="6"/>
      <c r="W104" s="6"/>
    </row>
    <row r="105" spans="1:23" ht="45" x14ac:dyDescent="0.25">
      <c r="A105" s="3"/>
      <c r="B105" s="3"/>
      <c r="C105" s="10"/>
      <c r="D105" s="10" t="s">
        <v>50</v>
      </c>
      <c r="E105" s="10"/>
      <c r="F105" s="10"/>
      <c r="G105" s="10"/>
      <c r="H105" s="10"/>
      <c r="I105" s="923" t="s">
        <v>3575</v>
      </c>
      <c r="J105" s="6" t="s">
        <v>3576</v>
      </c>
      <c r="K105" s="8"/>
      <c r="L105" s="6"/>
      <c r="M105" s="6"/>
      <c r="N105" s="6"/>
      <c r="O105" s="6"/>
      <c r="P105" s="6"/>
      <c r="Q105" s="6"/>
      <c r="R105" s="6"/>
      <c r="S105" s="16"/>
      <c r="T105" s="16"/>
      <c r="U105" s="6"/>
      <c r="V105" s="6"/>
      <c r="W105" s="6"/>
    </row>
    <row r="106" spans="1:23" ht="60" x14ac:dyDescent="0.25">
      <c r="A106" s="3"/>
      <c r="B106" s="3"/>
      <c r="C106" s="10"/>
      <c r="D106" s="10"/>
      <c r="E106" s="10" t="s">
        <v>50</v>
      </c>
      <c r="F106" s="10"/>
      <c r="G106" s="10"/>
      <c r="H106" s="10"/>
      <c r="I106" s="924" t="s">
        <v>3577</v>
      </c>
      <c r="J106" s="6" t="s">
        <v>3578</v>
      </c>
      <c r="K106" s="8"/>
      <c r="L106" s="6"/>
      <c r="M106" s="6"/>
      <c r="N106" s="6"/>
      <c r="O106" s="6"/>
      <c r="P106" s="6"/>
      <c r="Q106" s="6"/>
      <c r="R106" s="6"/>
      <c r="S106" s="16"/>
      <c r="T106" s="16"/>
      <c r="U106" s="6"/>
      <c r="V106" s="6"/>
      <c r="W106" s="6"/>
    </row>
    <row r="107" spans="1:23" ht="45" x14ac:dyDescent="0.25">
      <c r="A107" s="3"/>
      <c r="B107" s="3"/>
      <c r="C107" s="10"/>
      <c r="D107" s="10"/>
      <c r="E107" s="10" t="s">
        <v>50</v>
      </c>
      <c r="F107" s="10"/>
      <c r="G107" s="10"/>
      <c r="H107" s="10"/>
      <c r="I107" s="924" t="s">
        <v>3579</v>
      </c>
      <c r="J107" s="6" t="s">
        <v>3580</v>
      </c>
      <c r="K107" s="8"/>
      <c r="L107" s="6"/>
      <c r="M107" s="6"/>
      <c r="N107" s="6"/>
      <c r="O107" s="6"/>
      <c r="P107" s="6"/>
      <c r="Q107" s="6"/>
      <c r="R107" s="6"/>
      <c r="S107" s="16"/>
      <c r="T107" s="16"/>
      <c r="U107" s="6"/>
      <c r="V107" s="6"/>
      <c r="W107" s="6"/>
    </row>
    <row r="108" spans="1:23" ht="45" x14ac:dyDescent="0.25">
      <c r="A108" s="3"/>
      <c r="B108" s="3"/>
      <c r="C108" s="10"/>
      <c r="D108" s="10"/>
      <c r="E108" s="10" t="s">
        <v>50</v>
      </c>
      <c r="F108" s="10"/>
      <c r="G108" s="10"/>
      <c r="H108" s="10"/>
      <c r="I108" s="924" t="s">
        <v>3581</v>
      </c>
      <c r="J108" s="6" t="s">
        <v>3582</v>
      </c>
      <c r="K108" s="8"/>
      <c r="L108" s="6"/>
      <c r="M108" s="6"/>
      <c r="N108" s="6"/>
      <c r="O108" s="6"/>
      <c r="P108" s="6"/>
      <c r="Q108" s="6"/>
      <c r="R108" s="6"/>
      <c r="S108" s="16"/>
      <c r="T108" s="16"/>
      <c r="U108" s="6"/>
      <c r="V108" s="6"/>
      <c r="W108" s="6"/>
    </row>
    <row r="109" spans="1:23" ht="75" x14ac:dyDescent="0.25">
      <c r="A109" s="3"/>
      <c r="B109" s="3"/>
      <c r="C109" s="10"/>
      <c r="D109" s="10"/>
      <c r="E109" s="10" t="s">
        <v>50</v>
      </c>
      <c r="F109" s="10"/>
      <c r="G109" s="10"/>
      <c r="H109" s="10"/>
      <c r="I109" s="924" t="s">
        <v>3583</v>
      </c>
      <c r="J109" s="6" t="s">
        <v>3584</v>
      </c>
      <c r="K109" s="8"/>
      <c r="L109" s="6"/>
      <c r="M109" s="6"/>
      <c r="N109" s="6"/>
      <c r="O109" s="6"/>
      <c r="P109" s="6"/>
      <c r="Q109" s="6"/>
      <c r="R109" s="6"/>
      <c r="S109" s="16"/>
      <c r="T109" s="16"/>
      <c r="U109" s="6"/>
      <c r="V109" s="6"/>
      <c r="W109" s="6"/>
    </row>
    <row r="110" spans="1:23" x14ac:dyDescent="0.25">
      <c r="A110" s="3"/>
      <c r="B110" s="3"/>
      <c r="C110" s="10"/>
      <c r="D110" s="10"/>
      <c r="E110" s="10"/>
      <c r="F110" s="10"/>
      <c r="G110" s="10"/>
      <c r="H110" s="10"/>
      <c r="I110" s="6"/>
      <c r="J110" s="6"/>
      <c r="K110" s="8"/>
      <c r="L110" s="6"/>
      <c r="M110" s="6"/>
      <c r="N110" s="6"/>
      <c r="O110" s="6"/>
      <c r="P110" s="6"/>
      <c r="Q110" s="6"/>
      <c r="R110" s="6"/>
      <c r="S110" s="16"/>
      <c r="T110" s="16"/>
      <c r="U110" s="6"/>
      <c r="V110" s="6"/>
      <c r="W110" s="6"/>
    </row>
    <row r="111" spans="1:23" x14ac:dyDescent="0.25">
      <c r="A111" s="3"/>
      <c r="B111" s="3"/>
      <c r="C111" s="10"/>
      <c r="D111" s="10"/>
      <c r="E111" s="10"/>
      <c r="F111" s="10"/>
      <c r="G111" s="10"/>
      <c r="H111" s="10"/>
      <c r="I111" s="6"/>
      <c r="J111" s="6"/>
      <c r="K111" s="8"/>
      <c r="L111" s="6"/>
      <c r="M111" s="6"/>
      <c r="N111" s="6"/>
      <c r="O111" s="6"/>
      <c r="P111" s="6"/>
      <c r="Q111" s="6"/>
      <c r="R111" s="6"/>
      <c r="S111" s="16"/>
      <c r="T111" s="16"/>
      <c r="U111" s="6"/>
      <c r="V111" s="6"/>
      <c r="W111" s="6"/>
    </row>
    <row r="112" spans="1:23" x14ac:dyDescent="0.25">
      <c r="A112" s="3"/>
      <c r="B112" s="3"/>
      <c r="C112" s="10"/>
      <c r="D112" s="10"/>
      <c r="E112" s="10"/>
      <c r="F112" s="10"/>
      <c r="G112" s="10"/>
      <c r="H112" s="10"/>
      <c r="I112" s="6"/>
      <c r="J112" s="6"/>
      <c r="K112" s="8"/>
      <c r="L112" s="6"/>
      <c r="M112" s="6"/>
      <c r="N112" s="6"/>
      <c r="O112" s="6"/>
      <c r="P112" s="6"/>
      <c r="Q112" s="6"/>
      <c r="R112" s="6"/>
      <c r="S112" s="16"/>
      <c r="T112" s="16"/>
      <c r="U112" s="6"/>
      <c r="V112" s="6"/>
      <c r="W112" s="6"/>
    </row>
    <row r="113" spans="1:23" x14ac:dyDescent="0.25">
      <c r="A113" s="3"/>
      <c r="B113" s="3"/>
      <c r="C113" s="10"/>
      <c r="D113" s="10"/>
      <c r="E113" s="10"/>
      <c r="F113" s="10"/>
      <c r="G113" s="10"/>
      <c r="H113" s="10"/>
      <c r="I113" s="9"/>
      <c r="J113" s="8"/>
      <c r="K113" s="8"/>
      <c r="L113" s="6"/>
      <c r="M113" s="6"/>
      <c r="N113" s="6"/>
      <c r="O113" s="6"/>
      <c r="P113" s="6"/>
      <c r="Q113" s="6"/>
      <c r="R113" s="6"/>
      <c r="S113" s="16"/>
      <c r="T113" s="16"/>
      <c r="U113" s="6"/>
      <c r="V113" s="6"/>
      <c r="W113" s="6"/>
    </row>
    <row r="114" spans="1:23" x14ac:dyDescent="0.25">
      <c r="A114" s="3"/>
      <c r="B114" s="3"/>
      <c r="C114" s="10"/>
      <c r="D114" s="10"/>
      <c r="E114" s="10"/>
      <c r="F114" s="10"/>
      <c r="G114" s="10"/>
      <c r="H114" s="10"/>
      <c r="I114" s="6"/>
      <c r="J114" s="6"/>
      <c r="K114" s="8"/>
      <c r="L114" s="6"/>
      <c r="M114" s="6"/>
      <c r="N114" s="6"/>
      <c r="O114" s="6"/>
      <c r="P114" s="6"/>
      <c r="Q114" s="6"/>
      <c r="R114" s="6"/>
      <c r="S114" s="16"/>
      <c r="T114" s="16"/>
      <c r="U114" s="6"/>
      <c r="V114" s="6"/>
      <c r="W114" s="6"/>
    </row>
    <row r="115" spans="1:23" x14ac:dyDescent="0.25">
      <c r="A115" s="3"/>
      <c r="B115" s="3"/>
      <c r="I115" s="13"/>
      <c r="K115" s="13"/>
    </row>
    <row r="116" spans="1:23" x14ac:dyDescent="0.25">
      <c r="A116" s="3"/>
      <c r="B116" s="3"/>
    </row>
    <row r="117" spans="1:23" x14ac:dyDescent="0.25">
      <c r="A117" s="3"/>
      <c r="B117" s="3"/>
      <c r="I117" s="13"/>
      <c r="K117" s="13"/>
    </row>
    <row r="118" spans="1:23" x14ac:dyDescent="0.25">
      <c r="A118" s="3"/>
      <c r="B118" s="3"/>
    </row>
    <row r="119" spans="1:23" x14ac:dyDescent="0.25">
      <c r="A119" s="3"/>
      <c r="B119" s="3"/>
      <c r="I119" s="13"/>
      <c r="K119" s="13"/>
    </row>
    <row r="120" spans="1:23" x14ac:dyDescent="0.25">
      <c r="A120" s="3"/>
      <c r="B120" s="3"/>
    </row>
    <row r="121" spans="1:23" x14ac:dyDescent="0.25">
      <c r="A121" s="3"/>
      <c r="B121" s="3"/>
      <c r="I121" s="13"/>
      <c r="K121" s="13"/>
    </row>
    <row r="122" spans="1:23" x14ac:dyDescent="0.25">
      <c r="A122" s="3"/>
      <c r="B122" s="3"/>
    </row>
    <row r="123" spans="1:23" x14ac:dyDescent="0.25">
      <c r="A123" s="3"/>
      <c r="B123" s="3"/>
      <c r="I123" s="13"/>
      <c r="K123" s="13"/>
    </row>
    <row r="124" spans="1:23" x14ac:dyDescent="0.25">
      <c r="A124" s="3"/>
      <c r="B124" s="3"/>
    </row>
    <row r="125" spans="1:23" x14ac:dyDescent="0.25">
      <c r="A125" s="3"/>
      <c r="B125" s="3"/>
      <c r="I125" s="13"/>
      <c r="K125" s="13"/>
    </row>
    <row r="126" spans="1:23" x14ac:dyDescent="0.25">
      <c r="A126" s="3"/>
      <c r="B126" s="3"/>
    </row>
    <row r="127" spans="1:23" x14ac:dyDescent="0.25">
      <c r="A127" s="3"/>
      <c r="B127" s="3"/>
      <c r="I127" s="13"/>
      <c r="K127" s="13"/>
    </row>
    <row r="128" spans="1:23" x14ac:dyDescent="0.25">
      <c r="A128" s="3"/>
      <c r="B128" s="3"/>
    </row>
    <row r="129" spans="1:11" x14ac:dyDescent="0.25">
      <c r="A129" s="3"/>
      <c r="B129" s="3"/>
      <c r="I129" s="13"/>
      <c r="K129" s="13"/>
    </row>
    <row r="130" spans="1:11" x14ac:dyDescent="0.25">
      <c r="A130" s="3"/>
      <c r="B130" s="3"/>
    </row>
    <row r="131" spans="1:11" x14ac:dyDescent="0.25">
      <c r="A131" s="3"/>
      <c r="B131" s="3"/>
      <c r="I131" s="13"/>
      <c r="K131" s="13"/>
    </row>
    <row r="132" spans="1:11" x14ac:dyDescent="0.25">
      <c r="A132" s="3"/>
      <c r="B132" s="3"/>
    </row>
    <row r="133" spans="1:11" x14ac:dyDescent="0.25">
      <c r="A133" s="3"/>
      <c r="B133" s="3"/>
      <c r="I133" s="13"/>
      <c r="K133" s="13"/>
    </row>
    <row r="134" spans="1:11" x14ac:dyDescent="0.25">
      <c r="A134" s="3"/>
      <c r="B134" s="3"/>
    </row>
    <row r="135" spans="1:11" x14ac:dyDescent="0.25">
      <c r="A135" s="3"/>
      <c r="B135" s="3"/>
    </row>
    <row r="136" spans="1:11" x14ac:dyDescent="0.25">
      <c r="A136" s="3"/>
      <c r="B136" s="3"/>
    </row>
    <row r="137" spans="1:11" x14ac:dyDescent="0.25">
      <c r="A137" s="3"/>
      <c r="B137" s="3"/>
    </row>
    <row r="138" spans="1:11" x14ac:dyDescent="0.25">
      <c r="A138" s="3"/>
      <c r="B138" s="3"/>
    </row>
    <row r="139" spans="1:11" x14ac:dyDescent="0.25">
      <c r="A139" s="3"/>
      <c r="B139" s="3"/>
    </row>
    <row r="140" spans="1:11" x14ac:dyDescent="0.25">
      <c r="A140" s="3"/>
      <c r="B140" s="3"/>
    </row>
    <row r="141" spans="1:11" x14ac:dyDescent="0.25">
      <c r="A141" s="3"/>
      <c r="B141" s="3"/>
    </row>
    <row r="142" spans="1:11" x14ac:dyDescent="0.25">
      <c r="A142" s="3"/>
      <c r="B142" s="3"/>
    </row>
    <row r="143" spans="1:11" x14ac:dyDescent="0.25">
      <c r="A143" s="3"/>
      <c r="B143" s="3"/>
    </row>
    <row r="144" spans="1:11" x14ac:dyDescent="0.25">
      <c r="A144" s="3"/>
      <c r="B144" s="3"/>
    </row>
    <row r="145" spans="1:2" x14ac:dyDescent="0.25">
      <c r="A145" s="3"/>
      <c r="B145" s="3"/>
    </row>
    <row r="146" spans="1:2" x14ac:dyDescent="0.25">
      <c r="A146" s="3"/>
      <c r="B146" s="3"/>
    </row>
    <row r="147" spans="1:2" x14ac:dyDescent="0.25">
      <c r="A147" s="3"/>
      <c r="B147" s="3"/>
    </row>
    <row r="148" spans="1:2" x14ac:dyDescent="0.25">
      <c r="A148" s="3"/>
      <c r="B148" s="3"/>
    </row>
    <row r="149" spans="1:2" x14ac:dyDescent="0.25">
      <c r="A149" s="3"/>
      <c r="B149" s="3"/>
    </row>
    <row r="150" spans="1:2" x14ac:dyDescent="0.25">
      <c r="A150" s="3"/>
      <c r="B150" s="3"/>
    </row>
    <row r="151" spans="1:2" x14ac:dyDescent="0.25">
      <c r="A151" s="3"/>
      <c r="B151" s="3"/>
    </row>
    <row r="152" spans="1:2" x14ac:dyDescent="0.25">
      <c r="A152" s="3"/>
      <c r="B152" s="3"/>
    </row>
    <row r="153" spans="1:2" x14ac:dyDescent="0.25">
      <c r="A153" s="3"/>
      <c r="B153" s="3"/>
    </row>
    <row r="154" spans="1:2" x14ac:dyDescent="0.25">
      <c r="A154" s="3"/>
      <c r="B154" s="3"/>
    </row>
    <row r="155" spans="1:2" x14ac:dyDescent="0.25">
      <c r="A155" s="3"/>
      <c r="B155" s="3"/>
    </row>
    <row r="156" spans="1:2" x14ac:dyDescent="0.25">
      <c r="A156" s="3"/>
      <c r="B156" s="3"/>
    </row>
    <row r="157" spans="1:2" x14ac:dyDescent="0.25">
      <c r="A157" s="3"/>
      <c r="B157" s="3"/>
    </row>
    <row r="158" spans="1:2" x14ac:dyDescent="0.25">
      <c r="A158" s="3"/>
      <c r="B158" s="3"/>
    </row>
    <row r="159" spans="1:2" x14ac:dyDescent="0.25">
      <c r="A159" s="3"/>
      <c r="B159" s="3"/>
    </row>
    <row r="160" spans="1:2" x14ac:dyDescent="0.25">
      <c r="A160" s="3"/>
      <c r="B160" s="3"/>
    </row>
    <row r="161" spans="1:2" x14ac:dyDescent="0.25">
      <c r="A161" s="3"/>
      <c r="B161" s="3"/>
    </row>
    <row r="162" spans="1:2" x14ac:dyDescent="0.25">
      <c r="A162" s="3"/>
      <c r="B162" s="3"/>
    </row>
    <row r="163" spans="1:2" x14ac:dyDescent="0.25">
      <c r="A163" s="3"/>
      <c r="B163" s="3"/>
    </row>
    <row r="164" spans="1:2" x14ac:dyDescent="0.25">
      <c r="A164" s="3"/>
      <c r="B164" s="3"/>
    </row>
    <row r="165" spans="1:2" x14ac:dyDescent="0.25">
      <c r="A165" s="3"/>
      <c r="B165" s="3"/>
    </row>
    <row r="166" spans="1:2" x14ac:dyDescent="0.25">
      <c r="A166" s="3"/>
      <c r="B166" s="3"/>
    </row>
    <row r="167" spans="1:2" x14ac:dyDescent="0.25">
      <c r="A167" s="3"/>
      <c r="B167" s="3"/>
    </row>
    <row r="168" spans="1:2" x14ac:dyDescent="0.25">
      <c r="A168" s="3"/>
      <c r="B168" s="3"/>
    </row>
    <row r="169" spans="1:2" x14ac:dyDescent="0.25">
      <c r="A169" s="3"/>
      <c r="B169" s="3"/>
    </row>
    <row r="170" spans="1:2" x14ac:dyDescent="0.25">
      <c r="A170" s="3"/>
      <c r="B170" s="3"/>
    </row>
    <row r="171" spans="1:2" x14ac:dyDescent="0.25">
      <c r="A171" s="3"/>
      <c r="B171" s="3"/>
    </row>
    <row r="172" spans="1:2" x14ac:dyDescent="0.25">
      <c r="A172" s="3"/>
      <c r="B172" s="3"/>
    </row>
    <row r="173" spans="1:2" x14ac:dyDescent="0.25">
      <c r="A173" s="3"/>
      <c r="B173" s="3"/>
    </row>
    <row r="174" spans="1:2" x14ac:dyDescent="0.25">
      <c r="A174" s="3"/>
      <c r="B174" s="3"/>
    </row>
    <row r="175" spans="1:2" x14ac:dyDescent="0.25">
      <c r="A175" s="3"/>
      <c r="B175" s="3"/>
    </row>
    <row r="176" spans="1:2" x14ac:dyDescent="0.25">
      <c r="A176" s="3"/>
      <c r="B176" s="3"/>
    </row>
    <row r="177" spans="1:24" x14ac:dyDescent="0.25">
      <c r="A177" s="3"/>
      <c r="B177" s="3"/>
    </row>
    <row r="178" spans="1:24" x14ac:dyDescent="0.25">
      <c r="A178" s="3"/>
      <c r="B178" s="3"/>
    </row>
    <row r="179" spans="1:24" x14ac:dyDescent="0.25">
      <c r="A179" s="3"/>
      <c r="B179" s="3"/>
    </row>
    <row r="180" spans="1:24" x14ac:dyDescent="0.25">
      <c r="A180" s="3"/>
      <c r="B180" s="3"/>
    </row>
    <row r="181" spans="1:24" x14ac:dyDescent="0.25">
      <c r="A181" s="3"/>
      <c r="B181" s="3"/>
    </row>
    <row r="182" spans="1:24" x14ac:dyDescent="0.25">
      <c r="A182" s="3"/>
      <c r="B182" s="3"/>
    </row>
    <row r="186" spans="1:24" s="13" customFormat="1" x14ac:dyDescent="0.25">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row>
    <row r="194" spans="1:24" s="13" customFormat="1" x14ac:dyDescent="0.25">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row>
    <row r="241" spans="1:24" s="13" customFormat="1" x14ac:dyDescent="0.25">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row>
  </sheetData>
  <mergeCells count="1">
    <mergeCell ref="C4:H4"/>
  </mergeCells>
  <conditionalFormatting sqref="T1:W4 R5:W114 S115:W362">
    <cfRule type="containsText" dxfId="11" priority="1" operator="containsText" text="ja">
      <formula>NOT(ISERROR(SEARCH(("ja"),(T1))))</formula>
    </cfRule>
    <cfRule type="containsText" dxfId="10" priority="2" operator="containsText" text="nein">
      <formula>NOT(ISERROR(SEARCH(("nein"),(T1))))</formula>
    </cfRule>
  </conditionalFormatting>
  <dataValidations count="4">
    <dataValidation type="list" errorStyle="warning" showErrorMessage="1" sqref="A8:A10 A12:A182" xr:uid="{00000000-0002-0000-1000-000000000000}">
      <formula1>"ja,nein"</formula1>
    </dataValidation>
    <dataValidation type="list" errorStyle="warning" showErrorMessage="1" sqref="W6:W21 W22:W66" xr:uid="{00000000-0002-0000-1000-000001000000}">
      <formula1>",Ready, CICD"</formula1>
    </dataValidation>
    <dataValidation type="list" errorStyle="warning" showErrorMessage="1" sqref="T6 T67:T72 T74:T114 S6 S67:S72 S74:S114 S7:T21 S22:T66 S73:T73" xr:uid="{00000000-0002-0000-1000-000002000000}">
      <formula1>"unbestimmt, ja, nein"</formula1>
    </dataValidation>
    <dataValidation type="list" errorStyle="warning" showErrorMessage="1" sqref="B8:B182" xr:uid="{00000000-0002-0000-1000-000003000000}">
      <formula1>"ELA,Meistertask,Cleverreach,Synology,Miro,Google,WhatsApp,Canva,Adobe,Contao,Wiki,ecoDMS,Wiki,Facebook,Instagram,TikTok,LinkedIn,Youtube,Xing,X,SalesForce,Lexware,Volksbank,Articulate,Outlook,easy2book,Domainfactory,1&amp;1"</formula1>
    </dataValidation>
  </dataValidations>
  <pageMargins left="0.75" right="0.75" top="1" bottom="1" header="0.5" footer="0.5"/>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AN689"/>
  <sheetViews>
    <sheetView workbookViewId="0">
      <pane ySplit="9" topLeftCell="A10" activePane="bottomLeft" state="frozen"/>
      <selection pane="bottomLeft"/>
    </sheetView>
  </sheetViews>
  <sheetFormatPr baseColWidth="10" defaultColWidth="14.5703125" defaultRowHeight="15" x14ac:dyDescent="0.25"/>
  <cols>
    <col min="1" max="1" width="11.85546875" customWidth="1"/>
    <col min="2" max="2" width="11.140625" customWidth="1"/>
    <col min="3" max="3" width="11.85546875" customWidth="1"/>
    <col min="4" max="9" width="3.42578125" customWidth="1"/>
    <col min="10" max="10" width="42.7109375" customWidth="1"/>
    <col min="11" max="11" width="62.28515625" customWidth="1"/>
    <col min="12" max="12" width="23.140625" style="272" customWidth="1"/>
    <col min="13" max="13" width="17" customWidth="1"/>
    <col min="14" max="14" width="18.140625" customWidth="1"/>
    <col min="15" max="15" width="17" customWidth="1"/>
    <col min="16" max="16" width="27.140625" customWidth="1"/>
    <col min="17" max="17" width="17" customWidth="1"/>
    <col min="18" max="18" width="52" customWidth="1"/>
    <col min="20" max="20" width="14.42578125" customWidth="1"/>
    <col min="21" max="21" width="13.85546875" customWidth="1"/>
    <col min="22" max="23" width="31.85546875" customWidth="1"/>
    <col min="24" max="24" width="14.42578125" customWidth="1"/>
  </cols>
  <sheetData>
    <row r="2" spans="1:40" x14ac:dyDescent="0.25">
      <c r="I2" s="736"/>
      <c r="J2" t="s">
        <v>2547</v>
      </c>
    </row>
    <row r="3" spans="1:40" x14ac:dyDescent="0.25">
      <c r="I3" s="43"/>
      <c r="J3" s="44" t="s">
        <v>2548</v>
      </c>
    </row>
    <row r="4" spans="1:40" x14ac:dyDescent="0.25">
      <c r="I4" s="42"/>
      <c r="J4" t="s">
        <v>2</v>
      </c>
    </row>
    <row r="5" spans="1:40" x14ac:dyDescent="0.25">
      <c r="I5" s="106"/>
      <c r="J5" t="s">
        <v>3</v>
      </c>
    </row>
    <row r="6" spans="1:40" x14ac:dyDescent="0.25">
      <c r="I6" s="121"/>
      <c r="J6" t="s">
        <v>4</v>
      </c>
    </row>
    <row r="8" spans="1:40" x14ac:dyDescent="0.25">
      <c r="C8" s="917" t="s">
        <v>7</v>
      </c>
      <c r="D8" s="1237" t="s">
        <v>8</v>
      </c>
      <c r="E8" s="1238"/>
      <c r="F8" s="1238"/>
      <c r="G8" s="1238"/>
      <c r="H8" s="1238"/>
      <c r="I8" s="1239"/>
      <c r="J8" s="14"/>
      <c r="K8" s="14"/>
      <c r="L8" s="271"/>
      <c r="M8" s="14"/>
      <c r="N8" s="14"/>
      <c r="O8" s="14"/>
      <c r="P8" s="14"/>
      <c r="Q8" s="14"/>
      <c r="R8" s="14"/>
      <c r="S8" s="14"/>
      <c r="T8" s="14"/>
      <c r="U8" s="14"/>
      <c r="V8" s="14"/>
      <c r="W8" s="14"/>
      <c r="X8" s="14"/>
    </row>
    <row r="9" spans="1:40" ht="36.75" customHeight="1" x14ac:dyDescent="0.25">
      <c r="A9" s="122" t="s">
        <v>5</v>
      </c>
      <c r="B9" s="122" t="s">
        <v>6</v>
      </c>
      <c r="C9" s="15"/>
      <c r="D9" s="15" t="s">
        <v>9</v>
      </c>
      <c r="E9" s="238" t="s">
        <v>10</v>
      </c>
      <c r="F9" s="238" t="s">
        <v>11</v>
      </c>
      <c r="G9" s="238" t="s">
        <v>12</v>
      </c>
      <c r="H9" s="238" t="s">
        <v>13</v>
      </c>
      <c r="I9" s="238" t="s">
        <v>14</v>
      </c>
      <c r="J9" s="826" t="s">
        <v>15</v>
      </c>
      <c r="K9" s="926" t="s">
        <v>16</v>
      </c>
      <c r="L9" s="739" t="s">
        <v>17</v>
      </c>
      <c r="M9" s="740" t="s">
        <v>18</v>
      </c>
      <c r="N9" s="740" t="s">
        <v>19</v>
      </c>
      <c r="O9" s="33" t="s">
        <v>20</v>
      </c>
      <c r="P9" s="740" t="s">
        <v>21</v>
      </c>
      <c r="Q9" s="740" t="s">
        <v>22</v>
      </c>
      <c r="R9" s="740" t="s">
        <v>23</v>
      </c>
      <c r="S9" s="927" t="s">
        <v>24</v>
      </c>
      <c r="T9" s="80" t="s">
        <v>25</v>
      </c>
      <c r="U9" s="80" t="s">
        <v>26</v>
      </c>
      <c r="V9" s="35" t="s">
        <v>27</v>
      </c>
      <c r="W9" s="80" t="s">
        <v>28</v>
      </c>
      <c r="X9" s="80" t="s">
        <v>29</v>
      </c>
      <c r="Y9" s="2"/>
      <c r="Z9" s="2"/>
      <c r="AA9" s="2"/>
      <c r="AB9" s="2"/>
      <c r="AC9" s="2"/>
      <c r="AD9" s="2"/>
      <c r="AE9" s="2"/>
      <c r="AF9" s="2"/>
      <c r="AG9" s="2"/>
      <c r="AH9" s="2"/>
      <c r="AI9" s="2"/>
      <c r="AJ9" s="2"/>
      <c r="AK9" s="2"/>
      <c r="AL9" s="2"/>
      <c r="AM9" s="2"/>
      <c r="AN9" s="2"/>
    </row>
    <row r="10" spans="1:40" ht="20.25" customHeight="1" x14ac:dyDescent="0.25">
      <c r="A10" s="7"/>
      <c r="B10" s="7"/>
      <c r="C10" s="928"/>
      <c r="D10" s="928">
        <v>1</v>
      </c>
      <c r="E10" s="1240" t="s">
        <v>30</v>
      </c>
      <c r="F10" s="1240"/>
      <c r="G10" s="1240"/>
      <c r="H10" s="1240"/>
      <c r="I10" s="1240"/>
      <c r="J10" s="1240"/>
      <c r="K10" s="1241"/>
      <c r="L10" s="1242"/>
      <c r="M10" s="1243"/>
      <c r="N10" s="1243"/>
      <c r="O10" s="1243"/>
      <c r="P10" s="1243"/>
      <c r="Q10" s="1243"/>
      <c r="R10" s="1243"/>
      <c r="S10" s="1243"/>
      <c r="T10" s="1243"/>
      <c r="U10" s="1243"/>
      <c r="V10" s="1243"/>
      <c r="W10" s="1243"/>
      <c r="X10" s="1244"/>
      <c r="Y10" s="2"/>
      <c r="Z10" s="2"/>
      <c r="AA10" s="2"/>
      <c r="AB10" s="2"/>
      <c r="AC10" s="2"/>
      <c r="AD10" s="2"/>
      <c r="AE10" s="2"/>
      <c r="AF10" s="2"/>
      <c r="AG10" s="2"/>
      <c r="AH10" s="2"/>
      <c r="AI10" s="2"/>
      <c r="AJ10" s="2"/>
      <c r="AK10" s="2"/>
      <c r="AL10" s="2"/>
      <c r="AM10" s="2"/>
      <c r="AN10" s="2"/>
    </row>
    <row r="11" spans="1:40" x14ac:dyDescent="0.25">
      <c r="A11" s="742"/>
      <c r="B11" s="742"/>
      <c r="C11" s="11"/>
      <c r="D11" s="11"/>
      <c r="E11" s="120">
        <v>2</v>
      </c>
      <c r="F11" s="1245" t="s">
        <v>3585</v>
      </c>
      <c r="G11" s="1245"/>
      <c r="H11" s="1245"/>
      <c r="I11" s="1245"/>
      <c r="J11" s="1245"/>
      <c r="K11" s="1245"/>
      <c r="L11" s="1246"/>
      <c r="M11" s="1245"/>
      <c r="N11" s="1245"/>
      <c r="O11" s="1245"/>
      <c r="P11" s="1245"/>
      <c r="Q11" s="1245"/>
      <c r="R11" s="1245"/>
      <c r="S11" s="1245"/>
      <c r="T11" s="1245"/>
      <c r="U11" s="1245"/>
      <c r="V11" s="1245"/>
      <c r="W11" s="1245"/>
      <c r="X11" s="1245"/>
      <c r="Y11" s="2"/>
      <c r="Z11" s="2"/>
      <c r="AA11" s="2"/>
      <c r="AB11" s="2"/>
      <c r="AC11" s="2"/>
      <c r="AD11" s="2"/>
      <c r="AE11" s="2"/>
      <c r="AF11" s="2"/>
      <c r="AG11" s="2"/>
      <c r="AH11" s="2"/>
      <c r="AI11" s="2"/>
      <c r="AJ11" s="2"/>
      <c r="AK11" s="2"/>
      <c r="AL11" s="2"/>
      <c r="AM11" s="2"/>
      <c r="AN11" s="2"/>
    </row>
    <row r="12" spans="1:40" ht="60" x14ac:dyDescent="0.25">
      <c r="A12" s="3"/>
      <c r="B12" s="3"/>
      <c r="C12" s="11"/>
      <c r="D12" s="11"/>
      <c r="E12" s="11"/>
      <c r="F12" s="11">
        <v>3</v>
      </c>
      <c r="G12" s="11"/>
      <c r="H12" s="11"/>
      <c r="I12" s="11"/>
      <c r="J12" s="6" t="s">
        <v>3586</v>
      </c>
      <c r="K12" s="6" t="s">
        <v>3587</v>
      </c>
      <c r="L12" s="16" t="s">
        <v>3588</v>
      </c>
      <c r="M12" s="6" t="s">
        <v>3589</v>
      </c>
      <c r="N12" s="10" t="s">
        <v>3590</v>
      </c>
      <c r="O12" s="10"/>
      <c r="P12" s="6" t="s">
        <v>3591</v>
      </c>
      <c r="Q12" s="6" t="s">
        <v>3592</v>
      </c>
      <c r="R12" s="10" t="s">
        <v>3593</v>
      </c>
      <c r="S12" s="10" t="s">
        <v>3594</v>
      </c>
      <c r="T12" s="16" t="s">
        <v>31</v>
      </c>
      <c r="U12" s="16" t="s">
        <v>31</v>
      </c>
      <c r="V12" s="11"/>
      <c r="W12" s="11"/>
      <c r="X12" s="11"/>
      <c r="Y12" s="2"/>
      <c r="Z12" s="2"/>
      <c r="AA12" s="2"/>
      <c r="AB12" s="2"/>
      <c r="AC12" s="2"/>
      <c r="AD12" s="2"/>
      <c r="AE12" s="2"/>
      <c r="AF12" s="2"/>
      <c r="AG12" s="2"/>
      <c r="AH12" s="2"/>
      <c r="AI12" s="2"/>
      <c r="AJ12" s="2"/>
      <c r="AK12" s="2"/>
      <c r="AL12" s="2"/>
      <c r="AM12" s="2"/>
      <c r="AN12" s="2"/>
    </row>
    <row r="13" spans="1:40" ht="20.25" customHeight="1" x14ac:dyDescent="0.25">
      <c r="A13" s="3"/>
      <c r="B13" s="3"/>
      <c r="C13" s="928"/>
      <c r="D13" s="93">
        <v>1</v>
      </c>
      <c r="E13" s="1247" t="s">
        <v>3595</v>
      </c>
      <c r="F13" s="1247"/>
      <c r="G13" s="1247"/>
      <c r="H13" s="1247"/>
      <c r="I13" s="1247"/>
      <c r="J13" s="1247"/>
      <c r="K13" s="1247"/>
      <c r="L13" s="1248"/>
      <c r="M13" s="1247"/>
      <c r="N13" s="1247"/>
      <c r="O13" s="1247"/>
      <c r="P13" s="1247"/>
      <c r="Q13" s="1247"/>
      <c r="R13" s="1247"/>
      <c r="S13" s="1247"/>
      <c r="T13" s="1247"/>
      <c r="U13" s="1247"/>
      <c r="V13" s="1247"/>
      <c r="W13" s="1247"/>
      <c r="X13" s="1247"/>
      <c r="Y13" s="2"/>
      <c r="Z13" s="2"/>
      <c r="AA13" s="2"/>
      <c r="AB13" s="2"/>
      <c r="AC13" s="2"/>
      <c r="AD13" s="2"/>
      <c r="AE13" s="2"/>
      <c r="AF13" s="2"/>
      <c r="AG13" s="2"/>
      <c r="AH13" s="2"/>
      <c r="AI13" s="2"/>
      <c r="AJ13" s="2"/>
      <c r="AK13" s="2"/>
      <c r="AL13" s="2"/>
      <c r="AM13" s="2"/>
      <c r="AN13" s="2"/>
    </row>
    <row r="14" spans="1:40" x14ac:dyDescent="0.25">
      <c r="A14" s="3"/>
      <c r="B14" s="3"/>
      <c r="C14" s="11"/>
      <c r="D14" s="11"/>
      <c r="E14" s="315">
        <v>2</v>
      </c>
      <c r="F14" s="315"/>
      <c r="G14" s="315"/>
      <c r="H14" s="315"/>
      <c r="I14" s="315"/>
      <c r="J14" s="315" t="s">
        <v>3596</v>
      </c>
      <c r="K14" s="933" t="s">
        <v>3597</v>
      </c>
      <c r="L14" s="934"/>
      <c r="M14" s="315"/>
      <c r="N14" s="935" t="str">
        <f>HYPERLINK("http://wiki.academyofsports.online/tiki-index.php?page=Ablauf---Vorgehen-bei-neuen-Produkten-zwischen-SEO-und-Content", "SEO und Content")</f>
        <v>SEO und Content</v>
      </c>
      <c r="O14" s="315"/>
      <c r="P14" s="921"/>
      <c r="Q14" s="315"/>
      <c r="R14" s="315"/>
      <c r="S14" s="315"/>
      <c r="T14" s="315"/>
      <c r="U14" s="315"/>
      <c r="V14" s="315"/>
      <c r="W14" s="315"/>
      <c r="X14" s="315"/>
      <c r="Y14" s="2"/>
      <c r="Z14" s="2"/>
      <c r="AA14" s="2"/>
      <c r="AB14" s="2"/>
      <c r="AC14" s="2"/>
      <c r="AD14" s="2"/>
      <c r="AE14" s="2"/>
      <c r="AF14" s="2"/>
      <c r="AG14" s="2"/>
      <c r="AH14" s="2"/>
      <c r="AI14" s="2"/>
      <c r="AJ14" s="2"/>
      <c r="AK14" s="2"/>
      <c r="AL14" s="2"/>
      <c r="AM14" s="2"/>
      <c r="AN14" s="2"/>
    </row>
    <row r="15" spans="1:40" s="29" customFormat="1" ht="45" x14ac:dyDescent="0.25">
      <c r="A15" s="3"/>
      <c r="B15" s="3"/>
      <c r="C15" s="125"/>
      <c r="D15" s="125"/>
      <c r="E15" s="125"/>
      <c r="F15" s="125">
        <v>3</v>
      </c>
      <c r="G15" s="125"/>
      <c r="H15" s="125"/>
      <c r="I15" s="125"/>
      <c r="J15" s="126" t="s">
        <v>3598</v>
      </c>
      <c r="K15" s="62" t="s">
        <v>3599</v>
      </c>
      <c r="L15" s="8" t="s">
        <v>3600</v>
      </c>
      <c r="M15" s="125"/>
      <c r="N15" s="125"/>
      <c r="O15" s="125"/>
      <c r="P15" s="110" t="s">
        <v>3601</v>
      </c>
      <c r="Q15" s="62" t="s">
        <v>3602</v>
      </c>
      <c r="R15" s="126"/>
      <c r="S15" s="125"/>
      <c r="T15" s="125"/>
      <c r="U15" s="125"/>
      <c r="V15" s="125"/>
      <c r="W15" s="125"/>
      <c r="X15" s="125"/>
      <c r="Y15" s="196"/>
      <c r="Z15" s="196"/>
      <c r="AA15" s="196"/>
      <c r="AB15" s="196"/>
      <c r="AC15" s="196"/>
      <c r="AD15" s="196"/>
      <c r="AE15" s="196"/>
      <c r="AF15" s="196"/>
      <c r="AG15" s="196"/>
      <c r="AH15" s="196"/>
      <c r="AI15" s="196"/>
      <c r="AJ15" s="196"/>
      <c r="AK15" s="196"/>
      <c r="AL15" s="196"/>
      <c r="AM15" s="196"/>
      <c r="AN15" s="196"/>
    </row>
    <row r="16" spans="1:40" s="29" customFormat="1" ht="45" x14ac:dyDescent="0.25">
      <c r="A16" s="3"/>
      <c r="B16" s="3"/>
      <c r="C16" s="125"/>
      <c r="D16" s="125"/>
      <c r="E16" s="125"/>
      <c r="F16" s="125">
        <v>3</v>
      </c>
      <c r="G16" s="125"/>
      <c r="H16" s="125"/>
      <c r="I16" s="125"/>
      <c r="J16" s="126" t="s">
        <v>3603</v>
      </c>
      <c r="K16" s="62" t="s">
        <v>3604</v>
      </c>
      <c r="L16" s="8" t="s">
        <v>3605</v>
      </c>
      <c r="M16" s="125"/>
      <c r="N16" s="125"/>
      <c r="O16" s="125"/>
      <c r="P16" s="110" t="s">
        <v>3606</v>
      </c>
      <c r="Q16" s="126"/>
      <c r="R16" s="125"/>
      <c r="S16" s="125"/>
      <c r="T16" s="125"/>
      <c r="U16" s="125"/>
      <c r="V16" s="125"/>
      <c r="W16" s="125"/>
      <c r="X16" s="125"/>
      <c r="Y16" s="196"/>
      <c r="Z16" s="196"/>
      <c r="AA16" s="196"/>
      <c r="AB16" s="196"/>
      <c r="AC16" s="196"/>
      <c r="AD16" s="196"/>
      <c r="AE16" s="196"/>
      <c r="AF16" s="196"/>
      <c r="AG16" s="196"/>
      <c r="AH16" s="196"/>
      <c r="AI16" s="196"/>
      <c r="AJ16" s="196"/>
      <c r="AK16" s="196"/>
      <c r="AL16" s="196"/>
      <c r="AM16" s="196"/>
      <c r="AN16" s="196"/>
    </row>
    <row r="17" spans="1:40" x14ac:dyDescent="0.25">
      <c r="A17" s="3"/>
      <c r="B17" s="3"/>
      <c r="C17" s="11"/>
      <c r="D17" s="11"/>
      <c r="E17" s="315">
        <v>2</v>
      </c>
      <c r="F17" s="315"/>
      <c r="G17" s="315"/>
      <c r="H17" s="315"/>
      <c r="I17" s="315"/>
      <c r="J17" s="315" t="s">
        <v>3607</v>
      </c>
      <c r="K17" s="933"/>
      <c r="L17" s="934"/>
      <c r="M17" s="315"/>
      <c r="N17" s="935" t="str">
        <f>HYPERLINK("http://wiki.academyofsports.online/tiki-index.php?page=Keywordrecherche-(0252)", "Keyword")</f>
        <v>Keyword</v>
      </c>
      <c r="O17" s="315"/>
      <c r="P17" s="315"/>
      <c r="Q17" s="315"/>
      <c r="R17" s="315"/>
      <c r="S17" s="315"/>
      <c r="T17" s="315"/>
      <c r="U17" s="315"/>
      <c r="V17" s="315"/>
      <c r="W17" s="315"/>
      <c r="X17" s="315"/>
      <c r="Y17" s="2"/>
      <c r="Z17" s="2"/>
      <c r="AA17" s="2"/>
      <c r="AB17" s="2"/>
      <c r="AC17" s="2"/>
      <c r="AD17" s="2"/>
      <c r="AE17" s="2"/>
      <c r="AF17" s="2"/>
      <c r="AG17" s="2"/>
      <c r="AH17" s="2"/>
      <c r="AI17" s="2"/>
      <c r="AJ17" s="2"/>
      <c r="AK17" s="2"/>
      <c r="AL17" s="2"/>
      <c r="AM17" s="2"/>
      <c r="AN17" s="2"/>
    </row>
    <row r="18" spans="1:40" s="29" customFormat="1" ht="45" x14ac:dyDescent="0.25">
      <c r="A18" s="3"/>
      <c r="B18" s="3"/>
      <c r="C18" s="125"/>
      <c r="D18" s="125"/>
      <c r="E18" s="125"/>
      <c r="F18" s="125">
        <v>3</v>
      </c>
      <c r="G18" s="125"/>
      <c r="H18" s="125"/>
      <c r="I18" s="125"/>
      <c r="J18" s="126" t="s">
        <v>3598</v>
      </c>
      <c r="K18" s="126" t="s">
        <v>3608</v>
      </c>
      <c r="L18" s="8" t="s">
        <v>3600</v>
      </c>
      <c r="M18" s="125"/>
      <c r="N18" s="125"/>
      <c r="O18" s="125"/>
      <c r="P18" s="62" t="s">
        <v>3609</v>
      </c>
      <c r="Q18" s="62" t="s">
        <v>3610</v>
      </c>
      <c r="R18" s="62" t="s">
        <v>3611</v>
      </c>
      <c r="S18" s="125"/>
      <c r="T18" s="125"/>
      <c r="U18" s="125"/>
      <c r="V18" s="125"/>
      <c r="W18" s="125"/>
      <c r="X18" s="125"/>
      <c r="Y18" s="196"/>
      <c r="Z18" s="196"/>
      <c r="AA18" s="196"/>
      <c r="AB18" s="196"/>
      <c r="AC18" s="196"/>
      <c r="AD18" s="196"/>
      <c r="AE18" s="196"/>
      <c r="AF18" s="196"/>
      <c r="AG18" s="196"/>
      <c r="AH18" s="196"/>
      <c r="AI18" s="196"/>
      <c r="AJ18" s="196"/>
      <c r="AK18" s="196"/>
      <c r="AL18" s="196"/>
      <c r="AM18" s="196"/>
      <c r="AN18" s="196"/>
    </row>
    <row r="19" spans="1:40" s="29" customFormat="1" ht="45" x14ac:dyDescent="0.25">
      <c r="A19" s="3"/>
      <c r="B19" s="3"/>
      <c r="C19" s="125"/>
      <c r="D19" s="125"/>
      <c r="E19" s="125"/>
      <c r="F19" s="125">
        <v>3</v>
      </c>
      <c r="G19" s="125"/>
      <c r="H19" s="125"/>
      <c r="I19" s="125"/>
      <c r="J19" s="126" t="s">
        <v>3612</v>
      </c>
      <c r="K19" s="62" t="s">
        <v>3613</v>
      </c>
      <c r="L19" s="8" t="s">
        <v>3605</v>
      </c>
      <c r="M19" s="125"/>
      <c r="N19" s="125"/>
      <c r="O19" s="125"/>
      <c r="P19" s="126"/>
      <c r="Q19" s="126"/>
      <c r="R19" s="125"/>
      <c r="S19" s="125"/>
      <c r="T19" s="125"/>
      <c r="U19" s="125"/>
      <c r="V19" s="125"/>
      <c r="W19" s="125"/>
      <c r="X19" s="125"/>
      <c r="Y19" s="196"/>
      <c r="Z19" s="196"/>
      <c r="AA19" s="196"/>
      <c r="AB19" s="196"/>
      <c r="AC19" s="196"/>
      <c r="AD19" s="196"/>
      <c r="AE19" s="196"/>
      <c r="AF19" s="196"/>
      <c r="AG19" s="196"/>
      <c r="AH19" s="196"/>
      <c r="AI19" s="196"/>
      <c r="AJ19" s="196"/>
      <c r="AK19" s="196"/>
      <c r="AL19" s="196"/>
      <c r="AM19" s="196"/>
      <c r="AN19" s="196"/>
    </row>
    <row r="20" spans="1:40" s="29" customFormat="1" ht="30" x14ac:dyDescent="0.25">
      <c r="A20" s="3"/>
      <c r="B20" s="3"/>
      <c r="C20" s="125"/>
      <c r="D20" s="125"/>
      <c r="E20" s="125"/>
      <c r="F20" s="125">
        <v>3</v>
      </c>
      <c r="G20" s="125"/>
      <c r="H20" s="125"/>
      <c r="I20" s="125"/>
      <c r="J20" s="126" t="s">
        <v>3614</v>
      </c>
      <c r="K20" s="62" t="s">
        <v>3615</v>
      </c>
      <c r="L20" s="8" t="s">
        <v>3605</v>
      </c>
      <c r="M20" s="125"/>
      <c r="N20" s="125"/>
      <c r="O20" s="125"/>
      <c r="P20" s="312"/>
      <c r="Q20" s="126"/>
      <c r="R20" s="125"/>
      <c r="S20" s="125"/>
      <c r="T20" s="125"/>
      <c r="U20" s="125"/>
      <c r="V20" s="125"/>
      <c r="W20" s="125"/>
      <c r="X20" s="125"/>
      <c r="Y20" s="196"/>
      <c r="Z20" s="196"/>
      <c r="AA20" s="196"/>
      <c r="AB20" s="196"/>
      <c r="AC20" s="196"/>
      <c r="AD20" s="196"/>
      <c r="AE20" s="196"/>
      <c r="AF20" s="196"/>
      <c r="AG20" s="196"/>
      <c r="AH20" s="196"/>
      <c r="AI20" s="196"/>
      <c r="AJ20" s="196"/>
      <c r="AK20" s="196"/>
      <c r="AL20" s="196"/>
      <c r="AM20" s="196"/>
      <c r="AN20" s="196"/>
    </row>
    <row r="21" spans="1:40" s="29" customFormat="1" ht="30" x14ac:dyDescent="0.25">
      <c r="A21" s="3"/>
      <c r="B21" s="3"/>
      <c r="C21" s="125"/>
      <c r="D21" s="125"/>
      <c r="E21" s="125"/>
      <c r="F21" s="125">
        <v>3</v>
      </c>
      <c r="G21" s="125"/>
      <c r="H21" s="125"/>
      <c r="I21" s="125"/>
      <c r="J21" s="126" t="s">
        <v>3616</v>
      </c>
      <c r="K21" s="62" t="s">
        <v>3617</v>
      </c>
      <c r="L21" s="8" t="s">
        <v>3605</v>
      </c>
      <c r="M21" s="125"/>
      <c r="N21" s="125"/>
      <c r="O21" s="125"/>
      <c r="P21" s="126"/>
      <c r="Q21" s="126" t="s">
        <v>3618</v>
      </c>
      <c r="R21" s="125"/>
      <c r="S21" s="125"/>
      <c r="T21" s="125"/>
      <c r="U21" s="125"/>
      <c r="V21" s="125"/>
      <c r="W21" s="125"/>
      <c r="X21" s="125"/>
      <c r="Y21" s="196"/>
      <c r="Z21" s="196"/>
      <c r="AA21" s="196"/>
      <c r="AB21" s="196"/>
      <c r="AC21" s="196"/>
      <c r="AD21" s="196"/>
      <c r="AE21" s="196"/>
      <c r="AF21" s="196"/>
      <c r="AG21" s="196"/>
      <c r="AH21" s="196"/>
      <c r="AI21" s="196"/>
      <c r="AJ21" s="196"/>
      <c r="AK21" s="196"/>
      <c r="AL21" s="196"/>
      <c r="AM21" s="196"/>
      <c r="AN21" s="196"/>
    </row>
    <row r="22" spans="1:40" s="29" customFormat="1" ht="39" x14ac:dyDescent="0.25">
      <c r="A22" s="3"/>
      <c r="B22" s="3"/>
      <c r="C22" s="125"/>
      <c r="D22" s="125"/>
      <c r="E22" s="125"/>
      <c r="F22" s="125">
        <v>3</v>
      </c>
      <c r="G22" s="125"/>
      <c r="H22" s="125"/>
      <c r="I22" s="125"/>
      <c r="J22" s="126" t="s">
        <v>3619</v>
      </c>
      <c r="K22" s="62" t="s">
        <v>3620</v>
      </c>
      <c r="L22" s="8" t="s">
        <v>3605</v>
      </c>
      <c r="M22" s="125"/>
      <c r="N22" s="125"/>
      <c r="O22" s="125"/>
      <c r="P22" s="126" t="s">
        <v>3621</v>
      </c>
      <c r="Q22" s="126" t="s">
        <v>3622</v>
      </c>
      <c r="R22" s="125"/>
      <c r="S22" s="125"/>
      <c r="T22" s="125"/>
      <c r="U22" s="125"/>
      <c r="V22" s="125"/>
      <c r="W22" s="125"/>
      <c r="X22" s="125"/>
      <c r="Y22" s="196"/>
      <c r="Z22" s="196"/>
      <c r="AA22" s="196"/>
      <c r="AB22" s="196"/>
      <c r="AC22" s="196"/>
      <c r="AD22" s="196"/>
      <c r="AE22" s="196"/>
      <c r="AF22" s="196"/>
      <c r="AG22" s="196"/>
      <c r="AH22" s="196"/>
      <c r="AI22" s="196"/>
      <c r="AJ22" s="196"/>
      <c r="AK22" s="196"/>
      <c r="AL22" s="196"/>
      <c r="AM22" s="196"/>
      <c r="AN22" s="196"/>
    </row>
    <row r="23" spans="1:40" x14ac:dyDescent="0.25">
      <c r="A23" s="3"/>
      <c r="B23" s="3"/>
      <c r="C23" s="11"/>
      <c r="D23" s="11"/>
      <c r="E23" s="315">
        <v>2</v>
      </c>
      <c r="F23" s="315"/>
      <c r="G23" s="315"/>
      <c r="H23" s="315"/>
      <c r="I23" s="315"/>
      <c r="J23" s="315" t="s">
        <v>3623</v>
      </c>
      <c r="K23" s="315"/>
      <c r="L23" s="934"/>
      <c r="M23" s="315"/>
      <c r="N23" s="935" t="str">
        <f>HYPERLINK("http://wiki.academyofsports.online/tiki-index.php?page=Ablauf---SEO-optimierte-Texterstellung---Lehrgangsbeschreibungen-(305)", "SEO Text")</f>
        <v>SEO Text</v>
      </c>
      <c r="O23" s="315"/>
      <c r="P23" s="315"/>
      <c r="Q23" s="315"/>
      <c r="R23" s="315"/>
      <c r="S23" s="315"/>
      <c r="T23" s="315"/>
      <c r="U23" s="315"/>
      <c r="V23" s="315"/>
      <c r="W23" s="315"/>
      <c r="X23" s="315"/>
      <c r="Y23" s="2"/>
      <c r="Z23" s="2"/>
      <c r="AA23" s="2"/>
      <c r="AB23" s="2"/>
      <c r="AC23" s="2"/>
      <c r="AD23" s="2"/>
      <c r="AE23" s="2"/>
      <c r="AF23" s="2"/>
      <c r="AG23" s="2"/>
      <c r="AH23" s="2"/>
      <c r="AI23" s="2"/>
      <c r="AJ23" s="2"/>
      <c r="AK23" s="2"/>
      <c r="AL23" s="2"/>
      <c r="AM23" s="2"/>
      <c r="AN23" s="2"/>
    </row>
    <row r="24" spans="1:40" s="29" customFormat="1" ht="60" x14ac:dyDescent="0.25">
      <c r="A24" s="3"/>
      <c r="B24" s="3"/>
      <c r="C24" s="125"/>
      <c r="D24" s="125"/>
      <c r="E24" s="125"/>
      <c r="F24" s="125">
        <v>3</v>
      </c>
      <c r="G24" s="125"/>
      <c r="H24" s="125"/>
      <c r="I24" s="125"/>
      <c r="J24" s="126" t="s">
        <v>3624</v>
      </c>
      <c r="K24" s="62" t="s">
        <v>3625</v>
      </c>
      <c r="L24" s="8" t="s">
        <v>3605</v>
      </c>
      <c r="M24" s="125"/>
      <c r="N24" s="720" t="str">
        <f>HYPERLINK("https://synology.bildungscampus-backnang.de:50823/drive/oo/r/rjT6P3xtbk3djUPWi6fzqfqPITpRermY", "Briefing Vorlage (Synology Dok)")</f>
        <v>Briefing Vorlage (Synology Dok)</v>
      </c>
      <c r="O24" s="125"/>
      <c r="P24" s="126" t="s">
        <v>3626</v>
      </c>
      <c r="Q24" s="126" t="s">
        <v>3627</v>
      </c>
      <c r="R24" s="125"/>
      <c r="S24" s="125"/>
      <c r="T24" s="125"/>
      <c r="U24" s="125"/>
      <c r="V24" s="125"/>
      <c r="W24" s="125"/>
      <c r="X24" s="125"/>
      <c r="Y24" s="196"/>
      <c r="Z24" s="196"/>
      <c r="AA24" s="196"/>
      <c r="AB24" s="196"/>
      <c r="AC24" s="196"/>
      <c r="AD24" s="196"/>
      <c r="AE24" s="196"/>
      <c r="AF24" s="196"/>
      <c r="AG24" s="196"/>
      <c r="AH24" s="196"/>
      <c r="AI24" s="196"/>
      <c r="AJ24" s="196"/>
      <c r="AK24" s="196"/>
      <c r="AL24" s="196"/>
      <c r="AM24" s="196"/>
      <c r="AN24" s="196"/>
    </row>
    <row r="25" spans="1:40" s="29" customFormat="1" ht="30" x14ac:dyDescent="0.25">
      <c r="A25" s="3"/>
      <c r="B25" s="3"/>
      <c r="C25" s="125"/>
      <c r="D25" s="125"/>
      <c r="E25" s="125"/>
      <c r="F25" s="125">
        <v>3</v>
      </c>
      <c r="G25" s="125"/>
      <c r="H25" s="125"/>
      <c r="I25" s="125"/>
      <c r="J25" s="62" t="s">
        <v>3628</v>
      </c>
      <c r="K25" s="62" t="s">
        <v>3629</v>
      </c>
      <c r="L25" s="8" t="s">
        <v>3605</v>
      </c>
      <c r="M25" s="125"/>
      <c r="N25" s="125"/>
      <c r="O25" s="125"/>
      <c r="P25" s="126"/>
      <c r="Q25" s="125"/>
      <c r="R25" s="125"/>
      <c r="S25" s="125"/>
      <c r="T25" s="125"/>
      <c r="U25" s="125"/>
      <c r="V25" s="125"/>
      <c r="W25" s="125"/>
      <c r="X25" s="125"/>
      <c r="Y25" s="196"/>
      <c r="Z25" s="196"/>
      <c r="AA25" s="196"/>
      <c r="AB25" s="196"/>
      <c r="AC25" s="196"/>
      <c r="AD25" s="196"/>
      <c r="AE25" s="196"/>
      <c r="AF25" s="196"/>
      <c r="AG25" s="196"/>
      <c r="AH25" s="196"/>
      <c r="AI25" s="196"/>
      <c r="AJ25" s="196"/>
      <c r="AK25" s="196"/>
      <c r="AL25" s="196"/>
      <c r="AM25" s="196"/>
      <c r="AN25" s="196"/>
    </row>
    <row r="26" spans="1:40" s="29" customFormat="1" ht="30" x14ac:dyDescent="0.25">
      <c r="A26" s="3"/>
      <c r="B26" s="3"/>
      <c r="C26" s="125"/>
      <c r="D26" s="125"/>
      <c r="E26" s="125"/>
      <c r="F26" s="125">
        <v>3</v>
      </c>
      <c r="G26" s="125"/>
      <c r="H26" s="125"/>
      <c r="I26" s="125"/>
      <c r="J26" s="126" t="s">
        <v>3630</v>
      </c>
      <c r="K26" s="62" t="s">
        <v>3631</v>
      </c>
      <c r="L26" s="8" t="s">
        <v>3600</v>
      </c>
      <c r="M26" s="125"/>
      <c r="N26" s="125"/>
      <c r="O26" s="125"/>
      <c r="P26" s="62" t="s">
        <v>3632</v>
      </c>
      <c r="Q26" s="126" t="s">
        <v>3633</v>
      </c>
      <c r="R26" s="125"/>
      <c r="S26" s="125"/>
      <c r="T26" s="125"/>
      <c r="U26" s="125"/>
      <c r="V26" s="125"/>
      <c r="W26" s="125"/>
      <c r="X26" s="125"/>
      <c r="Y26" s="196"/>
      <c r="Z26" s="196"/>
      <c r="AA26" s="196"/>
      <c r="AB26" s="196"/>
      <c r="AC26" s="196"/>
      <c r="AD26" s="196"/>
      <c r="AE26" s="196"/>
      <c r="AF26" s="196"/>
      <c r="AG26" s="196"/>
      <c r="AH26" s="196"/>
      <c r="AI26" s="196"/>
      <c r="AJ26" s="196"/>
      <c r="AK26" s="196"/>
      <c r="AL26" s="196"/>
      <c r="AM26" s="196"/>
      <c r="AN26" s="196"/>
    </row>
    <row r="27" spans="1:40" s="29" customFormat="1" x14ac:dyDescent="0.25">
      <c r="A27" s="3"/>
      <c r="B27" s="3"/>
      <c r="C27" s="125"/>
      <c r="D27" s="125"/>
      <c r="E27" s="125"/>
      <c r="F27" s="125">
        <v>3</v>
      </c>
      <c r="G27" s="125"/>
      <c r="H27" s="125"/>
      <c r="I27" s="125"/>
      <c r="J27" s="126" t="s">
        <v>3634</v>
      </c>
      <c r="K27" s="62" t="s">
        <v>3635</v>
      </c>
      <c r="L27" s="8" t="s">
        <v>3605</v>
      </c>
      <c r="M27" s="125"/>
      <c r="N27" s="125"/>
      <c r="O27" s="125"/>
      <c r="P27" s="126"/>
      <c r="Q27" s="126"/>
      <c r="R27" s="125"/>
      <c r="S27" s="125"/>
      <c r="T27" s="125"/>
      <c r="U27" s="125"/>
      <c r="V27" s="125"/>
      <c r="W27" s="125"/>
      <c r="X27" s="125"/>
      <c r="Y27" s="196"/>
      <c r="Z27" s="196"/>
      <c r="AA27" s="196"/>
      <c r="AB27" s="196"/>
      <c r="AC27" s="196"/>
      <c r="AD27" s="196"/>
      <c r="AE27" s="196"/>
      <c r="AF27" s="196"/>
      <c r="AG27" s="196"/>
      <c r="AH27" s="196"/>
      <c r="AI27" s="196"/>
      <c r="AJ27" s="196"/>
      <c r="AK27" s="196"/>
      <c r="AL27" s="196"/>
      <c r="AM27" s="196"/>
      <c r="AN27" s="196"/>
    </row>
    <row r="28" spans="1:40" s="29" customFormat="1" x14ac:dyDescent="0.25">
      <c r="A28" s="3"/>
      <c r="B28" s="3"/>
      <c r="C28" s="11"/>
      <c r="D28" s="11"/>
      <c r="E28" s="315">
        <v>2</v>
      </c>
      <c r="F28" s="1245" t="s">
        <v>3636</v>
      </c>
      <c r="G28" s="1245"/>
      <c r="H28" s="1245"/>
      <c r="I28" s="1245"/>
      <c r="J28" s="1245"/>
      <c r="K28" s="315"/>
      <c r="L28" s="934"/>
      <c r="M28" s="315"/>
      <c r="N28" s="315"/>
      <c r="O28" s="315"/>
      <c r="P28" s="315"/>
      <c r="Q28" s="315"/>
      <c r="R28" s="315"/>
      <c r="S28" s="315"/>
      <c r="T28" s="315"/>
      <c r="U28" s="315"/>
      <c r="V28" s="315"/>
      <c r="W28" s="315"/>
      <c r="X28" s="315"/>
      <c r="Y28" s="2"/>
      <c r="Z28" s="2"/>
      <c r="AA28" s="2"/>
      <c r="AB28" s="2"/>
      <c r="AC28" s="2"/>
      <c r="AD28" s="2"/>
      <c r="AE28" s="2"/>
      <c r="AF28" s="2"/>
      <c r="AG28" s="2"/>
      <c r="AH28" s="2"/>
      <c r="AI28" s="2"/>
      <c r="AJ28" s="2"/>
      <c r="AK28" s="2"/>
      <c r="AL28" s="2"/>
      <c r="AM28" s="2"/>
      <c r="AN28" s="2"/>
    </row>
    <row r="29" spans="1:40" s="29" customFormat="1" ht="30" x14ac:dyDescent="0.25">
      <c r="A29" s="3"/>
      <c r="B29" s="3"/>
      <c r="C29" s="125"/>
      <c r="D29" s="125"/>
      <c r="E29" s="125"/>
      <c r="F29" s="125"/>
      <c r="G29" s="125"/>
      <c r="H29" s="125"/>
      <c r="I29" s="125"/>
      <c r="J29" s="126" t="s">
        <v>3637</v>
      </c>
      <c r="K29" s="62" t="s">
        <v>3638</v>
      </c>
      <c r="L29" s="8" t="s">
        <v>3639</v>
      </c>
      <c r="M29" s="125"/>
      <c r="N29" s="125"/>
      <c r="O29" s="125"/>
      <c r="P29" s="62" t="s">
        <v>3640</v>
      </c>
      <c r="Q29" s="126" t="s">
        <v>3641</v>
      </c>
      <c r="R29" s="126" t="s">
        <v>3642</v>
      </c>
      <c r="S29" s="125"/>
      <c r="T29" s="125"/>
      <c r="U29" s="125"/>
      <c r="V29" s="125"/>
      <c r="W29" s="125"/>
      <c r="X29" s="125"/>
      <c r="Y29" s="196"/>
      <c r="Z29" s="196"/>
      <c r="AA29" s="196"/>
      <c r="AB29" s="196"/>
      <c r="AC29" s="196"/>
      <c r="AD29" s="196"/>
      <c r="AE29" s="196"/>
      <c r="AF29" s="196"/>
      <c r="AG29" s="196"/>
      <c r="AH29" s="196"/>
      <c r="AI29" s="196"/>
      <c r="AJ29" s="196"/>
      <c r="AK29" s="196"/>
      <c r="AL29" s="196"/>
      <c r="AM29" s="196"/>
      <c r="AN29" s="196"/>
    </row>
    <row r="30" spans="1:40" s="29" customFormat="1" x14ac:dyDescent="0.25">
      <c r="A30" s="3"/>
      <c r="B30" s="3"/>
      <c r="C30" s="11"/>
      <c r="D30" s="11"/>
      <c r="E30" s="315">
        <v>2</v>
      </c>
      <c r="F30" s="1245" t="s">
        <v>3643</v>
      </c>
      <c r="G30" s="1245"/>
      <c r="H30" s="1245"/>
      <c r="I30" s="1245"/>
      <c r="J30" s="1245"/>
      <c r="K30" s="315"/>
      <c r="L30" s="934"/>
      <c r="M30" s="315"/>
      <c r="N30" s="315"/>
      <c r="O30" s="315"/>
      <c r="P30" s="315"/>
      <c r="Q30" s="315"/>
      <c r="R30" s="315"/>
      <c r="S30" s="315"/>
      <c r="T30" s="315"/>
      <c r="U30" s="315"/>
      <c r="V30" s="315"/>
      <c r="W30" s="315"/>
      <c r="X30" s="315"/>
      <c r="Y30" s="2"/>
      <c r="Z30" s="2"/>
      <c r="AA30" s="2"/>
      <c r="AB30" s="2"/>
      <c r="AC30" s="2"/>
      <c r="AD30" s="2"/>
      <c r="AE30" s="2"/>
      <c r="AF30" s="2"/>
      <c r="AG30" s="2"/>
      <c r="AH30" s="2"/>
      <c r="AI30" s="2"/>
      <c r="AJ30" s="2"/>
      <c r="AK30" s="2"/>
      <c r="AL30" s="2"/>
      <c r="AM30" s="2"/>
      <c r="AN30" s="2"/>
    </row>
    <row r="31" spans="1:40" s="29" customFormat="1" ht="39" x14ac:dyDescent="0.25">
      <c r="A31" s="3"/>
      <c r="B31" s="3"/>
      <c r="C31" s="125"/>
      <c r="D31" s="125"/>
      <c r="E31" s="125"/>
      <c r="F31" s="125">
        <v>3</v>
      </c>
      <c r="G31" s="125"/>
      <c r="H31" s="125"/>
      <c r="I31" s="125"/>
      <c r="J31" s="298" t="s">
        <v>3644</v>
      </c>
      <c r="K31" s="62" t="s">
        <v>3645</v>
      </c>
      <c r="L31" s="8" t="s">
        <v>3646</v>
      </c>
      <c r="M31" s="325"/>
      <c r="N31" s="325"/>
      <c r="O31" s="325"/>
      <c r="P31" s="298" t="s">
        <v>3647</v>
      </c>
      <c r="Q31" s="126"/>
      <c r="R31" s="125"/>
      <c r="S31" s="125"/>
      <c r="T31" s="125"/>
      <c r="U31" s="125"/>
      <c r="V31" s="125"/>
      <c r="W31" s="125"/>
      <c r="X31" s="125"/>
      <c r="Y31" s="196"/>
      <c r="Z31" s="196"/>
      <c r="AA31" s="196"/>
      <c r="AB31" s="196"/>
      <c r="AC31" s="196"/>
      <c r="AD31" s="196"/>
      <c r="AE31" s="196"/>
      <c r="AF31" s="196"/>
      <c r="AG31" s="196"/>
      <c r="AH31" s="196"/>
      <c r="AI31" s="196"/>
      <c r="AJ31" s="196"/>
      <c r="AK31" s="196"/>
      <c r="AL31" s="196"/>
      <c r="AM31" s="196"/>
      <c r="AN31" s="196"/>
    </row>
    <row r="32" spans="1:40" s="29" customFormat="1" ht="26.25" x14ac:dyDescent="0.25">
      <c r="A32" s="3"/>
      <c r="B32" s="3"/>
      <c r="C32" s="125"/>
      <c r="D32" s="125"/>
      <c r="E32" s="125"/>
      <c r="F32" s="125">
        <v>3</v>
      </c>
      <c r="G32" s="125"/>
      <c r="H32" s="125"/>
      <c r="I32" s="125"/>
      <c r="J32" s="298" t="s">
        <v>3648</v>
      </c>
      <c r="K32" s="298" t="s">
        <v>3649</v>
      </c>
      <c r="L32" s="8" t="s">
        <v>3650</v>
      </c>
      <c r="M32" s="325"/>
      <c r="N32" s="325"/>
      <c r="O32" s="325"/>
      <c r="P32" s="298" t="s">
        <v>3651</v>
      </c>
      <c r="Q32" s="126"/>
      <c r="R32" s="125"/>
      <c r="S32" s="125"/>
      <c r="T32" s="125"/>
      <c r="U32" s="125"/>
      <c r="V32" s="125"/>
      <c r="W32" s="125"/>
      <c r="X32" s="125"/>
      <c r="Y32" s="196"/>
      <c r="Z32" s="196"/>
      <c r="AA32" s="196"/>
      <c r="AB32" s="196"/>
      <c r="AC32" s="196"/>
      <c r="AD32" s="196"/>
      <c r="AE32" s="196"/>
      <c r="AF32" s="196"/>
      <c r="AG32" s="196"/>
      <c r="AH32" s="196"/>
      <c r="AI32" s="196"/>
      <c r="AJ32" s="196"/>
      <c r="AK32" s="196"/>
      <c r="AL32" s="196"/>
      <c r="AM32" s="196"/>
      <c r="AN32" s="196"/>
    </row>
    <row r="33" spans="1:40" x14ac:dyDescent="0.25">
      <c r="A33" s="3"/>
      <c r="B33" s="3"/>
      <c r="C33" s="11"/>
      <c r="D33" s="11"/>
      <c r="E33" s="315">
        <v>2</v>
      </c>
      <c r="F33" s="1249" t="s">
        <v>3652</v>
      </c>
      <c r="G33" s="1249"/>
      <c r="H33" s="1249"/>
      <c r="I33" s="1249"/>
      <c r="J33" s="1249"/>
      <c r="K33" s="315"/>
      <c r="L33" s="934"/>
      <c r="M33" s="315"/>
      <c r="N33" s="935" t="str">
        <f>HYPERLINK("http://wiki.academyofsports.online/tiki-index.php?page=Vorgehen---neues-Produkt-in-Contao-anlegen", "Produkt Contao")</f>
        <v>Produkt Contao</v>
      </c>
      <c r="O33" s="315"/>
      <c r="P33" s="315"/>
      <c r="Q33" s="315"/>
      <c r="R33" s="315"/>
      <c r="S33" s="315"/>
      <c r="T33" s="315"/>
      <c r="U33" s="315"/>
      <c r="V33" s="315"/>
      <c r="W33" s="315"/>
      <c r="X33" s="315"/>
      <c r="Y33" s="2"/>
      <c r="Z33" s="2"/>
      <c r="AA33" s="2"/>
      <c r="AB33" s="2"/>
      <c r="AC33" s="2"/>
      <c r="AD33" s="2"/>
      <c r="AE33" s="2"/>
      <c r="AF33" s="2"/>
      <c r="AG33" s="2"/>
      <c r="AH33" s="2"/>
      <c r="AI33" s="2"/>
      <c r="AJ33" s="2"/>
      <c r="AK33" s="2"/>
      <c r="AL33" s="2"/>
      <c r="AM33" s="2"/>
      <c r="AN33" s="2"/>
    </row>
    <row r="34" spans="1:40" ht="26.25" x14ac:dyDescent="0.25">
      <c r="A34" s="3"/>
      <c r="B34" s="3"/>
      <c r="C34" s="11"/>
      <c r="D34" s="11"/>
      <c r="E34" s="11"/>
      <c r="F34" s="41">
        <v>3</v>
      </c>
      <c r="G34" s="41"/>
      <c r="H34" s="41"/>
      <c r="I34" s="41"/>
      <c r="J34" s="82" t="s">
        <v>3653</v>
      </c>
      <c r="K34" s="24" t="s">
        <v>3654</v>
      </c>
      <c r="L34" s="8" t="s">
        <v>3605</v>
      </c>
      <c r="M34" s="6"/>
      <c r="N34" s="716" t="str">
        <f>HYPERLINK("https://synology.bildungscampus-backnang.de:50823/drive/oo/r/iougReixBCrhOnJby3yTVVYNn2IHOi9G", "Dok Clevere ProduktStruktur")</f>
        <v>Dok Clevere ProduktStruktur</v>
      </c>
      <c r="O34" s="10"/>
      <c r="P34" s="6" t="s">
        <v>3655</v>
      </c>
      <c r="Q34" s="6"/>
      <c r="R34" s="10"/>
      <c r="S34" s="11"/>
      <c r="T34" s="16"/>
      <c r="U34" s="16"/>
      <c r="V34" s="11"/>
      <c r="W34" s="11"/>
      <c r="X34" s="11"/>
      <c r="Y34" s="2"/>
      <c r="Z34" s="2"/>
      <c r="AA34" s="2"/>
      <c r="AB34" s="2"/>
      <c r="AC34" s="2"/>
      <c r="AD34" s="2"/>
      <c r="AE34" s="2"/>
      <c r="AF34" s="2"/>
      <c r="AG34" s="2"/>
      <c r="AH34" s="2"/>
      <c r="AI34" s="2"/>
      <c r="AJ34" s="2"/>
      <c r="AK34" s="2"/>
      <c r="AL34" s="2"/>
      <c r="AM34" s="2"/>
      <c r="AN34" s="2"/>
    </row>
    <row r="35" spans="1:40" ht="26.25" x14ac:dyDescent="0.25">
      <c r="A35" s="3"/>
      <c r="B35" s="3"/>
      <c r="C35" s="11"/>
      <c r="D35" s="11"/>
      <c r="E35" s="11"/>
      <c r="F35" s="11"/>
      <c r="G35" s="10">
        <v>4</v>
      </c>
      <c r="H35" s="11"/>
      <c r="I35" s="11"/>
      <c r="J35" s="6" t="s">
        <v>3656</v>
      </c>
      <c r="K35" s="24" t="s">
        <v>3657</v>
      </c>
      <c r="L35" s="8" t="s">
        <v>3605</v>
      </c>
      <c r="M35" s="6"/>
      <c r="N35" s="10"/>
      <c r="O35" s="10"/>
      <c r="P35" s="6"/>
      <c r="Q35" s="6"/>
      <c r="R35" s="10"/>
      <c r="S35" s="11"/>
      <c r="T35" s="16"/>
      <c r="U35" s="16"/>
      <c r="V35" s="11"/>
      <c r="W35" s="11"/>
      <c r="X35" s="11"/>
      <c r="Y35" s="2"/>
      <c r="Z35" s="2"/>
      <c r="AA35" s="2"/>
      <c r="AB35" s="2"/>
      <c r="AC35" s="2"/>
      <c r="AD35" s="2"/>
      <c r="AE35" s="2"/>
      <c r="AF35" s="2"/>
      <c r="AG35" s="2"/>
      <c r="AH35" s="2"/>
      <c r="AI35" s="2"/>
      <c r="AJ35" s="2"/>
      <c r="AK35" s="2"/>
      <c r="AL35" s="2"/>
      <c r="AM35" s="2"/>
      <c r="AN35" s="2"/>
    </row>
    <row r="36" spans="1:40" x14ac:dyDescent="0.25">
      <c r="A36" s="3"/>
      <c r="B36" s="3"/>
      <c r="C36" s="11"/>
      <c r="D36" s="11"/>
      <c r="E36" s="11"/>
      <c r="F36" s="11"/>
      <c r="G36" s="10">
        <v>4</v>
      </c>
      <c r="H36" s="11"/>
      <c r="I36" s="11"/>
      <c r="J36" s="6" t="s">
        <v>3658</v>
      </c>
      <c r="K36" s="24" t="s">
        <v>3659</v>
      </c>
      <c r="L36" s="8" t="s">
        <v>3605</v>
      </c>
      <c r="M36" s="6"/>
      <c r="N36" s="716" t="str">
        <f>HYPERLINK("http://wiki.academyofsports.online/tiki-index.php?page=Erstellung-von-Meta-Daten", "Meta Daten")</f>
        <v>Meta Daten</v>
      </c>
      <c r="O36" s="10"/>
      <c r="P36" s="6"/>
      <c r="Q36" s="6"/>
      <c r="R36" s="10"/>
      <c r="S36" s="11"/>
      <c r="T36" s="16"/>
      <c r="U36" s="16"/>
      <c r="V36" s="11"/>
      <c r="W36" s="11"/>
      <c r="X36" s="11"/>
      <c r="Y36" s="2"/>
      <c r="Z36" s="2"/>
      <c r="AA36" s="2"/>
      <c r="AB36" s="2"/>
      <c r="AC36" s="2"/>
      <c r="AD36" s="2"/>
      <c r="AE36" s="2"/>
      <c r="AF36" s="2"/>
      <c r="AG36" s="2"/>
      <c r="AH36" s="2"/>
      <c r="AI36" s="2"/>
      <c r="AJ36" s="2"/>
      <c r="AK36" s="2"/>
      <c r="AL36" s="2"/>
      <c r="AM36" s="2"/>
      <c r="AN36" s="2"/>
    </row>
    <row r="37" spans="1:40" x14ac:dyDescent="0.25">
      <c r="A37" s="3"/>
      <c r="B37" s="3"/>
      <c r="C37" s="11"/>
      <c r="D37" s="11"/>
      <c r="E37" s="11"/>
      <c r="F37" s="11"/>
      <c r="G37" s="10">
        <v>4</v>
      </c>
      <c r="H37" s="11"/>
      <c r="I37" s="11"/>
      <c r="J37" s="6" t="s">
        <v>3660</v>
      </c>
      <c r="K37" s="24" t="s">
        <v>3661</v>
      </c>
      <c r="L37" s="8" t="s">
        <v>3605</v>
      </c>
      <c r="M37" s="6"/>
      <c r="N37" s="10"/>
      <c r="O37" s="10"/>
      <c r="P37" s="6"/>
      <c r="Q37" s="6"/>
      <c r="R37" s="10"/>
      <c r="S37" s="11"/>
      <c r="T37" s="16"/>
      <c r="U37" s="16"/>
      <c r="V37" s="11"/>
      <c r="W37" s="11"/>
      <c r="X37" s="11"/>
      <c r="Y37" s="2"/>
      <c r="Z37" s="2"/>
      <c r="AA37" s="2"/>
      <c r="AB37" s="2"/>
      <c r="AC37" s="2"/>
      <c r="AD37" s="2"/>
      <c r="AE37" s="2"/>
      <c r="AF37" s="2"/>
      <c r="AG37" s="2"/>
      <c r="AH37" s="2"/>
      <c r="AI37" s="2"/>
      <c r="AJ37" s="2"/>
      <c r="AK37" s="2"/>
      <c r="AL37" s="2"/>
      <c r="AM37" s="2"/>
      <c r="AN37" s="2"/>
    </row>
    <row r="38" spans="1:40" ht="60" x14ac:dyDescent="0.25">
      <c r="A38" s="3"/>
      <c r="B38" s="3"/>
      <c r="C38" s="11"/>
      <c r="D38" s="11"/>
      <c r="E38" s="11"/>
      <c r="F38" s="11"/>
      <c r="G38" s="10">
        <v>4</v>
      </c>
      <c r="H38" s="11"/>
      <c r="I38" s="11"/>
      <c r="J38" s="6" t="s">
        <v>3662</v>
      </c>
      <c r="K38" s="24" t="s">
        <v>3663</v>
      </c>
      <c r="L38" s="8" t="s">
        <v>3600</v>
      </c>
      <c r="M38" s="6"/>
      <c r="N38" s="10"/>
      <c r="O38" s="10"/>
      <c r="P38" s="6" t="s">
        <v>3664</v>
      </c>
      <c r="Q38" s="6" t="s">
        <v>3665</v>
      </c>
      <c r="R38" s="10"/>
      <c r="S38" s="11"/>
      <c r="T38" s="16"/>
      <c r="U38" s="16"/>
      <c r="V38" s="11"/>
      <c r="W38" s="11"/>
      <c r="X38" s="11"/>
      <c r="Y38" s="2"/>
      <c r="Z38" s="2"/>
      <c r="AA38" s="2"/>
      <c r="AB38" s="2"/>
      <c r="AC38" s="2"/>
      <c r="AD38" s="2"/>
      <c r="AE38" s="2"/>
      <c r="AF38" s="2"/>
      <c r="AG38" s="2"/>
      <c r="AH38" s="2"/>
      <c r="AI38" s="2"/>
      <c r="AJ38" s="2"/>
      <c r="AK38" s="2"/>
      <c r="AL38" s="2"/>
      <c r="AM38" s="2"/>
      <c r="AN38" s="2"/>
    </row>
    <row r="39" spans="1:40" ht="26.25" x14ac:dyDescent="0.25">
      <c r="A39" s="3"/>
      <c r="B39" s="3"/>
      <c r="C39" s="11"/>
      <c r="D39" s="11"/>
      <c r="E39" s="11"/>
      <c r="F39" s="11"/>
      <c r="G39" s="10">
        <v>4</v>
      </c>
      <c r="H39" s="11"/>
      <c r="I39" s="11"/>
      <c r="J39" s="24" t="s">
        <v>3666</v>
      </c>
      <c r="K39" s="24" t="s">
        <v>3667</v>
      </c>
      <c r="L39" s="8" t="s">
        <v>3668</v>
      </c>
      <c r="M39" s="6"/>
      <c r="N39" s="10"/>
      <c r="O39" s="10"/>
      <c r="P39" s="24" t="s">
        <v>3669</v>
      </c>
      <c r="Q39" s="6"/>
      <c r="R39" s="10"/>
      <c r="S39" s="11"/>
      <c r="T39" s="16"/>
      <c r="U39" s="16"/>
      <c r="V39" s="11"/>
      <c r="W39" s="11"/>
      <c r="X39" s="11"/>
      <c r="Y39" s="2"/>
      <c r="Z39" s="2"/>
      <c r="AA39" s="2"/>
      <c r="AB39" s="2"/>
      <c r="AC39" s="2"/>
      <c r="AD39" s="2"/>
      <c r="AE39" s="2"/>
      <c r="AF39" s="2"/>
      <c r="AG39" s="2"/>
      <c r="AH39" s="2"/>
      <c r="AI39" s="2"/>
      <c r="AJ39" s="2"/>
      <c r="AK39" s="2"/>
      <c r="AL39" s="2"/>
      <c r="AM39" s="2"/>
      <c r="AN39" s="2"/>
    </row>
    <row r="40" spans="1:40" ht="16.5" customHeight="1" x14ac:dyDescent="0.25">
      <c r="A40" s="3"/>
      <c r="B40" s="3"/>
      <c r="C40" s="11"/>
      <c r="D40" s="11"/>
      <c r="E40" s="315">
        <v>2</v>
      </c>
      <c r="F40" s="1249" t="s">
        <v>3670</v>
      </c>
      <c r="G40" s="1249"/>
      <c r="H40" s="1249"/>
      <c r="I40" s="1249"/>
      <c r="J40" s="1249"/>
      <c r="K40" s="315"/>
      <c r="L40" s="934"/>
      <c r="M40" s="315"/>
      <c r="N40" s="315"/>
      <c r="O40" s="315"/>
      <c r="P40" s="315"/>
      <c r="Q40" s="315"/>
      <c r="R40" s="315"/>
      <c r="S40" s="315"/>
      <c r="T40" s="315"/>
      <c r="U40" s="315"/>
      <c r="V40" s="315"/>
      <c r="W40" s="315"/>
      <c r="X40" s="315"/>
      <c r="Y40" s="2"/>
      <c r="Z40" s="2"/>
      <c r="AA40" s="2"/>
      <c r="AB40" s="2"/>
      <c r="AC40" s="2"/>
      <c r="AD40" s="2"/>
      <c r="AE40" s="2"/>
      <c r="AF40" s="2"/>
      <c r="AG40" s="2"/>
      <c r="AH40" s="2"/>
      <c r="AI40" s="2"/>
      <c r="AJ40" s="2"/>
      <c r="AK40" s="2"/>
      <c r="AL40" s="2"/>
      <c r="AM40" s="2"/>
      <c r="AN40" s="2"/>
    </row>
    <row r="41" spans="1:40" ht="30" x14ac:dyDescent="0.25">
      <c r="A41" s="3"/>
      <c r="B41" s="3"/>
      <c r="C41" s="11"/>
      <c r="D41" s="11"/>
      <c r="E41" s="11"/>
      <c r="F41" s="11">
        <v>3</v>
      </c>
      <c r="G41" s="11"/>
      <c r="H41" s="11"/>
      <c r="I41" s="11"/>
      <c r="J41" s="6" t="s">
        <v>3671</v>
      </c>
      <c r="K41" s="6" t="s">
        <v>3672</v>
      </c>
      <c r="L41" s="8" t="s">
        <v>3673</v>
      </c>
      <c r="M41" s="6"/>
      <c r="N41" s="10"/>
      <c r="O41" s="10"/>
      <c r="P41" s="6" t="s">
        <v>3674</v>
      </c>
      <c r="Q41" s="6"/>
      <c r="R41" s="10"/>
      <c r="S41" s="11"/>
      <c r="T41" s="16"/>
      <c r="U41" s="16"/>
      <c r="V41" s="11"/>
      <c r="W41" s="11"/>
      <c r="X41" s="11"/>
      <c r="Y41" s="2"/>
      <c r="Z41" s="2"/>
      <c r="AA41" s="2"/>
      <c r="AB41" s="2"/>
      <c r="AC41" s="2"/>
      <c r="AD41" s="2"/>
      <c r="AE41" s="2"/>
      <c r="AF41" s="2"/>
      <c r="AG41" s="2"/>
      <c r="AH41" s="2"/>
      <c r="AI41" s="2"/>
      <c r="AJ41" s="2"/>
      <c r="AK41" s="2"/>
      <c r="AL41" s="2"/>
      <c r="AM41" s="2"/>
      <c r="AN41" s="2"/>
    </row>
    <row r="42" spans="1:40" ht="30" x14ac:dyDescent="0.25">
      <c r="A42" s="3"/>
      <c r="B42" s="3"/>
      <c r="C42" s="6"/>
      <c r="D42" s="6"/>
      <c r="E42" s="6"/>
      <c r="F42" s="6"/>
      <c r="G42" s="6">
        <v>4</v>
      </c>
      <c r="H42" s="6"/>
      <c r="I42" s="6"/>
      <c r="J42" s="6" t="s">
        <v>3675</v>
      </c>
      <c r="K42" s="6" t="s">
        <v>3676</v>
      </c>
      <c r="L42" s="8" t="s">
        <v>3673</v>
      </c>
      <c r="M42" s="6"/>
      <c r="N42" s="719" t="str">
        <f>HYPERLINK("http://wiki.academyofsports.online/tiki-index.php?page=Google+My+Business+%28GMB%29", "GMB")</f>
        <v>GMB</v>
      </c>
      <c r="O42" s="6"/>
      <c r="P42" s="6" t="s">
        <v>3674</v>
      </c>
      <c r="Q42" s="6"/>
      <c r="R42" s="6"/>
      <c r="S42" s="6"/>
      <c r="T42" s="16"/>
      <c r="U42" s="16"/>
      <c r="V42" s="6"/>
      <c r="W42" s="6"/>
      <c r="X42" s="6"/>
    </row>
    <row r="43" spans="1:40" ht="30" x14ac:dyDescent="0.25">
      <c r="A43" s="3"/>
      <c r="B43" s="3"/>
      <c r="C43" s="6"/>
      <c r="D43" s="6"/>
      <c r="E43" s="6"/>
      <c r="F43" s="6"/>
      <c r="G43" s="6">
        <v>4</v>
      </c>
      <c r="H43" s="6"/>
      <c r="I43" s="6"/>
      <c r="J43" s="6" t="s">
        <v>3677</v>
      </c>
      <c r="K43" s="6" t="s">
        <v>3678</v>
      </c>
      <c r="L43" s="8" t="s">
        <v>3673</v>
      </c>
      <c r="M43" s="6"/>
      <c r="N43" s="719" t="str">
        <f>HYPERLINK("http://wiki.academyofsports.online/tiki-index.php?page=Weiterbildungsdatenbank-Saar", "WDB Saar")</f>
        <v>WDB Saar</v>
      </c>
      <c r="O43" s="6"/>
      <c r="P43" s="6" t="s">
        <v>3674</v>
      </c>
      <c r="Q43" s="6"/>
      <c r="R43" s="6"/>
      <c r="S43" s="6"/>
      <c r="T43" s="16"/>
      <c r="U43" s="16"/>
      <c r="V43" s="6"/>
      <c r="W43" s="6"/>
      <c r="X43" s="6"/>
    </row>
    <row r="44" spans="1:40" ht="30" x14ac:dyDescent="0.25">
      <c r="A44" s="3"/>
      <c r="B44" s="3"/>
      <c r="C44" s="6"/>
      <c r="D44" s="6"/>
      <c r="E44" s="6"/>
      <c r="F44" s="6"/>
      <c r="G44" s="6">
        <v>4</v>
      </c>
      <c r="H44" s="6"/>
      <c r="I44" s="6"/>
      <c r="J44" s="6" t="s">
        <v>3679</v>
      </c>
      <c r="K44" s="6" t="s">
        <v>3678</v>
      </c>
      <c r="L44" s="8" t="s">
        <v>3673</v>
      </c>
      <c r="M44" s="6"/>
      <c r="N44" s="719" t="str">
        <f>HYPERLINK("http://wiki.academyofsports.online/tiki-index.php?page=Weiterbildungsdatenbank-|-Brandenburg", "WDB Brandenburg")</f>
        <v>WDB Brandenburg</v>
      </c>
      <c r="O44" s="6"/>
      <c r="P44" s="6" t="s">
        <v>3674</v>
      </c>
      <c r="Q44" s="6"/>
      <c r="R44" s="6"/>
      <c r="S44" s="6"/>
      <c r="T44" s="16"/>
      <c r="U44" s="16"/>
      <c r="V44" s="6"/>
      <c r="W44" s="6"/>
      <c r="X44" s="6"/>
    </row>
    <row r="45" spans="1:40" ht="30" x14ac:dyDescent="0.25">
      <c r="A45" s="3"/>
      <c r="B45" s="3"/>
      <c r="C45" s="6"/>
      <c r="D45" s="6"/>
      <c r="E45" s="6"/>
      <c r="F45" s="6"/>
      <c r="G45" s="6">
        <v>4</v>
      </c>
      <c r="H45" s="6"/>
      <c r="I45" s="6"/>
      <c r="J45" s="6" t="s">
        <v>3680</v>
      </c>
      <c r="K45" s="6" t="s">
        <v>3678</v>
      </c>
      <c r="L45" s="8" t="s">
        <v>3673</v>
      </c>
      <c r="M45" s="6"/>
      <c r="N45" s="719" t="str">
        <f>HYPERLINK("http://wiki.academyofsports.online/tiki-index.php?page=Bildung.de", "Bildung.de")</f>
        <v>Bildung.de</v>
      </c>
      <c r="O45" s="6"/>
      <c r="P45" s="6" t="s">
        <v>3674</v>
      </c>
      <c r="Q45" s="6"/>
      <c r="R45" s="6"/>
      <c r="S45" s="6"/>
      <c r="T45" s="16"/>
      <c r="U45" s="16"/>
      <c r="V45" s="6"/>
      <c r="W45" s="6"/>
      <c r="X45" s="6"/>
    </row>
    <row r="46" spans="1:40" ht="30" x14ac:dyDescent="0.25">
      <c r="A46" s="3"/>
      <c r="B46" s="3"/>
      <c r="C46" s="6"/>
      <c r="D46" s="6"/>
      <c r="E46" s="6"/>
      <c r="F46" s="6"/>
      <c r="G46" s="6">
        <v>4</v>
      </c>
      <c r="H46" s="6"/>
      <c r="I46" s="6"/>
      <c r="J46" s="6" t="s">
        <v>3681</v>
      </c>
      <c r="K46" s="6" t="s">
        <v>3678</v>
      </c>
      <c r="L46" s="8" t="s">
        <v>3673</v>
      </c>
      <c r="M46" s="6"/>
      <c r="N46" s="719" t="str">
        <f>HYPERLINK("http://wiki.academyofsports.online/tiki-index.php?page=Weiterbildungs-Informations-System-(WIS)", "WIS")</f>
        <v>WIS</v>
      </c>
      <c r="O46" s="6"/>
      <c r="P46" s="6" t="s">
        <v>3674</v>
      </c>
      <c r="Q46" s="6"/>
      <c r="R46" s="6"/>
      <c r="S46" s="6"/>
      <c r="T46" s="16"/>
      <c r="U46" s="16"/>
      <c r="V46" s="6"/>
      <c r="W46" s="6"/>
      <c r="X46" s="6"/>
    </row>
    <row r="47" spans="1:40" ht="72.75" x14ac:dyDescent="0.25">
      <c r="A47" s="3"/>
      <c r="B47" s="3"/>
      <c r="C47" s="6"/>
      <c r="D47" s="6"/>
      <c r="E47" s="6"/>
      <c r="F47" s="6"/>
      <c r="G47" s="6">
        <v>4</v>
      </c>
      <c r="H47" s="6"/>
      <c r="I47" s="6"/>
      <c r="J47" s="6" t="s">
        <v>3682</v>
      </c>
      <c r="K47" s="6" t="s">
        <v>3683</v>
      </c>
      <c r="L47" s="8" t="s">
        <v>3673</v>
      </c>
      <c r="M47" s="6"/>
      <c r="N47" s="719" t="str">
        <f>HYPERLINK("http://wiki.academyofsports.online/tiki-index.php?page=Fortbildung-BW", "Fortbildung BW")</f>
        <v>Fortbildung BW</v>
      </c>
      <c r="O47" s="6"/>
      <c r="P47" s="6" t="s">
        <v>3674</v>
      </c>
      <c r="Q47" s="6"/>
      <c r="R47" s="6"/>
      <c r="S47" s="6"/>
      <c r="T47" s="16"/>
      <c r="U47" s="16"/>
      <c r="V47" s="6"/>
      <c r="W47" s="6"/>
      <c r="X47" s="6"/>
    </row>
    <row r="48" spans="1:40" ht="60" x14ac:dyDescent="0.25">
      <c r="A48" s="3"/>
      <c r="B48" s="3"/>
      <c r="C48" s="6"/>
      <c r="D48" s="6"/>
      <c r="E48" s="6"/>
      <c r="F48" s="6"/>
      <c r="G48" s="6">
        <v>4</v>
      </c>
      <c r="H48" s="6"/>
      <c r="I48" s="6"/>
      <c r="J48" s="6" t="s">
        <v>3684</v>
      </c>
      <c r="K48" s="6" t="s">
        <v>3685</v>
      </c>
      <c r="L48" s="8" t="s">
        <v>3673</v>
      </c>
      <c r="M48" s="6"/>
      <c r="N48" s="719" t="str">
        <f>HYPERLINK("http://wiki.academyofsports.online/tiki-index.php?page=Fortbildung-24-(meister-boxx-GmbH-)", "FB24")</f>
        <v>FB24</v>
      </c>
      <c r="O48" s="6"/>
      <c r="P48" s="6" t="s">
        <v>3674</v>
      </c>
      <c r="Q48" s="6"/>
      <c r="R48" s="6"/>
      <c r="S48" s="6"/>
      <c r="T48" s="16"/>
      <c r="U48" s="16"/>
      <c r="V48" s="6"/>
      <c r="W48" s="6"/>
      <c r="X48" s="6"/>
    </row>
    <row r="49" spans="1:40" ht="30" x14ac:dyDescent="0.25">
      <c r="A49" s="3"/>
      <c r="B49" s="3"/>
      <c r="C49" s="6"/>
      <c r="D49" s="6"/>
      <c r="E49" s="6"/>
      <c r="F49" s="6"/>
      <c r="G49" s="6">
        <v>4</v>
      </c>
      <c r="H49" s="6"/>
      <c r="I49" s="6"/>
      <c r="J49" s="6" t="s">
        <v>3686</v>
      </c>
      <c r="K49" s="6" t="s">
        <v>3687</v>
      </c>
      <c r="L49" s="8" t="s">
        <v>3673</v>
      </c>
      <c r="M49" s="6"/>
      <c r="N49" s="719" t="str">
        <f>HYPERLINK("http://wiki.academyofsports.online/tiki-index.php?page=Seminarzoom-|-Bildungsportal", "Seminarzoom")</f>
        <v>Seminarzoom</v>
      </c>
      <c r="O49" s="6"/>
      <c r="P49" s="6" t="s">
        <v>3674</v>
      </c>
      <c r="Q49" s="6"/>
      <c r="R49" s="6"/>
      <c r="S49" s="6"/>
      <c r="T49" s="16"/>
      <c r="U49" s="16"/>
      <c r="V49" s="6"/>
      <c r="W49" s="6"/>
      <c r="X49" s="6"/>
    </row>
    <row r="50" spans="1:40" ht="20.25" customHeight="1" x14ac:dyDescent="0.25">
      <c r="A50" s="3"/>
      <c r="B50" s="3"/>
      <c r="C50" s="928"/>
      <c r="D50" s="928">
        <v>1</v>
      </c>
      <c r="E50" s="1247" t="s">
        <v>3688</v>
      </c>
      <c r="F50" s="1247"/>
      <c r="G50" s="1247"/>
      <c r="H50" s="1247"/>
      <c r="I50" s="1247"/>
      <c r="J50" s="1247"/>
      <c r="K50" s="1247"/>
      <c r="L50" s="93"/>
      <c r="M50" s="93"/>
      <c r="N50" s="936" t="str">
        <f>HYPERLINK("http://wiki.academyofsports.online/tiki-index.php?page=Neues-Produkt-wird-%22buchbar%22", "Produkt buchbar")</f>
        <v>Produkt buchbar</v>
      </c>
      <c r="O50" s="93"/>
      <c r="P50" s="93"/>
      <c r="Q50" s="93"/>
      <c r="R50" s="93"/>
      <c r="S50" s="93"/>
      <c r="T50" s="93"/>
      <c r="U50" s="93"/>
      <c r="V50" s="93"/>
      <c r="W50" s="93"/>
      <c r="X50" s="93"/>
      <c r="Y50" s="2"/>
      <c r="Z50" s="2"/>
      <c r="AA50" s="2"/>
      <c r="AB50" s="2"/>
      <c r="AC50" s="2"/>
      <c r="AD50" s="2"/>
      <c r="AE50" s="2"/>
      <c r="AF50" s="2"/>
      <c r="AG50" s="2"/>
      <c r="AH50" s="2"/>
      <c r="AI50" s="2"/>
      <c r="AJ50" s="2"/>
      <c r="AK50" s="2"/>
      <c r="AL50" s="2"/>
      <c r="AM50" s="2"/>
      <c r="AN50" s="2"/>
    </row>
    <row r="51" spans="1:40" x14ac:dyDescent="0.25">
      <c r="A51" s="3"/>
      <c r="B51" s="3"/>
      <c r="C51" s="11"/>
      <c r="D51" s="11"/>
      <c r="E51" s="315">
        <v>2</v>
      </c>
      <c r="F51" s="1249" t="s">
        <v>3689</v>
      </c>
      <c r="G51" s="1249"/>
      <c r="H51" s="1249"/>
      <c r="I51" s="1249"/>
      <c r="J51" s="1249"/>
      <c r="K51" s="315"/>
      <c r="L51" s="937"/>
      <c r="M51" s="120"/>
      <c r="N51" s="938" t="str">
        <f>HYPERLINK("http://wiki.academyofsports.online/tiki-index.php?page=Vorgehen---neues-Produkt-in-Contao-anlegen", "Produkt Contao")</f>
        <v>Produkt Contao</v>
      </c>
      <c r="O51" s="120"/>
      <c r="P51" s="120"/>
      <c r="Q51" s="120"/>
      <c r="R51" s="120"/>
      <c r="S51" s="120"/>
      <c r="T51" s="120"/>
      <c r="U51" s="120"/>
      <c r="V51" s="120"/>
      <c r="W51" s="120"/>
      <c r="X51" s="120"/>
      <c r="Y51" s="2"/>
      <c r="Z51" s="2"/>
      <c r="AA51" s="2"/>
      <c r="AB51" s="2"/>
      <c r="AC51" s="2"/>
      <c r="AD51" s="2"/>
      <c r="AE51" s="2"/>
      <c r="AF51" s="2"/>
      <c r="AG51" s="2"/>
      <c r="AH51" s="2"/>
      <c r="AI51" s="2"/>
      <c r="AJ51" s="2"/>
      <c r="AK51" s="2"/>
      <c r="AL51" s="2"/>
      <c r="AM51" s="2"/>
      <c r="AN51" s="2"/>
    </row>
    <row r="52" spans="1:40" ht="43.5" x14ac:dyDescent="0.25">
      <c r="A52" s="3"/>
      <c r="B52" s="3"/>
      <c r="C52" s="6"/>
      <c r="D52" s="6"/>
      <c r="E52" s="6"/>
      <c r="F52" s="6">
        <v>3</v>
      </c>
      <c r="G52" s="6"/>
      <c r="H52" s="6"/>
      <c r="I52" s="6"/>
      <c r="J52" s="6" t="s">
        <v>3690</v>
      </c>
      <c r="K52" s="6" t="s">
        <v>3691</v>
      </c>
      <c r="L52" s="8" t="s">
        <v>3600</v>
      </c>
      <c r="M52" s="6"/>
      <c r="N52" s="6"/>
      <c r="O52" s="6"/>
      <c r="P52" s="6" t="s">
        <v>3692</v>
      </c>
      <c r="Q52" s="6"/>
      <c r="R52" s="6" t="s">
        <v>3693</v>
      </c>
      <c r="S52" s="6"/>
      <c r="T52" s="16"/>
      <c r="U52" s="16"/>
      <c r="V52" s="6"/>
      <c r="W52" s="6"/>
      <c r="X52" s="6"/>
    </row>
    <row r="53" spans="1:40" ht="30" x14ac:dyDescent="0.25">
      <c r="A53" s="3"/>
      <c r="B53" s="3"/>
      <c r="C53" s="6"/>
      <c r="D53" s="6"/>
      <c r="E53" s="6"/>
      <c r="F53" s="6">
        <v>3</v>
      </c>
      <c r="G53" s="6"/>
      <c r="H53" s="6"/>
      <c r="I53" s="6"/>
      <c r="J53" s="6" t="s">
        <v>3694</v>
      </c>
      <c r="K53" s="6" t="s">
        <v>3695</v>
      </c>
      <c r="L53" s="8" t="s">
        <v>3696</v>
      </c>
      <c r="M53" s="6"/>
      <c r="N53" s="6"/>
      <c r="O53" s="6"/>
      <c r="P53" s="833" t="s">
        <v>3697</v>
      </c>
      <c r="Q53" s="6"/>
      <c r="R53" s="6"/>
      <c r="S53" s="6"/>
      <c r="T53" s="16"/>
      <c r="U53" s="16"/>
      <c r="V53" s="6"/>
      <c r="W53" s="6"/>
      <c r="X53" s="6"/>
    </row>
    <row r="54" spans="1:40" ht="45" x14ac:dyDescent="0.25">
      <c r="A54" s="3"/>
      <c r="B54" s="3"/>
      <c r="C54" s="6"/>
      <c r="D54" s="6"/>
      <c r="E54" s="6"/>
      <c r="F54" s="6">
        <v>3</v>
      </c>
      <c r="G54" s="6"/>
      <c r="H54" s="6"/>
      <c r="I54" s="6"/>
      <c r="J54" s="6" t="s">
        <v>3698</v>
      </c>
      <c r="K54" s="6" t="s">
        <v>3699</v>
      </c>
      <c r="L54" s="8" t="s">
        <v>3600</v>
      </c>
      <c r="M54" s="6"/>
      <c r="N54" s="6"/>
      <c r="O54" s="6"/>
      <c r="P54" s="110" t="s">
        <v>3700</v>
      </c>
      <c r="Q54" s="6"/>
      <c r="R54" s="6"/>
      <c r="S54" s="6"/>
      <c r="T54" s="16"/>
      <c r="U54" s="16"/>
      <c r="V54" s="6"/>
      <c r="W54" s="6"/>
      <c r="X54" s="6"/>
    </row>
    <row r="55" spans="1:40" ht="30" x14ac:dyDescent="0.25">
      <c r="A55" s="3"/>
      <c r="B55" s="3"/>
      <c r="C55" s="6"/>
      <c r="D55" s="6"/>
      <c r="E55" s="6"/>
      <c r="F55" s="6">
        <v>3</v>
      </c>
      <c r="G55" s="6"/>
      <c r="H55" s="6"/>
      <c r="I55" s="6"/>
      <c r="J55" s="6" t="s">
        <v>3701</v>
      </c>
      <c r="K55" s="6" t="s">
        <v>3702</v>
      </c>
      <c r="L55" s="8" t="s">
        <v>3600</v>
      </c>
      <c r="M55" s="6"/>
      <c r="N55" s="6"/>
      <c r="O55" s="6"/>
      <c r="P55" s="6" t="s">
        <v>3703</v>
      </c>
      <c r="Q55" s="6"/>
      <c r="R55" s="6"/>
      <c r="S55" s="6"/>
      <c r="T55" s="16"/>
      <c r="U55" s="16"/>
      <c r="V55" s="6"/>
      <c r="W55" s="6"/>
      <c r="X55" s="6"/>
    </row>
    <row r="56" spans="1:40" ht="39" x14ac:dyDescent="0.25">
      <c r="A56" s="3"/>
      <c r="B56" s="3"/>
      <c r="C56" s="125"/>
      <c r="D56" s="125"/>
      <c r="E56" s="125"/>
      <c r="F56" s="125">
        <v>3</v>
      </c>
      <c r="G56" s="125"/>
      <c r="H56" s="125"/>
      <c r="I56" s="125"/>
      <c r="J56" s="298" t="s">
        <v>3648</v>
      </c>
      <c r="K56" s="298" t="s">
        <v>3649</v>
      </c>
      <c r="L56" s="8" t="s">
        <v>3650</v>
      </c>
      <c r="M56" s="325"/>
      <c r="N56" s="325"/>
      <c r="O56" s="325"/>
      <c r="P56" s="298" t="s">
        <v>3651</v>
      </c>
      <c r="Q56" s="126" t="s">
        <v>3704</v>
      </c>
      <c r="R56" s="125"/>
      <c r="S56" s="125"/>
      <c r="T56" s="125"/>
      <c r="U56" s="125"/>
      <c r="V56" s="125"/>
      <c r="W56" s="125"/>
      <c r="X56" s="125"/>
      <c r="Y56" s="196"/>
      <c r="Z56" s="196"/>
      <c r="AA56" s="196"/>
      <c r="AB56" s="196"/>
      <c r="AC56" s="196"/>
      <c r="AD56" s="196"/>
      <c r="AE56" s="196"/>
      <c r="AF56" s="196"/>
      <c r="AG56" s="196"/>
      <c r="AH56" s="196"/>
      <c r="AI56" s="196"/>
      <c r="AJ56" s="196"/>
      <c r="AK56" s="196"/>
      <c r="AL56" s="196"/>
      <c r="AM56" s="196"/>
      <c r="AN56" s="196"/>
    </row>
    <row r="57" spans="1:40" ht="45" x14ac:dyDescent="0.25">
      <c r="A57" s="3"/>
      <c r="B57" s="3"/>
      <c r="C57" s="6"/>
      <c r="D57" s="6"/>
      <c r="E57" s="6"/>
      <c r="F57" s="6">
        <v>3</v>
      </c>
      <c r="G57" s="6"/>
      <c r="H57" s="6"/>
      <c r="I57" s="6"/>
      <c r="J57" s="6" t="s">
        <v>3705</v>
      </c>
      <c r="K57" s="6" t="s">
        <v>3706</v>
      </c>
      <c r="L57" s="8" t="s">
        <v>3600</v>
      </c>
      <c r="M57" s="6"/>
      <c r="N57" s="6"/>
      <c r="O57" s="6"/>
      <c r="P57" s="6"/>
      <c r="Q57" s="6" t="s">
        <v>3707</v>
      </c>
      <c r="R57" s="6"/>
      <c r="S57" s="6"/>
      <c r="T57" s="16"/>
      <c r="U57" s="16"/>
      <c r="V57" s="6"/>
      <c r="W57" s="6"/>
      <c r="X57" s="6"/>
    </row>
    <row r="58" spans="1:40" ht="45" x14ac:dyDescent="0.25">
      <c r="A58" s="3"/>
      <c r="B58" s="3"/>
      <c r="C58" s="6"/>
      <c r="D58" s="6"/>
      <c r="E58" s="6"/>
      <c r="F58" s="6">
        <v>3</v>
      </c>
      <c r="G58" s="6"/>
      <c r="H58" s="6"/>
      <c r="I58" s="6"/>
      <c r="J58" s="6" t="s">
        <v>3708</v>
      </c>
      <c r="K58" s="6" t="s">
        <v>3709</v>
      </c>
      <c r="L58" s="8" t="s">
        <v>3710</v>
      </c>
      <c r="M58" s="6"/>
      <c r="N58" s="6"/>
      <c r="O58" s="6"/>
      <c r="P58" s="6"/>
      <c r="Q58" s="6" t="s">
        <v>3711</v>
      </c>
      <c r="R58" s="6"/>
      <c r="S58" s="6"/>
      <c r="T58" s="16"/>
      <c r="U58" s="16"/>
      <c r="V58" s="6"/>
      <c r="W58" s="6"/>
      <c r="X58" s="6"/>
    </row>
    <row r="59" spans="1:40" ht="30" x14ac:dyDescent="0.25">
      <c r="A59" s="3"/>
      <c r="B59" s="3"/>
      <c r="C59" s="6"/>
      <c r="D59" s="6"/>
      <c r="E59" s="6"/>
      <c r="F59" s="6">
        <v>3</v>
      </c>
      <c r="G59" s="6"/>
      <c r="H59" s="6"/>
      <c r="I59" s="6"/>
      <c r="J59" s="6" t="s">
        <v>3712</v>
      </c>
      <c r="K59" s="6" t="s">
        <v>3713</v>
      </c>
      <c r="L59" s="8" t="s">
        <v>3605</v>
      </c>
      <c r="M59" s="6"/>
      <c r="N59" s="6"/>
      <c r="O59" s="6"/>
      <c r="P59" s="6"/>
      <c r="Q59" s="6"/>
      <c r="R59" s="6"/>
      <c r="S59" s="6"/>
      <c r="T59" s="16"/>
      <c r="U59" s="16"/>
      <c r="V59" s="6"/>
      <c r="W59" s="6"/>
      <c r="X59" s="6"/>
    </row>
    <row r="60" spans="1:40" x14ac:dyDescent="0.25">
      <c r="A60" s="3"/>
      <c r="B60" s="3"/>
      <c r="C60" s="6"/>
      <c r="D60" s="6"/>
      <c r="E60" s="6"/>
      <c r="F60" s="6">
        <v>3</v>
      </c>
      <c r="G60" s="6"/>
      <c r="H60" s="6"/>
      <c r="I60" s="6"/>
      <c r="J60" s="6" t="s">
        <v>3714</v>
      </c>
      <c r="K60" s="6" t="s">
        <v>3715</v>
      </c>
      <c r="L60" s="8" t="s">
        <v>3605</v>
      </c>
      <c r="M60" s="6"/>
      <c r="N60" s="6"/>
      <c r="O60" s="6"/>
      <c r="P60" s="6"/>
      <c r="Q60" s="6"/>
      <c r="R60" s="6"/>
      <c r="S60" s="6"/>
      <c r="T60" s="16"/>
      <c r="U60" s="16"/>
      <c r="V60" s="6"/>
      <c r="W60" s="6"/>
      <c r="X60" s="6"/>
    </row>
    <row r="61" spans="1:40" x14ac:dyDescent="0.25">
      <c r="A61" s="3"/>
      <c r="B61" s="3"/>
      <c r="C61" s="6"/>
      <c r="D61" s="6"/>
      <c r="E61" s="6"/>
      <c r="F61" s="6">
        <v>3</v>
      </c>
      <c r="G61" s="6"/>
      <c r="H61" s="6"/>
      <c r="I61" s="6"/>
      <c r="J61" s="6" t="s">
        <v>3634</v>
      </c>
      <c r="K61" s="6" t="s">
        <v>3716</v>
      </c>
      <c r="L61" s="8" t="s">
        <v>3605</v>
      </c>
      <c r="M61" s="6"/>
      <c r="N61" s="6"/>
      <c r="O61" s="6"/>
      <c r="P61" s="6"/>
      <c r="Q61" s="6"/>
      <c r="R61" s="6"/>
      <c r="S61" s="6"/>
      <c r="T61" s="16"/>
      <c r="U61" s="16"/>
      <c r="V61" s="6"/>
      <c r="W61" s="6"/>
      <c r="X61" s="6"/>
    </row>
    <row r="62" spans="1:40" x14ac:dyDescent="0.25">
      <c r="A62" s="3"/>
      <c r="B62" s="3"/>
      <c r="C62" s="11"/>
      <c r="D62" s="11"/>
      <c r="E62" s="120">
        <v>2</v>
      </c>
      <c r="F62" s="1245" t="s">
        <v>3717</v>
      </c>
      <c r="G62" s="1245"/>
      <c r="H62" s="1245"/>
      <c r="I62" s="1245"/>
      <c r="J62" s="1245"/>
      <c r="K62" s="1245"/>
      <c r="L62" s="1246"/>
      <c r="M62" s="1245"/>
      <c r="N62" s="1245"/>
      <c r="O62" s="1245"/>
      <c r="P62" s="1245"/>
      <c r="Q62" s="1245"/>
      <c r="R62" s="1245"/>
      <c r="S62" s="1245"/>
      <c r="T62" s="1245"/>
      <c r="U62" s="1245"/>
      <c r="V62" s="1245"/>
      <c r="W62" s="1245"/>
      <c r="X62" s="1245"/>
      <c r="Y62" s="2"/>
      <c r="Z62" s="2"/>
      <c r="AA62" s="2"/>
      <c r="AB62" s="2"/>
      <c r="AC62" s="2"/>
      <c r="AD62" s="2"/>
      <c r="AE62" s="2"/>
      <c r="AF62" s="2"/>
      <c r="AG62" s="2"/>
      <c r="AH62" s="2"/>
      <c r="AI62" s="2"/>
      <c r="AJ62" s="2"/>
      <c r="AK62" s="2"/>
      <c r="AL62" s="2"/>
      <c r="AM62" s="2"/>
      <c r="AN62" s="2"/>
    </row>
    <row r="63" spans="1:40" ht="105" x14ac:dyDescent="0.25">
      <c r="A63" s="3"/>
      <c r="B63" s="3"/>
      <c r="C63" s="6"/>
      <c r="D63" s="6"/>
      <c r="E63" s="6"/>
      <c r="F63" s="6">
        <v>3</v>
      </c>
      <c r="G63" s="6"/>
      <c r="H63" s="6"/>
      <c r="I63" s="6"/>
      <c r="J63" s="6" t="s">
        <v>3718</v>
      </c>
      <c r="K63" s="6" t="s">
        <v>3719</v>
      </c>
      <c r="L63" s="8" t="s">
        <v>3720</v>
      </c>
      <c r="M63" s="6"/>
      <c r="N63" s="6"/>
      <c r="O63" s="6"/>
      <c r="P63" s="6" t="s">
        <v>3721</v>
      </c>
      <c r="Q63" s="6" t="s">
        <v>3722</v>
      </c>
      <c r="R63" s="6"/>
      <c r="S63" s="6"/>
      <c r="T63" s="16"/>
      <c r="U63" s="16"/>
      <c r="V63" s="6"/>
      <c r="W63" s="6"/>
      <c r="X63" s="6"/>
    </row>
    <row r="64" spans="1:40" ht="105" x14ac:dyDescent="0.25">
      <c r="A64" s="3"/>
      <c r="B64" s="3"/>
      <c r="C64" s="6"/>
      <c r="D64" s="6"/>
      <c r="E64" s="6"/>
      <c r="F64" s="6">
        <v>3</v>
      </c>
      <c r="G64" s="6"/>
      <c r="H64" s="6"/>
      <c r="I64" s="6"/>
      <c r="J64" s="6" t="s">
        <v>3723</v>
      </c>
      <c r="K64" s="6" t="s">
        <v>3724</v>
      </c>
      <c r="L64" s="8" t="s">
        <v>3720</v>
      </c>
      <c r="M64" s="6"/>
      <c r="N64" s="6"/>
      <c r="O64" s="6"/>
      <c r="P64" s="6" t="s">
        <v>3721</v>
      </c>
      <c r="Q64" s="6" t="s">
        <v>3722</v>
      </c>
      <c r="R64" s="6"/>
      <c r="S64" s="6"/>
      <c r="T64" s="16"/>
      <c r="U64" s="16"/>
      <c r="V64" s="6"/>
      <c r="W64" s="6"/>
      <c r="X64" s="6"/>
    </row>
    <row r="65" spans="1:40" ht="105" x14ac:dyDescent="0.25">
      <c r="A65" s="3"/>
      <c r="B65" s="3"/>
      <c r="C65" s="6"/>
      <c r="D65" s="6"/>
      <c r="E65" s="6"/>
      <c r="F65" s="6">
        <v>3</v>
      </c>
      <c r="G65" s="6"/>
      <c r="H65" s="6"/>
      <c r="I65" s="6"/>
      <c r="J65" s="6" t="s">
        <v>3725</v>
      </c>
      <c r="K65" s="6" t="s">
        <v>3726</v>
      </c>
      <c r="L65" s="8" t="s">
        <v>3720</v>
      </c>
      <c r="M65" s="6"/>
      <c r="N65" s="6"/>
      <c r="O65" s="6"/>
      <c r="P65" s="6" t="s">
        <v>3721</v>
      </c>
      <c r="Q65" s="6" t="s">
        <v>3722</v>
      </c>
      <c r="R65" s="6"/>
      <c r="S65" s="6"/>
      <c r="T65" s="16"/>
      <c r="U65" s="16"/>
      <c r="V65" s="6"/>
      <c r="W65" s="6"/>
      <c r="X65" s="6"/>
    </row>
    <row r="66" spans="1:40" x14ac:dyDescent="0.25">
      <c r="A66" s="3"/>
      <c r="B66" s="3"/>
      <c r="C66" s="11"/>
      <c r="D66" s="11"/>
      <c r="E66" s="120">
        <v>2</v>
      </c>
      <c r="F66" s="1250" t="s">
        <v>3727</v>
      </c>
      <c r="G66" s="1250"/>
      <c r="H66" s="1250"/>
      <c r="I66" s="1250"/>
      <c r="J66" s="1250"/>
      <c r="K66" s="1250"/>
      <c r="L66" s="1251"/>
      <c r="M66" s="1250"/>
      <c r="N66" s="1250"/>
      <c r="O66" s="1250"/>
      <c r="P66" s="1250"/>
      <c r="Q66" s="1250"/>
      <c r="R66" s="1250"/>
      <c r="S66" s="1250"/>
      <c r="T66" s="1250"/>
      <c r="U66" s="1250"/>
      <c r="V66" s="1250"/>
      <c r="W66" s="1250"/>
      <c r="X66" s="1250"/>
      <c r="Y66" s="2"/>
      <c r="Z66" s="2"/>
      <c r="AA66" s="2"/>
      <c r="AB66" s="2"/>
      <c r="AC66" s="2"/>
      <c r="AD66" s="2"/>
      <c r="AE66" s="2"/>
      <c r="AF66" s="2"/>
      <c r="AG66" s="2"/>
      <c r="AH66" s="2"/>
      <c r="AI66" s="2"/>
      <c r="AJ66" s="2"/>
      <c r="AK66" s="2"/>
      <c r="AL66" s="2"/>
      <c r="AM66" s="2"/>
      <c r="AN66" s="2"/>
    </row>
    <row r="67" spans="1:40" ht="105" x14ac:dyDescent="0.25">
      <c r="A67" s="3"/>
      <c r="B67" s="3"/>
      <c r="C67" s="6"/>
      <c r="D67" s="6"/>
      <c r="E67" s="6"/>
      <c r="F67" s="6">
        <v>3</v>
      </c>
      <c r="G67" s="6"/>
      <c r="H67" s="6"/>
      <c r="I67" s="6"/>
      <c r="J67" s="6" t="s">
        <v>45</v>
      </c>
      <c r="K67" s="6" t="s">
        <v>3728</v>
      </c>
      <c r="L67" s="8" t="s">
        <v>3729</v>
      </c>
      <c r="M67" s="6"/>
      <c r="N67" s="719" t="str">
        <f>HYPERLINK("http://wiki.academyofsports.online/tiki-index.php?page=Instagram---DeLSt", "Insta")</f>
        <v>Insta</v>
      </c>
      <c r="O67" s="6"/>
      <c r="P67" s="24" t="s">
        <v>3730</v>
      </c>
      <c r="Q67" s="290"/>
      <c r="R67" s="6" t="s">
        <v>3731</v>
      </c>
      <c r="S67" s="6"/>
      <c r="T67" s="16"/>
      <c r="U67" s="16"/>
      <c r="V67" s="6"/>
      <c r="W67" s="6"/>
      <c r="X67" s="6"/>
    </row>
    <row r="68" spans="1:40" ht="60" x14ac:dyDescent="0.25">
      <c r="A68" s="3"/>
      <c r="B68" s="3"/>
      <c r="C68" s="6"/>
      <c r="D68" s="6"/>
      <c r="E68" s="6"/>
      <c r="F68" s="6">
        <v>3</v>
      </c>
      <c r="G68" s="6"/>
      <c r="H68" s="6"/>
      <c r="I68" s="6"/>
      <c r="J68" s="6" t="s">
        <v>44</v>
      </c>
      <c r="K68" s="613" t="s">
        <v>3732</v>
      </c>
      <c r="L68" s="8" t="s">
        <v>3733</v>
      </c>
      <c r="M68" s="6"/>
      <c r="N68" s="719" t="str">
        <f>HYPERLINK("http://wiki.academyofsports.online/tiki-index.php?page=Facebook", "Facebook")</f>
        <v>Facebook</v>
      </c>
      <c r="O68" s="6"/>
      <c r="P68" s="6" t="s">
        <v>3734</v>
      </c>
      <c r="Q68" s="290"/>
      <c r="R68" s="6"/>
      <c r="S68" s="6"/>
      <c r="T68" s="16"/>
      <c r="U68" s="16"/>
      <c r="V68" s="6"/>
      <c r="W68" s="6"/>
      <c r="X68" s="6"/>
    </row>
    <row r="69" spans="1:40" ht="39" x14ac:dyDescent="0.25">
      <c r="A69" s="3"/>
      <c r="B69" s="3"/>
      <c r="C69" s="6"/>
      <c r="D69" s="6"/>
      <c r="E69" s="6"/>
      <c r="F69" s="6">
        <v>3</v>
      </c>
      <c r="G69" s="6"/>
      <c r="H69" s="6"/>
      <c r="I69" s="6"/>
      <c r="J69" s="24" t="s">
        <v>47</v>
      </c>
      <c r="K69" s="24" t="s">
        <v>3735</v>
      </c>
      <c r="L69" s="8" t="s">
        <v>3729</v>
      </c>
      <c r="M69" s="6"/>
      <c r="N69" s="719" t="str">
        <f>HYPERLINK("http://wiki.academyofsports.online/tiki-index.php?page=LinkedIn", "LinkedIn")</f>
        <v>LinkedIn</v>
      </c>
      <c r="O69" s="6"/>
      <c r="P69" s="24" t="s">
        <v>3730</v>
      </c>
      <c r="Q69" s="290"/>
      <c r="R69" s="6"/>
      <c r="S69" s="6"/>
      <c r="T69" s="16"/>
      <c r="U69" s="16"/>
      <c r="V69" s="6"/>
      <c r="W69" s="6"/>
      <c r="X69" s="6"/>
    </row>
    <row r="70" spans="1:40" ht="39" x14ac:dyDescent="0.25">
      <c r="A70" s="3"/>
      <c r="B70" s="3"/>
      <c r="C70" s="6"/>
      <c r="D70" s="6"/>
      <c r="E70" s="6"/>
      <c r="F70" s="6">
        <v>3</v>
      </c>
      <c r="G70" s="6"/>
      <c r="H70" s="6"/>
      <c r="I70" s="6"/>
      <c r="J70" s="24" t="s">
        <v>49</v>
      </c>
      <c r="K70" s="24" t="s">
        <v>3735</v>
      </c>
      <c r="L70" s="8" t="s">
        <v>3729</v>
      </c>
      <c r="M70" s="6"/>
      <c r="N70" s="719" t="str">
        <f>HYPERLINK("http://wiki.academyofsports.online/tiki-index.php?page=Xing", "Xing")</f>
        <v>Xing</v>
      </c>
      <c r="O70" s="6"/>
      <c r="P70" s="24" t="s">
        <v>3730</v>
      </c>
      <c r="Q70" s="290"/>
      <c r="R70" s="6"/>
      <c r="S70" s="6"/>
      <c r="T70" s="16"/>
      <c r="U70" s="16"/>
      <c r="V70" s="6"/>
      <c r="W70" s="6"/>
      <c r="X70" s="6"/>
    </row>
    <row r="71" spans="1:40" ht="39" x14ac:dyDescent="0.25">
      <c r="A71" s="3"/>
      <c r="B71" s="3"/>
      <c r="C71" s="6"/>
      <c r="D71" s="6"/>
      <c r="E71" s="6"/>
      <c r="F71" s="6">
        <v>3</v>
      </c>
      <c r="G71" s="6"/>
      <c r="H71" s="6"/>
      <c r="I71" s="6"/>
      <c r="J71" s="24" t="s">
        <v>3736</v>
      </c>
      <c r="K71" s="24" t="s">
        <v>3737</v>
      </c>
      <c r="L71" s="8" t="s">
        <v>3729</v>
      </c>
      <c r="M71" s="6"/>
      <c r="N71" s="719" t="str">
        <f>HYPERLINK("http://wiki.academyofsports.online/tiki-index.php?page=Twitter", "Twitter (nur AoS)")</f>
        <v>Twitter (nur AoS)</v>
      </c>
      <c r="O71" s="6"/>
      <c r="P71" s="24" t="s">
        <v>3730</v>
      </c>
      <c r="Q71" s="290"/>
      <c r="R71" s="6"/>
      <c r="S71" s="6"/>
      <c r="T71" s="16"/>
      <c r="U71" s="16"/>
      <c r="V71" s="6"/>
      <c r="W71" s="6"/>
      <c r="X71" s="6"/>
    </row>
    <row r="72" spans="1:40" ht="60" x14ac:dyDescent="0.25">
      <c r="A72" s="3"/>
      <c r="B72" s="3"/>
      <c r="C72" s="6"/>
      <c r="D72" s="6"/>
      <c r="E72" s="6"/>
      <c r="F72" s="6">
        <v>3</v>
      </c>
      <c r="G72" s="6"/>
      <c r="H72" s="6"/>
      <c r="I72" s="6"/>
      <c r="J72" s="24" t="s">
        <v>3738</v>
      </c>
      <c r="K72" s="6" t="s">
        <v>3739</v>
      </c>
      <c r="L72" s="8" t="s">
        <v>3729</v>
      </c>
      <c r="M72" s="6"/>
      <c r="N72" s="719" t="str">
        <f>HYPERLINK("http://wiki.academyofsports.online/tiki-index.php?page=YouTube", "YouTube")</f>
        <v>YouTube</v>
      </c>
      <c r="O72" s="6"/>
      <c r="P72" s="24" t="s">
        <v>3740</v>
      </c>
      <c r="Q72" s="6"/>
      <c r="R72" s="6"/>
      <c r="S72" s="6"/>
      <c r="T72" s="16"/>
      <c r="U72" s="16"/>
      <c r="V72" s="6"/>
      <c r="W72" s="6"/>
      <c r="X72" s="6"/>
    </row>
    <row r="73" spans="1:40" x14ac:dyDescent="0.25">
      <c r="A73" s="3"/>
      <c r="B73" s="3"/>
      <c r="C73" s="11"/>
      <c r="D73" s="11"/>
      <c r="E73" s="120">
        <v>2</v>
      </c>
      <c r="F73" s="1245" t="s">
        <v>3741</v>
      </c>
      <c r="G73" s="1245"/>
      <c r="H73" s="1245"/>
      <c r="I73" s="1245"/>
      <c r="J73" s="1245"/>
      <c r="K73" s="1245"/>
      <c r="L73" s="1246"/>
      <c r="M73" s="1245"/>
      <c r="N73" s="1245"/>
      <c r="O73" s="1245"/>
      <c r="P73" s="1245"/>
      <c r="Q73" s="1245"/>
      <c r="R73" s="1245"/>
      <c r="S73" s="1245"/>
      <c r="T73" s="1245"/>
      <c r="U73" s="1245"/>
      <c r="V73" s="1245"/>
      <c r="W73" s="1245"/>
      <c r="X73" s="1245"/>
      <c r="Y73" s="2"/>
      <c r="Z73" s="2"/>
      <c r="AA73" s="2"/>
      <c r="AB73" s="2"/>
      <c r="AC73" s="2"/>
      <c r="AD73" s="2"/>
      <c r="AE73" s="2"/>
      <c r="AF73" s="2"/>
      <c r="AG73" s="2"/>
      <c r="AH73" s="2"/>
      <c r="AI73" s="2"/>
      <c r="AJ73" s="2"/>
      <c r="AK73" s="2"/>
      <c r="AL73" s="2"/>
      <c r="AM73" s="2"/>
      <c r="AN73" s="2"/>
    </row>
    <row r="74" spans="1:40" ht="25.5" customHeight="1" x14ac:dyDescent="0.25">
      <c r="A74" s="3"/>
      <c r="B74" s="3"/>
      <c r="C74" s="6"/>
      <c r="D74" s="6"/>
      <c r="E74" s="6"/>
      <c r="F74" s="6">
        <v>3</v>
      </c>
      <c r="G74" s="6"/>
      <c r="H74" s="6"/>
      <c r="I74" s="6"/>
      <c r="J74" s="6" t="s">
        <v>3742</v>
      </c>
      <c r="K74" s="6" t="s">
        <v>3743</v>
      </c>
      <c r="L74" s="8" t="s">
        <v>3673</v>
      </c>
      <c r="M74" s="6"/>
      <c r="N74" s="6"/>
      <c r="O74" s="6"/>
      <c r="P74" s="6" t="s">
        <v>3744</v>
      </c>
      <c r="Q74" s="6"/>
      <c r="R74" s="6"/>
      <c r="S74" s="6"/>
      <c r="T74" s="16"/>
      <c r="U74" s="16"/>
      <c r="V74" s="6"/>
      <c r="W74" s="6"/>
      <c r="X74" s="6"/>
    </row>
    <row r="75" spans="1:40" ht="25.5" customHeight="1" x14ac:dyDescent="0.25">
      <c r="A75" s="3"/>
      <c r="B75" s="3"/>
      <c r="C75" s="6"/>
      <c r="D75" s="6"/>
      <c r="E75" s="6"/>
      <c r="F75" s="6">
        <v>3</v>
      </c>
      <c r="G75" s="6"/>
      <c r="H75" s="6"/>
      <c r="I75" s="6"/>
      <c r="J75" s="11" t="s">
        <v>3745</v>
      </c>
      <c r="K75" s="6" t="s">
        <v>3746</v>
      </c>
      <c r="L75" s="8" t="s">
        <v>3673</v>
      </c>
      <c r="M75" s="6"/>
      <c r="N75" s="6"/>
      <c r="O75" s="6"/>
      <c r="P75" s="6" t="s">
        <v>3744</v>
      </c>
      <c r="Q75" s="6"/>
      <c r="R75" s="6"/>
      <c r="S75" s="6"/>
      <c r="T75" s="16"/>
      <c r="U75" s="16"/>
      <c r="V75" s="6"/>
      <c r="W75" s="6"/>
      <c r="X75" s="6"/>
    </row>
    <row r="76" spans="1:40" ht="25.5" customHeight="1" x14ac:dyDescent="0.25">
      <c r="A76" s="3"/>
      <c r="B76" s="3"/>
      <c r="C76" s="6"/>
      <c r="D76" s="6"/>
      <c r="E76" s="6"/>
      <c r="F76" s="6"/>
      <c r="G76" s="6">
        <v>4</v>
      </c>
      <c r="H76" s="6"/>
      <c r="I76" s="6"/>
      <c r="J76" s="6" t="s">
        <v>3747</v>
      </c>
      <c r="K76" s="6" t="s">
        <v>3748</v>
      </c>
      <c r="L76" s="8" t="s">
        <v>3673</v>
      </c>
      <c r="M76" s="6"/>
      <c r="N76" s="719" t="str">
        <f>HYPERLINK("http://wiki.academyofsports.online/tiki-index.php?page=FernstudiumCheck", "FCheck")</f>
        <v>FCheck</v>
      </c>
      <c r="O76" s="6"/>
      <c r="P76" s="6" t="s">
        <v>3744</v>
      </c>
      <c r="Q76" s="6"/>
      <c r="R76" s="6"/>
      <c r="S76" s="6"/>
      <c r="T76" s="16"/>
      <c r="U76" s="16"/>
      <c r="V76" s="6"/>
      <c r="W76" s="6"/>
      <c r="X76" s="6"/>
    </row>
    <row r="77" spans="1:40" ht="25.5" customHeight="1" x14ac:dyDescent="0.25">
      <c r="A77" s="3"/>
      <c r="B77" s="3"/>
      <c r="C77" s="6"/>
      <c r="D77" s="6"/>
      <c r="E77" s="6"/>
      <c r="F77" s="6"/>
      <c r="G77" s="6">
        <v>4</v>
      </c>
      <c r="H77" s="6"/>
      <c r="I77" s="6"/>
      <c r="J77" s="6" t="s">
        <v>3749</v>
      </c>
      <c r="K77" s="6" t="s">
        <v>3678</v>
      </c>
      <c r="L77" s="8" t="s">
        <v>3673</v>
      </c>
      <c r="M77" s="6"/>
      <c r="N77" s="719" t="str">
        <f>HYPERLINK("http://wiki.academyofsports.online/tiki-index.php?page=Springest", "Springest")</f>
        <v>Springest</v>
      </c>
      <c r="O77" s="6"/>
      <c r="P77" s="6" t="s">
        <v>3744</v>
      </c>
      <c r="Q77" s="6"/>
      <c r="R77" s="6"/>
      <c r="S77" s="6"/>
      <c r="T77" s="16"/>
      <c r="U77" s="16"/>
      <c r="V77" s="6"/>
      <c r="W77" s="6"/>
      <c r="X77" s="6"/>
    </row>
    <row r="78" spans="1:40" ht="25.5" customHeight="1" x14ac:dyDescent="0.25">
      <c r="A78" s="3"/>
      <c r="B78" s="3"/>
      <c r="C78" s="6"/>
      <c r="D78" s="6"/>
      <c r="E78" s="6"/>
      <c r="F78" s="6"/>
      <c r="G78" s="6">
        <v>4</v>
      </c>
      <c r="H78" s="6"/>
      <c r="I78" s="6"/>
      <c r="J78" s="6" t="s">
        <v>3750</v>
      </c>
      <c r="K78" s="6" t="s">
        <v>3678</v>
      </c>
      <c r="L78" s="8" t="s">
        <v>3673</v>
      </c>
      <c r="M78" s="6"/>
      <c r="N78" s="719" t="str">
        <f>HYPERLINK("http://wiki.academyofsports.online/tiki-index.php?page=Emagister", "Emagister")</f>
        <v>Emagister</v>
      </c>
      <c r="O78" s="6"/>
      <c r="P78" s="6" t="s">
        <v>3744</v>
      </c>
      <c r="Q78" s="6"/>
      <c r="R78" s="6"/>
      <c r="S78" s="6"/>
      <c r="T78" s="16"/>
      <c r="U78" s="16"/>
      <c r="V78" s="6"/>
      <c r="W78" s="6"/>
      <c r="X78" s="6"/>
    </row>
    <row r="79" spans="1:40" ht="25.5" customHeight="1" x14ac:dyDescent="0.25">
      <c r="A79" s="3"/>
      <c r="B79" s="3"/>
      <c r="C79" s="6"/>
      <c r="D79" s="6"/>
      <c r="E79" s="6"/>
      <c r="F79" s="6"/>
      <c r="G79" s="6">
        <v>4</v>
      </c>
      <c r="H79" s="6"/>
      <c r="I79" s="6"/>
      <c r="J79" s="6" t="s">
        <v>3751</v>
      </c>
      <c r="K79" s="6" t="s">
        <v>3678</v>
      </c>
      <c r="L79" s="8" t="s">
        <v>3673</v>
      </c>
      <c r="M79" s="6"/>
      <c r="N79" s="719" t="str">
        <f>HYPERLINK("http://wiki.academyofsports.online/tiki-index.php?page=Fernstudium-Direkt", "FSD")</f>
        <v>FSD</v>
      </c>
      <c r="O79" s="6"/>
      <c r="P79" s="6" t="s">
        <v>3744</v>
      </c>
      <c r="Q79" s="6"/>
      <c r="R79" s="6"/>
      <c r="S79" s="6"/>
      <c r="T79" s="16"/>
      <c r="U79" s="16"/>
      <c r="V79" s="6"/>
      <c r="W79" s="6"/>
      <c r="X79" s="6"/>
    </row>
    <row r="80" spans="1:40" ht="25.5" customHeight="1" x14ac:dyDescent="0.25">
      <c r="A80" s="3"/>
      <c r="B80" s="3"/>
      <c r="C80" s="6"/>
      <c r="D80" s="6"/>
      <c r="E80" s="6"/>
      <c r="F80" s="6"/>
      <c r="G80" s="6">
        <v>4</v>
      </c>
      <c r="H80" s="6"/>
      <c r="I80" s="6"/>
      <c r="J80" s="6" t="s">
        <v>3752</v>
      </c>
      <c r="K80" s="6" t="s">
        <v>3753</v>
      </c>
      <c r="L80" s="8" t="s">
        <v>3673</v>
      </c>
      <c r="M80" s="6"/>
      <c r="N80" s="719" t="str">
        <f>HYPERLINK("http://wiki.academyofsports.online/tiki-index.php?page=Kursfinder", "Kursfinder")</f>
        <v>Kursfinder</v>
      </c>
      <c r="O80" s="6"/>
      <c r="P80" s="6" t="s">
        <v>3744</v>
      </c>
      <c r="Q80" s="6"/>
      <c r="R80" s="6"/>
      <c r="S80" s="6"/>
      <c r="T80" s="16"/>
      <c r="U80" s="16"/>
      <c r="V80" s="6"/>
      <c r="W80" s="6"/>
      <c r="X80" s="6"/>
    </row>
    <row r="81" spans="1:40" ht="25.5" customHeight="1" x14ac:dyDescent="0.25">
      <c r="A81" s="3"/>
      <c r="B81" s="3"/>
      <c r="C81" s="6"/>
      <c r="D81" s="6"/>
      <c r="E81" s="6"/>
      <c r="F81" s="6"/>
      <c r="G81" s="6">
        <v>4</v>
      </c>
      <c r="H81" s="6"/>
      <c r="I81" s="6"/>
      <c r="J81" s="6" t="s">
        <v>3754</v>
      </c>
      <c r="K81" s="6" t="s">
        <v>3755</v>
      </c>
      <c r="L81" s="8" t="s">
        <v>3673</v>
      </c>
      <c r="M81" s="6"/>
      <c r="N81" s="719" t="str">
        <f>HYPERLINK("http://wiki.academyofsports.online/tiki-index.php?page=Educheck-|-Bildungsportal", "Educheck")</f>
        <v>Educheck</v>
      </c>
      <c r="O81" s="6"/>
      <c r="P81" s="6" t="s">
        <v>3744</v>
      </c>
      <c r="Q81" s="6"/>
      <c r="R81" s="6"/>
      <c r="S81" s="6"/>
      <c r="T81" s="16"/>
      <c r="U81" s="16"/>
      <c r="V81" s="6"/>
      <c r="W81" s="6"/>
      <c r="X81" s="6"/>
    </row>
    <row r="82" spans="1:40" x14ac:dyDescent="0.25">
      <c r="A82" s="3"/>
      <c r="B82" s="3"/>
      <c r="C82" s="11"/>
      <c r="D82" s="11"/>
      <c r="E82" s="939">
        <v>2</v>
      </c>
      <c r="F82" s="1252" t="s">
        <v>3756</v>
      </c>
      <c r="G82" s="1253"/>
      <c r="H82" s="1253"/>
      <c r="I82" s="1253"/>
      <c r="J82" s="1254"/>
      <c r="K82" s="931"/>
      <c r="L82" s="932"/>
      <c r="M82" s="931"/>
      <c r="N82" s="93"/>
      <c r="O82" s="93"/>
      <c r="P82" s="931"/>
      <c r="Q82" s="931"/>
      <c r="R82" s="931"/>
      <c r="S82" s="931"/>
      <c r="T82" s="931"/>
      <c r="U82" s="931"/>
      <c r="V82" s="931"/>
      <c r="W82" s="931"/>
      <c r="X82" s="931"/>
      <c r="Y82" s="2"/>
      <c r="Z82" s="2"/>
      <c r="AA82" s="2"/>
      <c r="AB82" s="2"/>
      <c r="AC82" s="2"/>
      <c r="AD82" s="2"/>
      <c r="AE82" s="2"/>
      <c r="AF82" s="2"/>
      <c r="AG82" s="2"/>
      <c r="AH82" s="2"/>
      <c r="AI82" s="2"/>
      <c r="AJ82" s="2"/>
      <c r="AK82" s="2"/>
      <c r="AL82" s="2"/>
      <c r="AM82" s="2"/>
      <c r="AN82" s="2"/>
    </row>
    <row r="83" spans="1:40" ht="45" x14ac:dyDescent="0.25">
      <c r="A83" s="3"/>
      <c r="B83" s="3"/>
      <c r="C83" s="11"/>
      <c r="D83" s="11"/>
      <c r="E83" s="41"/>
      <c r="F83" s="41">
        <v>3</v>
      </c>
      <c r="G83" s="41"/>
      <c r="H83" s="41"/>
      <c r="I83" s="41"/>
      <c r="J83" s="82" t="s">
        <v>3757</v>
      </c>
      <c r="K83" s="6" t="s">
        <v>3758</v>
      </c>
      <c r="L83" s="8" t="s">
        <v>3668</v>
      </c>
      <c r="M83" s="11"/>
      <c r="N83" s="11"/>
      <c r="O83" s="11"/>
      <c r="P83" s="10"/>
      <c r="Q83" s="24" t="s">
        <v>3759</v>
      </c>
      <c r="R83" s="11"/>
      <c r="S83" s="11"/>
      <c r="T83" s="11"/>
      <c r="U83" s="11"/>
      <c r="V83" s="11"/>
      <c r="W83" s="11"/>
      <c r="X83" s="11"/>
      <c r="Y83" s="2"/>
      <c r="Z83" s="2"/>
      <c r="AA83" s="2"/>
      <c r="AB83" s="2"/>
      <c r="AC83" s="2"/>
      <c r="AD83" s="2"/>
      <c r="AE83" s="2"/>
      <c r="AF83" s="2"/>
      <c r="AG83" s="2"/>
      <c r="AH83" s="2"/>
      <c r="AI83" s="2"/>
      <c r="AJ83" s="2"/>
      <c r="AK83" s="2"/>
      <c r="AL83" s="2"/>
      <c r="AM83" s="2"/>
      <c r="AN83" s="2"/>
    </row>
    <row r="84" spans="1:40" ht="25.5" customHeight="1" x14ac:dyDescent="0.25">
      <c r="A84" s="3"/>
      <c r="B84" s="3"/>
      <c r="C84" s="11"/>
      <c r="D84" s="10"/>
      <c r="E84" s="274"/>
      <c r="F84" s="10">
        <v>3</v>
      </c>
      <c r="G84" s="290"/>
      <c r="H84" s="290"/>
      <c r="I84" s="290"/>
      <c r="J84" s="614" t="s">
        <v>2992</v>
      </c>
      <c r="K84" s="24" t="s">
        <v>3760</v>
      </c>
      <c r="L84" s="27" t="s">
        <v>945</v>
      </c>
      <c r="M84" s="11"/>
      <c r="N84" s="11"/>
      <c r="O84" s="11"/>
      <c r="P84" s="24" t="s">
        <v>3761</v>
      </c>
      <c r="Q84" s="11"/>
      <c r="R84" s="11"/>
      <c r="S84" s="11"/>
      <c r="T84" s="11"/>
      <c r="U84" s="11"/>
      <c r="V84" s="11"/>
      <c r="W84" s="11"/>
      <c r="X84" s="11"/>
      <c r="Y84" s="2"/>
      <c r="Z84" s="2"/>
      <c r="AA84" s="2"/>
      <c r="AB84" s="2"/>
      <c r="AC84" s="2"/>
      <c r="AD84" s="2"/>
      <c r="AE84" s="2"/>
      <c r="AF84" s="2"/>
      <c r="AG84" s="2"/>
      <c r="AH84" s="2"/>
      <c r="AI84" s="2"/>
      <c r="AJ84" s="2"/>
      <c r="AK84" s="2"/>
      <c r="AL84" s="2"/>
      <c r="AM84" s="2"/>
      <c r="AN84" s="2"/>
    </row>
    <row r="85" spans="1:40" ht="25.5" customHeight="1" x14ac:dyDescent="0.25">
      <c r="A85" s="3"/>
      <c r="B85" s="3"/>
      <c r="C85" s="11"/>
      <c r="D85" s="11"/>
      <c r="E85" s="41"/>
      <c r="F85" s="11">
        <v>3</v>
      </c>
      <c r="G85" s="11"/>
      <c r="H85" s="11"/>
      <c r="I85" s="11"/>
      <c r="J85" s="6" t="s">
        <v>3762</v>
      </c>
      <c r="K85" s="6" t="s">
        <v>3763</v>
      </c>
      <c r="L85" s="8" t="s">
        <v>3673</v>
      </c>
      <c r="M85" s="11"/>
      <c r="N85" s="11"/>
      <c r="O85" s="11"/>
      <c r="P85" s="10" t="s">
        <v>3761</v>
      </c>
      <c r="Q85" s="11"/>
      <c r="R85" s="11"/>
      <c r="S85" s="11"/>
      <c r="T85" s="11"/>
      <c r="U85" s="11"/>
      <c r="V85" s="11"/>
      <c r="W85" s="11"/>
      <c r="X85" s="11"/>
      <c r="Y85" s="2"/>
      <c r="Z85" s="2"/>
      <c r="AA85" s="2"/>
      <c r="AB85" s="2"/>
      <c r="AC85" s="2"/>
      <c r="AD85" s="2"/>
      <c r="AE85" s="2"/>
      <c r="AF85" s="2"/>
      <c r="AG85" s="2"/>
      <c r="AH85" s="2"/>
      <c r="AI85" s="2"/>
      <c r="AJ85" s="2"/>
      <c r="AK85" s="2"/>
      <c r="AL85" s="2"/>
      <c r="AM85" s="2"/>
      <c r="AN85" s="2"/>
    </row>
    <row r="86" spans="1:40" ht="25.5" customHeight="1" x14ac:dyDescent="0.25">
      <c r="A86" s="3"/>
      <c r="B86" s="3"/>
      <c r="C86" s="11"/>
      <c r="D86" s="11"/>
      <c r="E86" s="41"/>
      <c r="F86" s="11">
        <v>3</v>
      </c>
      <c r="G86" s="11"/>
      <c r="H86" s="11"/>
      <c r="I86" s="11"/>
      <c r="J86" s="11" t="s">
        <v>3764</v>
      </c>
      <c r="K86" s="6"/>
      <c r="L86" s="8" t="s">
        <v>3673</v>
      </c>
      <c r="M86" s="11"/>
      <c r="N86" s="11"/>
      <c r="O86" s="11"/>
      <c r="P86" s="10" t="s">
        <v>3761</v>
      </c>
      <c r="Q86" s="11"/>
      <c r="R86" s="11"/>
      <c r="S86" s="11"/>
      <c r="T86" s="11"/>
      <c r="U86" s="11"/>
      <c r="V86" s="11"/>
      <c r="W86" s="11"/>
      <c r="X86" s="11"/>
      <c r="Y86" s="2"/>
      <c r="Z86" s="2"/>
      <c r="AA86" s="2"/>
      <c r="AB86" s="2"/>
      <c r="AC86" s="2"/>
      <c r="AD86" s="2"/>
      <c r="AE86" s="2"/>
      <c r="AF86" s="2"/>
      <c r="AG86" s="2"/>
      <c r="AH86" s="2"/>
      <c r="AI86" s="2"/>
      <c r="AJ86" s="2"/>
      <c r="AK86" s="2"/>
      <c r="AL86" s="2"/>
      <c r="AM86" s="2"/>
      <c r="AN86" s="2"/>
    </row>
    <row r="87" spans="1:40" ht="25.5" customHeight="1" x14ac:dyDescent="0.25">
      <c r="A87" s="3"/>
      <c r="B87" s="3"/>
      <c r="C87" s="11"/>
      <c r="D87" s="10"/>
      <c r="E87" s="274"/>
      <c r="F87" s="10"/>
      <c r="G87" s="10">
        <v>4</v>
      </c>
      <c r="H87" s="10"/>
      <c r="I87" s="10"/>
      <c r="J87" s="10" t="s">
        <v>3765</v>
      </c>
      <c r="K87" s="6" t="s">
        <v>3766</v>
      </c>
      <c r="L87" s="8" t="s">
        <v>3673</v>
      </c>
      <c r="M87" s="11"/>
      <c r="N87" s="11"/>
      <c r="O87" s="11"/>
      <c r="P87" s="10" t="s">
        <v>3761</v>
      </c>
      <c r="Q87" s="11"/>
      <c r="R87" s="11"/>
      <c r="S87" s="11"/>
      <c r="T87" s="11"/>
      <c r="U87" s="11"/>
      <c r="V87" s="11"/>
      <c r="W87" s="11"/>
      <c r="X87" s="11"/>
      <c r="Y87" s="2"/>
      <c r="Z87" s="2"/>
      <c r="AA87" s="2"/>
      <c r="AB87" s="2"/>
      <c r="AC87" s="2"/>
      <c r="AD87" s="2"/>
      <c r="AE87" s="2"/>
      <c r="AF87" s="2"/>
      <c r="AG87" s="2"/>
      <c r="AH87" s="2"/>
      <c r="AI87" s="2"/>
      <c r="AJ87" s="2"/>
      <c r="AK87" s="2"/>
      <c r="AL87" s="2"/>
      <c r="AM87" s="2"/>
      <c r="AN87" s="2"/>
    </row>
    <row r="88" spans="1:40" ht="25.5" customHeight="1" x14ac:dyDescent="0.25">
      <c r="A88" s="3"/>
      <c r="B88" s="3"/>
      <c r="C88" s="11"/>
      <c r="D88" s="10"/>
      <c r="E88" s="274"/>
      <c r="F88" s="10"/>
      <c r="G88" s="10">
        <v>4</v>
      </c>
      <c r="H88" s="10"/>
      <c r="I88" s="10"/>
      <c r="J88" s="65" t="s">
        <v>3767</v>
      </c>
      <c r="K88" s="6" t="s">
        <v>3768</v>
      </c>
      <c r="L88" s="8" t="s">
        <v>3673</v>
      </c>
      <c r="M88" s="11"/>
      <c r="N88" s="11"/>
      <c r="O88" s="11"/>
      <c r="P88" s="10" t="s">
        <v>3761</v>
      </c>
      <c r="Q88" s="11"/>
      <c r="R88" s="11"/>
      <c r="S88" s="11"/>
      <c r="T88" s="11"/>
      <c r="U88" s="11"/>
      <c r="V88" s="11"/>
      <c r="W88" s="11"/>
      <c r="X88" s="11"/>
      <c r="Y88" s="2"/>
      <c r="Z88" s="2"/>
      <c r="AA88" s="2"/>
      <c r="AB88" s="2"/>
      <c r="AC88" s="2"/>
      <c r="AD88" s="2"/>
      <c r="AE88" s="2"/>
      <c r="AF88" s="2"/>
      <c r="AG88" s="2"/>
      <c r="AH88" s="2"/>
      <c r="AI88" s="2"/>
      <c r="AJ88" s="2"/>
      <c r="AK88" s="2"/>
      <c r="AL88" s="2"/>
      <c r="AM88" s="2"/>
      <c r="AN88" s="2"/>
    </row>
    <row r="89" spans="1:40" ht="25.5" customHeight="1" x14ac:dyDescent="0.25">
      <c r="A89" s="3"/>
      <c r="B89" s="3"/>
      <c r="C89" s="11"/>
      <c r="D89" s="10"/>
      <c r="E89" s="274"/>
      <c r="F89" s="10"/>
      <c r="G89" s="10">
        <v>4</v>
      </c>
      <c r="H89" s="10"/>
      <c r="I89" s="10"/>
      <c r="J89" s="65" t="s">
        <v>3769</v>
      </c>
      <c r="K89" s="6" t="s">
        <v>3768</v>
      </c>
      <c r="L89" s="8" t="s">
        <v>3673</v>
      </c>
      <c r="M89" s="11"/>
      <c r="N89" s="11"/>
      <c r="O89" s="11"/>
      <c r="P89" s="10" t="s">
        <v>3761</v>
      </c>
      <c r="Q89" s="11"/>
      <c r="R89" s="11"/>
      <c r="S89" s="11"/>
      <c r="T89" s="11"/>
      <c r="U89" s="11"/>
      <c r="V89" s="11"/>
      <c r="W89" s="11"/>
      <c r="X89" s="11"/>
      <c r="Y89" s="2"/>
      <c r="Z89" s="2"/>
      <c r="AA89" s="2"/>
      <c r="AB89" s="2"/>
      <c r="AC89" s="2"/>
      <c r="AD89" s="2"/>
      <c r="AE89" s="2"/>
      <c r="AF89" s="2"/>
      <c r="AG89" s="2"/>
      <c r="AH89" s="2"/>
      <c r="AI89" s="2"/>
      <c r="AJ89" s="2"/>
      <c r="AK89" s="2"/>
      <c r="AL89" s="2"/>
      <c r="AM89" s="2"/>
      <c r="AN89" s="2"/>
    </row>
    <row r="90" spans="1:40" ht="25.5" customHeight="1" x14ac:dyDescent="0.25">
      <c r="A90" s="3"/>
      <c r="B90" s="3"/>
      <c r="C90" s="11"/>
      <c r="D90" s="10"/>
      <c r="E90" s="274"/>
      <c r="F90" s="10"/>
      <c r="G90" s="10">
        <v>4</v>
      </c>
      <c r="H90" s="10"/>
      <c r="I90" s="10"/>
      <c r="J90" s="65" t="s">
        <v>3770</v>
      </c>
      <c r="K90" s="6" t="s">
        <v>3768</v>
      </c>
      <c r="L90" s="8" t="s">
        <v>3673</v>
      </c>
      <c r="M90" s="11"/>
      <c r="N90" s="11"/>
      <c r="O90" s="11"/>
      <c r="P90" s="10" t="s">
        <v>3761</v>
      </c>
      <c r="Q90" s="11"/>
      <c r="R90" s="11"/>
      <c r="S90" s="11"/>
      <c r="T90" s="11"/>
      <c r="U90" s="11"/>
      <c r="V90" s="11"/>
      <c r="W90" s="11"/>
      <c r="X90" s="11"/>
      <c r="Y90" s="2"/>
      <c r="Z90" s="2"/>
      <c r="AA90" s="2"/>
      <c r="AB90" s="2"/>
      <c r="AC90" s="2"/>
      <c r="AD90" s="2"/>
      <c r="AE90" s="2"/>
      <c r="AF90" s="2"/>
      <c r="AG90" s="2"/>
      <c r="AH90" s="2"/>
      <c r="AI90" s="2"/>
      <c r="AJ90" s="2"/>
      <c r="AK90" s="2"/>
      <c r="AL90" s="2"/>
      <c r="AM90" s="2"/>
      <c r="AN90" s="2"/>
    </row>
    <row r="91" spans="1:40" ht="25.5" customHeight="1" x14ac:dyDescent="0.25">
      <c r="A91" s="3"/>
      <c r="B91" s="3"/>
      <c r="C91" s="11"/>
      <c r="D91" s="10"/>
      <c r="E91" s="274"/>
      <c r="F91" s="10"/>
      <c r="G91" s="10">
        <v>4</v>
      </c>
      <c r="H91" s="10"/>
      <c r="I91" s="10"/>
      <c r="J91" s="65" t="s">
        <v>3771</v>
      </c>
      <c r="K91" s="6" t="s">
        <v>3768</v>
      </c>
      <c r="L91" s="8" t="s">
        <v>3673</v>
      </c>
      <c r="M91" s="11"/>
      <c r="N91" s="11"/>
      <c r="O91" s="11"/>
      <c r="P91" s="10" t="s">
        <v>3761</v>
      </c>
      <c r="Q91" s="11"/>
      <c r="R91" s="11"/>
      <c r="S91" s="11"/>
      <c r="T91" s="11"/>
      <c r="U91" s="11"/>
      <c r="V91" s="11"/>
      <c r="W91" s="11"/>
      <c r="X91" s="11"/>
      <c r="Y91" s="2"/>
      <c r="Z91" s="2"/>
      <c r="AA91" s="2"/>
      <c r="AB91" s="2"/>
      <c r="AC91" s="2"/>
      <c r="AD91" s="2"/>
      <c r="AE91" s="2"/>
      <c r="AF91" s="2"/>
      <c r="AG91" s="2"/>
      <c r="AH91" s="2"/>
      <c r="AI91" s="2"/>
      <c r="AJ91" s="2"/>
      <c r="AK91" s="2"/>
      <c r="AL91" s="2"/>
      <c r="AM91" s="2"/>
      <c r="AN91" s="2"/>
    </row>
    <row r="92" spans="1:40" ht="25.5" customHeight="1" x14ac:dyDescent="0.25">
      <c r="A92" s="3"/>
      <c r="B92" s="3"/>
      <c r="C92" s="11"/>
      <c r="D92" s="10"/>
      <c r="E92" s="274"/>
      <c r="F92" s="10"/>
      <c r="G92" s="10">
        <v>4</v>
      </c>
      <c r="H92" s="10"/>
      <c r="I92" s="10"/>
      <c r="J92" s="65" t="s">
        <v>3772</v>
      </c>
      <c r="K92" s="6" t="s">
        <v>3773</v>
      </c>
      <c r="L92" s="8" t="s">
        <v>3673</v>
      </c>
      <c r="M92" s="11"/>
      <c r="N92" s="11"/>
      <c r="O92" s="11"/>
      <c r="P92" s="10" t="s">
        <v>3761</v>
      </c>
      <c r="Q92" s="11"/>
      <c r="R92" s="11"/>
      <c r="S92" s="11"/>
      <c r="T92" s="11"/>
      <c r="U92" s="11"/>
      <c r="V92" s="11"/>
      <c r="W92" s="11"/>
      <c r="X92" s="11"/>
      <c r="Y92" s="2"/>
      <c r="Z92" s="2"/>
      <c r="AA92" s="2"/>
      <c r="AB92" s="2"/>
      <c r="AC92" s="2"/>
      <c r="AD92" s="2"/>
      <c r="AE92" s="2"/>
      <c r="AF92" s="2"/>
      <c r="AG92" s="2"/>
      <c r="AH92" s="2"/>
      <c r="AI92" s="2"/>
      <c r="AJ92" s="2"/>
      <c r="AK92" s="2"/>
      <c r="AL92" s="2"/>
      <c r="AM92" s="2"/>
      <c r="AN92" s="2"/>
    </row>
    <row r="93" spans="1:40" ht="19.5" customHeight="1" x14ac:dyDescent="0.25">
      <c r="A93" s="3"/>
      <c r="B93" s="3"/>
      <c r="C93" s="928"/>
      <c r="D93" s="93">
        <v>1</v>
      </c>
      <c r="E93" s="1240" t="s">
        <v>3774</v>
      </c>
      <c r="F93" s="1240"/>
      <c r="G93" s="1240"/>
      <c r="H93" s="1240"/>
      <c r="I93" s="1240"/>
      <c r="J93" s="1240"/>
      <c r="K93" s="1241"/>
      <c r="L93" s="1242"/>
      <c r="M93" s="1243"/>
      <c r="N93" s="1243"/>
      <c r="O93" s="1243"/>
      <c r="P93" s="1243"/>
      <c r="Q93" s="1243"/>
      <c r="R93" s="1243"/>
      <c r="S93" s="1243"/>
      <c r="T93" s="1243"/>
      <c r="U93" s="1243"/>
      <c r="V93" s="1243"/>
      <c r="W93" s="1243"/>
      <c r="X93" s="1244"/>
      <c r="Y93" s="2"/>
      <c r="Z93" s="2"/>
      <c r="AA93" s="2"/>
      <c r="AB93" s="2"/>
      <c r="AC93" s="2"/>
      <c r="AD93" s="2"/>
      <c r="AE93" s="2"/>
      <c r="AF93" s="2"/>
      <c r="AG93" s="2"/>
      <c r="AH93" s="2"/>
      <c r="AI93" s="2"/>
      <c r="AJ93" s="2"/>
      <c r="AK93" s="2"/>
      <c r="AL93" s="2"/>
      <c r="AM93" s="2"/>
      <c r="AN93" s="2"/>
    </row>
    <row r="94" spans="1:40" x14ac:dyDescent="0.25">
      <c r="A94" s="3"/>
      <c r="B94" s="3"/>
      <c r="C94" s="11"/>
      <c r="D94" s="11"/>
      <c r="E94" s="315">
        <v>2</v>
      </c>
      <c r="F94" s="1252" t="s">
        <v>3775</v>
      </c>
      <c r="G94" s="1253"/>
      <c r="H94" s="1253"/>
      <c r="I94" s="1253"/>
      <c r="J94" s="1253"/>
      <c r="K94" s="1253"/>
      <c r="L94" s="1238"/>
      <c r="M94" s="1253"/>
      <c r="N94" s="1253"/>
      <c r="O94" s="1253"/>
      <c r="P94" s="1253"/>
      <c r="Q94" s="1253"/>
      <c r="R94" s="1253"/>
      <c r="S94" s="1253"/>
      <c r="T94" s="1253"/>
      <c r="U94" s="1253"/>
      <c r="V94" s="1253"/>
      <c r="W94" s="1253"/>
      <c r="X94" s="1254"/>
      <c r="Y94" s="2"/>
      <c r="Z94" s="2"/>
      <c r="AA94" s="2"/>
      <c r="AB94" s="2"/>
      <c r="AC94" s="2"/>
      <c r="AD94" s="2"/>
      <c r="AE94" s="2"/>
      <c r="AF94" s="2"/>
      <c r="AG94" s="2"/>
      <c r="AH94" s="2"/>
      <c r="AI94" s="2"/>
      <c r="AJ94" s="2"/>
      <c r="AK94" s="2"/>
      <c r="AL94" s="2"/>
      <c r="AM94" s="2"/>
      <c r="AN94" s="2"/>
    </row>
    <row r="95" spans="1:40" ht="45" x14ac:dyDescent="0.25">
      <c r="A95" s="3"/>
      <c r="B95" s="3"/>
      <c r="C95" s="11"/>
      <c r="D95" s="11"/>
      <c r="E95" s="11"/>
      <c r="F95" s="11">
        <v>3</v>
      </c>
      <c r="G95" s="11"/>
      <c r="H95" s="11"/>
      <c r="I95" s="11"/>
      <c r="J95" s="6" t="s">
        <v>3776</v>
      </c>
      <c r="K95" s="6" t="s">
        <v>3777</v>
      </c>
      <c r="L95" s="8" t="s">
        <v>3600</v>
      </c>
      <c r="M95" s="6"/>
      <c r="N95" s="10"/>
      <c r="O95" s="10"/>
      <c r="P95" s="6" t="s">
        <v>3778</v>
      </c>
      <c r="Q95" s="6" t="s">
        <v>3779</v>
      </c>
      <c r="R95" s="10"/>
      <c r="S95" s="11"/>
      <c r="T95" s="16"/>
      <c r="U95" s="16"/>
      <c r="V95" s="11"/>
      <c r="W95" s="11"/>
      <c r="X95" s="11"/>
      <c r="Y95" s="2"/>
      <c r="Z95" s="2"/>
      <c r="AA95" s="2"/>
      <c r="AB95" s="2"/>
      <c r="AC95" s="2"/>
      <c r="AD95" s="2"/>
      <c r="AE95" s="2"/>
      <c r="AF95" s="2"/>
      <c r="AG95" s="2"/>
      <c r="AH95" s="2"/>
      <c r="AI95" s="2"/>
      <c r="AJ95" s="2"/>
      <c r="AK95" s="2"/>
      <c r="AL95" s="2"/>
      <c r="AM95" s="2"/>
      <c r="AN95" s="2"/>
    </row>
    <row r="96" spans="1:40" x14ac:dyDescent="0.25">
      <c r="A96" s="3"/>
      <c r="B96" s="3"/>
      <c r="C96" s="11"/>
      <c r="D96" s="11"/>
      <c r="E96" s="11"/>
      <c r="F96" s="28">
        <v>3</v>
      </c>
      <c r="G96" s="28"/>
      <c r="H96" s="28"/>
      <c r="I96" s="28"/>
      <c r="J96" s="24" t="s">
        <v>2992</v>
      </c>
      <c r="K96" s="940" t="s">
        <v>3780</v>
      </c>
      <c r="L96" s="8" t="s">
        <v>3729</v>
      </c>
      <c r="M96" s="6"/>
      <c r="N96" s="10"/>
      <c r="O96" s="10"/>
      <c r="P96" s="24" t="s">
        <v>3781</v>
      </c>
      <c r="Q96" s="6"/>
      <c r="R96" s="10"/>
      <c r="S96" s="11"/>
      <c r="T96" s="16"/>
      <c r="U96" s="16"/>
      <c r="V96" s="11"/>
      <c r="W96" s="11"/>
      <c r="X96" s="11"/>
      <c r="Y96" s="2"/>
      <c r="Z96" s="2"/>
      <c r="AA96" s="2"/>
      <c r="AB96" s="2"/>
      <c r="AC96" s="2"/>
      <c r="AD96" s="2"/>
      <c r="AE96" s="2"/>
      <c r="AF96" s="2"/>
      <c r="AG96" s="2"/>
      <c r="AH96" s="2"/>
      <c r="AI96" s="2"/>
      <c r="AJ96" s="2"/>
      <c r="AK96" s="2"/>
      <c r="AL96" s="2"/>
      <c r="AM96" s="2"/>
      <c r="AN96" s="2"/>
    </row>
    <row r="97" spans="1:40" ht="30" x14ac:dyDescent="0.25">
      <c r="A97" s="3"/>
      <c r="B97" s="3"/>
      <c r="C97" s="11"/>
      <c r="D97" s="11"/>
      <c r="E97" s="11"/>
      <c r="F97" s="11">
        <v>3</v>
      </c>
      <c r="G97" s="11"/>
      <c r="H97" s="11"/>
      <c r="I97" s="11"/>
      <c r="J97" s="6" t="s">
        <v>3717</v>
      </c>
      <c r="K97" s="6" t="s">
        <v>3782</v>
      </c>
      <c r="L97" s="8" t="s">
        <v>3783</v>
      </c>
      <c r="M97" s="6"/>
      <c r="N97" s="10"/>
      <c r="O97" s="10"/>
      <c r="P97" s="6" t="s">
        <v>3784</v>
      </c>
      <c r="Q97" s="6"/>
      <c r="R97" s="10"/>
      <c r="S97" s="11"/>
      <c r="T97" s="16"/>
      <c r="U97" s="16"/>
      <c r="V97" s="11"/>
      <c r="W97" s="11"/>
      <c r="X97" s="11"/>
      <c r="Y97" s="2"/>
      <c r="Z97" s="2"/>
      <c r="AA97" s="2"/>
      <c r="AB97" s="2"/>
      <c r="AC97" s="2"/>
      <c r="AD97" s="2"/>
      <c r="AE97" s="2"/>
      <c r="AF97" s="2"/>
      <c r="AG97" s="2"/>
      <c r="AH97" s="2"/>
      <c r="AI97" s="2"/>
      <c r="AJ97" s="2"/>
      <c r="AK97" s="2"/>
      <c r="AL97" s="2"/>
      <c r="AM97" s="2"/>
      <c r="AN97" s="2"/>
    </row>
    <row r="98" spans="1:40" ht="45" x14ac:dyDescent="0.25">
      <c r="A98" s="3"/>
      <c r="B98" s="3"/>
      <c r="C98" s="11"/>
      <c r="D98" s="11"/>
      <c r="E98" s="11"/>
      <c r="F98" s="11">
        <v>3</v>
      </c>
      <c r="G98" s="11"/>
      <c r="H98" s="11"/>
      <c r="I98" s="11"/>
      <c r="J98" s="6" t="s">
        <v>3785</v>
      </c>
      <c r="K98" s="6" t="s">
        <v>3786</v>
      </c>
      <c r="L98" s="8" t="s">
        <v>3673</v>
      </c>
      <c r="M98" s="6"/>
      <c r="N98" s="10"/>
      <c r="O98" s="10"/>
      <c r="P98" s="6" t="s">
        <v>3787</v>
      </c>
      <c r="Q98" s="6"/>
      <c r="R98" s="10"/>
      <c r="S98" s="11"/>
      <c r="T98" s="16"/>
      <c r="U98" s="16"/>
      <c r="V98" s="11"/>
      <c r="W98" s="11"/>
      <c r="X98" s="11"/>
      <c r="Y98" s="2"/>
      <c r="Z98" s="2"/>
      <c r="AA98" s="2"/>
      <c r="AB98" s="2"/>
      <c r="AC98" s="2"/>
      <c r="AD98" s="2"/>
      <c r="AE98" s="2"/>
      <c r="AF98" s="2"/>
      <c r="AG98" s="2"/>
      <c r="AH98" s="2"/>
      <c r="AI98" s="2"/>
      <c r="AJ98" s="2"/>
      <c r="AK98" s="2"/>
      <c r="AL98" s="2"/>
      <c r="AM98" s="2"/>
      <c r="AN98" s="2"/>
    </row>
    <row r="99" spans="1:40" ht="45" x14ac:dyDescent="0.25">
      <c r="A99" s="3"/>
      <c r="B99" s="3"/>
      <c r="C99" s="11"/>
      <c r="D99" s="11"/>
      <c r="E99" s="11"/>
      <c r="F99" s="11">
        <v>3</v>
      </c>
      <c r="G99" s="11"/>
      <c r="H99" s="11"/>
      <c r="I99" s="11"/>
      <c r="J99" s="6" t="s">
        <v>3788</v>
      </c>
      <c r="K99" s="6" t="s">
        <v>3789</v>
      </c>
      <c r="L99" s="8" t="s">
        <v>3673</v>
      </c>
      <c r="M99" s="6"/>
      <c r="N99" s="10"/>
      <c r="O99" s="10"/>
      <c r="P99" s="6" t="s">
        <v>3787</v>
      </c>
      <c r="Q99" s="6"/>
      <c r="R99" s="10"/>
      <c r="S99" s="11"/>
      <c r="T99" s="16"/>
      <c r="U99" s="16"/>
      <c r="V99" s="11"/>
      <c r="W99" s="11"/>
      <c r="X99" s="11"/>
      <c r="Y99" s="2"/>
      <c r="Z99" s="2"/>
      <c r="AA99" s="2"/>
      <c r="AB99" s="2"/>
      <c r="AC99" s="2"/>
      <c r="AD99" s="2"/>
      <c r="AE99" s="2"/>
      <c r="AF99" s="2"/>
      <c r="AG99" s="2"/>
      <c r="AH99" s="2"/>
      <c r="AI99" s="2"/>
      <c r="AJ99" s="2"/>
      <c r="AK99" s="2"/>
      <c r="AL99" s="2"/>
      <c r="AM99" s="2"/>
      <c r="AN99" s="2"/>
    </row>
    <row r="100" spans="1:40" x14ac:dyDescent="0.25">
      <c r="A100" s="3"/>
      <c r="B100" s="3"/>
      <c r="C100" s="11"/>
      <c r="D100" s="11"/>
      <c r="E100" s="120">
        <v>2</v>
      </c>
      <c r="F100" s="1245" t="s">
        <v>3790</v>
      </c>
      <c r="G100" s="1245"/>
      <c r="H100" s="1245"/>
      <c r="I100" s="1245"/>
      <c r="J100" s="1245"/>
      <c r="K100" s="1245"/>
      <c r="L100" s="1246"/>
      <c r="M100" s="1245"/>
      <c r="N100" s="1245"/>
      <c r="O100" s="1245"/>
      <c r="P100" s="1245"/>
      <c r="Q100" s="1245"/>
      <c r="R100" s="1245"/>
      <c r="S100" s="1245"/>
      <c r="T100" s="1245"/>
      <c r="U100" s="1245"/>
      <c r="V100" s="1245"/>
      <c r="W100" s="1245"/>
      <c r="X100" s="1245"/>
      <c r="Y100" s="2"/>
      <c r="Z100" s="2"/>
      <c r="AA100" s="2"/>
      <c r="AB100" s="2"/>
      <c r="AC100" s="2"/>
      <c r="AD100" s="2"/>
      <c r="AE100" s="2"/>
      <c r="AF100" s="2"/>
      <c r="AG100" s="2"/>
      <c r="AH100" s="2"/>
      <c r="AI100" s="2"/>
      <c r="AJ100" s="2"/>
      <c r="AK100" s="2"/>
      <c r="AL100" s="2"/>
      <c r="AM100" s="2"/>
      <c r="AN100" s="2"/>
    </row>
    <row r="101" spans="1:40" ht="45" x14ac:dyDescent="0.25">
      <c r="A101" s="3"/>
      <c r="B101" s="3"/>
      <c r="C101" s="11"/>
      <c r="D101" s="11"/>
      <c r="E101" s="11"/>
      <c r="F101" s="11">
        <v>3</v>
      </c>
      <c r="G101" s="11"/>
      <c r="H101" s="11"/>
      <c r="I101" s="11"/>
      <c r="J101" s="6" t="s">
        <v>3776</v>
      </c>
      <c r="K101" s="6" t="s">
        <v>3777</v>
      </c>
      <c r="L101" s="8" t="s">
        <v>3600</v>
      </c>
      <c r="M101" s="6"/>
      <c r="N101" s="10"/>
      <c r="O101" s="10"/>
      <c r="P101" s="6" t="s">
        <v>3778</v>
      </c>
      <c r="Q101" s="6" t="s">
        <v>3779</v>
      </c>
      <c r="R101" s="10"/>
      <c r="S101" s="11"/>
      <c r="T101" s="16"/>
      <c r="U101" s="16"/>
      <c r="V101" s="11"/>
      <c r="W101" s="11"/>
      <c r="X101" s="11"/>
      <c r="Y101" s="2"/>
      <c r="Z101" s="2"/>
      <c r="AA101" s="2"/>
      <c r="AB101" s="2"/>
      <c r="AC101" s="2"/>
      <c r="AD101" s="2"/>
      <c r="AE101" s="2"/>
      <c r="AF101" s="2"/>
      <c r="AG101" s="2"/>
      <c r="AH101" s="2"/>
      <c r="AI101" s="2"/>
      <c r="AJ101" s="2"/>
      <c r="AK101" s="2"/>
      <c r="AL101" s="2"/>
      <c r="AM101" s="2"/>
      <c r="AN101" s="2"/>
    </row>
    <row r="102" spans="1:40" ht="30" x14ac:dyDescent="0.25">
      <c r="A102" s="3"/>
      <c r="B102" s="3"/>
      <c r="C102" s="11"/>
      <c r="D102" s="11"/>
      <c r="E102" s="11"/>
      <c r="F102" s="11">
        <v>3</v>
      </c>
      <c r="G102" s="11"/>
      <c r="H102" s="11"/>
      <c r="I102" s="11"/>
      <c r="J102" s="6" t="s">
        <v>3785</v>
      </c>
      <c r="K102" s="6" t="s">
        <v>3791</v>
      </c>
      <c r="L102" s="8" t="s">
        <v>3792</v>
      </c>
      <c r="M102" s="6"/>
      <c r="N102" s="10"/>
      <c r="O102" s="10"/>
      <c r="P102" s="6" t="s">
        <v>3793</v>
      </c>
      <c r="Q102" s="6"/>
      <c r="R102" s="10"/>
      <c r="S102" s="11"/>
      <c r="T102" s="16"/>
      <c r="U102" s="16"/>
      <c r="V102" s="11"/>
      <c r="W102" s="11"/>
      <c r="X102" s="11"/>
      <c r="Y102" s="2"/>
      <c r="Z102" s="2"/>
      <c r="AA102" s="2"/>
      <c r="AB102" s="2"/>
      <c r="AC102" s="2"/>
      <c r="AD102" s="2"/>
      <c r="AE102" s="2"/>
      <c r="AF102" s="2"/>
      <c r="AG102" s="2"/>
      <c r="AH102" s="2"/>
      <c r="AI102" s="2"/>
      <c r="AJ102" s="2"/>
      <c r="AK102" s="2"/>
      <c r="AL102" s="2"/>
      <c r="AM102" s="2"/>
      <c r="AN102" s="2"/>
    </row>
    <row r="103" spans="1:40" ht="39" x14ac:dyDescent="0.25">
      <c r="A103" s="3"/>
      <c r="B103" s="3"/>
      <c r="C103" s="11"/>
      <c r="D103" s="11"/>
      <c r="E103" s="11"/>
      <c r="F103" s="28">
        <v>3</v>
      </c>
      <c r="G103" s="28"/>
      <c r="H103" s="28"/>
      <c r="I103" s="28"/>
      <c r="J103" s="24" t="s">
        <v>2992</v>
      </c>
      <c r="K103" s="24" t="s">
        <v>3794</v>
      </c>
      <c r="L103" s="8" t="s">
        <v>3729</v>
      </c>
      <c r="M103" s="6"/>
      <c r="N103" s="10"/>
      <c r="O103" s="10"/>
      <c r="P103" s="6" t="s">
        <v>3793</v>
      </c>
      <c r="Q103" s="6"/>
      <c r="R103" s="10"/>
      <c r="S103" s="11"/>
      <c r="T103" s="16"/>
      <c r="U103" s="16"/>
      <c r="V103" s="11"/>
      <c r="W103" s="11"/>
      <c r="X103" s="11"/>
      <c r="Y103" s="2"/>
      <c r="Z103" s="2"/>
      <c r="AA103" s="2"/>
      <c r="AB103" s="2"/>
      <c r="AC103" s="2"/>
      <c r="AD103" s="2"/>
      <c r="AE103" s="2"/>
      <c r="AF103" s="2"/>
      <c r="AG103" s="2"/>
      <c r="AH103" s="2"/>
      <c r="AI103" s="2"/>
      <c r="AJ103" s="2"/>
      <c r="AK103" s="2"/>
      <c r="AL103" s="2"/>
      <c r="AM103" s="2"/>
      <c r="AN103" s="2"/>
    </row>
    <row r="104" spans="1:40" ht="30" x14ac:dyDescent="0.25">
      <c r="A104" s="3"/>
      <c r="B104" s="3"/>
      <c r="C104" s="11"/>
      <c r="D104" s="11"/>
      <c r="E104" s="11"/>
      <c r="F104" s="11">
        <v>3</v>
      </c>
      <c r="G104" s="11"/>
      <c r="H104" s="11"/>
      <c r="I104" s="11"/>
      <c r="J104" s="6" t="s">
        <v>3717</v>
      </c>
      <c r="K104" s="6" t="s">
        <v>3795</v>
      </c>
      <c r="L104" s="8" t="s">
        <v>3783</v>
      </c>
      <c r="M104" s="6"/>
      <c r="N104" s="10"/>
      <c r="O104" s="10"/>
      <c r="P104" s="6" t="s">
        <v>3784</v>
      </c>
      <c r="Q104" s="6"/>
      <c r="R104" s="10"/>
      <c r="S104" s="11"/>
      <c r="T104" s="16"/>
      <c r="U104" s="16"/>
      <c r="V104" s="11"/>
      <c r="W104" s="11"/>
      <c r="X104" s="11"/>
      <c r="Y104" s="2"/>
      <c r="Z104" s="2"/>
      <c r="AA104" s="2"/>
      <c r="AB104" s="2"/>
      <c r="AC104" s="2"/>
      <c r="AD104" s="2"/>
      <c r="AE104" s="2"/>
      <c r="AF104" s="2"/>
      <c r="AG104" s="2"/>
      <c r="AH104" s="2"/>
      <c r="AI104" s="2"/>
      <c r="AJ104" s="2"/>
      <c r="AK104" s="2"/>
      <c r="AL104" s="2"/>
      <c r="AM104" s="2"/>
      <c r="AN104" s="2"/>
    </row>
    <row r="105" spans="1:40" ht="30" x14ac:dyDescent="0.25">
      <c r="A105" s="3"/>
      <c r="B105" s="3"/>
      <c r="C105" s="11"/>
      <c r="D105" s="11"/>
      <c r="E105" s="11"/>
      <c r="F105" s="40">
        <v>3</v>
      </c>
      <c r="G105" s="40"/>
      <c r="H105" s="40"/>
      <c r="I105" s="40"/>
      <c r="J105" s="49" t="s">
        <v>3636</v>
      </c>
      <c r="K105" s="6" t="s">
        <v>3796</v>
      </c>
      <c r="L105" s="8" t="s">
        <v>3639</v>
      </c>
      <c r="M105" s="6"/>
      <c r="N105" s="10"/>
      <c r="O105" s="10"/>
      <c r="P105" s="6" t="s">
        <v>3797</v>
      </c>
      <c r="Q105" s="6"/>
      <c r="R105" s="10"/>
      <c r="S105" s="11"/>
      <c r="T105" s="16"/>
      <c r="U105" s="16"/>
      <c r="V105" s="11"/>
      <c r="W105" s="11"/>
      <c r="X105" s="11"/>
      <c r="Y105" s="2"/>
      <c r="Z105" s="2"/>
      <c r="AA105" s="2"/>
      <c r="AB105" s="2"/>
      <c r="AC105" s="2"/>
      <c r="AD105" s="2"/>
      <c r="AE105" s="2"/>
      <c r="AF105" s="2"/>
      <c r="AG105" s="2"/>
      <c r="AH105" s="2"/>
      <c r="AI105" s="2"/>
      <c r="AJ105" s="2"/>
      <c r="AK105" s="2"/>
      <c r="AL105" s="2"/>
      <c r="AM105" s="2"/>
      <c r="AN105" s="2"/>
    </row>
    <row r="106" spans="1:40" x14ac:dyDescent="0.25">
      <c r="A106" s="3"/>
      <c r="B106" s="3"/>
      <c r="C106" s="11"/>
      <c r="D106" s="11"/>
      <c r="E106" s="939">
        <v>2</v>
      </c>
      <c r="F106" s="1252" t="s">
        <v>3798</v>
      </c>
      <c r="G106" s="1253"/>
      <c r="H106" s="1253"/>
      <c r="I106" s="1253"/>
      <c r="J106" s="1254"/>
      <c r="K106" s="931"/>
      <c r="L106" s="932"/>
      <c r="M106" s="931"/>
      <c r="N106" s="941" t="str">
        <f>HYPERLINK("http://wiki.academyofsports.online/tiki-index.php?page=Lehrg%C3%A4nge-inaktiv-stellen-(0334)", "Lehrgang inaktiv")</f>
        <v>Lehrgang inaktiv</v>
      </c>
      <c r="O106" s="931"/>
      <c r="P106" s="931"/>
      <c r="Q106" s="931"/>
      <c r="R106" s="931"/>
      <c r="S106" s="931"/>
      <c r="T106" s="931"/>
      <c r="U106" s="931"/>
      <c r="V106" s="931"/>
      <c r="W106" s="931"/>
      <c r="X106" s="931"/>
      <c r="Y106" s="2"/>
      <c r="Z106" s="2"/>
      <c r="AA106" s="2"/>
      <c r="AB106" s="2"/>
      <c r="AC106" s="2"/>
      <c r="AD106" s="2"/>
      <c r="AE106" s="2"/>
      <c r="AF106" s="2"/>
      <c r="AG106" s="2"/>
      <c r="AH106" s="2"/>
      <c r="AI106" s="2"/>
      <c r="AJ106" s="2"/>
      <c r="AK106" s="2"/>
      <c r="AL106" s="2"/>
      <c r="AM106" s="2"/>
      <c r="AN106" s="2"/>
    </row>
    <row r="107" spans="1:40" ht="75" x14ac:dyDescent="0.25">
      <c r="A107" s="3"/>
      <c r="B107" s="3"/>
      <c r="C107" s="6"/>
      <c r="D107" s="6"/>
      <c r="E107" s="6"/>
      <c r="F107" s="41">
        <v>3</v>
      </c>
      <c r="G107" s="41"/>
      <c r="H107" s="41"/>
      <c r="I107" s="41"/>
      <c r="J107" s="41" t="s">
        <v>3776</v>
      </c>
      <c r="K107" s="6" t="s">
        <v>3799</v>
      </c>
      <c r="L107" s="8" t="s">
        <v>3800</v>
      </c>
      <c r="M107" s="6"/>
      <c r="N107" s="6"/>
      <c r="O107" s="6"/>
      <c r="P107" s="6" t="s">
        <v>3801</v>
      </c>
      <c r="Q107" s="6"/>
      <c r="R107" s="6"/>
      <c r="S107" s="6"/>
      <c r="T107" s="16"/>
      <c r="U107" s="16"/>
      <c r="V107" s="6"/>
      <c r="W107" s="6"/>
      <c r="X107" s="6"/>
    </row>
    <row r="108" spans="1:40" x14ac:dyDescent="0.25">
      <c r="A108" s="3"/>
      <c r="B108" s="3"/>
      <c r="C108" s="6"/>
      <c r="D108" s="6"/>
      <c r="E108" s="6"/>
      <c r="F108" s="11"/>
      <c r="G108" s="10">
        <v>4</v>
      </c>
      <c r="H108" s="11"/>
      <c r="I108" s="11"/>
      <c r="J108" s="6" t="s">
        <v>3802</v>
      </c>
      <c r="K108" s="6" t="s">
        <v>3803</v>
      </c>
      <c r="L108" s="8" t="s">
        <v>3605</v>
      </c>
      <c r="M108" s="6"/>
      <c r="N108" s="6"/>
      <c r="O108" s="6"/>
      <c r="P108" s="6"/>
      <c r="Q108" s="6"/>
      <c r="R108" s="6"/>
      <c r="S108" s="6"/>
      <c r="T108" s="16"/>
      <c r="U108" s="16"/>
      <c r="V108" s="6"/>
      <c r="W108" s="6"/>
      <c r="X108" s="6"/>
    </row>
    <row r="109" spans="1:40" x14ac:dyDescent="0.25">
      <c r="A109" s="3"/>
      <c r="B109" s="3"/>
      <c r="C109" s="6"/>
      <c r="D109" s="6"/>
      <c r="E109" s="6"/>
      <c r="F109" s="11"/>
      <c r="G109" s="10">
        <v>4</v>
      </c>
      <c r="H109" s="11"/>
      <c r="I109" s="11"/>
      <c r="J109" s="6" t="s">
        <v>3804</v>
      </c>
      <c r="K109" s="6" t="s">
        <v>3805</v>
      </c>
      <c r="L109" s="8" t="s">
        <v>3605</v>
      </c>
      <c r="M109" s="6"/>
      <c r="N109" s="6"/>
      <c r="O109" s="6"/>
      <c r="P109" s="6"/>
      <c r="Q109" s="6"/>
      <c r="R109" s="6"/>
      <c r="S109" s="6"/>
      <c r="T109" s="16"/>
      <c r="U109" s="16"/>
      <c r="V109" s="6"/>
      <c r="W109" s="6"/>
      <c r="X109" s="6"/>
    </row>
    <row r="110" spans="1:40" ht="30" x14ac:dyDescent="0.25">
      <c r="A110" s="3"/>
      <c r="B110" s="3"/>
      <c r="C110" s="125"/>
      <c r="D110" s="125"/>
      <c r="E110" s="125"/>
      <c r="F110" s="125"/>
      <c r="G110" s="126">
        <v>4</v>
      </c>
      <c r="H110" s="125"/>
      <c r="I110" s="125"/>
      <c r="J110" s="126" t="s">
        <v>3634</v>
      </c>
      <c r="K110" s="62" t="s">
        <v>3806</v>
      </c>
      <c r="L110" s="8" t="s">
        <v>3605</v>
      </c>
      <c r="M110" s="125"/>
      <c r="N110" s="125"/>
      <c r="O110" s="125"/>
      <c r="P110" s="126"/>
      <c r="Q110" s="126"/>
      <c r="R110" s="125"/>
      <c r="S110" s="125"/>
      <c r="T110" s="125"/>
      <c r="U110" s="125"/>
      <c r="V110" s="125"/>
      <c r="W110" s="125"/>
      <c r="X110" s="125"/>
      <c r="Y110" s="196"/>
      <c r="Z110" s="196"/>
      <c r="AA110" s="196"/>
      <c r="AB110" s="196"/>
      <c r="AC110" s="196"/>
      <c r="AD110" s="196"/>
      <c r="AE110" s="196"/>
      <c r="AF110" s="196"/>
      <c r="AG110" s="196"/>
      <c r="AH110" s="196"/>
      <c r="AI110" s="196"/>
      <c r="AJ110" s="196"/>
      <c r="AK110" s="196"/>
      <c r="AL110" s="196"/>
      <c r="AM110" s="196"/>
      <c r="AN110" s="196"/>
    </row>
    <row r="111" spans="1:40" ht="60" x14ac:dyDescent="0.25">
      <c r="A111" s="3"/>
      <c r="B111" s="3"/>
      <c r="C111" s="6"/>
      <c r="D111" s="6"/>
      <c r="E111" s="6"/>
      <c r="F111" s="28">
        <v>3</v>
      </c>
      <c r="G111" s="28"/>
      <c r="H111" s="28"/>
      <c r="I111" s="28"/>
      <c r="J111" s="24" t="s">
        <v>2992</v>
      </c>
      <c r="K111" s="24" t="s">
        <v>3807</v>
      </c>
      <c r="L111" s="8" t="s">
        <v>3808</v>
      </c>
      <c r="M111" s="6"/>
      <c r="N111" s="6"/>
      <c r="O111" s="6"/>
      <c r="P111" s="6" t="s">
        <v>3801</v>
      </c>
      <c r="Q111" s="6"/>
      <c r="R111" s="6"/>
      <c r="S111" s="6"/>
      <c r="T111" s="16"/>
      <c r="U111" s="16"/>
      <c r="V111" s="6"/>
      <c r="W111" s="6"/>
      <c r="X111" s="6"/>
    </row>
    <row r="112" spans="1:40" ht="60" x14ac:dyDescent="0.25">
      <c r="A112" s="3"/>
      <c r="B112" s="3"/>
      <c r="C112" s="6"/>
      <c r="D112" s="6"/>
      <c r="E112" s="6"/>
      <c r="F112" s="11">
        <v>3</v>
      </c>
      <c r="G112" s="11"/>
      <c r="H112" s="11"/>
      <c r="I112" s="11"/>
      <c r="J112" s="6" t="s">
        <v>3717</v>
      </c>
      <c r="K112" s="6" t="s">
        <v>3809</v>
      </c>
      <c r="L112" s="8" t="s">
        <v>3810</v>
      </c>
      <c r="M112" s="6"/>
      <c r="N112" s="6"/>
      <c r="O112" s="6"/>
      <c r="P112" s="6" t="s">
        <v>3801</v>
      </c>
      <c r="Q112" s="6"/>
      <c r="R112" s="6"/>
      <c r="S112" s="6"/>
      <c r="T112" s="16"/>
      <c r="U112" s="16"/>
      <c r="V112" s="6"/>
      <c r="W112" s="6"/>
      <c r="X112" s="6"/>
    </row>
    <row r="113" spans="1:40" ht="60" x14ac:dyDescent="0.25">
      <c r="A113" s="3"/>
      <c r="B113" s="3"/>
      <c r="C113" s="6"/>
      <c r="D113" s="6"/>
      <c r="E113" s="6"/>
      <c r="F113" s="11">
        <v>3</v>
      </c>
      <c r="G113" s="11"/>
      <c r="H113" s="11"/>
      <c r="I113" s="11"/>
      <c r="J113" s="6" t="s">
        <v>3785</v>
      </c>
      <c r="K113" s="6" t="s">
        <v>3811</v>
      </c>
      <c r="L113" s="8" t="s">
        <v>3812</v>
      </c>
      <c r="M113" s="6"/>
      <c r="N113" s="6"/>
      <c r="O113" s="6"/>
      <c r="P113" s="6" t="s">
        <v>3801</v>
      </c>
      <c r="Q113" s="6"/>
      <c r="R113" s="6"/>
      <c r="S113" s="6"/>
      <c r="T113" s="16"/>
      <c r="U113" s="16"/>
      <c r="V113" s="6"/>
      <c r="W113" s="6"/>
      <c r="X113" s="6"/>
    </row>
    <row r="114" spans="1:40" ht="60" x14ac:dyDescent="0.25">
      <c r="A114" s="3"/>
      <c r="B114" s="3"/>
      <c r="C114" s="6"/>
      <c r="D114" s="6"/>
      <c r="E114" s="49"/>
      <c r="F114" s="40">
        <v>3</v>
      </c>
      <c r="G114" s="40"/>
      <c r="H114" s="40"/>
      <c r="I114" s="40"/>
      <c r="J114" s="49" t="s">
        <v>3788</v>
      </c>
      <c r="K114" s="49" t="s">
        <v>3813</v>
      </c>
      <c r="L114" s="50" t="s">
        <v>3812</v>
      </c>
      <c r="M114" s="49"/>
      <c r="N114" s="49"/>
      <c r="O114" s="49"/>
      <c r="P114" s="6" t="s">
        <v>3801</v>
      </c>
      <c r="Q114" s="49"/>
      <c r="R114" s="49"/>
      <c r="S114" s="49"/>
      <c r="T114" s="52"/>
      <c r="U114" s="52"/>
      <c r="V114" s="49"/>
      <c r="W114" s="49"/>
      <c r="X114" s="49"/>
    </row>
    <row r="115" spans="1:40" ht="20.25" customHeight="1" x14ac:dyDescent="0.25">
      <c r="A115" s="3"/>
      <c r="B115" s="3"/>
      <c r="C115" s="93"/>
      <c r="D115" s="93">
        <v>1</v>
      </c>
      <c r="E115" s="1247" t="s">
        <v>3814</v>
      </c>
      <c r="F115" s="1247"/>
      <c r="G115" s="1247"/>
      <c r="H115" s="1247"/>
      <c r="I115" s="1247"/>
      <c r="J115" s="1247"/>
      <c r="K115" s="93"/>
      <c r="L115" s="93"/>
      <c r="M115" s="93"/>
      <c r="N115" s="936" t="str">
        <f>HYPERLINK("http://wiki.academyofsports.online/tiki-index.php?page=Neuigkeiten---News-verfassen---News-ver%C3%B6ffentlichen-(0281)", "News")</f>
        <v>News</v>
      </c>
      <c r="O115" s="93"/>
      <c r="P115" s="93"/>
      <c r="Q115" s="93"/>
      <c r="R115" s="93"/>
      <c r="S115" s="93"/>
      <c r="T115" s="93"/>
      <c r="U115" s="93"/>
      <c r="V115" s="93"/>
      <c r="W115" s="93"/>
      <c r="X115" s="93"/>
      <c r="Y115" s="2"/>
      <c r="Z115" s="2"/>
      <c r="AA115" s="2"/>
      <c r="AB115" s="2"/>
      <c r="AC115" s="2"/>
      <c r="AD115" s="2"/>
      <c r="AE115" s="2"/>
      <c r="AF115" s="2"/>
      <c r="AG115" s="2"/>
      <c r="AH115" s="2"/>
      <c r="AI115" s="2"/>
      <c r="AJ115" s="2"/>
      <c r="AK115" s="2"/>
      <c r="AL115" s="2"/>
      <c r="AM115" s="2"/>
      <c r="AN115" s="2"/>
    </row>
    <row r="116" spans="1:40" x14ac:dyDescent="0.25">
      <c r="A116" s="3"/>
      <c r="B116" s="3"/>
      <c r="C116" s="11"/>
      <c r="D116" s="11"/>
      <c r="E116" s="939">
        <v>2</v>
      </c>
      <c r="F116" s="1245" t="s">
        <v>3815</v>
      </c>
      <c r="G116" s="1245"/>
      <c r="H116" s="1245"/>
      <c r="I116" s="1245"/>
      <c r="J116" s="1245"/>
      <c r="K116" s="931" t="s">
        <v>3816</v>
      </c>
      <c r="L116" s="932"/>
      <c r="M116" s="931"/>
      <c r="N116" s="931"/>
      <c r="O116" s="931"/>
      <c r="P116" s="931"/>
      <c r="Q116" s="931"/>
      <c r="R116" s="931"/>
      <c r="S116" s="931"/>
      <c r="T116" s="931"/>
      <c r="U116" s="931"/>
      <c r="V116" s="931"/>
      <c r="W116" s="931"/>
      <c r="X116" s="931"/>
      <c r="Y116" s="2"/>
      <c r="Z116" s="2"/>
      <c r="AA116" s="2"/>
      <c r="AB116" s="2"/>
      <c r="AC116" s="2"/>
      <c r="AD116" s="2"/>
      <c r="AE116" s="2"/>
      <c r="AF116" s="2"/>
      <c r="AG116" s="2"/>
      <c r="AH116" s="2"/>
      <c r="AI116" s="2"/>
      <c r="AJ116" s="2"/>
      <c r="AK116" s="2"/>
      <c r="AL116" s="2"/>
      <c r="AM116" s="2"/>
      <c r="AN116" s="2"/>
    </row>
    <row r="117" spans="1:40" x14ac:dyDescent="0.25">
      <c r="A117" s="3"/>
      <c r="B117" s="3"/>
      <c r="C117" s="11"/>
      <c r="D117" s="11"/>
      <c r="E117" s="41"/>
      <c r="F117" s="40"/>
      <c r="G117" s="40"/>
      <c r="H117" s="40"/>
      <c r="I117" s="40"/>
      <c r="J117" s="314"/>
      <c r="K117" s="10"/>
      <c r="L117" s="8"/>
      <c r="M117" s="11"/>
      <c r="N117" s="11"/>
      <c r="O117" s="11"/>
      <c r="P117" s="11"/>
      <c r="Q117" s="11"/>
      <c r="R117" s="11"/>
      <c r="S117" s="11"/>
      <c r="T117" s="11"/>
      <c r="U117" s="11"/>
      <c r="V117" s="11"/>
      <c r="W117" s="11"/>
      <c r="X117" s="11"/>
      <c r="Y117" s="2"/>
      <c r="Z117" s="2"/>
      <c r="AA117" s="2"/>
      <c r="AB117" s="2"/>
      <c r="AC117" s="2"/>
      <c r="AD117" s="2"/>
      <c r="AE117" s="2"/>
      <c r="AF117" s="2"/>
      <c r="AG117" s="2"/>
      <c r="AH117" s="2"/>
      <c r="AI117" s="2"/>
      <c r="AJ117" s="2"/>
      <c r="AK117" s="2"/>
      <c r="AL117" s="2"/>
      <c r="AM117" s="2"/>
      <c r="AN117" s="2"/>
    </row>
    <row r="118" spans="1:40" x14ac:dyDescent="0.25">
      <c r="A118" s="3"/>
      <c r="B118" s="3"/>
      <c r="C118" s="11"/>
      <c r="D118" s="11"/>
      <c r="E118" s="315">
        <v>2</v>
      </c>
      <c r="F118" s="1249" t="s">
        <v>3817</v>
      </c>
      <c r="G118" s="1249"/>
      <c r="H118" s="1249"/>
      <c r="I118" s="1249"/>
      <c r="J118" s="1249"/>
      <c r="K118" s="315" t="s">
        <v>3818</v>
      </c>
      <c r="L118" s="934"/>
      <c r="M118" s="315"/>
      <c r="N118" s="315"/>
      <c r="O118" s="315"/>
      <c r="P118" s="315"/>
      <c r="Q118" s="315"/>
      <c r="R118" s="315"/>
      <c r="S118" s="315"/>
      <c r="T118" s="315"/>
      <c r="U118" s="315"/>
      <c r="V118" s="315"/>
      <c r="W118" s="315"/>
      <c r="X118" s="315"/>
      <c r="Y118" s="2"/>
      <c r="Z118" s="2"/>
      <c r="AA118" s="2"/>
      <c r="AB118" s="2"/>
      <c r="AC118" s="2"/>
      <c r="AD118" s="2"/>
      <c r="AE118" s="2"/>
      <c r="AF118" s="2"/>
      <c r="AG118" s="2"/>
      <c r="AH118" s="2"/>
      <c r="AI118" s="2"/>
      <c r="AJ118" s="2"/>
      <c r="AK118" s="2"/>
      <c r="AL118" s="2"/>
      <c r="AM118" s="2"/>
      <c r="AN118" s="2"/>
    </row>
    <row r="119" spans="1:40" x14ac:dyDescent="0.25">
      <c r="A119" s="3"/>
      <c r="B119" s="3"/>
      <c r="C119" s="6"/>
      <c r="D119" s="6"/>
      <c r="E119" s="6"/>
      <c r="F119" s="6"/>
      <c r="G119" s="6"/>
      <c r="H119" s="6"/>
      <c r="I119" s="6"/>
      <c r="J119" s="6"/>
      <c r="K119" s="6"/>
      <c r="L119" s="8"/>
      <c r="M119" s="6"/>
      <c r="N119" s="6"/>
      <c r="O119" s="6"/>
      <c r="P119" s="6"/>
      <c r="Q119" s="6"/>
      <c r="R119" s="6"/>
      <c r="S119" s="6"/>
      <c r="T119" s="16"/>
      <c r="U119" s="16"/>
      <c r="V119" s="6"/>
      <c r="W119" s="6"/>
      <c r="X119" s="6"/>
    </row>
    <row r="120" spans="1:40" x14ac:dyDescent="0.25">
      <c r="A120" s="3"/>
      <c r="B120" s="3"/>
      <c r="C120" s="11"/>
      <c r="D120" s="11"/>
      <c r="E120" s="120">
        <v>2</v>
      </c>
      <c r="F120" s="1245" t="s">
        <v>3819</v>
      </c>
      <c r="G120" s="1245"/>
      <c r="H120" s="1245"/>
      <c r="I120" s="1245"/>
      <c r="J120" s="1245"/>
      <c r="K120" s="1245"/>
      <c r="L120" s="1246"/>
      <c r="M120" s="1245"/>
      <c r="N120" s="1245"/>
      <c r="O120" s="1245"/>
      <c r="P120" s="1245"/>
      <c r="Q120" s="1245"/>
      <c r="R120" s="1245"/>
      <c r="S120" s="1245"/>
      <c r="T120" s="1245"/>
      <c r="U120" s="1245"/>
      <c r="V120" s="1245"/>
      <c r="W120" s="1245"/>
      <c r="X120" s="1245"/>
      <c r="Y120" s="2"/>
      <c r="Z120" s="2"/>
      <c r="AA120" s="2"/>
      <c r="AB120" s="2"/>
      <c r="AC120" s="2"/>
      <c r="AD120" s="2"/>
      <c r="AE120" s="2"/>
      <c r="AF120" s="2"/>
      <c r="AG120" s="2"/>
      <c r="AH120" s="2"/>
      <c r="AI120" s="2"/>
      <c r="AJ120" s="2"/>
      <c r="AK120" s="2"/>
      <c r="AL120" s="2"/>
      <c r="AM120" s="2"/>
      <c r="AN120" s="2"/>
    </row>
    <row r="121" spans="1:40" ht="30" x14ac:dyDescent="0.25">
      <c r="A121" s="3"/>
      <c r="B121" s="3"/>
      <c r="C121" s="11"/>
      <c r="D121" s="11"/>
      <c r="E121" s="41"/>
      <c r="F121" s="10">
        <v>3</v>
      </c>
      <c r="G121" s="11"/>
      <c r="H121" s="11"/>
      <c r="I121" s="11"/>
      <c r="J121" s="298" t="s">
        <v>3756</v>
      </c>
      <c r="K121" s="6" t="s">
        <v>3820</v>
      </c>
      <c r="L121" s="8" t="s">
        <v>3821</v>
      </c>
      <c r="M121" s="11"/>
      <c r="N121" s="11"/>
      <c r="O121" s="11"/>
      <c r="P121" s="10" t="s">
        <v>3822</v>
      </c>
      <c r="Q121" s="10" t="s">
        <v>3823</v>
      </c>
      <c r="R121" s="11"/>
      <c r="S121" s="11"/>
      <c r="T121" s="11"/>
      <c r="U121" s="11"/>
      <c r="V121" s="11"/>
      <c r="W121" s="11"/>
      <c r="X121" s="11"/>
      <c r="Y121" s="2"/>
      <c r="Z121" s="2"/>
      <c r="AA121" s="2"/>
      <c r="AB121" s="2"/>
      <c r="AC121" s="2"/>
      <c r="AD121" s="2"/>
      <c r="AE121" s="2"/>
      <c r="AF121" s="2"/>
      <c r="AG121" s="2"/>
      <c r="AH121" s="2"/>
      <c r="AI121" s="2"/>
      <c r="AJ121" s="2"/>
      <c r="AK121" s="2"/>
      <c r="AL121" s="2"/>
      <c r="AM121" s="2"/>
      <c r="AN121" s="2"/>
    </row>
    <row r="122" spans="1:40" ht="75" x14ac:dyDescent="0.25">
      <c r="A122" s="3"/>
      <c r="B122" s="3"/>
      <c r="C122" s="11"/>
      <c r="D122" s="11"/>
      <c r="E122" s="41"/>
      <c r="F122" s="10">
        <v>3</v>
      </c>
      <c r="G122" s="11"/>
      <c r="H122" s="11"/>
      <c r="I122" s="11"/>
      <c r="J122" s="298" t="s">
        <v>3776</v>
      </c>
      <c r="K122" s="6" t="s">
        <v>3824</v>
      </c>
      <c r="L122" s="8" t="s">
        <v>3825</v>
      </c>
      <c r="M122" s="11"/>
      <c r="N122" s="11"/>
      <c r="O122" s="11"/>
      <c r="P122" s="11"/>
      <c r="Q122" s="6" t="s">
        <v>3826</v>
      </c>
      <c r="R122" s="11"/>
      <c r="S122" s="11"/>
      <c r="T122" s="11"/>
      <c r="U122" s="11"/>
      <c r="V122" s="11"/>
      <c r="W122" s="11"/>
      <c r="X122" s="11"/>
      <c r="Y122" s="2"/>
      <c r="Z122" s="2"/>
      <c r="AA122" s="2"/>
      <c r="AB122" s="2"/>
      <c r="AC122" s="2"/>
      <c r="AD122" s="2"/>
      <c r="AE122" s="2"/>
      <c r="AF122" s="2"/>
      <c r="AG122" s="2"/>
      <c r="AH122" s="2"/>
      <c r="AI122" s="2"/>
      <c r="AJ122" s="2"/>
      <c r="AK122" s="2"/>
      <c r="AL122" s="2"/>
      <c r="AM122" s="2"/>
      <c r="AN122" s="2"/>
    </row>
    <row r="123" spans="1:40" ht="30" x14ac:dyDescent="0.25">
      <c r="A123" s="3"/>
      <c r="B123" s="3"/>
      <c r="C123" s="11"/>
      <c r="D123" s="11"/>
      <c r="E123" s="41"/>
      <c r="F123" s="10">
        <v>3</v>
      </c>
      <c r="G123" s="11"/>
      <c r="H123" s="11"/>
      <c r="I123" s="11"/>
      <c r="J123" s="10" t="s">
        <v>3785</v>
      </c>
      <c r="K123" s="6" t="s">
        <v>3827</v>
      </c>
      <c r="L123" s="8" t="s">
        <v>3828</v>
      </c>
      <c r="M123" s="11"/>
      <c r="N123" s="11"/>
      <c r="O123" s="11"/>
      <c r="P123" s="10" t="s">
        <v>3829</v>
      </c>
      <c r="Q123" s="11"/>
      <c r="R123" s="11"/>
      <c r="S123" s="11"/>
      <c r="T123" s="11"/>
      <c r="U123" s="11"/>
      <c r="V123" s="11"/>
      <c r="W123" s="11"/>
      <c r="X123" s="11"/>
      <c r="Y123" s="2"/>
      <c r="Z123" s="2"/>
      <c r="AA123" s="2"/>
      <c r="AB123" s="2"/>
      <c r="AC123" s="2"/>
      <c r="AD123" s="2"/>
      <c r="AE123" s="2"/>
      <c r="AF123" s="2"/>
      <c r="AG123" s="2"/>
      <c r="AH123" s="2"/>
      <c r="AI123" s="2"/>
      <c r="AJ123" s="2"/>
      <c r="AK123" s="2"/>
      <c r="AL123" s="2"/>
      <c r="AM123" s="2"/>
      <c r="AN123" s="2"/>
    </row>
    <row r="124" spans="1:40" ht="30" x14ac:dyDescent="0.25">
      <c r="A124" s="3"/>
      <c r="B124" s="3"/>
      <c r="C124" s="11"/>
      <c r="D124" s="11"/>
      <c r="E124" s="41"/>
      <c r="F124" s="10">
        <v>3</v>
      </c>
      <c r="G124" s="11"/>
      <c r="H124" s="11"/>
      <c r="I124" s="11"/>
      <c r="J124" s="10" t="s">
        <v>3830</v>
      </c>
      <c r="K124" s="6" t="s">
        <v>3831</v>
      </c>
      <c r="L124" s="8" t="s">
        <v>3673</v>
      </c>
      <c r="M124" s="11"/>
      <c r="N124" s="11"/>
      <c r="O124" s="11"/>
      <c r="P124" s="11"/>
      <c r="Q124" s="11"/>
      <c r="R124" s="11"/>
      <c r="S124" s="11"/>
      <c r="T124" s="11"/>
      <c r="U124" s="11"/>
      <c r="V124" s="11"/>
      <c r="W124" s="11"/>
      <c r="X124" s="11"/>
      <c r="Y124" s="2"/>
      <c r="Z124" s="2"/>
      <c r="AA124" s="2"/>
      <c r="AB124" s="2"/>
      <c r="AC124" s="2"/>
      <c r="AD124" s="2"/>
      <c r="AE124" s="2"/>
      <c r="AF124" s="2"/>
      <c r="AG124" s="2"/>
      <c r="AH124" s="2"/>
      <c r="AI124" s="2"/>
      <c r="AJ124" s="2"/>
      <c r="AK124" s="2"/>
      <c r="AL124" s="2"/>
      <c r="AM124" s="2"/>
      <c r="AN124" s="2"/>
    </row>
    <row r="125" spans="1:40" x14ac:dyDescent="0.25">
      <c r="A125" s="3"/>
      <c r="B125" s="3"/>
      <c r="C125" s="11"/>
      <c r="D125" s="11"/>
      <c r="E125" s="41"/>
      <c r="F125" s="10">
        <v>3</v>
      </c>
      <c r="G125" s="11"/>
      <c r="H125" s="11"/>
      <c r="I125" s="11"/>
      <c r="J125" s="10" t="s">
        <v>3717</v>
      </c>
      <c r="K125" s="6" t="s">
        <v>3832</v>
      </c>
      <c r="L125" s="8" t="s">
        <v>3833</v>
      </c>
      <c r="M125" s="11"/>
      <c r="N125" s="11"/>
      <c r="O125" s="11"/>
      <c r="P125" s="10" t="s">
        <v>3834</v>
      </c>
      <c r="Q125" s="11"/>
      <c r="R125" s="11"/>
      <c r="S125" s="11"/>
      <c r="T125" s="11"/>
      <c r="U125" s="11"/>
      <c r="V125" s="11"/>
      <c r="W125" s="11"/>
      <c r="X125" s="11"/>
      <c r="Y125" s="2"/>
      <c r="Z125" s="2"/>
      <c r="AA125" s="2"/>
      <c r="AB125" s="2"/>
      <c r="AC125" s="2"/>
      <c r="AD125" s="2"/>
      <c r="AE125" s="2"/>
      <c r="AF125" s="2"/>
      <c r="AG125" s="2"/>
      <c r="AH125" s="2"/>
      <c r="AI125" s="2"/>
      <c r="AJ125" s="2"/>
      <c r="AK125" s="2"/>
      <c r="AL125" s="2"/>
      <c r="AM125" s="2"/>
      <c r="AN125" s="2"/>
    </row>
    <row r="126" spans="1:40" ht="60" x14ac:dyDescent="0.25">
      <c r="A126" s="3"/>
      <c r="B126" s="3"/>
      <c r="C126" s="11"/>
      <c r="D126" s="11"/>
      <c r="E126" s="41"/>
      <c r="F126" s="24">
        <v>3</v>
      </c>
      <c r="G126" s="28"/>
      <c r="H126" s="28"/>
      <c r="I126" s="28"/>
      <c r="J126" s="24" t="s">
        <v>2992</v>
      </c>
      <c r="K126" s="6" t="s">
        <v>3835</v>
      </c>
      <c r="L126" s="8" t="s">
        <v>3836</v>
      </c>
      <c r="M126" s="11"/>
      <c r="N126" s="11"/>
      <c r="O126" s="11"/>
      <c r="P126" s="14" t="s">
        <v>3837</v>
      </c>
      <c r="Q126" s="11"/>
      <c r="R126" s="11"/>
      <c r="S126" s="11"/>
      <c r="T126" s="11"/>
      <c r="U126" s="11"/>
      <c r="V126" s="11"/>
      <c r="W126" s="11"/>
      <c r="X126" s="11"/>
      <c r="Y126" s="2"/>
      <c r="Z126" s="2"/>
      <c r="AA126" s="2"/>
      <c r="AB126" s="2"/>
      <c r="AC126" s="2"/>
      <c r="AD126" s="2"/>
      <c r="AE126" s="2"/>
      <c r="AF126" s="2"/>
      <c r="AG126" s="2"/>
      <c r="AH126" s="2"/>
      <c r="AI126" s="2"/>
      <c r="AJ126" s="2"/>
      <c r="AK126" s="2"/>
      <c r="AL126" s="2"/>
      <c r="AM126" s="2"/>
      <c r="AN126" s="2"/>
    </row>
    <row r="127" spans="1:40" ht="51.75" x14ac:dyDescent="0.25">
      <c r="A127" s="3"/>
      <c r="B127" s="3"/>
      <c r="C127" s="11"/>
      <c r="D127" s="11"/>
      <c r="E127" s="41"/>
      <c r="F127" s="10"/>
      <c r="G127" s="10">
        <v>4</v>
      </c>
      <c r="H127" s="11"/>
      <c r="I127" s="11"/>
      <c r="J127" s="10" t="s">
        <v>3838</v>
      </c>
      <c r="K127" s="24" t="s">
        <v>3839</v>
      </c>
      <c r="L127" s="8" t="s">
        <v>3840</v>
      </c>
      <c r="M127" s="11"/>
      <c r="N127" s="11"/>
      <c r="O127" s="11"/>
      <c r="P127" s="24" t="s">
        <v>3841</v>
      </c>
      <c r="Q127" s="11"/>
      <c r="R127" s="11"/>
      <c r="S127" s="11"/>
      <c r="T127" s="11"/>
      <c r="U127" s="11"/>
      <c r="V127" s="11"/>
      <c r="W127" s="11"/>
      <c r="X127" s="11"/>
      <c r="Y127" s="2"/>
      <c r="Z127" s="2"/>
      <c r="AA127" s="2"/>
      <c r="AB127" s="2"/>
      <c r="AC127" s="2"/>
      <c r="AD127" s="2"/>
      <c r="AE127" s="2"/>
      <c r="AF127" s="2"/>
      <c r="AG127" s="2"/>
      <c r="AH127" s="2"/>
      <c r="AI127" s="2"/>
      <c r="AJ127" s="2"/>
      <c r="AK127" s="2"/>
      <c r="AL127" s="2"/>
      <c r="AM127" s="2"/>
      <c r="AN127" s="2"/>
    </row>
    <row r="128" spans="1:40" ht="39" x14ac:dyDescent="0.25">
      <c r="A128" s="3"/>
      <c r="B128" s="3"/>
      <c r="C128" s="11"/>
      <c r="D128" s="11"/>
      <c r="E128" s="41"/>
      <c r="F128" s="10"/>
      <c r="G128" s="10">
        <v>4</v>
      </c>
      <c r="H128" s="11"/>
      <c r="I128" s="11"/>
      <c r="J128" s="10" t="s">
        <v>44</v>
      </c>
      <c r="K128" s="855" t="s">
        <v>3842</v>
      </c>
      <c r="L128" s="8" t="s">
        <v>3840</v>
      </c>
      <c r="M128" s="11"/>
      <c r="N128" s="11"/>
      <c r="O128" s="11"/>
      <c r="P128" s="24" t="s">
        <v>3841</v>
      </c>
      <c r="Q128" s="11"/>
      <c r="R128" s="11"/>
      <c r="S128" s="11"/>
      <c r="T128" s="11"/>
      <c r="U128" s="11"/>
      <c r="V128" s="11"/>
      <c r="W128" s="11"/>
      <c r="X128" s="11"/>
      <c r="Y128" s="2"/>
      <c r="Z128" s="2"/>
      <c r="AA128" s="2"/>
      <c r="AB128" s="2"/>
      <c r="AC128" s="2"/>
      <c r="AD128" s="2"/>
      <c r="AE128" s="2"/>
      <c r="AF128" s="2"/>
      <c r="AG128" s="2"/>
      <c r="AH128" s="2"/>
      <c r="AI128" s="2"/>
      <c r="AJ128" s="2"/>
      <c r="AK128" s="2"/>
      <c r="AL128" s="2"/>
      <c r="AM128" s="2"/>
      <c r="AN128" s="2"/>
    </row>
    <row r="129" spans="1:40" ht="26.25" x14ac:dyDescent="0.25">
      <c r="A129" s="3"/>
      <c r="B129" s="3"/>
      <c r="C129" s="11"/>
      <c r="D129" s="11"/>
      <c r="E129" s="41"/>
      <c r="F129" s="10"/>
      <c r="G129" s="10">
        <v>4</v>
      </c>
      <c r="H129" s="11"/>
      <c r="I129" s="11"/>
      <c r="J129" s="6" t="s">
        <v>3843</v>
      </c>
      <c r="K129" s="24" t="s">
        <v>3844</v>
      </c>
      <c r="L129" s="8" t="s">
        <v>945</v>
      </c>
      <c r="M129" s="11"/>
      <c r="N129" s="11"/>
      <c r="O129" s="11"/>
      <c r="P129" s="24"/>
      <c r="Q129" s="11"/>
      <c r="R129" s="11"/>
      <c r="S129" s="11"/>
      <c r="T129" s="11"/>
      <c r="U129" s="11"/>
      <c r="V129" s="11"/>
      <c r="W129" s="11"/>
      <c r="X129" s="11"/>
      <c r="Y129" s="2"/>
      <c r="Z129" s="2"/>
      <c r="AA129" s="2"/>
      <c r="AB129" s="2"/>
      <c r="AC129" s="2"/>
      <c r="AD129" s="2"/>
      <c r="AE129" s="2"/>
      <c r="AF129" s="2"/>
      <c r="AG129" s="2"/>
      <c r="AH129" s="2"/>
      <c r="AI129" s="2"/>
      <c r="AJ129" s="2"/>
      <c r="AK129" s="2"/>
      <c r="AL129" s="2"/>
      <c r="AM129" s="2"/>
      <c r="AN129" s="2"/>
    </row>
    <row r="130" spans="1:40" x14ac:dyDescent="0.25">
      <c r="A130" s="3"/>
      <c r="B130" s="3"/>
      <c r="C130" s="11"/>
      <c r="D130" s="11"/>
      <c r="E130" s="120">
        <v>2</v>
      </c>
      <c r="F130" s="1245" t="s">
        <v>3845</v>
      </c>
      <c r="G130" s="1245"/>
      <c r="H130" s="1245"/>
      <c r="I130" s="1245"/>
      <c r="J130" s="1245"/>
      <c r="K130" s="1245"/>
      <c r="L130" s="1246"/>
      <c r="M130" s="1245"/>
      <c r="N130" s="1245"/>
      <c r="O130" s="1245"/>
      <c r="P130" s="1245"/>
      <c r="Q130" s="1245"/>
      <c r="R130" s="1245"/>
      <c r="S130" s="1245"/>
      <c r="T130" s="1245"/>
      <c r="U130" s="1245"/>
      <c r="V130" s="1245"/>
      <c r="W130" s="1245"/>
      <c r="X130" s="1245"/>
      <c r="Y130" s="2"/>
      <c r="Z130" s="2"/>
      <c r="AA130" s="2"/>
      <c r="AB130" s="2"/>
      <c r="AC130" s="2"/>
      <c r="AD130" s="2"/>
      <c r="AE130" s="2"/>
      <c r="AF130" s="2"/>
      <c r="AG130" s="2"/>
      <c r="AH130" s="2"/>
      <c r="AI130" s="2"/>
      <c r="AJ130" s="2"/>
      <c r="AK130" s="2"/>
      <c r="AL130" s="2"/>
      <c r="AM130" s="2"/>
      <c r="AN130" s="2"/>
    </row>
    <row r="131" spans="1:40" ht="45" x14ac:dyDescent="0.25">
      <c r="A131" s="3"/>
      <c r="B131" s="3"/>
      <c r="C131" s="11"/>
      <c r="D131" s="11"/>
      <c r="E131" s="41"/>
      <c r="F131" s="10">
        <v>3</v>
      </c>
      <c r="G131" s="11"/>
      <c r="H131" s="11"/>
      <c r="I131" s="11"/>
      <c r="J131" s="298" t="s">
        <v>3756</v>
      </c>
      <c r="K131" s="6" t="s">
        <v>3846</v>
      </c>
      <c r="L131" s="8" t="s">
        <v>3828</v>
      </c>
      <c r="M131" s="11"/>
      <c r="N131" s="11"/>
      <c r="O131" s="11"/>
      <c r="P131" s="6" t="s">
        <v>3847</v>
      </c>
      <c r="Q131" s="10" t="s">
        <v>3823</v>
      </c>
      <c r="R131" s="11"/>
      <c r="S131" s="11"/>
      <c r="T131" s="11"/>
      <c r="U131" s="11"/>
      <c r="V131" s="11"/>
      <c r="W131" s="11"/>
      <c r="X131" s="11"/>
      <c r="Y131" s="2"/>
      <c r="Z131" s="2"/>
      <c r="AA131" s="2"/>
      <c r="AB131" s="2"/>
      <c r="AC131" s="2"/>
      <c r="AD131" s="2"/>
      <c r="AE131" s="2"/>
      <c r="AF131" s="2"/>
      <c r="AG131" s="2"/>
      <c r="AH131" s="2"/>
      <c r="AI131" s="2"/>
      <c r="AJ131" s="2"/>
      <c r="AK131" s="2"/>
      <c r="AL131" s="2"/>
      <c r="AM131" s="2"/>
      <c r="AN131" s="2"/>
    </row>
    <row r="132" spans="1:40" ht="75" x14ac:dyDescent="0.25">
      <c r="A132" s="3"/>
      <c r="B132" s="3"/>
      <c r="C132" s="11"/>
      <c r="D132" s="11"/>
      <c r="E132" s="41"/>
      <c r="F132" s="10">
        <v>3</v>
      </c>
      <c r="G132" s="11"/>
      <c r="H132" s="11"/>
      <c r="I132" s="11"/>
      <c r="J132" s="298" t="s">
        <v>3776</v>
      </c>
      <c r="K132" s="6" t="s">
        <v>3824</v>
      </c>
      <c r="L132" s="8" t="s">
        <v>3825</v>
      </c>
      <c r="M132" s="11"/>
      <c r="N132" s="11"/>
      <c r="O132" s="11"/>
      <c r="P132" s="11"/>
      <c r="Q132" s="6" t="s">
        <v>3826</v>
      </c>
      <c r="R132" s="11"/>
      <c r="S132" s="11"/>
      <c r="T132" s="11"/>
      <c r="U132" s="11"/>
      <c r="V132" s="11"/>
      <c r="W132" s="11"/>
      <c r="X132" s="11"/>
      <c r="Y132" s="2"/>
      <c r="Z132" s="2"/>
      <c r="AA132" s="2"/>
      <c r="AB132" s="2"/>
      <c r="AC132" s="2"/>
      <c r="AD132" s="2"/>
      <c r="AE132" s="2"/>
      <c r="AF132" s="2"/>
      <c r="AG132" s="2"/>
      <c r="AH132" s="2"/>
      <c r="AI132" s="2"/>
      <c r="AJ132" s="2"/>
      <c r="AK132" s="2"/>
      <c r="AL132" s="2"/>
      <c r="AM132" s="2"/>
      <c r="AN132" s="2"/>
    </row>
    <row r="133" spans="1:40" ht="30" x14ac:dyDescent="0.25">
      <c r="A133" s="3"/>
      <c r="B133" s="3"/>
      <c r="C133" s="11"/>
      <c r="D133" s="11"/>
      <c r="E133" s="41"/>
      <c r="F133" s="10">
        <v>3</v>
      </c>
      <c r="G133" s="11"/>
      <c r="H133" s="11"/>
      <c r="I133" s="11"/>
      <c r="J133" s="10" t="s">
        <v>3785</v>
      </c>
      <c r="K133" s="6" t="s">
        <v>3848</v>
      </c>
      <c r="L133" s="8" t="s">
        <v>3828</v>
      </c>
      <c r="M133" s="11"/>
      <c r="N133" s="11"/>
      <c r="O133" s="11"/>
      <c r="P133" s="10" t="s">
        <v>3829</v>
      </c>
      <c r="Q133" s="11"/>
      <c r="R133" s="11"/>
      <c r="S133" s="11"/>
      <c r="T133" s="11"/>
      <c r="U133" s="11"/>
      <c r="V133" s="11"/>
      <c r="W133" s="11"/>
      <c r="X133" s="11"/>
      <c r="Y133" s="2"/>
      <c r="Z133" s="2"/>
      <c r="AA133" s="2"/>
      <c r="AB133" s="2"/>
      <c r="AC133" s="2"/>
      <c r="AD133" s="2"/>
      <c r="AE133" s="2"/>
      <c r="AF133" s="2"/>
      <c r="AG133" s="2"/>
      <c r="AH133" s="2"/>
      <c r="AI133" s="2"/>
      <c r="AJ133" s="2"/>
      <c r="AK133" s="2"/>
      <c r="AL133" s="2"/>
      <c r="AM133" s="2"/>
      <c r="AN133" s="2"/>
    </row>
    <row r="134" spans="1:40" ht="30" x14ac:dyDescent="0.25">
      <c r="A134" s="3"/>
      <c r="B134" s="3"/>
      <c r="C134" s="11"/>
      <c r="D134" s="11"/>
      <c r="E134" s="41"/>
      <c r="F134" s="10">
        <v>3</v>
      </c>
      <c r="G134" s="11"/>
      <c r="H134" s="11"/>
      <c r="I134" s="11"/>
      <c r="J134" s="10" t="s">
        <v>3830</v>
      </c>
      <c r="K134" s="6" t="s">
        <v>3849</v>
      </c>
      <c r="L134" s="8" t="s">
        <v>3673</v>
      </c>
      <c r="M134" s="11"/>
      <c r="N134" s="11"/>
      <c r="O134" s="11"/>
      <c r="P134" s="11"/>
      <c r="Q134" s="11"/>
      <c r="R134" s="11"/>
      <c r="S134" s="11"/>
      <c r="T134" s="11"/>
      <c r="U134" s="11"/>
      <c r="V134" s="11"/>
      <c r="W134" s="11"/>
      <c r="X134" s="11"/>
      <c r="Y134" s="2"/>
      <c r="Z134" s="2"/>
      <c r="AA134" s="2"/>
      <c r="AB134" s="2"/>
      <c r="AC134" s="2"/>
      <c r="AD134" s="2"/>
      <c r="AE134" s="2"/>
      <c r="AF134" s="2"/>
      <c r="AG134" s="2"/>
      <c r="AH134" s="2"/>
      <c r="AI134" s="2"/>
      <c r="AJ134" s="2"/>
      <c r="AK134" s="2"/>
      <c r="AL134" s="2"/>
      <c r="AM134" s="2"/>
      <c r="AN134" s="2"/>
    </row>
    <row r="135" spans="1:40" ht="26.25" x14ac:dyDescent="0.25">
      <c r="A135" s="3"/>
      <c r="B135" s="3"/>
      <c r="C135" s="11"/>
      <c r="D135" s="11"/>
      <c r="E135" s="41"/>
      <c r="F135" s="24">
        <v>3</v>
      </c>
      <c r="G135" s="28"/>
      <c r="H135" s="28"/>
      <c r="I135" s="28"/>
      <c r="J135" s="28" t="s">
        <v>2992</v>
      </c>
      <c r="K135" s="290"/>
      <c r="L135" s="8" t="s">
        <v>3850</v>
      </c>
      <c r="M135" s="11"/>
      <c r="N135" s="11"/>
      <c r="O135" s="11"/>
      <c r="P135" s="10" t="s">
        <v>3829</v>
      </c>
      <c r="Q135" s="11"/>
      <c r="R135" s="11"/>
      <c r="S135" s="11"/>
      <c r="T135" s="11"/>
      <c r="U135" s="11"/>
      <c r="V135" s="11"/>
      <c r="W135" s="11"/>
      <c r="X135" s="11"/>
      <c r="Y135" s="2"/>
      <c r="Z135" s="2"/>
      <c r="AA135" s="2"/>
      <c r="AB135" s="2"/>
      <c r="AC135" s="2"/>
      <c r="AD135" s="2"/>
      <c r="AE135" s="2"/>
      <c r="AF135" s="2"/>
      <c r="AG135" s="2"/>
      <c r="AH135" s="2"/>
      <c r="AI135" s="2"/>
      <c r="AJ135" s="2"/>
      <c r="AK135" s="2"/>
      <c r="AL135" s="2"/>
      <c r="AM135" s="2"/>
      <c r="AN135" s="2"/>
    </row>
    <row r="136" spans="1:40" x14ac:dyDescent="0.25">
      <c r="A136" s="3"/>
      <c r="B136" s="3"/>
      <c r="C136" s="11"/>
      <c r="D136" s="11"/>
      <c r="E136" s="41"/>
      <c r="F136" s="10"/>
      <c r="G136" s="10">
        <v>4</v>
      </c>
      <c r="H136" s="11"/>
      <c r="I136" s="11"/>
      <c r="J136" s="10" t="s">
        <v>3838</v>
      </c>
      <c r="K136" s="24" t="s">
        <v>3851</v>
      </c>
      <c r="L136" s="8" t="s">
        <v>945</v>
      </c>
      <c r="M136" s="11"/>
      <c r="N136" s="11"/>
      <c r="O136" s="11"/>
      <c r="P136" s="11"/>
      <c r="Q136" s="11"/>
      <c r="R136" s="11"/>
      <c r="S136" s="11"/>
      <c r="T136" s="11"/>
      <c r="U136" s="11"/>
      <c r="V136" s="11"/>
      <c r="W136" s="11"/>
      <c r="X136" s="11"/>
      <c r="Y136" s="2"/>
      <c r="Z136" s="2"/>
      <c r="AA136" s="2"/>
      <c r="AB136" s="2"/>
      <c r="AC136" s="2"/>
      <c r="AD136" s="2"/>
      <c r="AE136" s="2"/>
      <c r="AF136" s="2"/>
      <c r="AG136" s="2"/>
      <c r="AH136" s="2"/>
      <c r="AI136" s="2"/>
      <c r="AJ136" s="2"/>
      <c r="AK136" s="2"/>
      <c r="AL136" s="2"/>
      <c r="AM136" s="2"/>
      <c r="AN136" s="2"/>
    </row>
    <row r="137" spans="1:40" x14ac:dyDescent="0.25">
      <c r="A137" s="3"/>
      <c r="B137" s="3"/>
      <c r="C137" s="11"/>
      <c r="D137" s="11"/>
      <c r="E137" s="41"/>
      <c r="F137" s="10"/>
      <c r="G137" s="10">
        <v>4</v>
      </c>
      <c r="H137" s="11"/>
      <c r="I137" s="11"/>
      <c r="J137" s="6" t="s">
        <v>3852</v>
      </c>
      <c r="K137" s="24" t="s">
        <v>3853</v>
      </c>
      <c r="L137" s="8" t="s">
        <v>945</v>
      </c>
      <c r="M137" s="11"/>
      <c r="N137" s="11"/>
      <c r="O137" s="11"/>
      <c r="P137" s="10"/>
      <c r="Q137" s="11"/>
      <c r="R137" s="11"/>
      <c r="S137" s="11"/>
      <c r="T137" s="11"/>
      <c r="U137" s="11"/>
      <c r="V137" s="11"/>
      <c r="W137" s="11"/>
      <c r="X137" s="11"/>
      <c r="Y137" s="2"/>
      <c r="Z137" s="2"/>
      <c r="AA137" s="2"/>
      <c r="AB137" s="2"/>
      <c r="AC137" s="2"/>
      <c r="AD137" s="2"/>
      <c r="AE137" s="2"/>
      <c r="AF137" s="2"/>
      <c r="AG137" s="2"/>
      <c r="AH137" s="2"/>
      <c r="AI137" s="2"/>
      <c r="AJ137" s="2"/>
      <c r="AK137" s="2"/>
      <c r="AL137" s="2"/>
      <c r="AM137" s="2"/>
      <c r="AN137" s="2"/>
    </row>
    <row r="138" spans="1:40" x14ac:dyDescent="0.25">
      <c r="A138" s="3"/>
      <c r="B138" s="3"/>
      <c r="C138" s="11"/>
      <c r="D138" s="11"/>
      <c r="E138" s="120">
        <v>2</v>
      </c>
      <c r="F138" s="1245" t="s">
        <v>3854</v>
      </c>
      <c r="G138" s="1245"/>
      <c r="H138" s="1245"/>
      <c r="I138" s="1245"/>
      <c r="J138" s="1245"/>
      <c r="K138" s="1245"/>
      <c r="L138" s="1246"/>
      <c r="M138" s="1245"/>
      <c r="N138" s="1245"/>
      <c r="O138" s="1245"/>
      <c r="P138" s="1245"/>
      <c r="Q138" s="1245"/>
      <c r="R138" s="1245"/>
      <c r="S138" s="1245"/>
      <c r="T138" s="1245"/>
      <c r="U138" s="1245"/>
      <c r="V138" s="1245"/>
      <c r="W138" s="1245"/>
      <c r="X138" s="1245"/>
      <c r="Y138" s="2"/>
      <c r="Z138" s="2"/>
      <c r="AA138" s="2"/>
      <c r="AB138" s="2"/>
      <c r="AC138" s="2"/>
      <c r="AD138" s="2"/>
      <c r="AE138" s="2"/>
      <c r="AF138" s="2"/>
      <c r="AG138" s="2"/>
      <c r="AH138" s="2"/>
      <c r="AI138" s="2"/>
      <c r="AJ138" s="2"/>
      <c r="AK138" s="2"/>
      <c r="AL138" s="2"/>
      <c r="AM138" s="2"/>
      <c r="AN138" s="2"/>
    </row>
    <row r="139" spans="1:40" ht="45" x14ac:dyDescent="0.25">
      <c r="A139" s="3"/>
      <c r="B139" s="3"/>
      <c r="C139" s="11"/>
      <c r="D139" s="11"/>
      <c r="E139" s="41"/>
      <c r="F139" s="10">
        <v>3</v>
      </c>
      <c r="G139" s="11"/>
      <c r="H139" s="11"/>
      <c r="I139" s="11"/>
      <c r="J139" s="298" t="s">
        <v>3756</v>
      </c>
      <c r="K139" s="6" t="s">
        <v>3855</v>
      </c>
      <c r="L139" s="8" t="s">
        <v>3828</v>
      </c>
      <c r="M139" s="11"/>
      <c r="N139" s="11"/>
      <c r="O139" s="11"/>
      <c r="P139" s="6" t="s">
        <v>3856</v>
      </c>
      <c r="Q139" s="10" t="s">
        <v>3823</v>
      </c>
      <c r="R139" s="11"/>
      <c r="S139" s="11"/>
      <c r="T139" s="11"/>
      <c r="U139" s="11"/>
      <c r="V139" s="11"/>
      <c r="W139" s="11"/>
      <c r="X139" s="11"/>
      <c r="Y139" s="2"/>
      <c r="Z139" s="2"/>
      <c r="AA139" s="2"/>
      <c r="AB139" s="2"/>
      <c r="AC139" s="2"/>
      <c r="AD139" s="2"/>
      <c r="AE139" s="2"/>
      <c r="AF139" s="2"/>
      <c r="AG139" s="2"/>
      <c r="AH139" s="2"/>
      <c r="AI139" s="2"/>
      <c r="AJ139" s="2"/>
      <c r="AK139" s="2"/>
      <c r="AL139" s="2"/>
      <c r="AM139" s="2"/>
      <c r="AN139" s="2"/>
    </row>
    <row r="140" spans="1:40" ht="75" x14ac:dyDescent="0.25">
      <c r="A140" s="3"/>
      <c r="B140" s="3"/>
      <c r="C140" s="11"/>
      <c r="D140" s="11"/>
      <c r="E140" s="41"/>
      <c r="F140" s="10">
        <v>3</v>
      </c>
      <c r="G140" s="11"/>
      <c r="H140" s="11"/>
      <c r="I140" s="11"/>
      <c r="J140" s="298" t="s">
        <v>3776</v>
      </c>
      <c r="K140" s="6" t="s">
        <v>3824</v>
      </c>
      <c r="L140" s="8" t="s">
        <v>3825</v>
      </c>
      <c r="M140" s="11"/>
      <c r="N140" s="11"/>
      <c r="O140" s="11"/>
      <c r="P140" s="11"/>
      <c r="Q140" s="6" t="s">
        <v>3826</v>
      </c>
      <c r="R140" s="11"/>
      <c r="S140" s="11"/>
      <c r="T140" s="11"/>
      <c r="U140" s="11"/>
      <c r="V140" s="11"/>
      <c r="W140" s="11"/>
      <c r="X140" s="11"/>
      <c r="Y140" s="2"/>
      <c r="Z140" s="2"/>
      <c r="AA140" s="2"/>
      <c r="AB140" s="2"/>
      <c r="AC140" s="2"/>
      <c r="AD140" s="2"/>
      <c r="AE140" s="2"/>
      <c r="AF140" s="2"/>
      <c r="AG140" s="2"/>
      <c r="AH140" s="2"/>
      <c r="AI140" s="2"/>
      <c r="AJ140" s="2"/>
      <c r="AK140" s="2"/>
      <c r="AL140" s="2"/>
      <c r="AM140" s="2"/>
      <c r="AN140" s="2"/>
    </row>
    <row r="141" spans="1:40" ht="30" x14ac:dyDescent="0.25">
      <c r="A141" s="3"/>
      <c r="B141" s="3"/>
      <c r="C141" s="11"/>
      <c r="D141" s="11"/>
      <c r="E141" s="41"/>
      <c r="F141" s="10">
        <v>3</v>
      </c>
      <c r="G141" s="11"/>
      <c r="H141" s="11"/>
      <c r="I141" s="11"/>
      <c r="J141" s="10" t="s">
        <v>3830</v>
      </c>
      <c r="K141" s="6" t="s">
        <v>3857</v>
      </c>
      <c r="L141" s="8" t="s">
        <v>3828</v>
      </c>
      <c r="M141" s="11"/>
      <c r="N141" s="11"/>
      <c r="O141" s="11"/>
      <c r="P141" s="10" t="s">
        <v>3829</v>
      </c>
      <c r="Q141" s="6"/>
      <c r="R141" s="11"/>
      <c r="S141" s="11"/>
      <c r="T141" s="11"/>
      <c r="U141" s="11"/>
      <c r="V141" s="11"/>
      <c r="W141" s="11"/>
      <c r="X141" s="11"/>
      <c r="Y141" s="2"/>
      <c r="Z141" s="2"/>
      <c r="AA141" s="2"/>
      <c r="AB141" s="2"/>
      <c r="AC141" s="2"/>
      <c r="AD141" s="2"/>
      <c r="AE141" s="2"/>
      <c r="AF141" s="2"/>
      <c r="AG141" s="2"/>
      <c r="AH141" s="2"/>
      <c r="AI141" s="2"/>
      <c r="AJ141" s="2"/>
      <c r="AK141" s="2"/>
      <c r="AL141" s="2"/>
      <c r="AM141" s="2"/>
      <c r="AN141" s="2"/>
    </row>
    <row r="142" spans="1:40" ht="43.5" x14ac:dyDescent="0.25">
      <c r="A142" s="3"/>
      <c r="B142" s="3"/>
      <c r="C142" s="11"/>
      <c r="D142" s="11"/>
      <c r="E142" s="41"/>
      <c r="F142" s="10">
        <v>3</v>
      </c>
      <c r="G142" s="11"/>
      <c r="H142" s="11"/>
      <c r="I142" s="11"/>
      <c r="J142" s="6" t="s">
        <v>3717</v>
      </c>
      <c r="K142" s="10" t="s">
        <v>3858</v>
      </c>
      <c r="L142" s="8" t="s">
        <v>3720</v>
      </c>
      <c r="M142" s="11"/>
      <c r="N142" s="11"/>
      <c r="O142" s="11"/>
      <c r="P142" s="6" t="s">
        <v>3856</v>
      </c>
      <c r="Q142" s="6"/>
      <c r="R142" s="11"/>
      <c r="S142" s="11"/>
      <c r="T142" s="11"/>
      <c r="U142" s="11"/>
      <c r="V142" s="11"/>
      <c r="W142" s="11"/>
      <c r="X142" s="11"/>
      <c r="Y142" s="2"/>
      <c r="Z142" s="2"/>
      <c r="AA142" s="2"/>
      <c r="AB142" s="2"/>
      <c r="AC142" s="2"/>
      <c r="AD142" s="2"/>
      <c r="AE142" s="2"/>
      <c r="AF142" s="2"/>
      <c r="AG142" s="2"/>
      <c r="AH142" s="2"/>
      <c r="AI142" s="2"/>
      <c r="AJ142" s="2"/>
      <c r="AK142" s="2"/>
      <c r="AL142" s="2"/>
      <c r="AM142" s="2"/>
      <c r="AN142" s="2"/>
    </row>
    <row r="143" spans="1:40" ht="26.25" x14ac:dyDescent="0.25">
      <c r="A143" s="3"/>
      <c r="B143" s="3"/>
      <c r="C143" s="11"/>
      <c r="D143" s="11"/>
      <c r="E143" s="41"/>
      <c r="F143" s="24">
        <v>3</v>
      </c>
      <c r="G143" s="28"/>
      <c r="H143" s="28"/>
      <c r="I143" s="28"/>
      <c r="J143" s="28" t="s">
        <v>2992</v>
      </c>
      <c r="K143" s="24"/>
      <c r="L143" s="8" t="s">
        <v>3859</v>
      </c>
      <c r="M143" s="11"/>
      <c r="N143" s="11"/>
      <c r="O143" s="11"/>
      <c r="P143" s="10" t="s">
        <v>3829</v>
      </c>
      <c r="Q143" s="6"/>
      <c r="R143" s="11"/>
      <c r="S143" s="11"/>
      <c r="T143" s="11"/>
      <c r="U143" s="11"/>
      <c r="V143" s="11"/>
      <c r="W143" s="11"/>
      <c r="X143" s="11"/>
      <c r="Y143" s="2"/>
      <c r="Z143" s="2"/>
      <c r="AA143" s="2"/>
      <c r="AB143" s="2"/>
      <c r="AC143" s="2"/>
      <c r="AD143" s="2"/>
      <c r="AE143" s="2"/>
      <c r="AF143" s="2"/>
      <c r="AG143" s="2"/>
      <c r="AH143" s="2"/>
      <c r="AI143" s="2"/>
      <c r="AJ143" s="2"/>
      <c r="AK143" s="2"/>
      <c r="AL143" s="2"/>
      <c r="AM143" s="2"/>
      <c r="AN143" s="2"/>
    </row>
    <row r="144" spans="1:40" ht="26.25" x14ac:dyDescent="0.25">
      <c r="A144" s="3"/>
      <c r="B144" s="3"/>
      <c r="C144" s="11"/>
      <c r="D144" s="11"/>
      <c r="E144" s="41"/>
      <c r="F144" s="24"/>
      <c r="G144" s="24">
        <v>4</v>
      </c>
      <c r="H144" s="28"/>
      <c r="I144" s="28"/>
      <c r="J144" s="24" t="s">
        <v>45</v>
      </c>
      <c r="K144" s="24" t="s">
        <v>3860</v>
      </c>
      <c r="L144" s="8" t="s">
        <v>945</v>
      </c>
      <c r="M144" s="11"/>
      <c r="N144" s="11"/>
      <c r="O144" s="11"/>
      <c r="P144" s="11"/>
      <c r="Q144" s="6"/>
      <c r="R144" s="11"/>
      <c r="S144" s="11"/>
      <c r="T144" s="11"/>
      <c r="U144" s="11"/>
      <c r="V144" s="11"/>
      <c r="W144" s="11"/>
      <c r="X144" s="11"/>
      <c r="Y144" s="2"/>
      <c r="Z144" s="2"/>
      <c r="AA144" s="2"/>
      <c r="AB144" s="2"/>
      <c r="AC144" s="2"/>
      <c r="AD144" s="2"/>
      <c r="AE144" s="2"/>
      <c r="AF144" s="2"/>
      <c r="AG144" s="2"/>
      <c r="AH144" s="2"/>
      <c r="AI144" s="2"/>
      <c r="AJ144" s="2"/>
      <c r="AK144" s="2"/>
      <c r="AL144" s="2"/>
      <c r="AM144" s="2"/>
      <c r="AN144" s="2"/>
    </row>
    <row r="145" spans="1:40" x14ac:dyDescent="0.25">
      <c r="A145" s="3"/>
      <c r="B145" s="3"/>
      <c r="C145" s="11"/>
      <c r="D145" s="11"/>
      <c r="E145" s="41"/>
      <c r="F145" s="10"/>
      <c r="G145" s="10">
        <v>4</v>
      </c>
      <c r="H145" s="11"/>
      <c r="I145" s="11"/>
      <c r="J145" s="6" t="s">
        <v>3852</v>
      </c>
      <c r="K145" s="24" t="s">
        <v>3861</v>
      </c>
      <c r="L145" s="8" t="s">
        <v>945</v>
      </c>
      <c r="M145" s="11"/>
      <c r="N145" s="11"/>
      <c r="O145" s="11"/>
      <c r="P145" s="11"/>
      <c r="Q145" s="6"/>
      <c r="R145" s="11"/>
      <c r="S145" s="11"/>
      <c r="T145" s="11"/>
      <c r="U145" s="11"/>
      <c r="V145" s="11"/>
      <c r="W145" s="11"/>
      <c r="X145" s="11"/>
      <c r="Y145" s="2"/>
      <c r="Z145" s="2"/>
      <c r="AA145" s="2"/>
      <c r="AB145" s="2"/>
      <c r="AC145" s="2"/>
      <c r="AD145" s="2"/>
      <c r="AE145" s="2"/>
      <c r="AF145" s="2"/>
      <c r="AG145" s="2"/>
      <c r="AH145" s="2"/>
      <c r="AI145" s="2"/>
      <c r="AJ145" s="2"/>
      <c r="AK145" s="2"/>
      <c r="AL145" s="2"/>
      <c r="AM145" s="2"/>
      <c r="AN145" s="2"/>
    </row>
    <row r="146" spans="1:40" x14ac:dyDescent="0.25">
      <c r="A146" s="3"/>
      <c r="B146" s="3"/>
      <c r="C146" s="11"/>
      <c r="D146" s="11"/>
      <c r="E146" s="120">
        <v>2</v>
      </c>
      <c r="F146" s="1245" t="s">
        <v>3862</v>
      </c>
      <c r="G146" s="1245"/>
      <c r="H146" s="1245"/>
      <c r="I146" s="1245"/>
      <c r="J146" s="1245"/>
      <c r="K146" s="1245"/>
      <c r="L146" s="1246"/>
      <c r="M146" s="1245"/>
      <c r="N146" s="1245"/>
      <c r="O146" s="1245"/>
      <c r="P146" s="1245"/>
      <c r="Q146" s="1245"/>
      <c r="R146" s="1245"/>
      <c r="S146" s="1245"/>
      <c r="T146" s="1245"/>
      <c r="U146" s="1245"/>
      <c r="V146" s="1245"/>
      <c r="W146" s="1245"/>
      <c r="X146" s="1245"/>
      <c r="Y146" s="2"/>
      <c r="Z146" s="2"/>
      <c r="AA146" s="2"/>
      <c r="AB146" s="2"/>
      <c r="AC146" s="2"/>
      <c r="AD146" s="2"/>
      <c r="AE146" s="2"/>
      <c r="AF146" s="2"/>
      <c r="AG146" s="2"/>
      <c r="AH146" s="2"/>
      <c r="AI146" s="2"/>
      <c r="AJ146" s="2"/>
      <c r="AK146" s="2"/>
      <c r="AL146" s="2"/>
      <c r="AM146" s="2"/>
      <c r="AN146" s="2"/>
    </row>
    <row r="147" spans="1:40" ht="26.25" x14ac:dyDescent="0.25">
      <c r="A147" s="3"/>
      <c r="B147" s="3"/>
      <c r="C147" s="11"/>
      <c r="D147" s="11"/>
      <c r="E147" s="41"/>
      <c r="F147" s="10">
        <v>3</v>
      </c>
      <c r="G147" s="11"/>
      <c r="H147" s="11"/>
      <c r="I147" s="11"/>
      <c r="J147" s="298" t="s">
        <v>3756</v>
      </c>
      <c r="K147" s="6" t="s">
        <v>3863</v>
      </c>
      <c r="L147" s="8" t="s">
        <v>3605</v>
      </c>
      <c r="M147" s="11"/>
      <c r="N147" s="11"/>
      <c r="O147" s="11"/>
      <c r="P147" s="10" t="s">
        <v>3864</v>
      </c>
      <c r="Q147" s="11"/>
      <c r="R147" s="11"/>
      <c r="S147" s="11"/>
      <c r="T147" s="11"/>
      <c r="U147" s="11"/>
      <c r="V147" s="11"/>
      <c r="W147" s="11"/>
      <c r="X147" s="11"/>
      <c r="Y147" s="2"/>
      <c r="Z147" s="2"/>
      <c r="AA147" s="2"/>
      <c r="AB147" s="2"/>
      <c r="AC147" s="2"/>
      <c r="AD147" s="2"/>
      <c r="AE147" s="2"/>
      <c r="AF147" s="2"/>
      <c r="AG147" s="2"/>
      <c r="AH147" s="2"/>
      <c r="AI147" s="2"/>
      <c r="AJ147" s="2"/>
      <c r="AK147" s="2"/>
      <c r="AL147" s="2"/>
      <c r="AM147" s="2"/>
      <c r="AN147" s="2"/>
    </row>
    <row r="148" spans="1:40" ht="39" x14ac:dyDescent="0.25">
      <c r="A148" s="3"/>
      <c r="B148" s="3"/>
      <c r="C148" s="11"/>
      <c r="D148" s="11"/>
      <c r="E148" s="41"/>
      <c r="F148" s="10">
        <v>3</v>
      </c>
      <c r="G148" s="11"/>
      <c r="H148" s="11"/>
      <c r="I148" s="11"/>
      <c r="J148" s="298" t="s">
        <v>3776</v>
      </c>
      <c r="K148" s="6" t="s">
        <v>3824</v>
      </c>
      <c r="L148" s="8" t="s">
        <v>3825</v>
      </c>
      <c r="M148" s="11"/>
      <c r="N148" s="11"/>
      <c r="O148" s="11"/>
      <c r="P148" s="11"/>
      <c r="Q148" s="10" t="s">
        <v>3865</v>
      </c>
      <c r="R148" s="11"/>
      <c r="S148" s="11"/>
      <c r="T148" s="11"/>
      <c r="U148" s="11"/>
      <c r="V148" s="11"/>
      <c r="W148" s="11"/>
      <c r="X148" s="11"/>
      <c r="Y148" s="2"/>
      <c r="Z148" s="2"/>
      <c r="AA148" s="2"/>
      <c r="AB148" s="2"/>
      <c r="AC148" s="2"/>
      <c r="AD148" s="2"/>
      <c r="AE148" s="2"/>
      <c r="AF148" s="2"/>
      <c r="AG148" s="2"/>
      <c r="AH148" s="2"/>
      <c r="AI148" s="2"/>
      <c r="AJ148" s="2"/>
      <c r="AK148" s="2"/>
      <c r="AL148" s="2"/>
      <c r="AM148" s="2"/>
      <c r="AN148" s="2"/>
    </row>
    <row r="149" spans="1:40" ht="30" x14ac:dyDescent="0.25">
      <c r="A149" s="3"/>
      <c r="B149" s="3"/>
      <c r="C149" s="11"/>
      <c r="D149" s="11"/>
      <c r="E149" s="41"/>
      <c r="F149" s="10">
        <v>3</v>
      </c>
      <c r="G149" s="11"/>
      <c r="H149" s="11"/>
      <c r="I149" s="11"/>
      <c r="J149" s="10" t="s">
        <v>3830</v>
      </c>
      <c r="K149" s="6" t="s">
        <v>3866</v>
      </c>
      <c r="L149" s="8" t="s">
        <v>3828</v>
      </c>
      <c r="M149" s="11"/>
      <c r="N149" s="11"/>
      <c r="O149" s="11"/>
      <c r="P149" s="10" t="s">
        <v>3829</v>
      </c>
      <c r="Q149" s="6"/>
      <c r="R149" s="11"/>
      <c r="S149" s="11"/>
      <c r="T149" s="11"/>
      <c r="U149" s="11"/>
      <c r="V149" s="11"/>
      <c r="W149" s="11"/>
      <c r="X149" s="11"/>
      <c r="Y149" s="2"/>
      <c r="Z149" s="2"/>
      <c r="AA149" s="2"/>
      <c r="AB149" s="2"/>
      <c r="AC149" s="2"/>
      <c r="AD149" s="2"/>
      <c r="AE149" s="2"/>
      <c r="AF149" s="2"/>
      <c r="AG149" s="2"/>
      <c r="AH149" s="2"/>
      <c r="AI149" s="2"/>
      <c r="AJ149" s="2"/>
      <c r="AK149" s="2"/>
      <c r="AL149" s="2"/>
      <c r="AM149" s="2"/>
      <c r="AN149" s="2"/>
    </row>
    <row r="150" spans="1:40" ht="45" x14ac:dyDescent="0.25">
      <c r="A150" s="3"/>
      <c r="B150" s="3"/>
      <c r="C150" s="11"/>
      <c r="D150" s="11"/>
      <c r="E150" s="41"/>
      <c r="F150" s="10">
        <v>3</v>
      </c>
      <c r="G150" s="11"/>
      <c r="H150" s="11"/>
      <c r="I150" s="11"/>
      <c r="J150" s="6" t="s">
        <v>3717</v>
      </c>
      <c r="K150" s="24" t="s">
        <v>3867</v>
      </c>
      <c r="L150" s="8" t="s">
        <v>3868</v>
      </c>
      <c r="M150" s="11"/>
      <c r="N150" s="11"/>
      <c r="O150" s="11"/>
      <c r="P150" s="6" t="s">
        <v>3869</v>
      </c>
      <c r="Q150" s="6"/>
      <c r="R150" s="11"/>
      <c r="S150" s="11"/>
      <c r="T150" s="11"/>
      <c r="U150" s="11"/>
      <c r="V150" s="11"/>
      <c r="W150" s="11"/>
      <c r="X150" s="11"/>
      <c r="Y150" s="2"/>
      <c r="Z150" s="2"/>
      <c r="AA150" s="2"/>
      <c r="AB150" s="2"/>
      <c r="AC150" s="2"/>
      <c r="AD150" s="2"/>
      <c r="AE150" s="2"/>
      <c r="AF150" s="2"/>
      <c r="AG150" s="2"/>
      <c r="AH150" s="2"/>
      <c r="AI150" s="2"/>
      <c r="AJ150" s="2"/>
      <c r="AK150" s="2"/>
      <c r="AL150" s="2"/>
      <c r="AM150" s="2"/>
      <c r="AN150" s="2"/>
    </row>
    <row r="151" spans="1:40" ht="26.25" x14ac:dyDescent="0.25">
      <c r="A151" s="3"/>
      <c r="B151" s="3"/>
      <c r="C151" s="11"/>
      <c r="D151" s="11"/>
      <c r="E151" s="41"/>
      <c r="F151" s="24">
        <v>3</v>
      </c>
      <c r="G151" s="28"/>
      <c r="H151" s="28"/>
      <c r="I151" s="28"/>
      <c r="J151" s="28" t="s">
        <v>2992</v>
      </c>
      <c r="K151" s="24"/>
      <c r="L151" s="8" t="s">
        <v>3850</v>
      </c>
      <c r="M151" s="11"/>
      <c r="N151" s="11"/>
      <c r="O151" s="11"/>
      <c r="P151" s="24" t="s">
        <v>3829</v>
      </c>
      <c r="Q151" s="6"/>
      <c r="R151" s="11"/>
      <c r="S151" s="11"/>
      <c r="T151" s="11"/>
      <c r="U151" s="11"/>
      <c r="V151" s="11"/>
      <c r="W151" s="11"/>
      <c r="X151" s="11"/>
      <c r="Y151" s="2"/>
      <c r="Z151" s="2"/>
      <c r="AA151" s="2"/>
      <c r="AB151" s="2"/>
      <c r="AC151" s="2"/>
      <c r="AD151" s="2"/>
      <c r="AE151" s="2"/>
      <c r="AF151" s="2"/>
      <c r="AG151" s="2"/>
      <c r="AH151" s="2"/>
      <c r="AI151" s="2"/>
      <c r="AJ151" s="2"/>
      <c r="AK151" s="2"/>
      <c r="AL151" s="2"/>
      <c r="AM151" s="2"/>
      <c r="AN151" s="2"/>
    </row>
    <row r="152" spans="1:40" ht="26.25" x14ac:dyDescent="0.25">
      <c r="A152" s="3"/>
      <c r="B152" s="3"/>
      <c r="C152" s="11"/>
      <c r="D152" s="11"/>
      <c r="E152" s="41"/>
      <c r="F152" s="24"/>
      <c r="G152" s="24">
        <v>4</v>
      </c>
      <c r="H152" s="28"/>
      <c r="I152" s="28"/>
      <c r="J152" s="24" t="s">
        <v>45</v>
      </c>
      <c r="K152" s="940" t="s">
        <v>3870</v>
      </c>
      <c r="L152" s="8" t="s">
        <v>945</v>
      </c>
      <c r="M152" s="11"/>
      <c r="N152" s="11"/>
      <c r="O152" s="11"/>
      <c r="P152" s="290"/>
      <c r="Q152" s="6"/>
      <c r="R152" s="11"/>
      <c r="S152" s="11"/>
      <c r="T152" s="11"/>
      <c r="U152" s="11"/>
      <c r="V152" s="11"/>
      <c r="W152" s="11"/>
      <c r="X152" s="11"/>
      <c r="Y152" s="2"/>
      <c r="Z152" s="2"/>
      <c r="AA152" s="2"/>
      <c r="AB152" s="2"/>
      <c r="AC152" s="2"/>
      <c r="AD152" s="2"/>
      <c r="AE152" s="2"/>
      <c r="AF152" s="2"/>
      <c r="AG152" s="2"/>
      <c r="AH152" s="2"/>
      <c r="AI152" s="2"/>
      <c r="AJ152" s="2"/>
      <c r="AK152" s="2"/>
      <c r="AL152" s="2"/>
      <c r="AM152" s="2"/>
      <c r="AN152" s="2"/>
    </row>
    <row r="153" spans="1:40" ht="26.25" x14ac:dyDescent="0.25">
      <c r="A153" s="3"/>
      <c r="B153" s="3"/>
      <c r="C153" s="11"/>
      <c r="D153" s="11"/>
      <c r="E153" s="41"/>
      <c r="F153" s="24"/>
      <c r="G153" s="24">
        <v>4</v>
      </c>
      <c r="H153" s="28"/>
      <c r="I153" s="28"/>
      <c r="J153" s="24" t="s">
        <v>3852</v>
      </c>
      <c r="K153" s="24" t="s">
        <v>3871</v>
      </c>
      <c r="L153" s="8" t="s">
        <v>945</v>
      </c>
      <c r="M153" s="11"/>
      <c r="N153" s="11"/>
      <c r="O153" s="11"/>
      <c r="P153" s="290"/>
      <c r="Q153" s="6"/>
      <c r="R153" s="11"/>
      <c r="S153" s="11"/>
      <c r="T153" s="11"/>
      <c r="U153" s="11"/>
      <c r="V153" s="11"/>
      <c r="W153" s="11"/>
      <c r="X153" s="11"/>
      <c r="Y153" s="2"/>
      <c r="Z153" s="2"/>
      <c r="AA153" s="2"/>
      <c r="AB153" s="2"/>
      <c r="AC153" s="2"/>
      <c r="AD153" s="2"/>
      <c r="AE153" s="2"/>
      <c r="AF153" s="2"/>
      <c r="AG153" s="2"/>
      <c r="AH153" s="2"/>
      <c r="AI153" s="2"/>
      <c r="AJ153" s="2"/>
      <c r="AK153" s="2"/>
      <c r="AL153" s="2"/>
      <c r="AM153" s="2"/>
      <c r="AN153" s="2"/>
    </row>
    <row r="154" spans="1:40" ht="20.25" customHeight="1" x14ac:dyDescent="0.25">
      <c r="A154" s="3"/>
      <c r="B154" s="3"/>
      <c r="C154" s="93"/>
      <c r="D154" s="93">
        <v>1</v>
      </c>
      <c r="E154" s="1247" t="s">
        <v>3872</v>
      </c>
      <c r="F154" s="1247"/>
      <c r="G154" s="1247"/>
      <c r="H154" s="1247"/>
      <c r="I154" s="1247"/>
      <c r="J154" s="1247"/>
      <c r="K154" s="93"/>
      <c r="L154" s="772"/>
      <c r="M154" s="93"/>
      <c r="N154" s="936" t="str">
        <f>HYPERLINK("http://wiki.academyofsports.online/tiki-index.php?page=News--und-Magazinbeitr%C3%A4ge-ver%C3%B6ffentlichen", "Magazin")</f>
        <v>Magazin</v>
      </c>
      <c r="O154" s="93"/>
      <c r="P154" s="93"/>
      <c r="Q154" s="93"/>
      <c r="R154" s="93"/>
      <c r="S154" s="93"/>
      <c r="T154" s="93"/>
      <c r="U154" s="93"/>
      <c r="V154" s="93"/>
      <c r="W154" s="93"/>
      <c r="X154" s="93"/>
      <c r="Y154" s="2"/>
      <c r="Z154" s="2"/>
      <c r="AA154" s="2"/>
      <c r="AB154" s="2"/>
      <c r="AC154" s="2"/>
      <c r="AD154" s="2"/>
      <c r="AE154" s="2"/>
      <c r="AF154" s="2"/>
      <c r="AG154" s="2"/>
      <c r="AH154" s="2"/>
      <c r="AI154" s="2"/>
      <c r="AJ154" s="2"/>
      <c r="AK154" s="2"/>
      <c r="AL154" s="2"/>
      <c r="AM154" s="2"/>
      <c r="AN154" s="2"/>
    </row>
    <row r="155" spans="1:40" x14ac:dyDescent="0.25">
      <c r="A155" s="3"/>
      <c r="B155" s="3"/>
      <c r="C155" s="11"/>
      <c r="D155" s="11"/>
      <c r="E155" s="939">
        <v>2</v>
      </c>
      <c r="F155" s="1245" t="s">
        <v>3873</v>
      </c>
      <c r="G155" s="1245"/>
      <c r="H155" s="1245"/>
      <c r="I155" s="1245"/>
      <c r="J155" s="1245"/>
      <c r="K155" s="931"/>
      <c r="L155" s="932"/>
      <c r="M155" s="931"/>
      <c r="N155" s="931"/>
      <c r="O155" s="931"/>
      <c r="P155" s="931"/>
      <c r="Q155" s="931"/>
      <c r="R155" s="931"/>
      <c r="S155" s="931"/>
      <c r="T155" s="931"/>
      <c r="U155" s="931"/>
      <c r="V155" s="931"/>
      <c r="W155" s="931"/>
      <c r="X155" s="931"/>
      <c r="Y155" s="2"/>
      <c r="Z155" s="2"/>
      <c r="AA155" s="2"/>
      <c r="AB155" s="2"/>
      <c r="AC155" s="2"/>
      <c r="AD155" s="2"/>
      <c r="AE155" s="2"/>
      <c r="AF155" s="2"/>
      <c r="AG155" s="2"/>
      <c r="AH155" s="2"/>
      <c r="AI155" s="2"/>
      <c r="AJ155" s="2"/>
      <c r="AK155" s="2"/>
      <c r="AL155" s="2"/>
      <c r="AM155" s="2"/>
      <c r="AN155" s="2"/>
    </row>
    <row r="156" spans="1:40" ht="36.75" customHeight="1" x14ac:dyDescent="0.25">
      <c r="A156" s="3"/>
      <c r="B156" s="3"/>
      <c r="C156" s="11"/>
      <c r="D156" s="11"/>
      <c r="E156" s="41"/>
      <c r="F156" s="11">
        <v>3</v>
      </c>
      <c r="G156" s="11"/>
      <c r="H156" s="11"/>
      <c r="I156" s="11"/>
      <c r="J156" s="6" t="s">
        <v>3874</v>
      </c>
      <c r="K156" s="6" t="s">
        <v>3875</v>
      </c>
      <c r="L156" s="8" t="s">
        <v>969</v>
      </c>
      <c r="M156" s="11"/>
      <c r="N156" s="11"/>
      <c r="O156" s="11"/>
      <c r="P156" s="11"/>
      <c r="Q156" s="11"/>
      <c r="R156" s="11"/>
      <c r="S156" s="11"/>
      <c r="T156" s="11"/>
      <c r="U156" s="11"/>
      <c r="V156" s="11"/>
      <c r="W156" s="11"/>
      <c r="X156" s="11"/>
      <c r="Y156" s="2"/>
      <c r="Z156" s="2"/>
      <c r="AA156" s="2"/>
      <c r="AB156" s="2"/>
      <c r="AC156" s="2"/>
      <c r="AD156" s="2"/>
      <c r="AE156" s="2"/>
      <c r="AF156" s="2"/>
      <c r="AG156" s="2"/>
      <c r="AH156" s="2"/>
      <c r="AI156" s="2"/>
      <c r="AJ156" s="2"/>
      <c r="AK156" s="2"/>
      <c r="AL156" s="2"/>
      <c r="AM156" s="2"/>
      <c r="AN156" s="2"/>
    </row>
    <row r="157" spans="1:40" ht="36.75" customHeight="1" x14ac:dyDescent="0.25">
      <c r="A157" s="3"/>
      <c r="B157" s="3"/>
      <c r="C157" s="11"/>
      <c r="D157" s="11"/>
      <c r="E157" s="41"/>
      <c r="F157" s="11">
        <v>3</v>
      </c>
      <c r="G157" s="11"/>
      <c r="H157" s="11"/>
      <c r="I157" s="11"/>
      <c r="J157" s="10" t="s">
        <v>3876</v>
      </c>
      <c r="K157" s="6" t="s">
        <v>3877</v>
      </c>
      <c r="L157" s="8" t="s">
        <v>3673</v>
      </c>
      <c r="M157" s="11"/>
      <c r="N157" s="11"/>
      <c r="O157" s="11"/>
      <c r="P157" s="10" t="s">
        <v>3878</v>
      </c>
      <c r="Q157" s="11"/>
      <c r="R157" s="11"/>
      <c r="S157" s="11"/>
      <c r="T157" s="11"/>
      <c r="U157" s="11"/>
      <c r="V157" s="11"/>
      <c r="W157" s="11"/>
      <c r="X157" s="11"/>
      <c r="Y157" s="2"/>
      <c r="Z157" s="2"/>
      <c r="AA157" s="2"/>
      <c r="AB157" s="2"/>
      <c r="AC157" s="2"/>
      <c r="AD157" s="2"/>
      <c r="AE157" s="2"/>
      <c r="AF157" s="2"/>
      <c r="AG157" s="2"/>
      <c r="AH157" s="2"/>
      <c r="AI157" s="2"/>
      <c r="AJ157" s="2"/>
      <c r="AK157" s="2"/>
      <c r="AL157" s="2"/>
      <c r="AM157" s="2"/>
      <c r="AN157" s="2"/>
    </row>
    <row r="158" spans="1:40" ht="36.75" customHeight="1" x14ac:dyDescent="0.25">
      <c r="A158" s="3"/>
      <c r="B158" s="3"/>
      <c r="C158" s="11"/>
      <c r="D158" s="11"/>
      <c r="E158" s="41"/>
      <c r="F158" s="11">
        <v>3</v>
      </c>
      <c r="G158" s="11"/>
      <c r="H158" s="11"/>
      <c r="I158" s="11"/>
      <c r="J158" s="6" t="s">
        <v>3879</v>
      </c>
      <c r="K158" s="10" t="s">
        <v>3880</v>
      </c>
      <c r="L158" s="8" t="s">
        <v>3673</v>
      </c>
      <c r="M158" s="11"/>
      <c r="N158" s="11"/>
      <c r="O158" s="11"/>
      <c r="P158" s="11"/>
      <c r="Q158" s="11"/>
      <c r="R158" s="11"/>
      <c r="S158" s="11"/>
      <c r="T158" s="11"/>
      <c r="U158" s="11"/>
      <c r="V158" s="11"/>
      <c r="W158" s="11"/>
      <c r="X158" s="11"/>
      <c r="Y158" s="2"/>
      <c r="Z158" s="2"/>
      <c r="AA158" s="2"/>
      <c r="AB158" s="2"/>
      <c r="AC158" s="2"/>
      <c r="AD158" s="2"/>
      <c r="AE158" s="2"/>
      <c r="AF158" s="2"/>
      <c r="AG158" s="2"/>
      <c r="AH158" s="2"/>
      <c r="AI158" s="2"/>
      <c r="AJ158" s="2"/>
      <c r="AK158" s="2"/>
      <c r="AL158" s="2"/>
      <c r="AM158" s="2"/>
      <c r="AN158" s="2"/>
    </row>
    <row r="159" spans="1:40" ht="36.75" customHeight="1" x14ac:dyDescent="0.25">
      <c r="A159" s="3"/>
      <c r="B159" s="3"/>
      <c r="C159" s="11"/>
      <c r="D159" s="11"/>
      <c r="E159" s="41"/>
      <c r="F159" s="11">
        <v>3</v>
      </c>
      <c r="G159" s="11"/>
      <c r="H159" s="11"/>
      <c r="I159" s="11"/>
      <c r="J159" s="6" t="s">
        <v>3881</v>
      </c>
      <c r="K159" s="6" t="s">
        <v>3882</v>
      </c>
      <c r="L159" s="8" t="s">
        <v>3828</v>
      </c>
      <c r="M159" s="11"/>
      <c r="N159" s="11"/>
      <c r="O159" s="11"/>
      <c r="P159" s="11"/>
      <c r="Q159" s="10" t="s">
        <v>3823</v>
      </c>
      <c r="R159" s="11"/>
      <c r="S159" s="11"/>
      <c r="T159" s="11"/>
      <c r="U159" s="11"/>
      <c r="V159" s="11"/>
      <c r="W159" s="11"/>
      <c r="X159" s="11"/>
      <c r="Y159" s="2"/>
      <c r="Z159" s="2"/>
      <c r="AA159" s="2"/>
      <c r="AB159" s="2"/>
      <c r="AC159" s="2"/>
      <c r="AD159" s="2"/>
      <c r="AE159" s="2"/>
      <c r="AF159" s="2"/>
      <c r="AG159" s="2"/>
      <c r="AH159" s="2"/>
      <c r="AI159" s="2"/>
      <c r="AJ159" s="2"/>
      <c r="AK159" s="2"/>
      <c r="AL159" s="2"/>
      <c r="AM159" s="2"/>
      <c r="AN159" s="2"/>
    </row>
    <row r="160" spans="1:40" x14ac:dyDescent="0.25">
      <c r="A160" s="3"/>
      <c r="B160" s="3"/>
      <c r="C160" s="11"/>
      <c r="D160" s="11"/>
      <c r="E160" s="120">
        <v>2</v>
      </c>
      <c r="F160" s="1245" t="s">
        <v>3883</v>
      </c>
      <c r="G160" s="1245"/>
      <c r="H160" s="1245"/>
      <c r="I160" s="1245"/>
      <c r="J160" s="1245"/>
      <c r="K160" s="1245"/>
      <c r="L160" s="1246"/>
      <c r="M160" s="1245"/>
      <c r="N160" s="1245"/>
      <c r="O160" s="1245"/>
      <c r="P160" s="1245"/>
      <c r="Q160" s="1245"/>
      <c r="R160" s="1245"/>
      <c r="S160" s="1245"/>
      <c r="T160" s="1245"/>
      <c r="U160" s="1245"/>
      <c r="V160" s="1245"/>
      <c r="W160" s="1245"/>
      <c r="X160" s="1245"/>
      <c r="Y160" s="2"/>
      <c r="Z160" s="2"/>
      <c r="AA160" s="2"/>
      <c r="AB160" s="2"/>
      <c r="AC160" s="2"/>
      <c r="AD160" s="2"/>
      <c r="AE160" s="2"/>
      <c r="AF160" s="2"/>
      <c r="AG160" s="2"/>
      <c r="AH160" s="2"/>
      <c r="AI160" s="2"/>
      <c r="AJ160" s="2"/>
      <c r="AK160" s="2"/>
      <c r="AL160" s="2"/>
      <c r="AM160" s="2"/>
      <c r="AN160" s="2"/>
    </row>
    <row r="161" spans="1:40" ht="36.75" customHeight="1" x14ac:dyDescent="0.25">
      <c r="A161" s="3"/>
      <c r="B161" s="3"/>
      <c r="C161" s="6"/>
      <c r="D161" s="6"/>
      <c r="E161" s="6"/>
      <c r="F161" s="6">
        <v>3</v>
      </c>
      <c r="G161" s="6"/>
      <c r="H161" s="6"/>
      <c r="I161" s="6"/>
      <c r="J161" s="6" t="s">
        <v>3884</v>
      </c>
      <c r="K161" s="6" t="s">
        <v>3885</v>
      </c>
      <c r="L161" s="8" t="s">
        <v>3825</v>
      </c>
      <c r="M161" s="6"/>
      <c r="N161" s="6"/>
      <c r="O161" s="6"/>
      <c r="P161" s="6" t="s">
        <v>3886</v>
      </c>
      <c r="Q161" s="6" t="s">
        <v>3887</v>
      </c>
      <c r="R161" s="6"/>
      <c r="S161" s="6"/>
      <c r="T161" s="16"/>
      <c r="U161" s="16"/>
      <c r="V161" s="6"/>
      <c r="W161" s="6"/>
      <c r="X161" s="6"/>
    </row>
    <row r="162" spans="1:40" ht="36.75" customHeight="1" x14ac:dyDescent="0.25">
      <c r="A162" s="3"/>
      <c r="B162" s="3"/>
      <c r="C162" s="11"/>
      <c r="D162" s="11"/>
      <c r="E162" s="41"/>
      <c r="F162" s="11">
        <v>3</v>
      </c>
      <c r="G162" s="11"/>
      <c r="H162" s="11"/>
      <c r="I162" s="11"/>
      <c r="J162" s="10" t="s">
        <v>3830</v>
      </c>
      <c r="K162" s="6" t="s">
        <v>3888</v>
      </c>
      <c r="L162" s="8" t="s">
        <v>3828</v>
      </c>
      <c r="M162" s="11"/>
      <c r="N162" s="11"/>
      <c r="O162" s="11"/>
      <c r="P162" s="6" t="s">
        <v>3889</v>
      </c>
      <c r="Q162" s="11"/>
      <c r="R162" s="11"/>
      <c r="S162" s="11"/>
      <c r="T162" s="11"/>
      <c r="U162" s="11"/>
      <c r="V162" s="11"/>
      <c r="W162" s="11"/>
      <c r="X162" s="11"/>
      <c r="Y162" s="2"/>
      <c r="Z162" s="2"/>
      <c r="AA162" s="2"/>
      <c r="AB162" s="2"/>
      <c r="AC162" s="2"/>
      <c r="AD162" s="2"/>
      <c r="AE162" s="2"/>
      <c r="AF162" s="2"/>
      <c r="AG162" s="2"/>
      <c r="AH162" s="2"/>
      <c r="AI162" s="2"/>
      <c r="AJ162" s="2"/>
      <c r="AK162" s="2"/>
      <c r="AL162" s="2"/>
      <c r="AM162" s="2"/>
      <c r="AN162" s="2"/>
    </row>
    <row r="163" spans="1:40" ht="36.75" customHeight="1" x14ac:dyDescent="0.25">
      <c r="A163" s="3"/>
      <c r="B163" s="3"/>
      <c r="C163" s="11"/>
      <c r="D163" s="11"/>
      <c r="E163" s="11"/>
      <c r="F163" s="233">
        <v>3</v>
      </c>
      <c r="G163" s="233"/>
      <c r="H163" s="233"/>
      <c r="I163" s="233"/>
      <c r="J163" s="615" t="s">
        <v>2992</v>
      </c>
      <c r="K163" s="290"/>
      <c r="L163" s="8" t="s">
        <v>3850</v>
      </c>
      <c r="M163" s="11"/>
      <c r="N163" s="11"/>
      <c r="O163" s="11"/>
      <c r="P163" s="6" t="s">
        <v>3889</v>
      </c>
      <c r="Q163" s="11"/>
      <c r="R163" s="11"/>
      <c r="S163" s="11"/>
      <c r="T163" s="11"/>
      <c r="U163" s="11"/>
      <c r="V163" s="11"/>
      <c r="W163" s="11"/>
      <c r="X163" s="11"/>
      <c r="Y163" s="2"/>
      <c r="Z163" s="2"/>
      <c r="AA163" s="2"/>
      <c r="AB163" s="2"/>
      <c r="AC163" s="2"/>
      <c r="AD163" s="2"/>
      <c r="AE163" s="2"/>
      <c r="AF163" s="2"/>
      <c r="AG163" s="2"/>
      <c r="AH163" s="2"/>
      <c r="AI163" s="2"/>
      <c r="AJ163" s="2"/>
      <c r="AK163" s="2"/>
      <c r="AL163" s="2"/>
      <c r="AM163" s="2"/>
      <c r="AN163" s="2"/>
    </row>
    <row r="164" spans="1:40" ht="29.25" x14ac:dyDescent="0.25">
      <c r="A164" s="3"/>
      <c r="B164" s="3"/>
      <c r="C164" s="11"/>
      <c r="D164" s="11"/>
      <c r="E164" s="11"/>
      <c r="F164" s="40"/>
      <c r="G164" s="51">
        <v>4</v>
      </c>
      <c r="H164" s="40"/>
      <c r="I164" s="40"/>
      <c r="J164" s="51" t="s">
        <v>45</v>
      </c>
      <c r="K164" s="24" t="s">
        <v>3890</v>
      </c>
      <c r="L164" s="8" t="s">
        <v>945</v>
      </c>
      <c r="M164" s="11"/>
      <c r="N164" s="11"/>
      <c r="O164" s="11"/>
      <c r="P164" s="290"/>
      <c r="Q164" s="11"/>
      <c r="R164" s="11"/>
      <c r="S164" s="11"/>
      <c r="T164" s="11"/>
      <c r="U164" s="11"/>
      <c r="V164" s="11"/>
      <c r="W164" s="11"/>
      <c r="X164" s="11"/>
      <c r="Y164" s="2"/>
      <c r="Z164" s="2"/>
      <c r="AA164" s="2"/>
      <c r="AB164" s="2"/>
      <c r="AC164" s="2"/>
      <c r="AD164" s="2"/>
      <c r="AE164" s="2"/>
      <c r="AF164" s="2"/>
      <c r="AG164" s="2"/>
      <c r="AH164" s="2"/>
      <c r="AI164" s="2"/>
      <c r="AJ164" s="2"/>
      <c r="AK164" s="2"/>
      <c r="AL164" s="2"/>
      <c r="AM164" s="2"/>
      <c r="AN164" s="2"/>
    </row>
    <row r="165" spans="1:40" ht="36.75" customHeight="1" x14ac:dyDescent="0.25">
      <c r="A165" s="3"/>
      <c r="B165" s="3"/>
      <c r="C165" s="11"/>
      <c r="D165" s="11"/>
      <c r="E165" s="11"/>
      <c r="F165" s="40"/>
      <c r="G165" s="51">
        <v>4</v>
      </c>
      <c r="H165" s="40"/>
      <c r="I165" s="40"/>
      <c r="J165" s="6" t="s">
        <v>3852</v>
      </c>
      <c r="K165" s="24" t="s">
        <v>3861</v>
      </c>
      <c r="L165" s="8" t="s">
        <v>945</v>
      </c>
      <c r="M165" s="11"/>
      <c r="N165" s="11"/>
      <c r="O165" s="11"/>
      <c r="P165" s="6"/>
      <c r="Q165" s="11"/>
      <c r="R165" s="11"/>
      <c r="S165" s="11"/>
      <c r="T165" s="11"/>
      <c r="U165" s="11"/>
      <c r="V165" s="11"/>
      <c r="W165" s="11"/>
      <c r="X165" s="11"/>
      <c r="Y165" s="2"/>
      <c r="Z165" s="2"/>
      <c r="AA165" s="2"/>
      <c r="AB165" s="2"/>
      <c r="AC165" s="2"/>
      <c r="AD165" s="2"/>
      <c r="AE165" s="2"/>
      <c r="AF165" s="2"/>
      <c r="AG165" s="2"/>
      <c r="AH165" s="2"/>
      <c r="AI165" s="2"/>
      <c r="AJ165" s="2"/>
      <c r="AK165" s="2"/>
      <c r="AL165" s="2"/>
      <c r="AM165" s="2"/>
      <c r="AN165" s="2"/>
    </row>
    <row r="166" spans="1:40" ht="20.25" customHeight="1" x14ac:dyDescent="0.25">
      <c r="A166" s="3"/>
      <c r="B166" s="3"/>
      <c r="C166" s="928"/>
      <c r="D166" s="928">
        <v>1</v>
      </c>
      <c r="E166" s="1255" t="s">
        <v>3891</v>
      </c>
      <c r="F166" s="1256"/>
      <c r="G166" s="1256"/>
      <c r="H166" s="1256"/>
      <c r="I166" s="1256"/>
      <c r="J166" s="1257"/>
      <c r="K166" s="772"/>
      <c r="L166" s="93"/>
      <c r="M166" s="93"/>
      <c r="N166" s="936" t="str">
        <f>HYPERLINK("http://wiki.academyofsports.online/tiki-index.php?page=Rabattaktionen---Gesamtablauf", "Rabatte Gesamtablauf")</f>
        <v>Rabatte Gesamtablauf</v>
      </c>
      <c r="O166" s="93"/>
      <c r="P166" s="93"/>
      <c r="Q166" s="93"/>
      <c r="R166" s="929"/>
      <c r="S166" s="929"/>
      <c r="T166" s="929"/>
      <c r="U166" s="929"/>
      <c r="V166" s="929"/>
      <c r="W166" s="929"/>
      <c r="X166" s="930"/>
      <c r="Y166" s="2"/>
      <c r="Z166" s="2"/>
      <c r="AA166" s="2"/>
      <c r="AB166" s="2"/>
      <c r="AC166" s="2"/>
      <c r="AD166" s="2"/>
      <c r="AE166" s="2"/>
      <c r="AF166" s="2"/>
      <c r="AG166" s="2"/>
      <c r="AH166" s="2"/>
      <c r="AI166" s="2"/>
      <c r="AJ166" s="2"/>
      <c r="AK166" s="2"/>
      <c r="AL166" s="2"/>
      <c r="AM166" s="2"/>
      <c r="AN166" s="2"/>
    </row>
    <row r="167" spans="1:40" x14ac:dyDescent="0.25">
      <c r="A167" s="3"/>
      <c r="B167" s="3"/>
      <c r="C167" s="11"/>
      <c r="D167" s="11"/>
      <c r="E167" s="939">
        <v>2</v>
      </c>
      <c r="F167" s="1245" t="s">
        <v>3381</v>
      </c>
      <c r="G167" s="1245"/>
      <c r="H167" s="1245"/>
      <c r="I167" s="1245"/>
      <c r="J167" s="1245"/>
      <c r="K167" s="931"/>
      <c r="L167" s="932"/>
      <c r="M167" s="931"/>
      <c r="N167" s="931"/>
      <c r="O167" s="931"/>
      <c r="P167" s="931"/>
      <c r="Q167" s="931"/>
      <c r="R167" s="931"/>
      <c r="S167" s="931"/>
      <c r="T167" s="931"/>
      <c r="U167" s="931"/>
      <c r="V167" s="931"/>
      <c r="W167" s="931"/>
      <c r="X167" s="931"/>
      <c r="Y167" s="2"/>
      <c r="Z167" s="2"/>
      <c r="AA167" s="2"/>
      <c r="AB167" s="2"/>
      <c r="AC167" s="2"/>
      <c r="AD167" s="2"/>
      <c r="AE167" s="2"/>
      <c r="AF167" s="2"/>
      <c r="AG167" s="2"/>
      <c r="AH167" s="2"/>
      <c r="AI167" s="2"/>
      <c r="AJ167" s="2"/>
      <c r="AK167" s="2"/>
      <c r="AL167" s="2"/>
      <c r="AM167" s="2"/>
      <c r="AN167" s="2"/>
    </row>
    <row r="168" spans="1:40" ht="45" x14ac:dyDescent="0.25">
      <c r="A168" s="3"/>
      <c r="B168" s="3"/>
      <c r="C168" s="11"/>
      <c r="D168" s="11"/>
      <c r="E168" s="41"/>
      <c r="F168" s="11">
        <v>3</v>
      </c>
      <c r="G168" s="11"/>
      <c r="H168" s="11"/>
      <c r="I168" s="11"/>
      <c r="J168" s="6" t="s">
        <v>3892</v>
      </c>
      <c r="K168" s="6" t="s">
        <v>3893</v>
      </c>
      <c r="L168" s="8" t="s">
        <v>3894</v>
      </c>
      <c r="M168" s="11"/>
      <c r="N168" s="11"/>
      <c r="O168" s="11"/>
      <c r="P168" s="11"/>
      <c r="Q168" s="10" t="s">
        <v>3895</v>
      </c>
      <c r="R168" s="11"/>
      <c r="S168" s="11"/>
      <c r="T168" s="11"/>
      <c r="U168" s="11"/>
      <c r="V168" s="11"/>
      <c r="W168" s="11"/>
      <c r="X168" s="11"/>
      <c r="Y168" s="2"/>
      <c r="Z168" s="2"/>
      <c r="AA168" s="2"/>
      <c r="AB168" s="2"/>
      <c r="AC168" s="2"/>
      <c r="AD168" s="2"/>
      <c r="AE168" s="2"/>
      <c r="AF168" s="2"/>
      <c r="AG168" s="2"/>
      <c r="AH168" s="2"/>
      <c r="AI168" s="2"/>
      <c r="AJ168" s="2"/>
      <c r="AK168" s="2"/>
      <c r="AL168" s="2"/>
      <c r="AM168" s="2"/>
      <c r="AN168" s="2"/>
    </row>
    <row r="169" spans="1:40" ht="39" x14ac:dyDescent="0.25">
      <c r="A169" s="3"/>
      <c r="B169" s="3"/>
      <c r="C169" s="11"/>
      <c r="D169" s="11"/>
      <c r="E169" s="41"/>
      <c r="F169" s="11">
        <v>3</v>
      </c>
      <c r="G169" s="11"/>
      <c r="H169" s="11"/>
      <c r="I169" s="11"/>
      <c r="J169" s="6" t="s">
        <v>3896</v>
      </c>
      <c r="K169" s="6" t="s">
        <v>3897</v>
      </c>
      <c r="L169" s="8" t="s">
        <v>3898</v>
      </c>
      <c r="M169" s="11"/>
      <c r="N169" s="11"/>
      <c r="O169" s="11"/>
      <c r="P169" s="11"/>
      <c r="Q169" s="10" t="s">
        <v>3899</v>
      </c>
      <c r="R169" s="11"/>
      <c r="S169" s="11"/>
      <c r="T169" s="11"/>
      <c r="U169" s="11"/>
      <c r="V169" s="11"/>
      <c r="W169" s="11"/>
      <c r="X169" s="11"/>
      <c r="Y169" s="2"/>
      <c r="Z169" s="2"/>
      <c r="AA169" s="2"/>
      <c r="AB169" s="2"/>
      <c r="AC169" s="2"/>
      <c r="AD169" s="2"/>
      <c r="AE169" s="2"/>
      <c r="AF169" s="2"/>
      <c r="AG169" s="2"/>
      <c r="AH169" s="2"/>
      <c r="AI169" s="2"/>
      <c r="AJ169" s="2"/>
      <c r="AK169" s="2"/>
      <c r="AL169" s="2"/>
      <c r="AM169" s="2"/>
      <c r="AN169" s="2"/>
    </row>
    <row r="170" spans="1:40" ht="39" x14ac:dyDescent="0.25">
      <c r="A170" s="3"/>
      <c r="B170" s="3"/>
      <c r="C170" s="11"/>
      <c r="D170" s="11"/>
      <c r="E170" s="41"/>
      <c r="F170" s="11">
        <v>3</v>
      </c>
      <c r="G170" s="11"/>
      <c r="H170" s="11"/>
      <c r="I170" s="11"/>
      <c r="J170" s="6" t="s">
        <v>3900</v>
      </c>
      <c r="K170" s="110" t="s">
        <v>3901</v>
      </c>
      <c r="L170" s="8" t="s">
        <v>3902</v>
      </c>
      <c r="M170" s="11"/>
      <c r="N170" s="11"/>
      <c r="O170" s="11"/>
      <c r="P170" s="6" t="s">
        <v>3903</v>
      </c>
      <c r="Q170" s="10" t="s">
        <v>3904</v>
      </c>
      <c r="R170" s="11"/>
      <c r="S170" s="11"/>
      <c r="T170" s="11"/>
      <c r="U170" s="11"/>
      <c r="V170" s="11"/>
      <c r="W170" s="11"/>
      <c r="X170" s="11"/>
      <c r="Y170" s="2"/>
      <c r="Z170" s="2"/>
      <c r="AA170" s="2"/>
      <c r="AB170" s="2"/>
      <c r="AC170" s="2"/>
      <c r="AD170" s="2"/>
      <c r="AE170" s="2"/>
      <c r="AF170" s="2"/>
      <c r="AG170" s="2"/>
      <c r="AH170" s="2"/>
      <c r="AI170" s="2"/>
      <c r="AJ170" s="2"/>
      <c r="AK170" s="2"/>
      <c r="AL170" s="2"/>
      <c r="AM170" s="2"/>
      <c r="AN170" s="2"/>
    </row>
    <row r="171" spans="1:40" x14ac:dyDescent="0.25">
      <c r="A171" s="3"/>
      <c r="B171" s="3"/>
      <c r="C171" s="11"/>
      <c r="D171" s="11"/>
      <c r="E171" s="939">
        <v>2</v>
      </c>
      <c r="F171" s="1245" t="s">
        <v>3905</v>
      </c>
      <c r="G171" s="1245"/>
      <c r="H171" s="1245"/>
      <c r="I171" s="1245"/>
      <c r="J171" s="1245"/>
      <c r="K171" s="931"/>
      <c r="L171" s="932"/>
      <c r="M171" s="931"/>
      <c r="N171" s="931"/>
      <c r="O171" s="931"/>
      <c r="P171" s="931"/>
      <c r="Q171" s="931"/>
      <c r="R171" s="931"/>
      <c r="S171" s="931"/>
      <c r="T171" s="931"/>
      <c r="U171" s="931"/>
      <c r="V171" s="931"/>
      <c r="W171" s="931"/>
      <c r="X171" s="931"/>
      <c r="Y171" s="2"/>
      <c r="Z171" s="2"/>
      <c r="AA171" s="2"/>
      <c r="AB171" s="2"/>
      <c r="AC171" s="2"/>
      <c r="AD171" s="2"/>
      <c r="AE171" s="2"/>
      <c r="AF171" s="2"/>
      <c r="AG171" s="2"/>
      <c r="AH171" s="2"/>
      <c r="AI171" s="2"/>
      <c r="AJ171" s="2"/>
      <c r="AK171" s="2"/>
      <c r="AL171" s="2"/>
      <c r="AM171" s="2"/>
      <c r="AN171" s="2"/>
    </row>
    <row r="172" spans="1:40" x14ac:dyDescent="0.25">
      <c r="A172" s="3"/>
      <c r="B172" s="3"/>
      <c r="C172" s="11"/>
      <c r="D172" s="11"/>
      <c r="E172" s="41"/>
      <c r="F172" s="11">
        <v>3</v>
      </c>
      <c r="G172" s="11"/>
      <c r="H172" s="11"/>
      <c r="I172" s="11"/>
      <c r="J172" s="11" t="s">
        <v>3906</v>
      </c>
      <c r="K172" s="6"/>
      <c r="L172" s="8"/>
      <c r="M172" s="11"/>
      <c r="N172" s="11"/>
      <c r="O172" s="11"/>
      <c r="P172" s="11"/>
      <c r="Q172" s="11"/>
      <c r="R172" s="11"/>
      <c r="S172" s="11"/>
      <c r="T172" s="11"/>
      <c r="U172" s="11"/>
      <c r="V172" s="11"/>
      <c r="W172" s="11"/>
      <c r="X172" s="11"/>
      <c r="Y172" s="2"/>
      <c r="Z172" s="2"/>
      <c r="AA172" s="2"/>
      <c r="AB172" s="2"/>
      <c r="AC172" s="2"/>
      <c r="AD172" s="2"/>
      <c r="AE172" s="2"/>
      <c r="AF172" s="2"/>
      <c r="AG172" s="2"/>
      <c r="AH172" s="2"/>
      <c r="AI172" s="2"/>
      <c r="AJ172" s="2"/>
      <c r="AK172" s="2"/>
      <c r="AL172" s="2"/>
      <c r="AM172" s="2"/>
      <c r="AN172" s="2"/>
    </row>
    <row r="173" spans="1:40" ht="26.25" x14ac:dyDescent="0.25">
      <c r="A173" s="3"/>
      <c r="B173" s="3"/>
      <c r="C173" s="11"/>
      <c r="D173" s="11"/>
      <c r="E173" s="41"/>
      <c r="F173" s="11"/>
      <c r="G173" s="10">
        <v>4</v>
      </c>
      <c r="H173" s="11"/>
      <c r="I173" s="11"/>
      <c r="J173" s="6" t="s">
        <v>3907</v>
      </c>
      <c r="K173" s="6" t="s">
        <v>3908</v>
      </c>
      <c r="L173" s="8" t="s">
        <v>3605</v>
      </c>
      <c r="M173" s="11"/>
      <c r="N173" s="11"/>
      <c r="O173" s="11"/>
      <c r="P173" s="10" t="s">
        <v>3909</v>
      </c>
      <c r="Q173" s="11"/>
      <c r="R173" s="11"/>
      <c r="S173" s="11"/>
      <c r="T173" s="11"/>
      <c r="U173" s="11"/>
      <c r="V173" s="11"/>
      <c r="W173" s="11"/>
      <c r="X173" s="11"/>
      <c r="Y173" s="2"/>
      <c r="Z173" s="2"/>
      <c r="AA173" s="2"/>
      <c r="AB173" s="2"/>
      <c r="AC173" s="2"/>
      <c r="AD173" s="2"/>
      <c r="AE173" s="2"/>
      <c r="AF173" s="2"/>
      <c r="AG173" s="2"/>
      <c r="AH173" s="2"/>
      <c r="AI173" s="2"/>
      <c r="AJ173" s="2"/>
      <c r="AK173" s="2"/>
      <c r="AL173" s="2"/>
      <c r="AM173" s="2"/>
      <c r="AN173" s="2"/>
    </row>
    <row r="174" spans="1:40" ht="60" x14ac:dyDescent="0.25">
      <c r="A174" s="3"/>
      <c r="B174" s="3"/>
      <c r="C174" s="11"/>
      <c r="D174" s="11"/>
      <c r="E174" s="41"/>
      <c r="F174" s="11"/>
      <c r="G174" s="10">
        <v>4</v>
      </c>
      <c r="H174" s="11"/>
      <c r="I174" s="11"/>
      <c r="J174" s="10" t="s">
        <v>3910</v>
      </c>
      <c r="K174" s="6" t="s">
        <v>3911</v>
      </c>
      <c r="L174" s="8" t="s">
        <v>3912</v>
      </c>
      <c r="M174" s="11"/>
      <c r="N174" s="716"/>
      <c r="O174" s="11"/>
      <c r="P174" s="6" t="s">
        <v>3913</v>
      </c>
      <c r="Q174" s="6" t="s">
        <v>3914</v>
      </c>
      <c r="R174" s="11"/>
      <c r="S174" s="11"/>
      <c r="T174" s="11"/>
      <c r="U174" s="11"/>
      <c r="V174" s="11"/>
      <c r="W174" s="11"/>
      <c r="X174" s="11"/>
      <c r="Y174" s="2"/>
      <c r="Z174" s="2"/>
      <c r="AA174" s="2"/>
      <c r="AB174" s="2"/>
      <c r="AC174" s="2"/>
      <c r="AD174" s="2"/>
      <c r="AE174" s="2"/>
      <c r="AF174" s="2"/>
      <c r="AG174" s="2"/>
      <c r="AH174" s="2"/>
      <c r="AI174" s="2"/>
      <c r="AJ174" s="2"/>
      <c r="AK174" s="2"/>
      <c r="AL174" s="2"/>
      <c r="AM174" s="2"/>
      <c r="AN174" s="2"/>
    </row>
    <row r="175" spans="1:40" ht="45" x14ac:dyDescent="0.25">
      <c r="A175" s="3"/>
      <c r="B175" s="3"/>
      <c r="C175" s="11"/>
      <c r="D175" s="11"/>
      <c r="E175" s="41"/>
      <c r="F175" s="11"/>
      <c r="G175" s="10">
        <v>4</v>
      </c>
      <c r="H175" s="11"/>
      <c r="I175" s="11"/>
      <c r="J175" s="10" t="s">
        <v>3915</v>
      </c>
      <c r="K175" s="6" t="s">
        <v>3916</v>
      </c>
      <c r="L175" s="8" t="s">
        <v>3912</v>
      </c>
      <c r="M175" s="11"/>
      <c r="N175" s="11"/>
      <c r="O175" s="11"/>
      <c r="P175" s="10"/>
      <c r="Q175" s="6" t="s">
        <v>3917</v>
      </c>
      <c r="R175" s="11"/>
      <c r="S175" s="11"/>
      <c r="T175" s="11"/>
      <c r="U175" s="11"/>
      <c r="V175" s="11"/>
      <c r="W175" s="11"/>
      <c r="X175" s="11"/>
      <c r="Y175" s="2"/>
      <c r="Z175" s="2"/>
      <c r="AA175" s="2"/>
      <c r="AB175" s="2"/>
      <c r="AC175" s="2"/>
      <c r="AD175" s="2"/>
      <c r="AE175" s="2"/>
      <c r="AF175" s="2"/>
      <c r="AG175" s="2"/>
      <c r="AH175" s="2"/>
      <c r="AI175" s="2"/>
      <c r="AJ175" s="2"/>
      <c r="AK175" s="2"/>
      <c r="AL175" s="2"/>
      <c r="AM175" s="2"/>
      <c r="AN175" s="2"/>
    </row>
    <row r="176" spans="1:40" ht="39" x14ac:dyDescent="0.25">
      <c r="A176" s="3"/>
      <c r="B176" s="3"/>
      <c r="C176" s="11"/>
      <c r="D176" s="11"/>
      <c r="E176" s="41"/>
      <c r="F176" s="11"/>
      <c r="G176" s="10">
        <v>4</v>
      </c>
      <c r="H176" s="11"/>
      <c r="I176" s="11"/>
      <c r="J176" s="6" t="s">
        <v>3918</v>
      </c>
      <c r="K176" s="6" t="s">
        <v>3919</v>
      </c>
      <c r="L176" s="8" t="s">
        <v>3920</v>
      </c>
      <c r="M176" s="11"/>
      <c r="N176" s="11"/>
      <c r="O176" s="11"/>
      <c r="P176" s="11"/>
      <c r="Q176" s="10" t="s">
        <v>3921</v>
      </c>
      <c r="R176" s="11"/>
      <c r="S176" s="11"/>
      <c r="T176" s="11"/>
      <c r="U176" s="11"/>
      <c r="V176" s="11"/>
      <c r="W176" s="11"/>
      <c r="X176" s="11"/>
      <c r="Y176" s="2"/>
      <c r="Z176" s="2"/>
      <c r="AA176" s="2"/>
      <c r="AB176" s="2"/>
      <c r="AC176" s="2"/>
      <c r="AD176" s="2"/>
      <c r="AE176" s="2"/>
      <c r="AF176" s="2"/>
      <c r="AG176" s="2"/>
      <c r="AH176" s="2"/>
      <c r="AI176" s="2"/>
      <c r="AJ176" s="2"/>
      <c r="AK176" s="2"/>
      <c r="AL176" s="2"/>
      <c r="AM176" s="2"/>
      <c r="AN176" s="2"/>
    </row>
    <row r="177" spans="1:40" x14ac:dyDescent="0.25">
      <c r="A177" s="3"/>
      <c r="B177" s="3"/>
      <c r="C177" s="11"/>
      <c r="D177" s="11"/>
      <c r="E177" s="41"/>
      <c r="F177" s="11"/>
      <c r="G177" s="10">
        <v>4</v>
      </c>
      <c r="H177" s="11"/>
      <c r="I177" s="11"/>
      <c r="J177" s="10" t="s">
        <v>3922</v>
      </c>
      <c r="K177" s="6" t="s">
        <v>3923</v>
      </c>
      <c r="L177" s="8" t="s">
        <v>3605</v>
      </c>
      <c r="M177" s="11"/>
      <c r="N177" s="11"/>
      <c r="O177" s="11"/>
      <c r="P177" s="10"/>
      <c r="Q177" s="6"/>
      <c r="R177" s="11"/>
      <c r="S177" s="11"/>
      <c r="T177" s="11"/>
      <c r="U177" s="11"/>
      <c r="V177" s="11"/>
      <c r="W177" s="11"/>
      <c r="X177" s="11"/>
      <c r="Y177" s="2"/>
      <c r="Z177" s="2"/>
      <c r="AA177" s="2"/>
      <c r="AB177" s="2"/>
      <c r="AC177" s="2"/>
      <c r="AD177" s="2"/>
      <c r="AE177" s="2"/>
      <c r="AF177" s="2"/>
      <c r="AG177" s="2"/>
      <c r="AH177" s="2"/>
      <c r="AI177" s="2"/>
      <c r="AJ177" s="2"/>
      <c r="AK177" s="2"/>
      <c r="AL177" s="2"/>
      <c r="AM177" s="2"/>
      <c r="AN177" s="2"/>
    </row>
    <row r="178" spans="1:40" ht="30" x14ac:dyDescent="0.25">
      <c r="A178" s="3"/>
      <c r="B178" s="3"/>
      <c r="C178" s="11"/>
      <c r="D178" s="11"/>
      <c r="E178" s="41"/>
      <c r="F178" s="11"/>
      <c r="G178" s="10">
        <v>4</v>
      </c>
      <c r="H178" s="11"/>
      <c r="I178" s="11"/>
      <c r="J178" s="10" t="s">
        <v>3924</v>
      </c>
      <c r="K178" s="6" t="s">
        <v>3925</v>
      </c>
      <c r="L178" s="8" t="s">
        <v>3605</v>
      </c>
      <c r="M178" s="11"/>
      <c r="N178" s="11"/>
      <c r="O178" s="11"/>
      <c r="P178" s="10"/>
      <c r="Q178" s="6"/>
      <c r="R178" s="11"/>
      <c r="S178" s="11"/>
      <c r="T178" s="11"/>
      <c r="U178" s="11"/>
      <c r="V178" s="11"/>
      <c r="W178" s="11"/>
      <c r="X178" s="11"/>
      <c r="Y178" s="2"/>
      <c r="Z178" s="2"/>
      <c r="AA178" s="2"/>
      <c r="AB178" s="2"/>
      <c r="AC178" s="2"/>
      <c r="AD178" s="2"/>
      <c r="AE178" s="2"/>
      <c r="AF178" s="2"/>
      <c r="AG178" s="2"/>
      <c r="AH178" s="2"/>
      <c r="AI178" s="2"/>
      <c r="AJ178" s="2"/>
      <c r="AK178" s="2"/>
      <c r="AL178" s="2"/>
      <c r="AM178" s="2"/>
      <c r="AN178" s="2"/>
    </row>
    <row r="179" spans="1:40" x14ac:dyDescent="0.25">
      <c r="A179" s="3"/>
      <c r="B179" s="3"/>
      <c r="C179" s="11"/>
      <c r="D179" s="11"/>
      <c r="E179" s="41"/>
      <c r="F179" s="11"/>
      <c r="G179" s="10">
        <v>4</v>
      </c>
      <c r="H179" s="11"/>
      <c r="I179" s="11"/>
      <c r="J179" s="10" t="s">
        <v>3926</v>
      </c>
      <c r="K179" s="10" t="s">
        <v>3927</v>
      </c>
      <c r="L179" s="8" t="s">
        <v>3605</v>
      </c>
      <c r="M179" s="11"/>
      <c r="N179" s="11"/>
      <c r="O179" s="11"/>
      <c r="P179" s="11"/>
      <c r="Q179" s="11"/>
      <c r="R179" s="11"/>
      <c r="S179" s="11"/>
      <c r="T179" s="11"/>
      <c r="U179" s="11"/>
      <c r="V179" s="11"/>
      <c r="W179" s="11"/>
      <c r="X179" s="11"/>
      <c r="Y179" s="2"/>
      <c r="Z179" s="2"/>
      <c r="AA179" s="2"/>
      <c r="AB179" s="2"/>
      <c r="AC179" s="2"/>
      <c r="AD179" s="2"/>
      <c r="AE179" s="2"/>
      <c r="AF179" s="2"/>
      <c r="AG179" s="2"/>
      <c r="AH179" s="2"/>
      <c r="AI179" s="2"/>
      <c r="AJ179" s="2"/>
      <c r="AK179" s="2"/>
      <c r="AL179" s="2"/>
      <c r="AM179" s="2"/>
      <c r="AN179" s="2"/>
    </row>
    <row r="180" spans="1:40" x14ac:dyDescent="0.25">
      <c r="A180" s="3"/>
      <c r="B180" s="3"/>
      <c r="C180" s="11"/>
      <c r="D180" s="11"/>
      <c r="E180" s="41"/>
      <c r="F180" s="11">
        <v>3</v>
      </c>
      <c r="G180" s="10"/>
      <c r="H180" s="11"/>
      <c r="I180" s="11"/>
      <c r="J180" s="11" t="s">
        <v>3928</v>
      </c>
      <c r="K180" s="10"/>
      <c r="L180" s="8" t="s">
        <v>3605</v>
      </c>
      <c r="M180" s="11"/>
      <c r="N180" s="11"/>
      <c r="O180" s="11"/>
      <c r="P180" s="11"/>
      <c r="Q180" s="11"/>
      <c r="R180" s="11"/>
      <c r="S180" s="11"/>
      <c r="T180" s="11"/>
      <c r="U180" s="11"/>
      <c r="V180" s="11"/>
      <c r="W180" s="11"/>
      <c r="X180" s="11"/>
      <c r="Y180" s="2"/>
      <c r="Z180" s="2"/>
      <c r="AA180" s="2"/>
      <c r="AB180" s="2"/>
      <c r="AC180" s="2"/>
      <c r="AD180" s="2"/>
      <c r="AE180" s="2"/>
      <c r="AF180" s="2"/>
      <c r="AG180" s="2"/>
      <c r="AH180" s="2"/>
      <c r="AI180" s="2"/>
      <c r="AJ180" s="2"/>
      <c r="AK180" s="2"/>
      <c r="AL180" s="2"/>
      <c r="AM180" s="2"/>
      <c r="AN180" s="2"/>
    </row>
    <row r="181" spans="1:40" ht="45" x14ac:dyDescent="0.25">
      <c r="A181" s="3"/>
      <c r="B181" s="3"/>
      <c r="C181" s="11"/>
      <c r="D181" s="11"/>
      <c r="E181" s="41"/>
      <c r="F181" s="11"/>
      <c r="G181" s="10">
        <v>4</v>
      </c>
      <c r="H181" s="11"/>
      <c r="I181" s="11"/>
      <c r="J181" s="6" t="s">
        <v>3929</v>
      </c>
      <c r="K181" s="10" t="s">
        <v>3930</v>
      </c>
      <c r="L181" s="8" t="s">
        <v>3605</v>
      </c>
      <c r="M181" s="11"/>
      <c r="N181" s="11"/>
      <c r="O181" s="11"/>
      <c r="P181" s="11"/>
      <c r="Q181" s="6" t="s">
        <v>3931</v>
      </c>
      <c r="R181" s="11"/>
      <c r="S181" s="11"/>
      <c r="T181" s="11"/>
      <c r="U181" s="11"/>
      <c r="V181" s="11"/>
      <c r="W181" s="11"/>
      <c r="X181" s="11"/>
      <c r="Y181" s="2"/>
      <c r="Z181" s="2"/>
      <c r="AA181" s="2"/>
      <c r="AB181" s="2"/>
      <c r="AC181" s="2"/>
      <c r="AD181" s="2"/>
      <c r="AE181" s="2"/>
      <c r="AF181" s="2"/>
      <c r="AG181" s="2"/>
      <c r="AH181" s="2"/>
      <c r="AI181" s="2"/>
      <c r="AJ181" s="2"/>
      <c r="AK181" s="2"/>
      <c r="AL181" s="2"/>
      <c r="AM181" s="2"/>
      <c r="AN181" s="2"/>
    </row>
    <row r="182" spans="1:40" ht="60" x14ac:dyDescent="0.25">
      <c r="A182" s="3"/>
      <c r="B182" s="3"/>
      <c r="C182" s="11"/>
      <c r="D182" s="11"/>
      <c r="E182" s="41"/>
      <c r="F182" s="11"/>
      <c r="G182" s="10">
        <v>4</v>
      </c>
      <c r="H182" s="11"/>
      <c r="I182" s="11"/>
      <c r="J182" s="6" t="s">
        <v>3932</v>
      </c>
      <c r="K182" s="6" t="s">
        <v>3933</v>
      </c>
      <c r="L182" s="8" t="s">
        <v>3605</v>
      </c>
      <c r="M182" s="11"/>
      <c r="N182" s="719" t="str">
        <f>HYPERLINK("https://synology.bildungscampus-backnang.de:50823/drive/oo/r/kgqseSM9tq7sHp6eR8syL6svvMKwnxVX", "Dok Weiterleitungsprodukte &amp; Produkte mit Warteliste")</f>
        <v>Dok Weiterleitungsprodukte &amp; Produkte mit Warteliste</v>
      </c>
      <c r="O182" s="11"/>
      <c r="P182" s="11"/>
      <c r="Q182" s="10"/>
      <c r="R182" s="11"/>
      <c r="S182" s="11"/>
      <c r="T182" s="11"/>
      <c r="U182" s="11"/>
      <c r="V182" s="11"/>
      <c r="W182" s="11"/>
      <c r="X182" s="11"/>
      <c r="Y182" s="2"/>
      <c r="Z182" s="2"/>
      <c r="AA182" s="2"/>
      <c r="AB182" s="2"/>
      <c r="AC182" s="2"/>
      <c r="AD182" s="2"/>
      <c r="AE182" s="2"/>
      <c r="AF182" s="2"/>
      <c r="AG182" s="2"/>
      <c r="AH182" s="2"/>
      <c r="AI182" s="2"/>
      <c r="AJ182" s="2"/>
      <c r="AK182" s="2"/>
      <c r="AL182" s="2"/>
      <c r="AM182" s="2"/>
      <c r="AN182" s="2"/>
    </row>
    <row r="183" spans="1:40" x14ac:dyDescent="0.25">
      <c r="A183" s="3"/>
      <c r="B183" s="3"/>
      <c r="C183" s="11"/>
      <c r="D183" s="11"/>
      <c r="E183" s="41"/>
      <c r="F183" s="11"/>
      <c r="G183" s="10">
        <v>4</v>
      </c>
      <c r="H183" s="11"/>
      <c r="I183" s="11"/>
      <c r="J183" s="6" t="s">
        <v>3747</v>
      </c>
      <c r="K183" s="10" t="s">
        <v>3934</v>
      </c>
      <c r="L183" s="8" t="s">
        <v>3605</v>
      </c>
      <c r="M183" s="11"/>
      <c r="N183" s="11"/>
      <c r="O183" s="11"/>
      <c r="P183" s="11"/>
      <c r="Q183" s="10"/>
      <c r="R183" s="10" t="s">
        <v>3935</v>
      </c>
      <c r="S183" s="11"/>
      <c r="T183" s="11"/>
      <c r="U183" s="11"/>
      <c r="V183" s="11"/>
      <c r="W183" s="11"/>
      <c r="X183" s="11"/>
      <c r="Y183" s="2"/>
      <c r="Z183" s="2"/>
      <c r="AA183" s="2"/>
      <c r="AB183" s="2"/>
      <c r="AC183" s="2"/>
      <c r="AD183" s="2"/>
      <c r="AE183" s="2"/>
      <c r="AF183" s="2"/>
      <c r="AG183" s="2"/>
      <c r="AH183" s="2"/>
      <c r="AI183" s="2"/>
      <c r="AJ183" s="2"/>
      <c r="AK183" s="2"/>
      <c r="AL183" s="2"/>
      <c r="AM183" s="2"/>
      <c r="AN183" s="2"/>
    </row>
    <row r="184" spans="1:40" ht="45" x14ac:dyDescent="0.25">
      <c r="A184" s="3"/>
      <c r="B184" s="3"/>
      <c r="C184" s="11"/>
      <c r="D184" s="11"/>
      <c r="E184" s="41"/>
      <c r="F184" s="11"/>
      <c r="G184" s="10">
        <v>4</v>
      </c>
      <c r="H184" s="11"/>
      <c r="I184" s="11"/>
      <c r="J184" s="10" t="s">
        <v>3936</v>
      </c>
      <c r="K184" s="6" t="s">
        <v>3937</v>
      </c>
      <c r="L184" s="8" t="s">
        <v>3938</v>
      </c>
      <c r="M184" s="11"/>
      <c r="N184" s="11"/>
      <c r="O184" s="11"/>
      <c r="P184" s="10" t="s">
        <v>3939</v>
      </c>
      <c r="Q184" s="6" t="s">
        <v>3940</v>
      </c>
      <c r="R184" s="11"/>
      <c r="S184" s="11"/>
      <c r="T184" s="11"/>
      <c r="U184" s="11"/>
      <c r="V184" s="11"/>
      <c r="W184" s="11"/>
      <c r="X184" s="11"/>
      <c r="Y184" s="2"/>
      <c r="Z184" s="2"/>
      <c r="AA184" s="2"/>
      <c r="AB184" s="2"/>
      <c r="AC184" s="2"/>
      <c r="AD184" s="2"/>
      <c r="AE184" s="2"/>
      <c r="AF184" s="2"/>
      <c r="AG184" s="2"/>
      <c r="AH184" s="2"/>
      <c r="AI184" s="2"/>
      <c r="AJ184" s="2"/>
      <c r="AK184" s="2"/>
      <c r="AL184" s="2"/>
      <c r="AM184" s="2"/>
      <c r="AN184" s="2"/>
    </row>
    <row r="185" spans="1:40" x14ac:dyDescent="0.25">
      <c r="A185" s="3"/>
      <c r="B185" s="3"/>
      <c r="C185" s="11"/>
      <c r="D185" s="11"/>
      <c r="E185" s="41"/>
      <c r="F185" s="11">
        <v>3</v>
      </c>
      <c r="G185" s="10"/>
      <c r="H185" s="11"/>
      <c r="I185" s="11"/>
      <c r="J185" s="11" t="s">
        <v>3941</v>
      </c>
      <c r="K185" s="6"/>
      <c r="L185" s="8"/>
      <c r="M185" s="11"/>
      <c r="N185" s="11"/>
      <c r="O185" s="11"/>
      <c r="P185" s="11"/>
      <c r="Q185" s="11"/>
      <c r="R185" s="11"/>
      <c r="S185" s="11"/>
      <c r="T185" s="11"/>
      <c r="U185" s="11"/>
      <c r="V185" s="11"/>
      <c r="W185" s="11"/>
      <c r="X185" s="11"/>
      <c r="Y185" s="2"/>
      <c r="Z185" s="2"/>
      <c r="AA185" s="2"/>
      <c r="AB185" s="2"/>
      <c r="AC185" s="2"/>
      <c r="AD185" s="2"/>
      <c r="AE185" s="2"/>
      <c r="AF185" s="2"/>
      <c r="AG185" s="2"/>
      <c r="AH185" s="2"/>
      <c r="AI185" s="2"/>
      <c r="AJ185" s="2"/>
      <c r="AK185" s="2"/>
      <c r="AL185" s="2"/>
      <c r="AM185" s="2"/>
      <c r="AN185" s="2"/>
    </row>
    <row r="186" spans="1:40" ht="30" x14ac:dyDescent="0.25">
      <c r="A186" s="3"/>
      <c r="B186" s="3"/>
      <c r="C186" s="11"/>
      <c r="D186" s="11"/>
      <c r="E186" s="41"/>
      <c r="F186" s="11"/>
      <c r="G186" s="10">
        <v>4</v>
      </c>
      <c r="H186" s="11"/>
      <c r="I186" s="11"/>
      <c r="J186" s="10" t="s">
        <v>3942</v>
      </c>
      <c r="K186" s="6" t="s">
        <v>3943</v>
      </c>
      <c r="L186" s="8" t="s">
        <v>3605</v>
      </c>
      <c r="M186" s="11"/>
      <c r="N186" s="11"/>
      <c r="O186" s="11"/>
      <c r="P186" s="10" t="s">
        <v>3944</v>
      </c>
      <c r="Q186" s="11"/>
      <c r="R186" s="11"/>
      <c r="S186" s="11"/>
      <c r="T186" s="11"/>
      <c r="U186" s="11"/>
      <c r="V186" s="11"/>
      <c r="W186" s="11"/>
      <c r="X186" s="11"/>
      <c r="Y186" s="2"/>
      <c r="Z186" s="2"/>
      <c r="AA186" s="2"/>
      <c r="AB186" s="2"/>
      <c r="AC186" s="2"/>
      <c r="AD186" s="2"/>
      <c r="AE186" s="2"/>
      <c r="AF186" s="2"/>
      <c r="AG186" s="2"/>
      <c r="AH186" s="2"/>
      <c r="AI186" s="2"/>
      <c r="AJ186" s="2"/>
      <c r="AK186" s="2"/>
      <c r="AL186" s="2"/>
      <c r="AM186" s="2"/>
      <c r="AN186" s="2"/>
    </row>
    <row r="187" spans="1:40" x14ac:dyDescent="0.25">
      <c r="C187" s="11"/>
      <c r="D187" s="11"/>
      <c r="E187" s="41"/>
      <c r="F187" s="11"/>
      <c r="G187" s="10">
        <v>4</v>
      </c>
      <c r="H187" s="11"/>
      <c r="I187" s="11"/>
      <c r="J187" s="10" t="s">
        <v>3804</v>
      </c>
      <c r="K187" s="6" t="s">
        <v>3805</v>
      </c>
      <c r="L187" s="8" t="s">
        <v>3605</v>
      </c>
      <c r="M187" s="11"/>
      <c r="N187" s="11"/>
      <c r="O187" s="11"/>
      <c r="P187" s="11"/>
      <c r="Q187" s="11"/>
      <c r="R187" s="11"/>
      <c r="S187" s="11"/>
      <c r="T187" s="11"/>
      <c r="U187" s="11"/>
      <c r="V187" s="11"/>
      <c r="W187" s="11"/>
      <c r="X187" s="11"/>
      <c r="Y187" s="2"/>
      <c r="Z187" s="2"/>
      <c r="AA187" s="2"/>
      <c r="AB187" s="2"/>
      <c r="AC187" s="2"/>
      <c r="AD187" s="2"/>
      <c r="AE187" s="2"/>
      <c r="AF187" s="2"/>
      <c r="AG187" s="2"/>
      <c r="AH187" s="2"/>
      <c r="AI187" s="2"/>
      <c r="AJ187" s="2"/>
      <c r="AK187" s="2"/>
      <c r="AL187" s="2"/>
      <c r="AM187" s="2"/>
      <c r="AN187" s="2"/>
    </row>
    <row r="188" spans="1:40" ht="30" x14ac:dyDescent="0.25">
      <c r="C188" s="11"/>
      <c r="D188" s="11"/>
      <c r="E188" s="41"/>
      <c r="F188" s="11"/>
      <c r="G188" s="10">
        <v>4</v>
      </c>
      <c r="H188" s="11"/>
      <c r="I188" s="11"/>
      <c r="J188" s="10" t="s">
        <v>3932</v>
      </c>
      <c r="K188" s="6" t="s">
        <v>3945</v>
      </c>
      <c r="L188" s="8" t="s">
        <v>3605</v>
      </c>
      <c r="M188" s="11"/>
      <c r="N188" s="11"/>
      <c r="O188" s="11"/>
      <c r="P188" s="11"/>
      <c r="Q188" s="11"/>
      <c r="R188" s="11"/>
      <c r="S188" s="11"/>
      <c r="T188" s="11"/>
      <c r="U188" s="11"/>
      <c r="V188" s="11"/>
      <c r="W188" s="11"/>
      <c r="X188" s="11"/>
      <c r="Y188" s="2"/>
      <c r="Z188" s="2"/>
      <c r="AA188" s="2"/>
      <c r="AB188" s="2"/>
      <c r="AC188" s="2"/>
      <c r="AD188" s="2"/>
      <c r="AE188" s="2"/>
      <c r="AF188" s="2"/>
      <c r="AG188" s="2"/>
      <c r="AH188" s="2"/>
      <c r="AI188" s="2"/>
      <c r="AJ188" s="2"/>
      <c r="AK188" s="2"/>
      <c r="AL188" s="2"/>
      <c r="AM188" s="2"/>
      <c r="AN188" s="2"/>
    </row>
    <row r="189" spans="1:40" ht="30" x14ac:dyDescent="0.25">
      <c r="C189" s="11"/>
      <c r="D189" s="11"/>
      <c r="E189" s="41"/>
      <c r="F189" s="11"/>
      <c r="G189" s="10">
        <v>4</v>
      </c>
      <c r="H189" s="11"/>
      <c r="I189" s="11"/>
      <c r="J189" s="6" t="s">
        <v>3946</v>
      </c>
      <c r="K189" s="6" t="s">
        <v>3947</v>
      </c>
      <c r="L189" s="8" t="s">
        <v>3605</v>
      </c>
      <c r="M189" s="11"/>
      <c r="N189" s="10" t="s">
        <v>3948</v>
      </c>
      <c r="O189" s="11"/>
      <c r="P189" s="11"/>
      <c r="Q189" s="11"/>
      <c r="R189" s="10" t="s">
        <v>3949</v>
      </c>
      <c r="S189" s="11"/>
      <c r="T189" s="11"/>
      <c r="U189" s="11"/>
      <c r="V189" s="11"/>
      <c r="W189" s="11"/>
      <c r="X189" s="11"/>
      <c r="Y189" s="2"/>
      <c r="Z189" s="2"/>
      <c r="AA189" s="2"/>
      <c r="AB189" s="2"/>
      <c r="AC189" s="2"/>
      <c r="AD189" s="2"/>
      <c r="AE189" s="2"/>
      <c r="AF189" s="2"/>
      <c r="AG189" s="2"/>
      <c r="AH189" s="2"/>
      <c r="AI189" s="2"/>
      <c r="AJ189" s="2"/>
      <c r="AK189" s="2"/>
      <c r="AL189" s="2"/>
      <c r="AM189" s="2"/>
      <c r="AN189" s="2"/>
    </row>
    <row r="190" spans="1:40" x14ac:dyDescent="0.25">
      <c r="C190" s="11"/>
      <c r="D190" s="11"/>
      <c r="E190" s="120">
        <v>2</v>
      </c>
      <c r="F190" s="1245" t="s">
        <v>3950</v>
      </c>
      <c r="G190" s="1245"/>
      <c r="H190" s="1245"/>
      <c r="I190" s="1245"/>
      <c r="J190" s="1245"/>
      <c r="K190" s="1245"/>
      <c r="L190" s="1246"/>
      <c r="M190" s="1245"/>
      <c r="N190" s="1245"/>
      <c r="O190" s="1245"/>
      <c r="P190" s="1245"/>
      <c r="Q190" s="1245"/>
      <c r="R190" s="1245"/>
      <c r="S190" s="1245"/>
      <c r="T190" s="1245"/>
      <c r="U190" s="1245"/>
      <c r="V190" s="1245"/>
      <c r="W190" s="1245"/>
      <c r="X190" s="1245"/>
      <c r="Y190" s="2"/>
      <c r="Z190" s="2"/>
      <c r="AA190" s="2"/>
      <c r="AB190" s="2"/>
      <c r="AC190" s="2"/>
      <c r="AD190" s="2"/>
      <c r="AE190" s="2"/>
      <c r="AF190" s="2"/>
      <c r="AG190" s="2"/>
      <c r="AH190" s="2"/>
      <c r="AI190" s="2"/>
      <c r="AJ190" s="2"/>
      <c r="AK190" s="2"/>
      <c r="AL190" s="2"/>
      <c r="AM190" s="2"/>
      <c r="AN190" s="2"/>
    </row>
    <row r="191" spans="1:40" ht="30" x14ac:dyDescent="0.25">
      <c r="C191" s="6"/>
      <c r="D191" s="6"/>
      <c r="E191" s="6"/>
      <c r="F191" s="6">
        <v>3</v>
      </c>
      <c r="G191" s="6"/>
      <c r="H191" s="6"/>
      <c r="I191" s="6"/>
      <c r="J191" s="6" t="s">
        <v>3951</v>
      </c>
      <c r="K191" s="6" t="s">
        <v>3952</v>
      </c>
      <c r="L191" s="8" t="s">
        <v>3953</v>
      </c>
      <c r="M191" s="6"/>
      <c r="N191" s="716" t="str">
        <f>HYPERLINK("https://indd.adobe.com/view/ba300e2b-2668-4dcf-a1ca-4b2d6e9eefb4", "CD Delst")</f>
        <v>CD Delst</v>
      </c>
      <c r="O191" s="6"/>
      <c r="P191" s="6" t="s">
        <v>3954</v>
      </c>
      <c r="Q191" s="6"/>
      <c r="R191" s="6"/>
      <c r="S191" s="6"/>
      <c r="T191" s="16"/>
      <c r="U191" s="16"/>
      <c r="V191" s="6"/>
      <c r="W191" s="6"/>
      <c r="X191" s="6"/>
    </row>
    <row r="192" spans="1:40" ht="60" x14ac:dyDescent="0.25">
      <c r="C192" s="6"/>
      <c r="D192" s="6"/>
      <c r="E192" s="6"/>
      <c r="F192" s="6">
        <v>3</v>
      </c>
      <c r="G192" s="6"/>
      <c r="H192" s="6"/>
      <c r="I192" s="6"/>
      <c r="J192" s="6" t="s">
        <v>3955</v>
      </c>
      <c r="K192" s="6" t="s">
        <v>3956</v>
      </c>
      <c r="L192" s="8" t="s">
        <v>3957</v>
      </c>
      <c r="M192" s="6"/>
      <c r="N192" s="6"/>
      <c r="O192" s="6"/>
      <c r="P192" s="6" t="s">
        <v>3958</v>
      </c>
      <c r="Q192" s="6" t="s">
        <v>3959</v>
      </c>
      <c r="R192" s="6"/>
      <c r="S192" s="6"/>
      <c r="T192" s="16"/>
      <c r="U192" s="16"/>
      <c r="V192" s="6"/>
      <c r="W192" s="6"/>
      <c r="X192" s="6"/>
    </row>
    <row r="193" spans="3:40" ht="30" x14ac:dyDescent="0.25">
      <c r="C193" s="6"/>
      <c r="D193" s="6"/>
      <c r="E193" s="6"/>
      <c r="F193" s="6">
        <v>3</v>
      </c>
      <c r="G193" s="6"/>
      <c r="H193" s="6"/>
      <c r="I193" s="6"/>
      <c r="J193" s="10" t="s">
        <v>3915</v>
      </c>
      <c r="K193" s="6" t="s">
        <v>3960</v>
      </c>
      <c r="L193" s="8" t="s">
        <v>3953</v>
      </c>
      <c r="M193" s="6"/>
      <c r="N193" s="6"/>
      <c r="O193" s="6"/>
      <c r="P193" s="10"/>
      <c r="Q193" s="6"/>
      <c r="R193" s="6"/>
      <c r="S193" s="6"/>
      <c r="T193" s="16"/>
      <c r="U193" s="16"/>
      <c r="V193" s="6"/>
      <c r="W193" s="6"/>
      <c r="X193" s="6"/>
    </row>
    <row r="194" spans="3:40" ht="30" x14ac:dyDescent="0.25">
      <c r="C194" s="6"/>
      <c r="D194" s="6"/>
      <c r="E194" s="6"/>
      <c r="F194" s="24">
        <v>3</v>
      </c>
      <c r="G194" s="24"/>
      <c r="H194" s="24"/>
      <c r="I194" s="24"/>
      <c r="J194" s="24" t="s">
        <v>3961</v>
      </c>
      <c r="K194" s="6" t="s">
        <v>3962</v>
      </c>
      <c r="L194" s="8" t="s">
        <v>3650</v>
      </c>
      <c r="M194" s="6"/>
      <c r="N194" s="944" t="str">
        <f>HYPERLINK("https://synology.bildungscampus-backnang.de:50823/?launchApp=SYNO.SDS.Drive.Application#file_id=723384342186865225", "Dok Übersicht Zusatzbilder")</f>
        <v>Dok Übersicht Zusatzbilder</v>
      </c>
      <c r="O194" s="6"/>
      <c r="P194" s="6" t="s">
        <v>3963</v>
      </c>
      <c r="Q194" s="6"/>
      <c r="R194" s="6"/>
      <c r="S194" s="6"/>
      <c r="T194" s="16"/>
      <c r="U194" s="16"/>
      <c r="V194" s="6"/>
      <c r="W194" s="6"/>
      <c r="X194" s="6"/>
    </row>
    <row r="195" spans="3:40" ht="45" x14ac:dyDescent="0.25">
      <c r="C195" s="6"/>
      <c r="D195" s="6"/>
      <c r="E195" s="6"/>
      <c r="F195" s="24">
        <v>3</v>
      </c>
      <c r="G195" s="24"/>
      <c r="H195" s="24"/>
      <c r="I195" s="24"/>
      <c r="J195" s="24" t="s">
        <v>3964</v>
      </c>
      <c r="K195" s="6" t="s">
        <v>3965</v>
      </c>
      <c r="L195" s="8" t="s">
        <v>3966</v>
      </c>
      <c r="M195" s="6"/>
      <c r="N195" s="6"/>
      <c r="O195" s="6"/>
      <c r="P195" s="6" t="s">
        <v>3967</v>
      </c>
      <c r="Q195" s="6" t="s">
        <v>3968</v>
      </c>
      <c r="R195" s="6"/>
      <c r="S195" s="6"/>
      <c r="T195" s="16"/>
      <c r="U195" s="16"/>
      <c r="V195" s="6"/>
      <c r="W195" s="6"/>
      <c r="X195" s="6"/>
    </row>
    <row r="196" spans="3:40" ht="45" x14ac:dyDescent="0.25">
      <c r="C196" s="6"/>
      <c r="D196" s="6"/>
      <c r="E196" s="6"/>
      <c r="F196" s="24">
        <v>3</v>
      </c>
      <c r="G196" s="24"/>
      <c r="H196" s="24"/>
      <c r="I196" s="24"/>
      <c r="J196" s="24" t="s">
        <v>3936</v>
      </c>
      <c r="K196" s="24" t="s">
        <v>3969</v>
      </c>
      <c r="L196" s="8" t="s">
        <v>3650</v>
      </c>
      <c r="M196" s="6"/>
      <c r="N196" s="6"/>
      <c r="O196" s="6"/>
      <c r="P196" s="6"/>
      <c r="Q196" s="6" t="s">
        <v>3970</v>
      </c>
      <c r="R196" s="6"/>
      <c r="S196" s="6"/>
      <c r="T196" s="16"/>
      <c r="U196" s="16"/>
      <c r="V196" s="6"/>
      <c r="W196" s="6"/>
      <c r="X196" s="6"/>
    </row>
    <row r="197" spans="3:40" x14ac:dyDescent="0.25">
      <c r="C197" s="11"/>
      <c r="D197" s="11"/>
      <c r="E197" s="120">
        <v>2</v>
      </c>
      <c r="F197" s="1258" t="s">
        <v>3717</v>
      </c>
      <c r="G197" s="1259"/>
      <c r="H197" s="1259"/>
      <c r="I197" s="1259"/>
      <c r="J197" s="1259"/>
      <c r="K197" s="1259"/>
      <c r="L197" s="1259"/>
      <c r="M197" s="1259"/>
      <c r="N197" s="1259"/>
      <c r="O197" s="1259"/>
      <c r="P197" s="1259"/>
      <c r="Q197" s="1259"/>
      <c r="R197" s="1259"/>
      <c r="S197" s="1259"/>
      <c r="T197" s="1259"/>
      <c r="U197" s="1259"/>
      <c r="V197" s="1259"/>
      <c r="W197" s="1259"/>
      <c r="X197" s="1260"/>
      <c r="Y197" s="2"/>
      <c r="Z197" s="2"/>
      <c r="AA197" s="2"/>
      <c r="AB197" s="2"/>
      <c r="AC197" s="2"/>
      <c r="AD197" s="2"/>
      <c r="AE197" s="2"/>
      <c r="AF197" s="2"/>
      <c r="AG197" s="2"/>
      <c r="AH197" s="2"/>
      <c r="AI197" s="2"/>
      <c r="AJ197" s="2"/>
      <c r="AK197" s="2"/>
      <c r="AL197" s="2"/>
      <c r="AM197" s="2"/>
      <c r="AN197" s="2"/>
    </row>
    <row r="198" spans="3:40" ht="30" x14ac:dyDescent="0.25">
      <c r="C198" s="11"/>
      <c r="D198" s="11"/>
      <c r="E198" s="41"/>
      <c r="F198" s="11">
        <v>3</v>
      </c>
      <c r="G198" s="11"/>
      <c r="H198" s="11"/>
      <c r="I198" s="11"/>
      <c r="J198" s="6" t="s">
        <v>3718</v>
      </c>
      <c r="K198" s="156" t="s">
        <v>3971</v>
      </c>
      <c r="L198" s="8" t="s">
        <v>3972</v>
      </c>
      <c r="M198" s="11"/>
      <c r="N198" s="11"/>
      <c r="O198" s="11"/>
      <c r="P198" s="6" t="s">
        <v>3973</v>
      </c>
      <c r="Q198" s="11"/>
      <c r="R198" s="11"/>
      <c r="S198" s="11"/>
      <c r="T198" s="11"/>
      <c r="U198" s="11"/>
      <c r="V198" s="11"/>
      <c r="W198" s="11"/>
      <c r="X198" s="11"/>
      <c r="Y198" s="2"/>
      <c r="Z198" s="2"/>
      <c r="AA198" s="2"/>
      <c r="AB198" s="2"/>
      <c r="AC198" s="2"/>
      <c r="AD198" s="2"/>
      <c r="AE198" s="2"/>
      <c r="AF198" s="2"/>
      <c r="AG198" s="2"/>
      <c r="AH198" s="2"/>
      <c r="AI198" s="2"/>
      <c r="AJ198" s="2"/>
      <c r="AK198" s="2"/>
      <c r="AL198" s="2"/>
      <c r="AM198" s="2"/>
      <c r="AN198" s="2"/>
    </row>
    <row r="199" spans="3:40" ht="30" x14ac:dyDescent="0.25">
      <c r="C199" s="11"/>
      <c r="D199" s="11"/>
      <c r="E199" s="41"/>
      <c r="F199" s="11">
        <v>3</v>
      </c>
      <c r="G199" s="11"/>
      <c r="H199" s="11"/>
      <c r="I199" s="11"/>
      <c r="J199" s="6" t="s">
        <v>3723</v>
      </c>
      <c r="K199" s="156" t="s">
        <v>3971</v>
      </c>
      <c r="L199" s="8" t="s">
        <v>3972</v>
      </c>
      <c r="M199" s="11"/>
      <c r="N199" s="11"/>
      <c r="O199" s="11"/>
      <c r="P199" s="6" t="s">
        <v>3973</v>
      </c>
      <c r="Q199" s="11"/>
      <c r="R199" s="11"/>
      <c r="S199" s="11"/>
      <c r="T199" s="11"/>
      <c r="U199" s="11"/>
      <c r="V199" s="11"/>
      <c r="W199" s="11"/>
      <c r="X199" s="11"/>
      <c r="Y199" s="2"/>
      <c r="Z199" s="2"/>
      <c r="AA199" s="2"/>
      <c r="AB199" s="2"/>
      <c r="AC199" s="2"/>
      <c r="AD199" s="2"/>
      <c r="AE199" s="2"/>
      <c r="AF199" s="2"/>
      <c r="AG199" s="2"/>
      <c r="AH199" s="2"/>
      <c r="AI199" s="2"/>
      <c r="AJ199" s="2"/>
      <c r="AK199" s="2"/>
      <c r="AL199" s="2"/>
      <c r="AM199" s="2"/>
      <c r="AN199" s="2"/>
    </row>
    <row r="200" spans="3:40" ht="30" x14ac:dyDescent="0.25">
      <c r="C200" s="11"/>
      <c r="D200" s="11"/>
      <c r="E200" s="41"/>
      <c r="F200" s="11">
        <v>3</v>
      </c>
      <c r="G200" s="11"/>
      <c r="H200" s="11"/>
      <c r="I200" s="11"/>
      <c r="J200" s="10" t="s">
        <v>3725</v>
      </c>
      <c r="K200" s="156" t="s">
        <v>3971</v>
      </c>
      <c r="L200" s="8" t="s">
        <v>3972</v>
      </c>
      <c r="M200" s="11"/>
      <c r="N200" s="11"/>
      <c r="O200" s="11"/>
      <c r="P200" s="6" t="s">
        <v>3973</v>
      </c>
      <c r="Q200" s="11"/>
      <c r="R200" s="11"/>
      <c r="S200" s="11"/>
      <c r="T200" s="11"/>
      <c r="U200" s="11"/>
      <c r="V200" s="11"/>
      <c r="W200" s="11"/>
      <c r="X200" s="11"/>
      <c r="Y200" s="2"/>
      <c r="Z200" s="2"/>
      <c r="AA200" s="2"/>
      <c r="AB200" s="2"/>
      <c r="AC200" s="2"/>
      <c r="AD200" s="2"/>
      <c r="AE200" s="2"/>
      <c r="AF200" s="2"/>
      <c r="AG200" s="2"/>
      <c r="AH200" s="2"/>
      <c r="AI200" s="2"/>
      <c r="AJ200" s="2"/>
      <c r="AK200" s="2"/>
      <c r="AL200" s="2"/>
      <c r="AM200" s="2"/>
      <c r="AN200" s="2"/>
    </row>
    <row r="201" spans="3:40" x14ac:dyDescent="0.25">
      <c r="C201" s="11"/>
      <c r="D201" s="11"/>
      <c r="E201" s="939">
        <v>2</v>
      </c>
      <c r="F201" s="1250" t="s">
        <v>2992</v>
      </c>
      <c r="G201" s="1250"/>
      <c r="H201" s="1250"/>
      <c r="I201" s="1250"/>
      <c r="J201" s="1250"/>
      <c r="K201" s="931"/>
      <c r="L201" s="932"/>
      <c r="M201" s="931"/>
      <c r="N201" s="931"/>
      <c r="O201" s="931"/>
      <c r="P201" s="931"/>
      <c r="Q201" s="931"/>
      <c r="R201" s="931"/>
      <c r="S201" s="931"/>
      <c r="T201" s="931"/>
      <c r="U201" s="931"/>
      <c r="V201" s="931"/>
      <c r="W201" s="931"/>
      <c r="X201" s="931"/>
      <c r="Y201" s="2"/>
      <c r="Z201" s="2"/>
      <c r="AA201" s="2"/>
      <c r="AB201" s="2"/>
      <c r="AC201" s="2"/>
      <c r="AD201" s="2"/>
      <c r="AE201" s="2"/>
      <c r="AF201" s="2"/>
      <c r="AG201" s="2"/>
      <c r="AH201" s="2"/>
      <c r="AI201" s="2"/>
      <c r="AJ201" s="2"/>
      <c r="AK201" s="2"/>
      <c r="AL201" s="2"/>
      <c r="AM201" s="2"/>
      <c r="AN201" s="2"/>
    </row>
    <row r="202" spans="3:40" ht="39" x14ac:dyDescent="0.25">
      <c r="C202" s="11"/>
      <c r="D202" s="11"/>
      <c r="E202" s="41"/>
      <c r="F202" s="11">
        <v>3</v>
      </c>
      <c r="G202" s="11"/>
      <c r="H202" s="11"/>
      <c r="I202" s="11"/>
      <c r="J202" s="24" t="s">
        <v>2992</v>
      </c>
      <c r="K202" s="24" t="s">
        <v>3974</v>
      </c>
      <c r="L202" s="8" t="s">
        <v>945</v>
      </c>
      <c r="M202" s="11"/>
      <c r="N202" s="11"/>
      <c r="O202" s="11"/>
      <c r="P202" s="24" t="s">
        <v>3975</v>
      </c>
      <c r="Q202" s="11"/>
      <c r="R202" s="11"/>
      <c r="S202" s="11"/>
      <c r="T202" s="11"/>
      <c r="U202" s="11"/>
      <c r="V202" s="11"/>
      <c r="W202" s="11"/>
      <c r="X202" s="11"/>
      <c r="Y202" s="2"/>
      <c r="Z202" s="2"/>
      <c r="AA202" s="2"/>
      <c r="AB202" s="2"/>
      <c r="AC202" s="2"/>
      <c r="AD202" s="2"/>
      <c r="AE202" s="2"/>
      <c r="AF202" s="2"/>
      <c r="AG202" s="2"/>
      <c r="AH202" s="2"/>
      <c r="AI202" s="2"/>
      <c r="AJ202" s="2"/>
      <c r="AK202" s="2"/>
      <c r="AL202" s="2"/>
      <c r="AM202" s="2"/>
      <c r="AN202" s="2"/>
    </row>
    <row r="203" spans="3:40" ht="30" x14ac:dyDescent="0.25">
      <c r="C203" s="11"/>
      <c r="D203" s="11"/>
      <c r="E203" s="41"/>
      <c r="F203" s="11"/>
      <c r="G203" s="11">
        <v>4</v>
      </c>
      <c r="H203" s="11"/>
      <c r="I203" s="11"/>
      <c r="J203" s="24" t="s">
        <v>45</v>
      </c>
      <c r="K203" s="334" t="s">
        <v>3976</v>
      </c>
      <c r="L203" s="8" t="s">
        <v>945</v>
      </c>
      <c r="M203" s="11"/>
      <c r="N203" s="11"/>
      <c r="O203" s="11"/>
      <c r="P203" s="6" t="s">
        <v>3973</v>
      </c>
      <c r="Q203" s="11"/>
      <c r="R203" s="11"/>
      <c r="S203" s="11"/>
      <c r="T203" s="11"/>
      <c r="U203" s="11"/>
      <c r="V203" s="11"/>
      <c r="W203" s="11"/>
      <c r="X203" s="11"/>
      <c r="Y203" s="2"/>
      <c r="Z203" s="2"/>
      <c r="AA203" s="2"/>
      <c r="AB203" s="2"/>
      <c r="AC203" s="2"/>
      <c r="AD203" s="2"/>
      <c r="AE203" s="2"/>
      <c r="AF203" s="2"/>
      <c r="AG203" s="2"/>
      <c r="AH203" s="2"/>
      <c r="AI203" s="2"/>
      <c r="AJ203" s="2"/>
      <c r="AK203" s="2"/>
      <c r="AL203" s="2"/>
      <c r="AM203" s="2"/>
      <c r="AN203" s="2"/>
    </row>
    <row r="204" spans="3:40" ht="30" x14ac:dyDescent="0.25">
      <c r="C204" s="11"/>
      <c r="D204" s="11"/>
      <c r="E204" s="41"/>
      <c r="F204" s="11"/>
      <c r="G204" s="11">
        <v>4</v>
      </c>
      <c r="H204" s="11"/>
      <c r="I204" s="11"/>
      <c r="J204" s="24" t="s">
        <v>3852</v>
      </c>
      <c r="K204" s="24" t="s">
        <v>3977</v>
      </c>
      <c r="L204" s="8" t="s">
        <v>945</v>
      </c>
      <c r="M204" s="11"/>
      <c r="N204" s="11"/>
      <c r="O204" s="11"/>
      <c r="P204" s="6" t="s">
        <v>3973</v>
      </c>
      <c r="Q204" s="11"/>
      <c r="R204" s="11"/>
      <c r="S204" s="11"/>
      <c r="T204" s="11"/>
      <c r="U204" s="11"/>
      <c r="V204" s="11"/>
      <c r="W204" s="11"/>
      <c r="X204" s="11"/>
      <c r="Y204" s="2"/>
      <c r="Z204" s="2"/>
      <c r="AA204" s="2"/>
      <c r="AB204" s="2"/>
      <c r="AC204" s="2"/>
      <c r="AD204" s="2"/>
      <c r="AE204" s="2"/>
      <c r="AF204" s="2"/>
      <c r="AG204" s="2"/>
      <c r="AH204" s="2"/>
      <c r="AI204" s="2"/>
      <c r="AJ204" s="2"/>
      <c r="AK204" s="2"/>
      <c r="AL204" s="2"/>
      <c r="AM204" s="2"/>
      <c r="AN204" s="2"/>
    </row>
    <row r="205" spans="3:40" x14ac:dyDescent="0.25">
      <c r="C205" s="11"/>
      <c r="D205" s="11"/>
      <c r="E205" s="120">
        <v>2</v>
      </c>
      <c r="F205" s="1245" t="s">
        <v>3978</v>
      </c>
      <c r="G205" s="1245"/>
      <c r="H205" s="1245"/>
      <c r="I205" s="1245"/>
      <c r="J205" s="1245"/>
      <c r="K205" s="1245"/>
      <c r="L205" s="1246"/>
      <c r="M205" s="1245"/>
      <c r="N205" s="1245"/>
      <c r="O205" s="1245"/>
      <c r="P205" s="1245"/>
      <c r="Q205" s="1245"/>
      <c r="R205" s="1245"/>
      <c r="S205" s="1245"/>
      <c r="T205" s="1245"/>
      <c r="U205" s="1245"/>
      <c r="V205" s="1245"/>
      <c r="W205" s="1245"/>
      <c r="X205" s="1245"/>
      <c r="Y205" s="2"/>
      <c r="Z205" s="2"/>
      <c r="AA205" s="2"/>
      <c r="AB205" s="2"/>
      <c r="AC205" s="2"/>
      <c r="AD205" s="2"/>
      <c r="AE205" s="2"/>
      <c r="AF205" s="2"/>
      <c r="AG205" s="2"/>
      <c r="AH205" s="2"/>
      <c r="AI205" s="2"/>
      <c r="AJ205" s="2"/>
      <c r="AK205" s="2"/>
      <c r="AL205" s="2"/>
      <c r="AM205" s="2"/>
      <c r="AN205" s="2"/>
    </row>
    <row r="206" spans="3:40" ht="30" x14ac:dyDescent="0.25">
      <c r="C206" s="6"/>
      <c r="D206" s="6"/>
      <c r="E206" s="6"/>
      <c r="F206" s="6">
        <v>3</v>
      </c>
      <c r="G206" s="6"/>
      <c r="H206" s="6"/>
      <c r="I206" s="6"/>
      <c r="J206" s="6" t="s">
        <v>3785</v>
      </c>
      <c r="K206" s="6" t="s">
        <v>3979</v>
      </c>
      <c r="L206" s="8" t="s">
        <v>3673</v>
      </c>
      <c r="M206" s="6"/>
      <c r="N206" s="6"/>
      <c r="O206" s="6"/>
      <c r="P206" s="6" t="s">
        <v>3973</v>
      </c>
      <c r="Q206" s="6"/>
      <c r="R206" s="6"/>
      <c r="S206" s="6"/>
      <c r="T206" s="16"/>
      <c r="U206" s="16"/>
      <c r="V206" s="6"/>
      <c r="W206" s="6"/>
      <c r="X206" s="6"/>
    </row>
    <row r="207" spans="3:40" ht="30" x14ac:dyDescent="0.25">
      <c r="C207" s="6"/>
      <c r="D207" s="6"/>
      <c r="E207" s="6"/>
      <c r="F207" s="6">
        <v>3</v>
      </c>
      <c r="G207" s="6"/>
      <c r="H207" s="6"/>
      <c r="I207" s="6"/>
      <c r="J207" s="6" t="s">
        <v>3830</v>
      </c>
      <c r="K207" s="6" t="s">
        <v>3980</v>
      </c>
      <c r="L207" s="8" t="s">
        <v>3673</v>
      </c>
      <c r="M207" s="6"/>
      <c r="N207" s="6"/>
      <c r="O207" s="6"/>
      <c r="P207" s="6" t="s">
        <v>3973</v>
      </c>
      <c r="Q207" s="6"/>
      <c r="R207" s="6"/>
      <c r="S207" s="6"/>
      <c r="T207" s="16"/>
      <c r="U207" s="16"/>
      <c r="V207" s="6"/>
      <c r="W207" s="6"/>
      <c r="X207" s="6"/>
    </row>
    <row r="208" spans="3:40" ht="30" x14ac:dyDescent="0.25">
      <c r="C208" s="6"/>
      <c r="D208" s="6"/>
      <c r="E208" s="6"/>
      <c r="F208" s="6">
        <v>3</v>
      </c>
      <c r="G208" s="6"/>
      <c r="H208" s="6"/>
      <c r="I208" s="6"/>
      <c r="J208" s="6" t="s">
        <v>3788</v>
      </c>
      <c r="K208" s="6" t="s">
        <v>3981</v>
      </c>
      <c r="L208" s="8" t="s">
        <v>3673</v>
      </c>
      <c r="M208" s="6"/>
      <c r="N208" s="6"/>
      <c r="O208" s="6"/>
      <c r="P208" s="6" t="s">
        <v>3973</v>
      </c>
      <c r="Q208" s="6"/>
      <c r="R208" s="6"/>
      <c r="S208" s="6"/>
      <c r="T208" s="16"/>
      <c r="U208" s="16"/>
      <c r="V208" s="6"/>
      <c r="W208" s="6"/>
      <c r="X208" s="6"/>
    </row>
    <row r="209" spans="3:40" x14ac:dyDescent="0.25">
      <c r="C209" s="11"/>
      <c r="D209" s="11"/>
      <c r="E209" s="120">
        <v>2</v>
      </c>
      <c r="F209" s="1245" t="s">
        <v>3982</v>
      </c>
      <c r="G209" s="1245"/>
      <c r="H209" s="1245"/>
      <c r="I209" s="1245"/>
      <c r="J209" s="1245"/>
      <c r="K209" s="1245"/>
      <c r="L209" s="1246"/>
      <c r="M209" s="1245"/>
      <c r="N209" s="1245"/>
      <c r="O209" s="1245"/>
      <c r="P209" s="1245"/>
      <c r="Q209" s="1245"/>
      <c r="R209" s="1245"/>
      <c r="S209" s="1245"/>
      <c r="T209" s="1245"/>
      <c r="U209" s="1245"/>
      <c r="V209" s="1245"/>
      <c r="W209" s="1245"/>
      <c r="X209" s="1245"/>
      <c r="Y209" s="2"/>
      <c r="Z209" s="2"/>
      <c r="AA209" s="2"/>
      <c r="AB209" s="2"/>
      <c r="AC209" s="2"/>
      <c r="AD209" s="2"/>
      <c r="AE209" s="2"/>
      <c r="AF209" s="2"/>
      <c r="AG209" s="2"/>
      <c r="AH209" s="2"/>
      <c r="AI209" s="2"/>
      <c r="AJ209" s="2"/>
      <c r="AK209" s="2"/>
      <c r="AL209" s="2"/>
      <c r="AM209" s="2"/>
      <c r="AN209" s="2"/>
    </row>
    <row r="210" spans="3:40" ht="26.25" x14ac:dyDescent="0.25">
      <c r="C210" s="11"/>
      <c r="D210" s="11"/>
      <c r="E210" s="41"/>
      <c r="F210" s="11">
        <v>3</v>
      </c>
      <c r="G210" s="11"/>
      <c r="H210" s="11"/>
      <c r="I210" s="11"/>
      <c r="J210" s="10" t="s">
        <v>3983</v>
      </c>
      <c r="K210" s="10" t="s">
        <v>3984</v>
      </c>
      <c r="L210" s="8" t="s">
        <v>3985</v>
      </c>
      <c r="M210" s="11"/>
      <c r="N210" s="716" t="str">
        <f>HYPERLINK("https://synology.bildungscampus-backnang.de:50823/drive/oo/r/587881548347384639#tid=9", "Dok Statistik")</f>
        <v>Dok Statistik</v>
      </c>
      <c r="O210" s="11"/>
      <c r="P210" s="10" t="s">
        <v>3944</v>
      </c>
      <c r="Q210" s="11"/>
      <c r="R210" s="11"/>
      <c r="S210" s="11"/>
      <c r="T210" s="11"/>
      <c r="U210" s="11"/>
      <c r="V210" s="11"/>
      <c r="W210" s="11"/>
      <c r="X210" s="11"/>
      <c r="Y210" s="2"/>
      <c r="Z210" s="2"/>
      <c r="AA210" s="2"/>
      <c r="AB210" s="2"/>
      <c r="AC210" s="2"/>
      <c r="AD210" s="2"/>
      <c r="AE210" s="2"/>
      <c r="AF210" s="2"/>
      <c r="AG210" s="2"/>
      <c r="AH210" s="2"/>
      <c r="AI210" s="2"/>
      <c r="AJ210" s="2"/>
      <c r="AK210" s="2"/>
      <c r="AL210" s="2"/>
      <c r="AM210" s="2"/>
      <c r="AN210" s="2"/>
    </row>
    <row r="211" spans="3:40" ht="30" x14ac:dyDescent="0.25">
      <c r="C211" s="11"/>
      <c r="D211" s="11"/>
      <c r="E211" s="41"/>
      <c r="F211" s="11">
        <v>3</v>
      </c>
      <c r="G211" s="11"/>
      <c r="H211" s="11"/>
      <c r="I211" s="11"/>
      <c r="J211" s="10" t="s">
        <v>3986</v>
      </c>
      <c r="K211" s="6" t="s">
        <v>3987</v>
      </c>
      <c r="L211" s="8" t="s">
        <v>3605</v>
      </c>
      <c r="M211" s="11"/>
      <c r="N211" s="716" t="str">
        <f>HYPERLINK("https://synology.bildungscampus-backnang.de:50823/drive/oo/r/587881548347384639#tid=9", "Dok Statistik")</f>
        <v>Dok Statistik</v>
      </c>
      <c r="O211" s="11"/>
      <c r="P211" s="10" t="s">
        <v>3944</v>
      </c>
      <c r="Q211" s="11"/>
      <c r="R211" s="11"/>
      <c r="S211" s="11"/>
      <c r="T211" s="11"/>
      <c r="U211" s="11"/>
      <c r="V211" s="11"/>
      <c r="W211" s="11"/>
      <c r="X211" s="11"/>
      <c r="Y211" s="2"/>
      <c r="Z211" s="2"/>
      <c r="AA211" s="2"/>
      <c r="AB211" s="2"/>
      <c r="AC211" s="2"/>
      <c r="AD211" s="2"/>
      <c r="AE211" s="2"/>
      <c r="AF211" s="2"/>
      <c r="AG211" s="2"/>
      <c r="AH211" s="2"/>
      <c r="AI211" s="2"/>
      <c r="AJ211" s="2"/>
      <c r="AK211" s="2"/>
      <c r="AL211" s="2"/>
      <c r="AM211" s="2"/>
      <c r="AN211" s="2"/>
    </row>
    <row r="212" spans="3:40" ht="30" x14ac:dyDescent="0.25">
      <c r="C212" s="11"/>
      <c r="D212" s="11"/>
      <c r="E212" s="41"/>
      <c r="F212" s="11">
        <v>3</v>
      </c>
      <c r="G212" s="11"/>
      <c r="H212" s="11"/>
      <c r="I212" s="11"/>
      <c r="J212" s="10" t="s">
        <v>3936</v>
      </c>
      <c r="K212" s="6" t="s">
        <v>3988</v>
      </c>
      <c r="L212" s="8" t="s">
        <v>3605</v>
      </c>
      <c r="M212" s="11"/>
      <c r="N212" s="716" t="str">
        <f>HYPERLINK("https://synology.bildungscampus-backnang.de:50823/drive/oo/r/587881548347384639#tid=9", "Dok Statistik")</f>
        <v>Dok Statistik</v>
      </c>
      <c r="O212" s="11"/>
      <c r="P212" s="10" t="s">
        <v>3944</v>
      </c>
      <c r="Q212" s="11"/>
      <c r="R212" s="11"/>
      <c r="S212" s="11"/>
      <c r="T212" s="11"/>
      <c r="U212" s="11"/>
      <c r="V212" s="11"/>
      <c r="W212" s="11"/>
      <c r="X212" s="11"/>
      <c r="Y212" s="2"/>
      <c r="Z212" s="2"/>
      <c r="AA212" s="2"/>
      <c r="AB212" s="2"/>
      <c r="AC212" s="2"/>
      <c r="AD212" s="2"/>
      <c r="AE212" s="2"/>
      <c r="AF212" s="2"/>
      <c r="AG212" s="2"/>
      <c r="AH212" s="2"/>
      <c r="AI212" s="2"/>
      <c r="AJ212" s="2"/>
      <c r="AK212" s="2"/>
      <c r="AL212" s="2"/>
      <c r="AM212" s="2"/>
      <c r="AN212" s="2"/>
    </row>
    <row r="213" spans="3:40" ht="30" x14ac:dyDescent="0.25">
      <c r="C213" s="11"/>
      <c r="D213" s="11"/>
      <c r="E213" s="41"/>
      <c r="F213" s="11">
        <v>3</v>
      </c>
      <c r="G213" s="11"/>
      <c r="H213" s="11"/>
      <c r="I213" s="11"/>
      <c r="J213" s="6" t="s">
        <v>3717</v>
      </c>
      <c r="K213" s="6" t="s">
        <v>3989</v>
      </c>
      <c r="L213" s="8" t="s">
        <v>3720</v>
      </c>
      <c r="M213" s="11"/>
      <c r="N213" s="11"/>
      <c r="O213" s="11"/>
      <c r="P213" s="10" t="s">
        <v>3944</v>
      </c>
      <c r="Q213" s="11"/>
      <c r="R213" s="11"/>
      <c r="S213" s="11"/>
      <c r="T213" s="11"/>
      <c r="U213" s="11"/>
      <c r="V213" s="11"/>
      <c r="W213" s="11"/>
      <c r="X213" s="11"/>
      <c r="Y213" s="2"/>
      <c r="Z213" s="2"/>
      <c r="AA213" s="2"/>
      <c r="AB213" s="2"/>
      <c r="AC213" s="2"/>
      <c r="AD213" s="2"/>
      <c r="AE213" s="2"/>
      <c r="AF213" s="2"/>
      <c r="AG213" s="2"/>
      <c r="AH213" s="2"/>
      <c r="AI213" s="2"/>
      <c r="AJ213" s="2"/>
      <c r="AK213" s="2"/>
      <c r="AL213" s="2"/>
      <c r="AM213" s="2"/>
      <c r="AN213" s="2"/>
    </row>
    <row r="214" spans="3:40" ht="39" x14ac:dyDescent="0.25">
      <c r="C214" s="11"/>
      <c r="D214" s="11"/>
      <c r="E214" s="273"/>
      <c r="F214" s="40">
        <v>3</v>
      </c>
      <c r="G214" s="40"/>
      <c r="H214" s="40"/>
      <c r="I214" s="40"/>
      <c r="J214" s="615" t="s">
        <v>2992</v>
      </c>
      <c r="K214" s="615" t="s">
        <v>3990</v>
      </c>
      <c r="L214" s="8" t="s">
        <v>945</v>
      </c>
      <c r="M214" s="11"/>
      <c r="N214" s="11"/>
      <c r="O214" s="11"/>
      <c r="P214" s="10" t="s">
        <v>3944</v>
      </c>
      <c r="Q214" s="11"/>
      <c r="R214" s="11"/>
      <c r="S214" s="11"/>
      <c r="T214" s="11"/>
      <c r="U214" s="11"/>
      <c r="V214" s="11"/>
      <c r="W214" s="11"/>
      <c r="X214" s="11"/>
      <c r="Y214" s="2"/>
      <c r="Z214" s="2"/>
      <c r="AA214" s="2"/>
      <c r="AB214" s="2"/>
      <c r="AC214" s="2"/>
      <c r="AD214" s="2"/>
      <c r="AE214" s="2"/>
      <c r="AF214" s="2"/>
      <c r="AG214" s="2"/>
      <c r="AH214" s="2"/>
      <c r="AI214" s="2"/>
      <c r="AJ214" s="2"/>
      <c r="AK214" s="2"/>
      <c r="AL214" s="2"/>
      <c r="AM214" s="2"/>
      <c r="AN214" s="2"/>
    </row>
    <row r="215" spans="3:40" ht="20.25" customHeight="1" x14ac:dyDescent="0.25">
      <c r="C215" s="928"/>
      <c r="D215" s="928">
        <v>1</v>
      </c>
      <c r="E215" s="1247" t="s">
        <v>3991</v>
      </c>
      <c r="F215" s="1247"/>
      <c r="G215" s="1247"/>
      <c r="H215" s="1247"/>
      <c r="I215" s="1247"/>
      <c r="J215" s="1247"/>
      <c r="K215" s="1247"/>
      <c r="L215" s="772"/>
      <c r="M215" s="93"/>
      <c r="N215" s="936" t="str">
        <f>HYPERLINK("http://wiki.academyofsports.online/tiki-index.php?page=Affiliate---Partnerprogramm", "Affiliate")</f>
        <v>Affiliate</v>
      </c>
      <c r="O215" s="93"/>
      <c r="P215" s="93"/>
      <c r="Q215" s="93"/>
      <c r="R215" s="93"/>
      <c r="S215" s="93"/>
      <c r="T215" s="93"/>
      <c r="U215" s="93"/>
      <c r="V215" s="93"/>
      <c r="W215" s="929"/>
      <c r="X215" s="930"/>
      <c r="Y215" s="2"/>
      <c r="Z215" s="2"/>
      <c r="AA215" s="2"/>
      <c r="AB215" s="2"/>
      <c r="AC215" s="2"/>
      <c r="AD215" s="2"/>
      <c r="AE215" s="2"/>
      <c r="AF215" s="2"/>
      <c r="AG215" s="2"/>
      <c r="AH215" s="2"/>
      <c r="AI215" s="2"/>
      <c r="AJ215" s="2"/>
      <c r="AK215" s="2"/>
      <c r="AL215" s="2"/>
      <c r="AM215" s="2"/>
      <c r="AN215" s="2"/>
    </row>
    <row r="216" spans="3:40" x14ac:dyDescent="0.25">
      <c r="C216" s="11"/>
      <c r="D216" s="11"/>
      <c r="E216" s="939">
        <v>2</v>
      </c>
      <c r="F216" s="1245" t="s">
        <v>3992</v>
      </c>
      <c r="G216" s="1245"/>
      <c r="H216" s="1245"/>
      <c r="I216" s="1245"/>
      <c r="J216" s="1245"/>
      <c r="K216" s="931"/>
      <c r="L216" s="932"/>
      <c r="M216" s="931"/>
      <c r="N216" s="931"/>
      <c r="O216" s="931"/>
      <c r="P216" s="931"/>
      <c r="Q216" s="931"/>
      <c r="R216" s="931"/>
      <c r="S216" s="931"/>
      <c r="T216" s="931"/>
      <c r="U216" s="931"/>
      <c r="V216" s="931"/>
      <c r="W216" s="931"/>
      <c r="X216" s="931"/>
      <c r="Y216" s="2"/>
      <c r="Z216" s="2"/>
      <c r="AA216" s="2"/>
      <c r="AB216" s="2"/>
      <c r="AC216" s="2"/>
      <c r="AD216" s="2"/>
      <c r="AE216" s="2"/>
      <c r="AF216" s="2"/>
      <c r="AG216" s="2"/>
      <c r="AH216" s="2"/>
      <c r="AI216" s="2"/>
      <c r="AJ216" s="2"/>
      <c r="AK216" s="2"/>
      <c r="AL216" s="2"/>
      <c r="AM216" s="2"/>
      <c r="AN216" s="2"/>
    </row>
    <row r="217" spans="3:40" ht="45" x14ac:dyDescent="0.25">
      <c r="C217" s="11"/>
      <c r="D217" s="11"/>
      <c r="E217" s="41"/>
      <c r="F217" s="11">
        <v>3</v>
      </c>
      <c r="G217" s="11"/>
      <c r="H217" s="11"/>
      <c r="I217" s="11"/>
      <c r="J217" s="10" t="s">
        <v>3993</v>
      </c>
      <c r="K217" s="6" t="s">
        <v>3994</v>
      </c>
      <c r="L217" s="8" t="s">
        <v>3673</v>
      </c>
      <c r="M217" s="11"/>
      <c r="N217" s="11"/>
      <c r="O217" s="11"/>
      <c r="P217" s="10" t="s">
        <v>3995</v>
      </c>
      <c r="Q217" s="11"/>
      <c r="R217" s="6" t="s">
        <v>3996</v>
      </c>
      <c r="S217" s="11"/>
      <c r="T217" s="11"/>
      <c r="U217" s="11"/>
      <c r="V217" s="11"/>
      <c r="W217" s="11"/>
      <c r="X217" s="11"/>
      <c r="Y217" s="2"/>
      <c r="Z217" s="2"/>
      <c r="AA217" s="2"/>
      <c r="AB217" s="2"/>
      <c r="AC217" s="2"/>
      <c r="AD217" s="2"/>
      <c r="AE217" s="2"/>
      <c r="AF217" s="2"/>
      <c r="AG217" s="2"/>
      <c r="AH217" s="2"/>
      <c r="AI217" s="2"/>
      <c r="AJ217" s="2"/>
      <c r="AK217" s="2"/>
      <c r="AL217" s="2"/>
      <c r="AM217" s="2"/>
      <c r="AN217" s="2"/>
    </row>
    <row r="218" spans="3:40" ht="45" x14ac:dyDescent="0.25">
      <c r="C218" s="11"/>
      <c r="D218" s="11"/>
      <c r="E218" s="41"/>
      <c r="F218" s="11">
        <v>3</v>
      </c>
      <c r="G218" s="11"/>
      <c r="H218" s="11"/>
      <c r="I218" s="11"/>
      <c r="J218" s="10" t="s">
        <v>3997</v>
      </c>
      <c r="K218" s="6" t="s">
        <v>3998</v>
      </c>
      <c r="L218" s="8" t="s">
        <v>3673</v>
      </c>
      <c r="M218" s="11"/>
      <c r="N218" s="11"/>
      <c r="O218" s="11"/>
      <c r="P218" s="10" t="s">
        <v>3999</v>
      </c>
      <c r="Q218" s="11"/>
      <c r="R218" s="6" t="s">
        <v>4000</v>
      </c>
      <c r="S218" s="11"/>
      <c r="T218" s="11"/>
      <c r="U218" s="11"/>
      <c r="V218" s="11"/>
      <c r="W218" s="11"/>
      <c r="X218" s="11"/>
      <c r="Y218" s="2"/>
      <c r="Z218" s="2"/>
      <c r="AA218" s="2"/>
      <c r="AB218" s="2"/>
      <c r="AC218" s="2"/>
      <c r="AD218" s="2"/>
      <c r="AE218" s="2"/>
      <c r="AF218" s="2"/>
      <c r="AG218" s="2"/>
      <c r="AH218" s="2"/>
      <c r="AI218" s="2"/>
      <c r="AJ218" s="2"/>
      <c r="AK218" s="2"/>
      <c r="AL218" s="2"/>
      <c r="AM218" s="2"/>
      <c r="AN218" s="2"/>
    </row>
    <row r="219" spans="3:40" x14ac:dyDescent="0.25">
      <c r="C219" s="11"/>
      <c r="D219" s="11"/>
      <c r="E219" s="939">
        <v>2</v>
      </c>
      <c r="F219" s="1245" t="s">
        <v>4001</v>
      </c>
      <c r="G219" s="1245"/>
      <c r="H219" s="1245"/>
      <c r="I219" s="1245"/>
      <c r="J219" s="1245"/>
      <c r="K219" s="931"/>
      <c r="L219" s="932"/>
      <c r="M219" s="931"/>
      <c r="N219" s="931"/>
      <c r="O219" s="931"/>
      <c r="P219" s="931"/>
      <c r="Q219" s="931"/>
      <c r="R219" s="931"/>
      <c r="S219" s="931"/>
      <c r="T219" s="931"/>
      <c r="U219" s="931"/>
      <c r="V219" s="931"/>
      <c r="W219" s="931"/>
      <c r="X219" s="931"/>
      <c r="Y219" s="2"/>
      <c r="Z219" s="2"/>
      <c r="AA219" s="2"/>
      <c r="AB219" s="2"/>
      <c r="AC219" s="2"/>
      <c r="AD219" s="2"/>
      <c r="AE219" s="2"/>
      <c r="AF219" s="2"/>
      <c r="AG219" s="2"/>
      <c r="AH219" s="2"/>
      <c r="AI219" s="2"/>
      <c r="AJ219" s="2"/>
      <c r="AK219" s="2"/>
      <c r="AL219" s="2"/>
      <c r="AM219" s="2"/>
      <c r="AN219" s="2"/>
    </row>
    <row r="220" spans="3:40" ht="25.5" customHeight="1" x14ac:dyDescent="0.25">
      <c r="C220" s="11"/>
      <c r="D220" s="11"/>
      <c r="E220" s="41"/>
      <c r="F220" s="11">
        <v>3</v>
      </c>
      <c r="G220" s="11"/>
      <c r="H220" s="11"/>
      <c r="I220" s="11"/>
      <c r="J220" s="10" t="s">
        <v>4002</v>
      </c>
      <c r="K220" s="6" t="s">
        <v>4003</v>
      </c>
      <c r="L220" s="8" t="s">
        <v>3673</v>
      </c>
      <c r="M220" s="11"/>
      <c r="N220" s="11"/>
      <c r="O220" s="11"/>
      <c r="P220" s="6" t="s">
        <v>4004</v>
      </c>
      <c r="Q220" s="11"/>
      <c r="R220" s="11"/>
      <c r="S220" s="11"/>
      <c r="T220" s="11"/>
      <c r="U220" s="11"/>
      <c r="V220" s="11"/>
      <c r="W220" s="11"/>
      <c r="X220" s="11"/>
      <c r="Y220" s="2"/>
      <c r="Z220" s="2"/>
      <c r="AA220" s="2"/>
      <c r="AB220" s="2"/>
      <c r="AC220" s="2"/>
      <c r="AD220" s="2"/>
      <c r="AE220" s="2"/>
      <c r="AF220" s="2"/>
      <c r="AG220" s="2"/>
      <c r="AH220" s="2"/>
      <c r="AI220" s="2"/>
      <c r="AJ220" s="2"/>
      <c r="AK220" s="2"/>
      <c r="AL220" s="2"/>
      <c r="AM220" s="2"/>
      <c r="AN220" s="2"/>
    </row>
    <row r="221" spans="3:40" ht="25.5" customHeight="1" x14ac:dyDescent="0.25">
      <c r="C221" s="11"/>
      <c r="D221" s="11"/>
      <c r="E221" s="41"/>
      <c r="F221" s="11">
        <v>3</v>
      </c>
      <c r="G221" s="11"/>
      <c r="H221" s="11"/>
      <c r="I221" s="11"/>
      <c r="J221" s="10" t="s">
        <v>4005</v>
      </c>
      <c r="K221" s="10" t="s">
        <v>4006</v>
      </c>
      <c r="L221" s="8" t="s">
        <v>3673</v>
      </c>
      <c r="M221" s="11"/>
      <c r="N221" s="11"/>
      <c r="O221" s="11"/>
      <c r="P221" s="11"/>
      <c r="Q221" s="11"/>
      <c r="R221" s="11"/>
      <c r="S221" s="11"/>
      <c r="T221" s="11"/>
      <c r="U221" s="11"/>
      <c r="V221" s="11"/>
      <c r="W221" s="11"/>
      <c r="X221" s="11"/>
      <c r="Y221" s="2"/>
      <c r="Z221" s="2"/>
      <c r="AA221" s="2"/>
      <c r="AB221" s="2"/>
      <c r="AC221" s="2"/>
      <c r="AD221" s="2"/>
      <c r="AE221" s="2"/>
      <c r="AF221" s="2"/>
      <c r="AG221" s="2"/>
      <c r="AH221" s="2"/>
      <c r="AI221" s="2"/>
      <c r="AJ221" s="2"/>
      <c r="AK221" s="2"/>
      <c r="AL221" s="2"/>
      <c r="AM221" s="2"/>
      <c r="AN221" s="2"/>
    </row>
    <row r="222" spans="3:40" x14ac:dyDescent="0.25">
      <c r="C222" s="11"/>
      <c r="D222" s="11"/>
      <c r="E222" s="120">
        <v>2</v>
      </c>
      <c r="F222" s="1245" t="s">
        <v>4007</v>
      </c>
      <c r="G222" s="1245"/>
      <c r="H222" s="1245"/>
      <c r="I222" s="1245"/>
      <c r="J222" s="1245"/>
      <c r="K222" s="1245"/>
      <c r="L222" s="1246"/>
      <c r="M222" s="1245"/>
      <c r="N222" s="1245"/>
      <c r="O222" s="1245"/>
      <c r="P222" s="1245"/>
      <c r="Q222" s="1245"/>
      <c r="R222" s="1245"/>
      <c r="S222" s="1245"/>
      <c r="T222" s="1245"/>
      <c r="U222" s="1245"/>
      <c r="V222" s="1245"/>
      <c r="W222" s="1245"/>
      <c r="X222" s="1245"/>
      <c r="Y222" s="2"/>
      <c r="Z222" s="2"/>
      <c r="AA222" s="2"/>
      <c r="AB222" s="2"/>
      <c r="AC222" s="2"/>
      <c r="AD222" s="2"/>
      <c r="AE222" s="2"/>
      <c r="AF222" s="2"/>
      <c r="AG222" s="2"/>
      <c r="AH222" s="2"/>
      <c r="AI222" s="2"/>
      <c r="AJ222" s="2"/>
      <c r="AK222" s="2"/>
      <c r="AL222" s="2"/>
      <c r="AM222" s="2"/>
      <c r="AN222" s="2"/>
    </row>
    <row r="223" spans="3:40" ht="25.5" customHeight="1" x14ac:dyDescent="0.25">
      <c r="C223" s="11"/>
      <c r="D223" s="11"/>
      <c r="E223" s="41"/>
      <c r="F223" s="11">
        <v>3</v>
      </c>
      <c r="G223" s="11"/>
      <c r="H223" s="11"/>
      <c r="I223" s="11"/>
      <c r="J223" s="10" t="s">
        <v>4008</v>
      </c>
      <c r="K223" s="6" t="s">
        <v>4009</v>
      </c>
      <c r="L223" s="8" t="s">
        <v>3673</v>
      </c>
      <c r="M223" s="11"/>
      <c r="N223" s="11"/>
      <c r="O223" s="11"/>
      <c r="P223" s="10" t="s">
        <v>4010</v>
      </c>
      <c r="Q223" s="11"/>
      <c r="R223" s="6" t="s">
        <v>4011</v>
      </c>
      <c r="S223" s="11"/>
      <c r="T223" s="11"/>
      <c r="U223" s="11"/>
      <c r="V223" s="11"/>
      <c r="W223" s="11"/>
      <c r="X223" s="11"/>
      <c r="Y223" s="2"/>
      <c r="Z223" s="2"/>
      <c r="AA223" s="2"/>
      <c r="AB223" s="2"/>
      <c r="AC223" s="2"/>
      <c r="AD223" s="2"/>
      <c r="AE223" s="2"/>
      <c r="AF223" s="2"/>
      <c r="AG223" s="2"/>
      <c r="AH223" s="2"/>
      <c r="AI223" s="2"/>
      <c r="AJ223" s="2"/>
      <c r="AK223" s="2"/>
      <c r="AL223" s="2"/>
      <c r="AM223" s="2"/>
      <c r="AN223" s="2"/>
    </row>
    <row r="224" spans="3:40" ht="25.5" customHeight="1" x14ac:dyDescent="0.25">
      <c r="C224" s="11"/>
      <c r="D224" s="11"/>
      <c r="E224" s="41"/>
      <c r="F224" s="11">
        <v>3</v>
      </c>
      <c r="G224" s="11"/>
      <c r="H224" s="11"/>
      <c r="I224" s="11"/>
      <c r="J224" s="10" t="s">
        <v>4012</v>
      </c>
      <c r="K224" s="6" t="s">
        <v>4013</v>
      </c>
      <c r="L224" s="8" t="s">
        <v>3673</v>
      </c>
      <c r="M224" s="11"/>
      <c r="N224" s="11"/>
      <c r="O224" s="11"/>
      <c r="P224" s="6" t="s">
        <v>4014</v>
      </c>
      <c r="Q224" s="11"/>
      <c r="R224" s="11"/>
      <c r="S224" s="11"/>
      <c r="T224" s="11"/>
      <c r="U224" s="11"/>
      <c r="V224" s="11"/>
      <c r="W224" s="11"/>
      <c r="X224" s="11"/>
      <c r="Y224" s="2"/>
      <c r="Z224" s="2"/>
      <c r="AA224" s="2"/>
      <c r="AB224" s="2"/>
      <c r="AC224" s="2"/>
      <c r="AD224" s="2"/>
      <c r="AE224" s="2"/>
      <c r="AF224" s="2"/>
      <c r="AG224" s="2"/>
      <c r="AH224" s="2"/>
      <c r="AI224" s="2"/>
      <c r="AJ224" s="2"/>
      <c r="AK224" s="2"/>
      <c r="AL224" s="2"/>
      <c r="AM224" s="2"/>
      <c r="AN224" s="2"/>
    </row>
    <row r="225" spans="3:40" ht="25.5" customHeight="1" x14ac:dyDescent="0.25">
      <c r="C225" s="11"/>
      <c r="D225" s="11"/>
      <c r="E225" s="41"/>
      <c r="F225" s="11">
        <v>3</v>
      </c>
      <c r="G225" s="11"/>
      <c r="H225" s="11"/>
      <c r="I225" s="11"/>
      <c r="J225" s="10" t="s">
        <v>4015</v>
      </c>
      <c r="K225" s="6" t="s">
        <v>4016</v>
      </c>
      <c r="L225" s="8" t="s">
        <v>3673</v>
      </c>
      <c r="M225" s="11"/>
      <c r="N225" s="11"/>
      <c r="O225" s="11"/>
      <c r="P225" s="6" t="s">
        <v>3973</v>
      </c>
      <c r="Q225" s="11"/>
      <c r="R225" s="11"/>
      <c r="S225" s="11"/>
      <c r="T225" s="11"/>
      <c r="U225" s="11"/>
      <c r="V225" s="11"/>
      <c r="W225" s="11"/>
      <c r="X225" s="11"/>
      <c r="Y225" s="2"/>
      <c r="Z225" s="2"/>
      <c r="AA225" s="2"/>
      <c r="AB225" s="2"/>
      <c r="AC225" s="2"/>
      <c r="AD225" s="2"/>
      <c r="AE225" s="2"/>
      <c r="AF225" s="2"/>
      <c r="AG225" s="2"/>
      <c r="AH225" s="2"/>
      <c r="AI225" s="2"/>
      <c r="AJ225" s="2"/>
      <c r="AK225" s="2"/>
      <c r="AL225" s="2"/>
      <c r="AM225" s="2"/>
      <c r="AN225" s="2"/>
    </row>
    <row r="226" spans="3:40" ht="25.5" customHeight="1" x14ac:dyDescent="0.25">
      <c r="C226" s="11"/>
      <c r="D226" s="11"/>
      <c r="E226" s="41"/>
      <c r="F226" s="11">
        <v>3</v>
      </c>
      <c r="G226" s="11"/>
      <c r="H226" s="11"/>
      <c r="I226" s="11"/>
      <c r="J226" s="10" t="s">
        <v>333</v>
      </c>
      <c r="K226" s="10" t="s">
        <v>4017</v>
      </c>
      <c r="L226" s="8" t="s">
        <v>3673</v>
      </c>
      <c r="M226" s="11"/>
      <c r="N226" s="11"/>
      <c r="O226" s="11"/>
      <c r="P226" s="11"/>
      <c r="Q226" s="11"/>
      <c r="R226" s="11"/>
      <c r="S226" s="11"/>
      <c r="T226" s="11"/>
      <c r="U226" s="11"/>
      <c r="V226" s="11"/>
      <c r="W226" s="11"/>
      <c r="X226" s="11"/>
      <c r="Y226" s="2"/>
      <c r="Z226" s="2"/>
      <c r="AA226" s="2"/>
      <c r="AB226" s="2"/>
      <c r="AC226" s="2"/>
      <c r="AD226" s="2"/>
      <c r="AE226" s="2"/>
      <c r="AF226" s="2"/>
      <c r="AG226" s="2"/>
      <c r="AH226" s="2"/>
      <c r="AI226" s="2"/>
      <c r="AJ226" s="2"/>
      <c r="AK226" s="2"/>
      <c r="AL226" s="2"/>
      <c r="AM226" s="2"/>
      <c r="AN226" s="2"/>
    </row>
    <row r="227" spans="3:40" x14ac:dyDescent="0.25">
      <c r="C227" s="11"/>
      <c r="D227" s="11"/>
      <c r="E227" s="120">
        <v>2</v>
      </c>
      <c r="F227" s="1245" t="s">
        <v>4018</v>
      </c>
      <c r="G227" s="1245"/>
      <c r="H227" s="1245"/>
      <c r="I227" s="1245"/>
      <c r="J227" s="1245"/>
      <c r="K227" s="1245"/>
      <c r="L227" s="1246"/>
      <c r="M227" s="1245"/>
      <c r="N227" s="1245"/>
      <c r="O227" s="1245"/>
      <c r="P227" s="1245"/>
      <c r="Q227" s="1245"/>
      <c r="R227" s="1245"/>
      <c r="S227" s="1245"/>
      <c r="T227" s="1245"/>
      <c r="U227" s="1245"/>
      <c r="V227" s="1245"/>
      <c r="W227" s="1245"/>
      <c r="X227" s="1245"/>
      <c r="Y227" s="2"/>
      <c r="Z227" s="2"/>
      <c r="AA227" s="2"/>
      <c r="AB227" s="2"/>
      <c r="AC227" s="2"/>
      <c r="AD227" s="2"/>
      <c r="AE227" s="2"/>
      <c r="AF227" s="2"/>
      <c r="AG227" s="2"/>
      <c r="AH227" s="2"/>
      <c r="AI227" s="2"/>
      <c r="AJ227" s="2"/>
      <c r="AK227" s="2"/>
      <c r="AL227" s="2"/>
      <c r="AM227" s="2"/>
      <c r="AN227" s="2"/>
    </row>
    <row r="228" spans="3:40" ht="25.5" customHeight="1" x14ac:dyDescent="0.25">
      <c r="C228" s="6"/>
      <c r="D228" s="6"/>
      <c r="E228" s="6"/>
      <c r="F228" s="6">
        <v>3</v>
      </c>
      <c r="G228" s="6"/>
      <c r="H228" s="6"/>
      <c r="I228" s="6"/>
      <c r="J228" s="6" t="s">
        <v>4019</v>
      </c>
      <c r="K228" s="6" t="s">
        <v>4020</v>
      </c>
      <c r="L228" s="8" t="s">
        <v>3673</v>
      </c>
      <c r="M228" s="6"/>
      <c r="N228" s="6"/>
      <c r="O228" s="6"/>
      <c r="P228" s="6"/>
      <c r="Q228" s="6" t="s">
        <v>4021</v>
      </c>
      <c r="R228" s="6"/>
      <c r="S228" s="6"/>
      <c r="T228" s="16"/>
      <c r="U228" s="16"/>
      <c r="V228" s="6"/>
      <c r="W228" s="6"/>
      <c r="X228" s="6"/>
    </row>
    <row r="229" spans="3:40" ht="25.5" customHeight="1" x14ac:dyDescent="0.25">
      <c r="C229" s="6"/>
      <c r="D229" s="6"/>
      <c r="E229" s="6"/>
      <c r="F229" s="6">
        <v>3</v>
      </c>
      <c r="G229" s="6"/>
      <c r="H229" s="6"/>
      <c r="I229" s="6"/>
      <c r="J229" s="6" t="s">
        <v>4022</v>
      </c>
      <c r="K229" s="6" t="s">
        <v>4023</v>
      </c>
      <c r="L229" s="8" t="s">
        <v>3673</v>
      </c>
      <c r="M229" s="6"/>
      <c r="N229" s="6"/>
      <c r="O229" s="6"/>
      <c r="P229" s="6"/>
      <c r="Q229" s="6"/>
      <c r="R229" s="6"/>
      <c r="S229" s="6"/>
      <c r="T229" s="16"/>
      <c r="U229" s="16"/>
      <c r="V229" s="6"/>
      <c r="W229" s="6"/>
      <c r="X229" s="6"/>
    </row>
    <row r="230" spans="3:40" ht="25.5" customHeight="1" x14ac:dyDescent="0.25">
      <c r="C230" s="6"/>
      <c r="D230" s="6"/>
      <c r="E230" s="6"/>
      <c r="F230" s="6">
        <v>3</v>
      </c>
      <c r="G230" s="6"/>
      <c r="H230" s="6"/>
      <c r="I230" s="6"/>
      <c r="J230" s="6" t="s">
        <v>4024</v>
      </c>
      <c r="K230" s="6" t="s">
        <v>4025</v>
      </c>
      <c r="L230" s="8" t="s">
        <v>3673</v>
      </c>
      <c r="M230" s="6"/>
      <c r="N230" s="6"/>
      <c r="O230" s="6"/>
      <c r="P230" s="6"/>
      <c r="Q230" s="6"/>
      <c r="R230" s="6"/>
      <c r="S230" s="6"/>
      <c r="T230" s="16"/>
      <c r="U230" s="16"/>
      <c r="V230" s="6"/>
      <c r="W230" s="6"/>
      <c r="X230" s="6"/>
    </row>
    <row r="231" spans="3:40" ht="25.5" customHeight="1" x14ac:dyDescent="0.25">
      <c r="C231" s="6"/>
      <c r="D231" s="6"/>
      <c r="E231" s="6"/>
      <c r="F231" s="6">
        <v>3</v>
      </c>
      <c r="G231" s="6"/>
      <c r="H231" s="6"/>
      <c r="I231" s="6"/>
      <c r="J231" s="6" t="s">
        <v>4026</v>
      </c>
      <c r="K231" s="6" t="s">
        <v>4027</v>
      </c>
      <c r="L231" s="8" t="s">
        <v>4028</v>
      </c>
      <c r="M231" s="6"/>
      <c r="N231" s="6"/>
      <c r="O231" s="6"/>
      <c r="P231" s="6"/>
      <c r="Q231" s="6" t="s">
        <v>4029</v>
      </c>
      <c r="R231" s="6"/>
      <c r="S231" s="6"/>
      <c r="T231" s="16"/>
      <c r="U231" s="16"/>
      <c r="V231" s="6"/>
      <c r="W231" s="6"/>
      <c r="X231" s="6"/>
    </row>
    <row r="232" spans="3:40" x14ac:dyDescent="0.25">
      <c r="C232" s="11"/>
      <c r="D232" s="11"/>
      <c r="E232" s="120">
        <v>2</v>
      </c>
      <c r="F232" s="1245" t="s">
        <v>4030</v>
      </c>
      <c r="G232" s="1245"/>
      <c r="H232" s="1245"/>
      <c r="I232" s="1245"/>
      <c r="J232" s="1245"/>
      <c r="K232" s="1245"/>
      <c r="L232" s="1246"/>
      <c r="M232" s="1245"/>
      <c r="N232" s="1245"/>
      <c r="O232" s="1245"/>
      <c r="P232" s="1245"/>
      <c r="Q232" s="1245"/>
      <c r="R232" s="1245"/>
      <c r="S232" s="1245"/>
      <c r="T232" s="1245"/>
      <c r="U232" s="1245"/>
      <c r="V232" s="1245"/>
      <c r="W232" s="1245"/>
      <c r="X232" s="1245"/>
      <c r="Y232" s="2"/>
      <c r="Z232" s="2"/>
      <c r="AA232" s="2"/>
      <c r="AB232" s="2"/>
      <c r="AC232" s="2"/>
      <c r="AD232" s="2"/>
      <c r="AE232" s="2"/>
      <c r="AF232" s="2"/>
      <c r="AG232" s="2"/>
      <c r="AH232" s="2"/>
      <c r="AI232" s="2"/>
      <c r="AJ232" s="2"/>
      <c r="AK232" s="2"/>
      <c r="AL232" s="2"/>
      <c r="AM232" s="2"/>
      <c r="AN232" s="2"/>
    </row>
    <row r="233" spans="3:40" ht="25.5" customHeight="1" x14ac:dyDescent="0.25">
      <c r="C233" s="11"/>
      <c r="D233" s="11"/>
      <c r="E233" s="41"/>
      <c r="F233" s="11">
        <v>3</v>
      </c>
      <c r="G233" s="11"/>
      <c r="H233" s="11"/>
      <c r="I233" s="11"/>
      <c r="J233" s="10" t="s">
        <v>4031</v>
      </c>
      <c r="K233" s="6" t="s">
        <v>4032</v>
      </c>
      <c r="L233" s="8" t="s">
        <v>3673</v>
      </c>
      <c r="M233" s="11"/>
      <c r="N233" s="11"/>
      <c r="O233" s="11"/>
      <c r="P233" s="10" t="s">
        <v>4033</v>
      </c>
      <c r="Q233" s="11"/>
      <c r="R233" s="11"/>
      <c r="S233" s="11"/>
      <c r="T233" s="11"/>
      <c r="U233" s="11"/>
      <c r="V233" s="11"/>
      <c r="W233" s="11"/>
      <c r="X233" s="11"/>
      <c r="Y233" s="2"/>
      <c r="Z233" s="2"/>
      <c r="AA233" s="2"/>
      <c r="AB233" s="2"/>
      <c r="AC233" s="2"/>
      <c r="AD233" s="2"/>
      <c r="AE233" s="2"/>
      <c r="AF233" s="2"/>
      <c r="AG233" s="2"/>
      <c r="AH233" s="2"/>
      <c r="AI233" s="2"/>
      <c r="AJ233" s="2"/>
      <c r="AK233" s="2"/>
      <c r="AL233" s="2"/>
      <c r="AM233" s="2"/>
      <c r="AN233" s="2"/>
    </row>
    <row r="234" spans="3:40" ht="25.5" customHeight="1" x14ac:dyDescent="0.25">
      <c r="C234" s="11"/>
      <c r="D234" s="11"/>
      <c r="E234" s="273"/>
      <c r="F234" s="40">
        <v>3</v>
      </c>
      <c r="G234" s="40"/>
      <c r="H234" s="40"/>
      <c r="I234" s="40"/>
      <c r="J234" s="49" t="s">
        <v>4034</v>
      </c>
      <c r="K234" s="10" t="s">
        <v>4035</v>
      </c>
      <c r="L234" s="8" t="s">
        <v>3673</v>
      </c>
      <c r="M234" s="11"/>
      <c r="N234" s="11"/>
      <c r="O234" s="11"/>
      <c r="P234" s="11"/>
      <c r="Q234" s="11"/>
      <c r="R234" s="11"/>
      <c r="S234" s="11"/>
      <c r="T234" s="11"/>
      <c r="U234" s="11"/>
      <c r="V234" s="11"/>
      <c r="W234" s="11"/>
      <c r="X234" s="11"/>
      <c r="Y234" s="2"/>
      <c r="Z234" s="2"/>
      <c r="AA234" s="2"/>
      <c r="AB234" s="2"/>
      <c r="AC234" s="2"/>
      <c r="AD234" s="2"/>
      <c r="AE234" s="2"/>
      <c r="AF234" s="2"/>
      <c r="AG234" s="2"/>
      <c r="AH234" s="2"/>
      <c r="AI234" s="2"/>
      <c r="AJ234" s="2"/>
      <c r="AK234" s="2"/>
      <c r="AL234" s="2"/>
      <c r="AM234" s="2"/>
      <c r="AN234" s="2"/>
    </row>
    <row r="235" spans="3:40" ht="20.25" customHeight="1" x14ac:dyDescent="0.25">
      <c r="C235" s="928"/>
      <c r="D235" s="928">
        <v>1</v>
      </c>
      <c r="E235" s="1247" t="s">
        <v>4036</v>
      </c>
      <c r="F235" s="1247"/>
      <c r="G235" s="1247"/>
      <c r="H235" s="1247"/>
      <c r="I235" s="1247"/>
      <c r="J235" s="1247"/>
      <c r="K235" s="93"/>
      <c r="L235" s="772"/>
      <c r="M235" s="93"/>
      <c r="N235" s="936" t="str">
        <f>HYPERLINK("http://wiki.academyofsports.online/tiki-index.php?page=Externe-Bewertungen", "Externe Bewertungen")</f>
        <v>Externe Bewertungen</v>
      </c>
      <c r="O235" s="93"/>
      <c r="P235" s="93"/>
      <c r="Q235" s="93"/>
      <c r="R235" s="93"/>
      <c r="S235" s="929"/>
      <c r="T235" s="929"/>
      <c r="U235" s="929"/>
      <c r="V235" s="929"/>
      <c r="W235" s="929"/>
      <c r="X235" s="930"/>
      <c r="Y235" s="2"/>
      <c r="Z235" s="2"/>
      <c r="AA235" s="2"/>
      <c r="AB235" s="2"/>
      <c r="AC235" s="2"/>
      <c r="AD235" s="2"/>
      <c r="AE235" s="2"/>
      <c r="AF235" s="2"/>
      <c r="AG235" s="2"/>
      <c r="AH235" s="2"/>
      <c r="AI235" s="2"/>
      <c r="AJ235" s="2"/>
      <c r="AK235" s="2"/>
      <c r="AL235" s="2"/>
      <c r="AM235" s="2"/>
      <c r="AN235" s="2"/>
    </row>
    <row r="236" spans="3:40" x14ac:dyDescent="0.25">
      <c r="C236" s="11"/>
      <c r="D236" s="11"/>
      <c r="E236" s="939">
        <v>2</v>
      </c>
      <c r="F236" s="1245" t="s">
        <v>4037</v>
      </c>
      <c r="G236" s="1245"/>
      <c r="H236" s="1245"/>
      <c r="I236" s="1245"/>
      <c r="J236" s="1245"/>
      <c r="K236" s="931"/>
      <c r="L236" s="932"/>
      <c r="M236" s="931"/>
      <c r="N236" s="941" t="str">
        <f>HYPERLINK("http://wiki.academyofsports.online/tiki-index.php?page=KUNUNU-(Xing-Unternehmensprofile)", "Kununu")</f>
        <v>Kununu</v>
      </c>
      <c r="O236" s="931"/>
      <c r="P236" s="931"/>
      <c r="Q236" s="931"/>
      <c r="R236" s="931"/>
      <c r="S236" s="931"/>
      <c r="T236" s="931"/>
      <c r="U236" s="931"/>
      <c r="V236" s="931"/>
      <c r="W236" s="931"/>
      <c r="X236" s="931"/>
      <c r="Y236" s="2"/>
      <c r="Z236" s="2"/>
      <c r="AA236" s="2"/>
      <c r="AB236" s="2"/>
      <c r="AC236" s="2"/>
      <c r="AD236" s="2"/>
      <c r="AE236" s="2"/>
      <c r="AF236" s="2"/>
      <c r="AG236" s="2"/>
      <c r="AH236" s="2"/>
      <c r="AI236" s="2"/>
      <c r="AJ236" s="2"/>
      <c r="AK236" s="2"/>
      <c r="AL236" s="2"/>
      <c r="AM236" s="2"/>
      <c r="AN236" s="2"/>
    </row>
    <row r="237" spans="3:40" ht="75" x14ac:dyDescent="0.25">
      <c r="C237" s="11"/>
      <c r="D237" s="11"/>
      <c r="E237" s="41"/>
      <c r="F237" s="40"/>
      <c r="G237" s="40"/>
      <c r="H237" s="40"/>
      <c r="I237" s="40"/>
      <c r="J237" s="49" t="s">
        <v>4038</v>
      </c>
      <c r="K237" s="24" t="s">
        <v>4039</v>
      </c>
      <c r="L237" s="8" t="s">
        <v>4040</v>
      </c>
      <c r="M237" s="11"/>
      <c r="N237" s="11"/>
      <c r="O237" s="11"/>
      <c r="P237" s="6" t="s">
        <v>4041</v>
      </c>
      <c r="Q237" s="11"/>
      <c r="R237" s="11"/>
      <c r="S237" s="11"/>
      <c r="T237" s="11"/>
      <c r="U237" s="11"/>
      <c r="V237" s="11"/>
      <c r="W237" s="11"/>
      <c r="X237" s="11"/>
      <c r="Y237" s="2"/>
      <c r="Z237" s="2"/>
      <c r="AA237" s="2"/>
      <c r="AB237" s="2"/>
      <c r="AC237" s="2"/>
      <c r="AD237" s="2"/>
      <c r="AE237" s="2"/>
      <c r="AF237" s="2"/>
      <c r="AG237" s="2"/>
      <c r="AH237" s="2"/>
      <c r="AI237" s="2"/>
      <c r="AJ237" s="2"/>
      <c r="AK237" s="2"/>
      <c r="AL237" s="2"/>
      <c r="AM237" s="2"/>
      <c r="AN237" s="2"/>
    </row>
    <row r="238" spans="3:40" ht="26.25" x14ac:dyDescent="0.25">
      <c r="C238" s="11"/>
      <c r="D238" s="11"/>
      <c r="E238" s="41"/>
      <c r="F238" s="40"/>
      <c r="G238" s="40"/>
      <c r="H238" s="40"/>
      <c r="I238" s="40"/>
      <c r="J238" s="615" t="s">
        <v>4042</v>
      </c>
      <c r="K238" s="24" t="s">
        <v>4043</v>
      </c>
      <c r="L238" s="8" t="s">
        <v>4044</v>
      </c>
      <c r="M238" s="11"/>
      <c r="N238" s="11"/>
      <c r="O238" s="11"/>
      <c r="P238" s="11"/>
      <c r="Q238" s="11"/>
      <c r="R238" s="11"/>
      <c r="S238" s="11"/>
      <c r="T238" s="11"/>
      <c r="U238" s="11"/>
      <c r="V238" s="11"/>
      <c r="W238" s="11"/>
      <c r="X238" s="11"/>
      <c r="Y238" s="2"/>
      <c r="Z238" s="2"/>
      <c r="AA238" s="2"/>
      <c r="AB238" s="2"/>
      <c r="AC238" s="2"/>
      <c r="AD238" s="2"/>
      <c r="AE238" s="2"/>
      <c r="AF238" s="2"/>
      <c r="AG238" s="2"/>
      <c r="AH238" s="2"/>
      <c r="AI238" s="2"/>
      <c r="AJ238" s="2"/>
      <c r="AK238" s="2"/>
      <c r="AL238" s="2"/>
      <c r="AM238" s="2"/>
      <c r="AN238" s="2"/>
    </row>
    <row r="239" spans="3:40" x14ac:dyDescent="0.25">
      <c r="C239" s="11"/>
      <c r="D239" s="11"/>
      <c r="E239" s="939">
        <v>2</v>
      </c>
      <c r="F239" s="1252" t="s">
        <v>4045</v>
      </c>
      <c r="G239" s="1253"/>
      <c r="H239" s="1253"/>
      <c r="I239" s="1253"/>
      <c r="J239" s="1254"/>
      <c r="K239" s="931"/>
      <c r="L239" s="932"/>
      <c r="M239" s="931"/>
      <c r="N239" s="941" t="str">
        <f>HYPERLINK("http://wiki.academyofsports.online/tiki-index.php?page=KUNUNU-(Xing-Unternehmensprofile)", "Kununu")</f>
        <v>Kununu</v>
      </c>
      <c r="O239" s="931"/>
      <c r="P239" s="931"/>
      <c r="Q239" s="931"/>
      <c r="R239" s="931"/>
      <c r="S239" s="931"/>
      <c r="T239" s="931"/>
      <c r="U239" s="931"/>
      <c r="V239" s="931"/>
      <c r="W239" s="931"/>
      <c r="X239" s="931"/>
      <c r="Y239" s="2"/>
      <c r="Z239" s="2"/>
      <c r="AA239" s="2"/>
      <c r="AB239" s="2"/>
      <c r="AC239" s="2"/>
      <c r="AD239" s="2"/>
      <c r="AE239" s="2"/>
      <c r="AF239" s="2"/>
      <c r="AG239" s="2"/>
      <c r="AH239" s="2"/>
      <c r="AI239" s="2"/>
      <c r="AJ239" s="2"/>
      <c r="AK239" s="2"/>
      <c r="AL239" s="2"/>
      <c r="AM239" s="2"/>
      <c r="AN239" s="2"/>
    </row>
    <row r="240" spans="3:40" x14ac:dyDescent="0.25">
      <c r="C240" s="6"/>
      <c r="D240" s="6"/>
      <c r="E240" s="6"/>
      <c r="F240" s="82"/>
      <c r="G240" s="82"/>
      <c r="H240" s="82"/>
      <c r="I240" s="82"/>
      <c r="J240" s="49" t="s">
        <v>4038</v>
      </c>
      <c r="K240" s="24" t="s">
        <v>4039</v>
      </c>
      <c r="L240" s="8" t="s">
        <v>945</v>
      </c>
      <c r="M240" s="6"/>
      <c r="N240" s="6"/>
      <c r="O240" s="6"/>
      <c r="P240" s="290"/>
      <c r="Q240" s="6"/>
      <c r="R240" s="6"/>
      <c r="S240" s="6"/>
      <c r="T240" s="16"/>
      <c r="U240" s="16"/>
      <c r="V240" s="6"/>
      <c r="W240" s="6"/>
      <c r="X240" s="6"/>
    </row>
    <row r="241" spans="3:40" ht="26.25" x14ac:dyDescent="0.25">
      <c r="C241" s="6"/>
      <c r="D241" s="6"/>
      <c r="E241" s="6"/>
      <c r="F241" s="6"/>
      <c r="G241" s="6"/>
      <c r="H241" s="6"/>
      <c r="I241" s="6"/>
      <c r="J241" s="615" t="s">
        <v>4042</v>
      </c>
      <c r="K241" s="24" t="s">
        <v>4043</v>
      </c>
      <c r="L241" s="8" t="s">
        <v>4044</v>
      </c>
      <c r="M241" s="6"/>
      <c r="N241" s="6"/>
      <c r="O241" s="6"/>
      <c r="P241" s="6"/>
      <c r="Q241" s="6"/>
      <c r="R241" s="6"/>
      <c r="S241" s="6"/>
      <c r="T241" s="16"/>
      <c r="U241" s="16"/>
      <c r="V241" s="6"/>
      <c r="W241" s="6"/>
      <c r="X241" s="6"/>
    </row>
    <row r="242" spans="3:40" x14ac:dyDescent="0.25">
      <c r="C242" s="11"/>
      <c r="D242" s="11"/>
      <c r="E242" s="120">
        <v>2</v>
      </c>
      <c r="F242" s="1252" t="s">
        <v>4046</v>
      </c>
      <c r="G242" s="1253"/>
      <c r="H242" s="1253"/>
      <c r="I242" s="1253"/>
      <c r="J242" s="1253"/>
      <c r="K242" s="1253"/>
      <c r="L242" s="1238"/>
      <c r="M242" s="1253"/>
      <c r="N242" s="1253"/>
      <c r="O242" s="1253"/>
      <c r="P242" s="1253"/>
      <c r="Q242" s="1253"/>
      <c r="R242" s="1253"/>
      <c r="S242" s="1253"/>
      <c r="T242" s="1253"/>
      <c r="U242" s="1253"/>
      <c r="V242" s="1253"/>
      <c r="W242" s="1253"/>
      <c r="X242" s="1254"/>
      <c r="Y242" s="2"/>
      <c r="Z242" s="2"/>
      <c r="AA242" s="2"/>
      <c r="AB242" s="2"/>
      <c r="AC242" s="2"/>
      <c r="AD242" s="2"/>
      <c r="AE242" s="2"/>
      <c r="AF242" s="2"/>
      <c r="AG242" s="2"/>
      <c r="AH242" s="2"/>
      <c r="AI242" s="2"/>
      <c r="AJ242" s="2"/>
      <c r="AK242" s="2"/>
      <c r="AL242" s="2"/>
      <c r="AM242" s="2"/>
      <c r="AN242" s="2"/>
    </row>
    <row r="243" spans="3:40" ht="64.5" x14ac:dyDescent="0.25">
      <c r="C243" s="11"/>
      <c r="D243" s="11"/>
      <c r="E243" s="11"/>
      <c r="F243" s="40">
        <v>3</v>
      </c>
      <c r="G243" s="40"/>
      <c r="H243" s="40"/>
      <c r="I243" s="40"/>
      <c r="J243" s="51" t="s">
        <v>4047</v>
      </c>
      <c r="K243" s="6" t="s">
        <v>4048</v>
      </c>
      <c r="L243" s="8" t="s">
        <v>4049</v>
      </c>
      <c r="M243" s="11"/>
      <c r="N243" s="717" t="str">
        <f>HYPERLINK("http://wiki.academyofsports.online/tiki-index.php?page=Vorlage-f%C3%BCr-positives-Feedback---DeLSt", "Vorlage pos. Feedback")</f>
        <v>Vorlage pos. Feedback</v>
      </c>
      <c r="O243" s="11"/>
      <c r="P243" s="10" t="s">
        <v>4050</v>
      </c>
      <c r="Q243" s="10" t="s">
        <v>4051</v>
      </c>
      <c r="R243" s="11"/>
      <c r="S243" s="11"/>
      <c r="T243" s="11"/>
      <c r="U243" s="11"/>
      <c r="V243" s="11"/>
      <c r="W243" s="11"/>
      <c r="X243" s="11"/>
      <c r="Y243" s="2"/>
      <c r="Z243" s="2"/>
      <c r="AA243" s="2"/>
      <c r="AB243" s="2"/>
      <c r="AC243" s="2"/>
      <c r="AD243" s="2"/>
      <c r="AE243" s="2"/>
      <c r="AF243" s="2"/>
      <c r="AG243" s="2"/>
      <c r="AH243" s="2"/>
      <c r="AI243" s="2"/>
      <c r="AJ243" s="2"/>
      <c r="AK243" s="2"/>
      <c r="AL243" s="2"/>
      <c r="AM243" s="2"/>
      <c r="AN243" s="2"/>
    </row>
    <row r="244" spans="3:40" x14ac:dyDescent="0.25">
      <c r="C244" s="11"/>
      <c r="D244" s="11"/>
      <c r="E244" s="11"/>
      <c r="F244" s="40"/>
      <c r="G244" s="314">
        <v>4</v>
      </c>
      <c r="H244" s="313"/>
      <c r="I244" s="313"/>
      <c r="J244" s="314" t="s">
        <v>4052</v>
      </c>
      <c r="K244" s="290" t="s">
        <v>4053</v>
      </c>
      <c r="L244" s="8"/>
      <c r="M244" s="11"/>
      <c r="N244" s="11"/>
      <c r="O244" s="11"/>
      <c r="P244" s="11"/>
      <c r="Q244" s="11"/>
      <c r="R244" s="11"/>
      <c r="S244" s="11"/>
      <c r="T244" s="11"/>
      <c r="U244" s="11"/>
      <c r="V244" s="11"/>
      <c r="W244" s="11"/>
      <c r="X244" s="11"/>
      <c r="Y244" s="2"/>
      <c r="Z244" s="2"/>
      <c r="AA244" s="2"/>
      <c r="AB244" s="2"/>
      <c r="AC244" s="2"/>
      <c r="AD244" s="2"/>
      <c r="AE244" s="2"/>
      <c r="AF244" s="2"/>
      <c r="AG244" s="2"/>
      <c r="AH244" s="2"/>
      <c r="AI244" s="2"/>
      <c r="AJ244" s="2"/>
      <c r="AK244" s="2"/>
      <c r="AL244" s="2"/>
      <c r="AM244" s="2"/>
      <c r="AN244" s="2"/>
    </row>
    <row r="245" spans="3:40" ht="26.25" x14ac:dyDescent="0.25">
      <c r="C245" s="11"/>
      <c r="D245" s="11"/>
      <c r="E245" s="11"/>
      <c r="F245" s="40">
        <v>3</v>
      </c>
      <c r="G245" s="40"/>
      <c r="H245" s="40"/>
      <c r="I245" s="40"/>
      <c r="J245" s="40" t="s">
        <v>4054</v>
      </c>
      <c r="K245" s="6"/>
      <c r="L245" s="8" t="s">
        <v>4049</v>
      </c>
      <c r="M245" s="290"/>
      <c r="N245" s="717" t="str">
        <f>HYPERLINK("http://wiki.academyofsports.online/tiki-index.php?page=Vorlagen-f%C3%BCr-negatives-Feedback---DeLSt", "Vorlage neg. Feedback")</f>
        <v>Vorlage neg. Feedback</v>
      </c>
      <c r="O245" s="11"/>
      <c r="P245" s="10" t="s">
        <v>4050</v>
      </c>
      <c r="Q245" s="11"/>
      <c r="R245" s="11"/>
      <c r="S245" s="11"/>
      <c r="T245" s="11"/>
      <c r="U245" s="11"/>
      <c r="V245" s="11"/>
      <c r="W245" s="11"/>
      <c r="X245" s="11"/>
      <c r="Y245" s="2"/>
      <c r="Z245" s="2"/>
      <c r="AA245" s="2"/>
      <c r="AB245" s="2"/>
      <c r="AC245" s="2"/>
      <c r="AD245" s="2"/>
      <c r="AE245" s="2"/>
      <c r="AF245" s="2"/>
      <c r="AG245" s="2"/>
      <c r="AH245" s="2"/>
      <c r="AI245" s="2"/>
      <c r="AJ245" s="2"/>
      <c r="AK245" s="2"/>
      <c r="AL245" s="2"/>
      <c r="AM245" s="2"/>
      <c r="AN245" s="2"/>
    </row>
    <row r="246" spans="3:40" ht="39" x14ac:dyDescent="0.25">
      <c r="C246" s="11"/>
      <c r="D246" s="11"/>
      <c r="E246" s="11"/>
      <c r="F246" s="40"/>
      <c r="G246" s="51">
        <v>4</v>
      </c>
      <c r="H246" s="40"/>
      <c r="I246" s="40"/>
      <c r="J246" s="51" t="s">
        <v>4055</v>
      </c>
      <c r="K246" s="833" t="s">
        <v>4056</v>
      </c>
      <c r="L246" s="8" t="s">
        <v>4057</v>
      </c>
      <c r="M246" s="290"/>
      <c r="N246" s="11"/>
      <c r="O246" s="11"/>
      <c r="P246" s="10" t="s">
        <v>4058</v>
      </c>
      <c r="Q246" s="11"/>
      <c r="R246" s="11"/>
      <c r="S246" s="11"/>
      <c r="T246" s="11"/>
      <c r="U246" s="11"/>
      <c r="V246" s="11"/>
      <c r="W246" s="11"/>
      <c r="X246" s="11"/>
      <c r="Y246" s="2"/>
      <c r="Z246" s="2"/>
      <c r="AA246" s="2"/>
      <c r="AB246" s="2"/>
      <c r="AC246" s="2"/>
      <c r="AD246" s="2"/>
      <c r="AE246" s="2"/>
      <c r="AF246" s="2"/>
      <c r="AG246" s="2"/>
      <c r="AH246" s="2"/>
      <c r="AI246" s="2"/>
      <c r="AJ246" s="2"/>
      <c r="AK246" s="2"/>
      <c r="AL246" s="2"/>
      <c r="AM246" s="2"/>
      <c r="AN246" s="2"/>
    </row>
    <row r="247" spans="3:40" ht="30" x14ac:dyDescent="0.25">
      <c r="C247" s="11"/>
      <c r="D247" s="11"/>
      <c r="E247" s="11"/>
      <c r="F247" s="40"/>
      <c r="G247" s="51">
        <v>4</v>
      </c>
      <c r="H247" s="40"/>
      <c r="I247" s="40"/>
      <c r="J247" s="51" t="s">
        <v>4059</v>
      </c>
      <c r="K247" s="848" t="s">
        <v>4060</v>
      </c>
      <c r="L247" s="8" t="s">
        <v>4061</v>
      </c>
      <c r="M247" s="290"/>
      <c r="N247" s="11"/>
      <c r="O247" s="11"/>
      <c r="P247" s="11"/>
      <c r="Q247" s="11"/>
      <c r="R247" s="11"/>
      <c r="S247" s="11"/>
      <c r="T247" s="11"/>
      <c r="U247" s="11"/>
      <c r="V247" s="11"/>
      <c r="W247" s="11"/>
      <c r="X247" s="11"/>
      <c r="Y247" s="2"/>
      <c r="Z247" s="2"/>
      <c r="AA247" s="2"/>
      <c r="AB247" s="2"/>
      <c r="AC247" s="2"/>
      <c r="AD247" s="2"/>
      <c r="AE247" s="2"/>
      <c r="AF247" s="2"/>
      <c r="AG247" s="2"/>
      <c r="AH247" s="2"/>
      <c r="AI247" s="2"/>
      <c r="AJ247" s="2"/>
      <c r="AK247" s="2"/>
      <c r="AL247" s="2"/>
      <c r="AM247" s="2"/>
      <c r="AN247" s="2"/>
    </row>
    <row r="248" spans="3:40" x14ac:dyDescent="0.25">
      <c r="C248" s="11"/>
      <c r="D248" s="11"/>
      <c r="E248" s="120">
        <v>2</v>
      </c>
      <c r="F248" s="1252" t="s">
        <v>3854</v>
      </c>
      <c r="G248" s="1253"/>
      <c r="H248" s="1253"/>
      <c r="I248" s="1253"/>
      <c r="J248" s="1253"/>
      <c r="K248" s="1253"/>
      <c r="L248" s="1238"/>
      <c r="M248" s="1253"/>
      <c r="N248" s="1253"/>
      <c r="O248" s="1253"/>
      <c r="P248" s="1253"/>
      <c r="Q248" s="1253"/>
      <c r="R248" s="1253"/>
      <c r="S248" s="1253"/>
      <c r="T248" s="1253"/>
      <c r="U248" s="1253"/>
      <c r="V248" s="1253"/>
      <c r="W248" s="1253"/>
      <c r="X248" s="1254"/>
      <c r="Y248" s="2"/>
      <c r="Z248" s="2"/>
      <c r="AA248" s="2"/>
      <c r="AB248" s="2"/>
      <c r="AC248" s="2"/>
      <c r="AD248" s="2"/>
      <c r="AE248" s="2"/>
      <c r="AF248" s="2"/>
      <c r="AG248" s="2"/>
      <c r="AH248" s="2"/>
      <c r="AI248" s="2"/>
      <c r="AJ248" s="2"/>
      <c r="AK248" s="2"/>
      <c r="AL248" s="2"/>
      <c r="AM248" s="2"/>
      <c r="AN248" s="2"/>
    </row>
    <row r="249" spans="3:40" ht="90" x14ac:dyDescent="0.25">
      <c r="C249" s="11"/>
      <c r="D249" s="11"/>
      <c r="E249" s="11"/>
      <c r="F249" s="40">
        <v>3</v>
      </c>
      <c r="G249" s="40"/>
      <c r="H249" s="40"/>
      <c r="I249" s="40"/>
      <c r="J249" s="51" t="s">
        <v>4062</v>
      </c>
      <c r="K249" s="6" t="s">
        <v>4063</v>
      </c>
      <c r="L249" s="8" t="s">
        <v>4064</v>
      </c>
      <c r="M249" s="11"/>
      <c r="N249" s="11"/>
      <c r="O249" s="11"/>
      <c r="P249" s="10" t="s">
        <v>4065</v>
      </c>
      <c r="Q249" s="6" t="s">
        <v>4066</v>
      </c>
      <c r="R249" s="11"/>
      <c r="S249" s="11"/>
      <c r="T249" s="11"/>
      <c r="U249" s="11"/>
      <c r="V249" s="11"/>
      <c r="W249" s="11"/>
      <c r="X249" s="11"/>
      <c r="Y249" s="2"/>
      <c r="Z249" s="2"/>
      <c r="AA249" s="2"/>
      <c r="AB249" s="2"/>
      <c r="AC249" s="2"/>
      <c r="AD249" s="2"/>
      <c r="AE249" s="2"/>
      <c r="AF249" s="2"/>
      <c r="AG249" s="2"/>
      <c r="AH249" s="2"/>
      <c r="AI249" s="2"/>
      <c r="AJ249" s="2"/>
      <c r="AK249" s="2"/>
      <c r="AL249" s="2"/>
      <c r="AM249" s="2"/>
      <c r="AN249" s="2"/>
    </row>
    <row r="250" spans="3:40" ht="30" x14ac:dyDescent="0.25">
      <c r="C250" s="11"/>
      <c r="D250" s="11"/>
      <c r="E250" s="11"/>
      <c r="F250" s="40">
        <v>3</v>
      </c>
      <c r="G250" s="40"/>
      <c r="H250" s="40"/>
      <c r="I250" s="40"/>
      <c r="J250" s="51" t="s">
        <v>4067</v>
      </c>
      <c r="K250" s="6" t="s">
        <v>4068</v>
      </c>
      <c r="L250" s="8" t="s">
        <v>4069</v>
      </c>
      <c r="M250" s="11"/>
      <c r="N250" s="11"/>
      <c r="O250" s="11"/>
      <c r="P250" s="6" t="s">
        <v>4070</v>
      </c>
      <c r="Q250" s="11"/>
      <c r="R250" s="11"/>
      <c r="S250" s="11"/>
      <c r="T250" s="11"/>
      <c r="U250" s="11"/>
      <c r="V250" s="11"/>
      <c r="W250" s="11"/>
      <c r="X250" s="11"/>
      <c r="Y250" s="2"/>
      <c r="Z250" s="2"/>
      <c r="AA250" s="2"/>
      <c r="AB250" s="2"/>
      <c r="AC250" s="2"/>
      <c r="AD250" s="2"/>
      <c r="AE250" s="2"/>
      <c r="AF250" s="2"/>
      <c r="AG250" s="2"/>
      <c r="AH250" s="2"/>
      <c r="AI250" s="2"/>
      <c r="AJ250" s="2"/>
      <c r="AK250" s="2"/>
      <c r="AL250" s="2"/>
      <c r="AM250" s="2"/>
      <c r="AN250" s="2"/>
    </row>
    <row r="251" spans="3:40" ht="30" x14ac:dyDescent="0.25">
      <c r="C251" s="11"/>
      <c r="D251" s="11"/>
      <c r="E251" s="11"/>
      <c r="F251" s="11">
        <v>3</v>
      </c>
      <c r="G251" s="11"/>
      <c r="H251" s="11"/>
      <c r="I251" s="11"/>
      <c r="J251" s="10" t="s">
        <v>3751</v>
      </c>
      <c r="K251" s="6" t="s">
        <v>4068</v>
      </c>
      <c r="L251" s="8" t="s">
        <v>4069</v>
      </c>
      <c r="M251" s="11"/>
      <c r="N251" s="11"/>
      <c r="O251" s="11"/>
      <c r="P251" s="6" t="s">
        <v>4070</v>
      </c>
      <c r="Q251" s="11"/>
      <c r="R251" s="11"/>
      <c r="S251" s="11"/>
      <c r="T251" s="11"/>
      <c r="U251" s="11"/>
      <c r="V251" s="11"/>
      <c r="W251" s="11"/>
      <c r="X251" s="11"/>
      <c r="Y251" s="2"/>
      <c r="Z251" s="2"/>
      <c r="AA251" s="2"/>
      <c r="AB251" s="2"/>
      <c r="AC251" s="2"/>
      <c r="AD251" s="2"/>
      <c r="AE251" s="2"/>
      <c r="AF251" s="2"/>
      <c r="AG251" s="2"/>
      <c r="AH251" s="2"/>
      <c r="AI251" s="2"/>
      <c r="AJ251" s="2"/>
      <c r="AK251" s="2"/>
      <c r="AL251" s="2"/>
      <c r="AM251" s="2"/>
      <c r="AN251" s="2"/>
    </row>
    <row r="252" spans="3:40" ht="26.25" x14ac:dyDescent="0.25">
      <c r="C252" s="11"/>
      <c r="D252" s="11"/>
      <c r="E252" s="11"/>
      <c r="F252" s="11">
        <v>3</v>
      </c>
      <c r="G252" s="11"/>
      <c r="H252" s="11"/>
      <c r="I252" s="11"/>
      <c r="J252" s="24" t="s">
        <v>4071</v>
      </c>
      <c r="K252" s="290" t="s">
        <v>4072</v>
      </c>
      <c r="L252" s="8" t="s">
        <v>945</v>
      </c>
      <c r="M252" s="11"/>
      <c r="N252" s="11"/>
      <c r="O252" s="11"/>
      <c r="P252" s="10" t="s">
        <v>4073</v>
      </c>
      <c r="Q252" s="11"/>
      <c r="R252" s="11"/>
      <c r="S252" s="11"/>
      <c r="T252" s="11"/>
      <c r="U252" s="11"/>
      <c r="V252" s="11"/>
      <c r="W252" s="11"/>
      <c r="X252" s="11"/>
      <c r="Y252" s="2"/>
      <c r="Z252" s="2"/>
      <c r="AA252" s="2"/>
      <c r="AB252" s="2"/>
      <c r="AC252" s="2"/>
      <c r="AD252" s="2"/>
      <c r="AE252" s="2"/>
      <c r="AF252" s="2"/>
      <c r="AG252" s="2"/>
      <c r="AH252" s="2"/>
      <c r="AI252" s="2"/>
      <c r="AJ252" s="2"/>
      <c r="AK252" s="2"/>
      <c r="AL252" s="2"/>
      <c r="AM252" s="2"/>
      <c r="AN252" s="2"/>
    </row>
    <row r="253" spans="3:40" ht="30" x14ac:dyDescent="0.25">
      <c r="C253" s="11"/>
      <c r="D253" s="11"/>
      <c r="E253" s="11"/>
      <c r="F253" s="11">
        <v>3</v>
      </c>
      <c r="G253" s="11"/>
      <c r="H253" s="11"/>
      <c r="I253" s="11"/>
      <c r="J253" s="10" t="s">
        <v>3776</v>
      </c>
      <c r="K253" s="6" t="s">
        <v>4074</v>
      </c>
      <c r="L253" s="8" t="s">
        <v>3605</v>
      </c>
      <c r="M253" s="11"/>
      <c r="N253" s="11"/>
      <c r="O253" s="11"/>
      <c r="P253" s="6" t="s">
        <v>4070</v>
      </c>
      <c r="Q253" s="11"/>
      <c r="R253" s="11"/>
      <c r="S253" s="11"/>
      <c r="T253" s="11"/>
      <c r="U253" s="11"/>
      <c r="V253" s="11"/>
      <c r="W253" s="11"/>
      <c r="X253" s="11"/>
      <c r="Y253" s="2"/>
      <c r="Z253" s="2"/>
      <c r="AA253" s="2"/>
      <c r="AB253" s="2"/>
      <c r="AC253" s="2"/>
      <c r="AD253" s="2"/>
      <c r="AE253" s="2"/>
      <c r="AF253" s="2"/>
      <c r="AG253" s="2"/>
      <c r="AH253" s="2"/>
      <c r="AI253" s="2"/>
      <c r="AJ253" s="2"/>
      <c r="AK253" s="2"/>
      <c r="AL253" s="2"/>
      <c r="AM253" s="2"/>
      <c r="AN253" s="2"/>
    </row>
    <row r="254" spans="3:40" ht="20.25" customHeight="1" x14ac:dyDescent="0.25">
      <c r="C254" s="93"/>
      <c r="D254" s="93">
        <v>1</v>
      </c>
      <c r="E254" s="1247" t="s">
        <v>4075</v>
      </c>
      <c r="F254" s="1247"/>
      <c r="G254" s="1247"/>
      <c r="H254" s="1247"/>
      <c r="I254" s="1247"/>
      <c r="J254" s="1247"/>
      <c r="K254" s="1247"/>
      <c r="L254" s="772"/>
      <c r="M254" s="93"/>
      <c r="N254" s="936" t="str">
        <f>HYPERLINK("http://wiki.academyofsports.online/tiki-index.php?page=Ablauf:-interne-und-externe-Vorstellung-externe-Mitarbeiter", "Ablauf")</f>
        <v>Ablauf</v>
      </c>
      <c r="O254" s="93"/>
      <c r="P254" s="93"/>
      <c r="Q254" s="93"/>
      <c r="R254" s="93"/>
      <c r="S254" s="93"/>
      <c r="T254" s="93"/>
      <c r="U254" s="93"/>
      <c r="V254" s="93"/>
      <c r="W254" s="93"/>
      <c r="X254" s="93"/>
      <c r="Y254" s="2"/>
      <c r="Z254" s="2"/>
      <c r="AA254" s="2"/>
      <c r="AB254" s="2"/>
      <c r="AC254" s="2"/>
      <c r="AD254" s="2"/>
      <c r="AE254" s="2"/>
      <c r="AF254" s="2"/>
      <c r="AG254" s="2"/>
      <c r="AH254" s="2"/>
      <c r="AI254" s="2"/>
      <c r="AJ254" s="2"/>
      <c r="AK254" s="2"/>
      <c r="AL254" s="2"/>
      <c r="AM254" s="2"/>
      <c r="AN254" s="2"/>
    </row>
    <row r="255" spans="3:40" x14ac:dyDescent="0.25">
      <c r="C255" s="11"/>
      <c r="D255" s="11"/>
      <c r="E255" s="315">
        <v>2</v>
      </c>
      <c r="F255" s="1249" t="s">
        <v>4076</v>
      </c>
      <c r="G255" s="1249"/>
      <c r="H255" s="1249"/>
      <c r="I255" s="1249"/>
      <c r="J255" s="1249"/>
      <c r="K255" s="315"/>
      <c r="L255" s="934"/>
      <c r="M255" s="315"/>
      <c r="N255" s="315"/>
      <c r="O255" s="315"/>
      <c r="P255" s="315"/>
      <c r="Q255" s="315"/>
      <c r="R255" s="315"/>
      <c r="S255" s="315"/>
      <c r="T255" s="315"/>
      <c r="U255" s="315"/>
      <c r="V255" s="315"/>
      <c r="W255" s="315"/>
      <c r="X255" s="315"/>
      <c r="Y255" s="2"/>
      <c r="Z255" s="2"/>
      <c r="AA255" s="2"/>
      <c r="AB255" s="2"/>
      <c r="AC255" s="2"/>
      <c r="AD255" s="2"/>
      <c r="AE255" s="2"/>
      <c r="AF255" s="2"/>
      <c r="AG255" s="2"/>
      <c r="AH255" s="2"/>
      <c r="AI255" s="2"/>
      <c r="AJ255" s="2"/>
      <c r="AK255" s="2"/>
      <c r="AL255" s="2"/>
      <c r="AM255" s="2"/>
      <c r="AN255" s="2"/>
    </row>
    <row r="256" spans="3:40" ht="45" x14ac:dyDescent="0.25">
      <c r="C256" s="11"/>
      <c r="D256" s="11"/>
      <c r="E256" s="11"/>
      <c r="F256" s="11">
        <v>3</v>
      </c>
      <c r="G256" s="11"/>
      <c r="H256" s="11"/>
      <c r="I256" s="11"/>
      <c r="J256" s="6" t="s">
        <v>4077</v>
      </c>
      <c r="K256" s="6" t="s">
        <v>4078</v>
      </c>
      <c r="L256" s="8" t="s">
        <v>4079</v>
      </c>
      <c r="M256" s="11"/>
      <c r="N256" s="11"/>
      <c r="O256" s="11"/>
      <c r="P256" s="6" t="s">
        <v>4080</v>
      </c>
      <c r="Q256" s="10" t="s">
        <v>4081</v>
      </c>
      <c r="R256" s="10" t="s">
        <v>4082</v>
      </c>
      <c r="S256" s="11"/>
      <c r="T256" s="11"/>
      <c r="U256" s="11"/>
      <c r="V256" s="11"/>
      <c r="W256" s="11"/>
      <c r="X256" s="11"/>
      <c r="Y256" s="2"/>
      <c r="Z256" s="2"/>
      <c r="AA256" s="2"/>
      <c r="AB256" s="2"/>
      <c r="AC256" s="2"/>
      <c r="AD256" s="2"/>
      <c r="AE256" s="2"/>
      <c r="AF256" s="2"/>
      <c r="AG256" s="2"/>
      <c r="AH256" s="2"/>
      <c r="AI256" s="2"/>
      <c r="AJ256" s="2"/>
      <c r="AK256" s="2"/>
      <c r="AL256" s="2"/>
      <c r="AM256" s="2"/>
      <c r="AN256" s="2"/>
    </row>
    <row r="257" spans="3:40" ht="45" x14ac:dyDescent="0.25">
      <c r="C257" s="11"/>
      <c r="D257" s="11"/>
      <c r="E257" s="11"/>
      <c r="F257" s="11">
        <v>3</v>
      </c>
      <c r="G257" s="11"/>
      <c r="H257" s="11"/>
      <c r="I257" s="11"/>
      <c r="J257" s="10" t="s">
        <v>4083</v>
      </c>
      <c r="K257" s="6" t="s">
        <v>4084</v>
      </c>
      <c r="L257" s="8" t="s">
        <v>4085</v>
      </c>
      <c r="M257" s="11"/>
      <c r="N257" s="11"/>
      <c r="O257" s="11"/>
      <c r="P257" s="10" t="s">
        <v>4086</v>
      </c>
      <c r="Q257" s="6" t="s">
        <v>4087</v>
      </c>
      <c r="R257" s="10"/>
      <c r="S257" s="11"/>
      <c r="T257" s="11"/>
      <c r="U257" s="11"/>
      <c r="V257" s="11"/>
      <c r="W257" s="11"/>
      <c r="X257" s="11"/>
      <c r="Y257" s="2"/>
      <c r="Z257" s="2"/>
      <c r="AA257" s="2"/>
      <c r="AB257" s="2"/>
      <c r="AC257" s="2"/>
      <c r="AD257" s="2"/>
      <c r="AE257" s="2"/>
      <c r="AF257" s="2"/>
      <c r="AG257" s="2"/>
      <c r="AH257" s="2"/>
      <c r="AI257" s="2"/>
      <c r="AJ257" s="2"/>
      <c r="AK257" s="2"/>
      <c r="AL257" s="2"/>
      <c r="AM257" s="2"/>
      <c r="AN257" s="2"/>
    </row>
    <row r="258" spans="3:40" x14ac:dyDescent="0.25">
      <c r="C258" s="11"/>
      <c r="D258" s="11"/>
      <c r="E258" s="11"/>
      <c r="F258" s="11">
        <v>3</v>
      </c>
      <c r="G258" s="11"/>
      <c r="H258" s="11"/>
      <c r="I258" s="11"/>
      <c r="J258" s="11" t="s">
        <v>4088</v>
      </c>
      <c r="K258" s="6"/>
      <c r="L258" s="8" t="s">
        <v>3605</v>
      </c>
      <c r="M258" s="11"/>
      <c r="N258" s="11"/>
      <c r="O258" s="11"/>
      <c r="P258" s="11"/>
      <c r="Q258" s="11"/>
      <c r="R258" s="11"/>
      <c r="S258" s="11"/>
      <c r="T258" s="11"/>
      <c r="U258" s="11"/>
      <c r="V258" s="11"/>
      <c r="W258" s="11"/>
      <c r="X258" s="11"/>
      <c r="Y258" s="2"/>
      <c r="Z258" s="2"/>
      <c r="AA258" s="2"/>
      <c r="AB258" s="2"/>
      <c r="AC258" s="2"/>
      <c r="AD258" s="2"/>
      <c r="AE258" s="2"/>
      <c r="AF258" s="2"/>
      <c r="AG258" s="2"/>
      <c r="AH258" s="2"/>
      <c r="AI258" s="2"/>
      <c r="AJ258" s="2"/>
      <c r="AK258" s="2"/>
      <c r="AL258" s="2"/>
      <c r="AM258" s="2"/>
      <c r="AN258" s="2"/>
    </row>
    <row r="259" spans="3:40" s="321" customFormat="1" ht="45" x14ac:dyDescent="0.25">
      <c r="C259" s="28"/>
      <c r="D259" s="28"/>
      <c r="E259" s="28"/>
      <c r="F259" s="28"/>
      <c r="G259" s="24">
        <v>4</v>
      </c>
      <c r="H259" s="28"/>
      <c r="I259" s="28"/>
      <c r="J259" s="6" t="s">
        <v>4089</v>
      </c>
      <c r="K259" s="6" t="s">
        <v>4090</v>
      </c>
      <c r="L259" s="8" t="s">
        <v>4091</v>
      </c>
      <c r="M259" s="28"/>
      <c r="N259" s="28"/>
      <c r="O259" s="28"/>
      <c r="P259" s="24" t="s">
        <v>4092</v>
      </c>
      <c r="Q259" s="28"/>
      <c r="R259" s="28"/>
      <c r="S259" s="28"/>
      <c r="T259" s="28"/>
      <c r="U259" s="28"/>
      <c r="V259" s="28"/>
      <c r="W259" s="28"/>
      <c r="X259" s="28"/>
      <c r="Y259" s="320"/>
      <c r="Z259" s="320"/>
      <c r="AA259" s="320"/>
      <c r="AB259" s="320"/>
      <c r="AC259" s="320"/>
      <c r="AD259" s="320"/>
      <c r="AE259" s="320"/>
      <c r="AF259" s="320"/>
      <c r="AG259" s="320"/>
      <c r="AH259" s="320"/>
      <c r="AI259" s="320"/>
      <c r="AJ259" s="320"/>
      <c r="AK259" s="320"/>
      <c r="AL259" s="320"/>
      <c r="AM259" s="320"/>
      <c r="AN259" s="320"/>
    </row>
    <row r="260" spans="3:40" ht="30" x14ac:dyDescent="0.25">
      <c r="C260" s="11"/>
      <c r="D260" s="11"/>
      <c r="E260" s="11"/>
      <c r="F260" s="11"/>
      <c r="G260" s="10">
        <v>4</v>
      </c>
      <c r="H260" s="11"/>
      <c r="I260" s="11"/>
      <c r="J260" s="6" t="s">
        <v>4093</v>
      </c>
      <c r="K260" s="6" t="s">
        <v>4094</v>
      </c>
      <c r="L260" s="8" t="s">
        <v>4091</v>
      </c>
      <c r="M260" s="11"/>
      <c r="N260" s="11"/>
      <c r="O260" s="11"/>
      <c r="P260" s="10" t="s">
        <v>4092</v>
      </c>
      <c r="Q260" s="11"/>
      <c r="R260" s="11"/>
      <c r="S260" s="11"/>
      <c r="T260" s="11"/>
      <c r="U260" s="11"/>
      <c r="V260" s="11"/>
      <c r="W260" s="11"/>
      <c r="X260" s="11"/>
      <c r="Y260" s="2"/>
      <c r="Z260" s="2"/>
      <c r="AA260" s="2"/>
      <c r="AB260" s="2"/>
      <c r="AC260" s="2"/>
      <c r="AD260" s="2"/>
      <c r="AE260" s="2"/>
      <c r="AF260" s="2"/>
      <c r="AG260" s="2"/>
      <c r="AH260" s="2"/>
      <c r="AI260" s="2"/>
      <c r="AJ260" s="2"/>
      <c r="AK260" s="2"/>
      <c r="AL260" s="2"/>
      <c r="AM260" s="2"/>
      <c r="AN260" s="2"/>
    </row>
    <row r="261" spans="3:40" x14ac:dyDescent="0.25">
      <c r="C261" s="11"/>
      <c r="D261" s="11"/>
      <c r="E261" s="315">
        <v>2</v>
      </c>
      <c r="F261" s="1249" t="s">
        <v>4095</v>
      </c>
      <c r="G261" s="1249"/>
      <c r="H261" s="1249"/>
      <c r="I261" s="1249"/>
      <c r="J261" s="1249"/>
      <c r="K261" s="1249"/>
      <c r="L261" s="1261"/>
      <c r="M261" s="1249"/>
      <c r="N261" s="1249"/>
      <c r="O261" s="1249"/>
      <c r="P261" s="1249"/>
      <c r="Q261" s="1249"/>
      <c r="R261" s="1249"/>
      <c r="S261" s="1249"/>
      <c r="T261" s="1249"/>
      <c r="U261" s="1249"/>
      <c r="V261" s="1249"/>
      <c r="W261" s="1249"/>
      <c r="X261" s="1249"/>
      <c r="Y261" s="2"/>
      <c r="Z261" s="2"/>
      <c r="AA261" s="2"/>
      <c r="AB261" s="2"/>
      <c r="AC261" s="2"/>
      <c r="AD261" s="2"/>
      <c r="AE261" s="2"/>
      <c r="AF261" s="2"/>
      <c r="AG261" s="2"/>
      <c r="AH261" s="2"/>
      <c r="AI261" s="2"/>
      <c r="AJ261" s="2"/>
      <c r="AK261" s="2"/>
      <c r="AL261" s="2"/>
      <c r="AM261" s="2"/>
      <c r="AN261" s="2"/>
    </row>
    <row r="262" spans="3:40" ht="60" x14ac:dyDescent="0.25">
      <c r="C262" s="6"/>
      <c r="D262" s="6"/>
      <c r="E262" s="6"/>
      <c r="F262" s="6">
        <v>3</v>
      </c>
      <c r="G262" s="6"/>
      <c r="H262" s="6"/>
      <c r="I262" s="6"/>
      <c r="J262" s="6" t="s">
        <v>4096</v>
      </c>
      <c r="K262" s="6" t="s">
        <v>4097</v>
      </c>
      <c r="L262" s="8" t="s">
        <v>4098</v>
      </c>
      <c r="M262" s="6"/>
      <c r="N262" s="6"/>
      <c r="O262" s="6"/>
      <c r="P262" s="6" t="s">
        <v>4099</v>
      </c>
      <c r="Q262" s="6" t="s">
        <v>4100</v>
      </c>
      <c r="R262" s="6"/>
      <c r="S262" s="6"/>
      <c r="T262" s="16"/>
      <c r="U262" s="16"/>
      <c r="V262" s="6"/>
      <c r="W262" s="6"/>
      <c r="X262" s="6"/>
    </row>
    <row r="263" spans="3:40" ht="45" x14ac:dyDescent="0.25">
      <c r="C263" s="6"/>
      <c r="D263" s="6"/>
      <c r="E263" s="6"/>
      <c r="F263" s="6">
        <v>3</v>
      </c>
      <c r="G263" s="6"/>
      <c r="H263" s="6"/>
      <c r="I263" s="6"/>
      <c r="J263" s="6" t="s">
        <v>3776</v>
      </c>
      <c r="K263" s="6" t="s">
        <v>4101</v>
      </c>
      <c r="L263" s="8" t="s">
        <v>4102</v>
      </c>
      <c r="M263" s="6"/>
      <c r="N263" s="6"/>
      <c r="O263" s="6"/>
      <c r="P263" s="6" t="s">
        <v>4103</v>
      </c>
      <c r="Q263" s="6" t="s">
        <v>4104</v>
      </c>
      <c r="R263" s="6"/>
      <c r="S263" s="6"/>
      <c r="T263" s="16"/>
      <c r="U263" s="16"/>
      <c r="V263" s="6"/>
      <c r="W263" s="6"/>
      <c r="X263" s="6"/>
    </row>
    <row r="264" spans="3:40" ht="26.25" x14ac:dyDescent="0.25">
      <c r="C264" s="6"/>
      <c r="D264" s="6"/>
      <c r="E264" s="6"/>
      <c r="F264" s="6">
        <v>3</v>
      </c>
      <c r="G264" s="6"/>
      <c r="H264" s="6"/>
      <c r="I264" s="6"/>
      <c r="J264" s="24" t="s">
        <v>2992</v>
      </c>
      <c r="K264" s="24" t="s">
        <v>4105</v>
      </c>
      <c r="L264" s="8" t="s">
        <v>3850</v>
      </c>
      <c r="M264" s="6"/>
      <c r="N264" s="6"/>
      <c r="O264" s="6"/>
      <c r="P264" s="24" t="s">
        <v>4106</v>
      </c>
      <c r="Q264" s="6"/>
      <c r="R264" s="6"/>
      <c r="S264" s="6"/>
      <c r="T264" s="16"/>
      <c r="U264" s="16"/>
      <c r="V264" s="6"/>
      <c r="W264" s="6"/>
      <c r="X264" s="6"/>
    </row>
    <row r="265" spans="3:40" ht="20.25" customHeight="1" x14ac:dyDescent="0.25">
      <c r="C265" s="93"/>
      <c r="D265" s="93">
        <v>1</v>
      </c>
      <c r="E265" s="1247" t="s">
        <v>4107</v>
      </c>
      <c r="F265" s="1247"/>
      <c r="G265" s="1247"/>
      <c r="H265" s="1247"/>
      <c r="I265" s="1247"/>
      <c r="J265" s="1247"/>
      <c r="K265" s="1247"/>
      <c r="L265" s="1248"/>
      <c r="M265" s="1247"/>
      <c r="N265" s="1247"/>
      <c r="O265" s="1247"/>
      <c r="P265" s="1247"/>
      <c r="Q265" s="1247"/>
      <c r="R265" s="1247"/>
      <c r="S265" s="1247"/>
      <c r="T265" s="1247"/>
      <c r="U265" s="1247"/>
      <c r="V265" s="1247"/>
      <c r="W265" s="1247"/>
      <c r="X265" s="1247"/>
      <c r="Y265" s="2"/>
      <c r="Z265" s="2"/>
      <c r="AA265" s="2"/>
      <c r="AB265" s="2"/>
      <c r="AC265" s="2"/>
      <c r="AD265" s="2"/>
      <c r="AE265" s="2"/>
      <c r="AF265" s="2"/>
      <c r="AG265" s="2"/>
      <c r="AH265" s="2"/>
      <c r="AI265" s="2"/>
      <c r="AJ265" s="2"/>
      <c r="AK265" s="2"/>
      <c r="AL265" s="2"/>
      <c r="AM265" s="2"/>
      <c r="AN265" s="2"/>
    </row>
    <row r="266" spans="3:40" x14ac:dyDescent="0.25">
      <c r="C266" s="11"/>
      <c r="D266" s="11"/>
      <c r="E266" s="315">
        <v>2</v>
      </c>
      <c r="F266" s="1249" t="s">
        <v>3815</v>
      </c>
      <c r="G266" s="1249"/>
      <c r="H266" s="1249"/>
      <c r="I266" s="1249"/>
      <c r="J266" s="1249"/>
      <c r="K266" s="315"/>
      <c r="L266" s="934"/>
      <c r="M266" s="315"/>
      <c r="N266" s="315"/>
      <c r="O266" s="315"/>
      <c r="P266" s="315"/>
      <c r="Q266" s="315"/>
      <c r="R266" s="315"/>
      <c r="S266" s="315"/>
      <c r="T266" s="315"/>
      <c r="U266" s="315"/>
      <c r="V266" s="315"/>
      <c r="W266" s="315"/>
      <c r="X266" s="315"/>
      <c r="Y266" s="2"/>
      <c r="Z266" s="2"/>
      <c r="AA266" s="2"/>
      <c r="AB266" s="2"/>
      <c r="AC266" s="2"/>
      <c r="AD266" s="2"/>
      <c r="AE266" s="2"/>
      <c r="AF266" s="2"/>
      <c r="AG266" s="2"/>
      <c r="AH266" s="2"/>
      <c r="AI266" s="2"/>
      <c r="AJ266" s="2"/>
      <c r="AK266" s="2"/>
      <c r="AL266" s="2"/>
      <c r="AM266" s="2"/>
      <c r="AN266" s="2"/>
    </row>
    <row r="267" spans="3:40" x14ac:dyDescent="0.25">
      <c r="C267" s="11"/>
      <c r="D267" s="11"/>
      <c r="E267" s="11"/>
      <c r="F267" s="11">
        <v>3</v>
      </c>
      <c r="G267" s="11"/>
      <c r="H267" s="11"/>
      <c r="I267" s="11"/>
      <c r="J267" s="290" t="s">
        <v>4108</v>
      </c>
      <c r="K267" s="290" t="s">
        <v>4109</v>
      </c>
      <c r="L267" s="8"/>
      <c r="M267" s="11"/>
      <c r="N267" s="11"/>
      <c r="O267" s="11"/>
      <c r="P267" s="11"/>
      <c r="Q267" s="11"/>
      <c r="R267" s="11"/>
      <c r="S267" s="11"/>
      <c r="T267" s="11"/>
      <c r="U267" s="11"/>
      <c r="V267" s="11"/>
      <c r="W267" s="11"/>
      <c r="X267" s="11"/>
      <c r="Y267" s="2"/>
      <c r="Z267" s="2"/>
      <c r="AA267" s="2"/>
      <c r="AB267" s="2"/>
      <c r="AC267" s="2"/>
      <c r="AD267" s="2"/>
      <c r="AE267" s="2"/>
      <c r="AF267" s="2"/>
      <c r="AG267" s="2"/>
      <c r="AH267" s="2"/>
      <c r="AI267" s="2"/>
      <c r="AJ267" s="2"/>
      <c r="AK267" s="2"/>
      <c r="AL267" s="2"/>
      <c r="AM267" s="2"/>
      <c r="AN267" s="2"/>
    </row>
    <row r="268" spans="3:40" x14ac:dyDescent="0.25">
      <c r="C268" s="11"/>
      <c r="D268" s="11"/>
      <c r="E268" s="315">
        <v>2</v>
      </c>
      <c r="F268" s="1245" t="s">
        <v>4110</v>
      </c>
      <c r="G268" s="1245"/>
      <c r="H268" s="1245"/>
      <c r="I268" s="1245"/>
      <c r="J268" s="1245"/>
      <c r="K268" s="315"/>
      <c r="L268" s="934"/>
      <c r="M268" s="315"/>
      <c r="N268" s="935" t="str">
        <f>HYPERLINK("http://wiki.academyofsports.online/tiki-index.php?page=Kursnet", "Kursnet")</f>
        <v>Kursnet</v>
      </c>
      <c r="O268" s="315"/>
      <c r="P268" s="315"/>
      <c r="Q268" s="315"/>
      <c r="R268" s="315"/>
      <c r="S268" s="315"/>
      <c r="T268" s="315"/>
      <c r="U268" s="315"/>
      <c r="V268" s="315"/>
      <c r="W268" s="315"/>
      <c r="X268" s="315"/>
      <c r="Y268" s="2"/>
      <c r="Z268" s="2"/>
      <c r="AA268" s="2"/>
      <c r="AB268" s="2"/>
      <c r="AC268" s="2"/>
      <c r="AD268" s="2"/>
      <c r="AE268" s="2"/>
      <c r="AF268" s="2"/>
      <c r="AG268" s="2"/>
      <c r="AH268" s="2"/>
      <c r="AI268" s="2"/>
      <c r="AJ268" s="2"/>
      <c r="AK268" s="2"/>
      <c r="AL268" s="2"/>
      <c r="AM268" s="2"/>
      <c r="AN268" s="2"/>
    </row>
    <row r="269" spans="3:40" ht="60" x14ac:dyDescent="0.25">
      <c r="C269" s="6"/>
      <c r="D269" s="6"/>
      <c r="E269" s="6"/>
      <c r="F269" s="6">
        <v>3</v>
      </c>
      <c r="G269" s="6"/>
      <c r="H269" s="6"/>
      <c r="I269" s="6"/>
      <c r="J269" s="6" t="s">
        <v>4111</v>
      </c>
      <c r="K269" s="6" t="s">
        <v>4112</v>
      </c>
      <c r="L269" s="8" t="s">
        <v>4113</v>
      </c>
      <c r="M269" s="6"/>
      <c r="N269" s="719" t="str">
        <f>HYPERLINK("https://synology.bildungscampus-backnang.de:50823/drive/oo/r/nif2ZUtP3TdVbl7rn7Asq9l2dzmkeq0I#heading_id=npMBEvJOqD", "Eingabehilfe")</f>
        <v>Eingabehilfe</v>
      </c>
      <c r="O269" s="6"/>
      <c r="P269" s="6" t="s">
        <v>4114</v>
      </c>
      <c r="Q269" s="6"/>
      <c r="R269" s="6"/>
      <c r="S269" s="6"/>
      <c r="T269" s="16"/>
      <c r="U269" s="16"/>
      <c r="V269" s="6"/>
      <c r="W269" s="6"/>
      <c r="X269" s="6"/>
    </row>
    <row r="270" spans="3:40" ht="45" x14ac:dyDescent="0.25">
      <c r="C270" s="6"/>
      <c r="D270" s="6"/>
      <c r="E270" s="6"/>
      <c r="F270" s="6">
        <v>3</v>
      </c>
      <c r="G270" s="6"/>
      <c r="H270" s="6"/>
      <c r="I270" s="6"/>
      <c r="J270" s="6" t="s">
        <v>4115</v>
      </c>
      <c r="K270" s="6" t="s">
        <v>4116</v>
      </c>
      <c r="L270" s="8" t="s">
        <v>4113</v>
      </c>
      <c r="M270" s="6"/>
      <c r="N270" s="6"/>
      <c r="O270" s="6"/>
      <c r="P270" s="6" t="s">
        <v>4117</v>
      </c>
      <c r="Q270" s="6"/>
      <c r="R270" s="6"/>
      <c r="S270" s="6"/>
      <c r="T270" s="16"/>
      <c r="U270" s="16"/>
      <c r="V270" s="6"/>
      <c r="W270" s="6"/>
      <c r="X270" s="6"/>
    </row>
    <row r="271" spans="3:40" ht="30" x14ac:dyDescent="0.25">
      <c r="C271" s="6"/>
      <c r="D271" s="6"/>
      <c r="E271" s="6"/>
      <c r="F271" s="6">
        <v>3</v>
      </c>
      <c r="G271" s="6"/>
      <c r="H271" s="6"/>
      <c r="I271" s="6"/>
      <c r="J271" s="6" t="s">
        <v>4118</v>
      </c>
      <c r="K271" s="6" t="s">
        <v>4119</v>
      </c>
      <c r="L271" s="8" t="s">
        <v>3673</v>
      </c>
      <c r="M271" s="6"/>
      <c r="N271" s="6"/>
      <c r="O271" s="6"/>
      <c r="P271" s="6"/>
      <c r="Q271" s="6"/>
      <c r="R271" s="6" t="s">
        <v>4120</v>
      </c>
      <c r="S271" s="6"/>
      <c r="T271" s="16"/>
      <c r="U271" s="16"/>
      <c r="V271" s="6"/>
      <c r="W271" s="6"/>
      <c r="X271" s="6"/>
    </row>
    <row r="272" spans="3:40" x14ac:dyDescent="0.25">
      <c r="C272" s="11"/>
      <c r="D272" s="11"/>
      <c r="E272" s="315">
        <v>2</v>
      </c>
      <c r="F272" s="1249" t="s">
        <v>4121</v>
      </c>
      <c r="G272" s="1249"/>
      <c r="H272" s="1249"/>
      <c r="I272" s="1249"/>
      <c r="J272" s="1249"/>
      <c r="K272" s="1249"/>
      <c r="L272" s="1261"/>
      <c r="M272" s="1249"/>
      <c r="N272" s="1249"/>
      <c r="O272" s="1249"/>
      <c r="P272" s="1249"/>
      <c r="Q272" s="1249"/>
      <c r="R272" s="1249"/>
      <c r="S272" s="1249"/>
      <c r="T272" s="1249"/>
      <c r="U272" s="1249"/>
      <c r="V272" s="1249"/>
      <c r="W272" s="1249"/>
      <c r="X272" s="1249"/>
      <c r="Y272" s="2"/>
      <c r="Z272" s="2"/>
      <c r="AA272" s="2"/>
      <c r="AB272" s="2"/>
      <c r="AC272" s="2"/>
      <c r="AD272" s="2"/>
      <c r="AE272" s="2"/>
      <c r="AF272" s="2"/>
      <c r="AG272" s="2"/>
      <c r="AH272" s="2"/>
      <c r="AI272" s="2"/>
      <c r="AJ272" s="2"/>
      <c r="AK272" s="2"/>
      <c r="AL272" s="2"/>
      <c r="AM272" s="2"/>
      <c r="AN272" s="2"/>
    </row>
    <row r="273" spans="3:40" ht="45" x14ac:dyDescent="0.25">
      <c r="C273" s="11"/>
      <c r="D273" s="11"/>
      <c r="E273" s="11"/>
      <c r="F273" s="11">
        <v>3</v>
      </c>
      <c r="G273" s="11"/>
      <c r="H273" s="11"/>
      <c r="I273" s="11"/>
      <c r="J273" s="6" t="s">
        <v>4122</v>
      </c>
      <c r="K273" s="6" t="s">
        <v>4123</v>
      </c>
      <c r="L273" s="8" t="s">
        <v>4124</v>
      </c>
      <c r="M273" s="11"/>
      <c r="N273" s="716" t="str">
        <f>HYPERLINK("http://wiki.academyofsports.online/tiki-index.php?page=Ben%C3%B6tigte-Infos-zur-Erstellung-von-medialem-Content-f%C3%BCr-die-Content-Creator", "Infos Content")</f>
        <v>Infos Content</v>
      </c>
      <c r="O273" s="11"/>
      <c r="P273" s="6" t="s">
        <v>4125</v>
      </c>
      <c r="Q273" s="10" t="s">
        <v>4126</v>
      </c>
      <c r="R273" s="10" t="s">
        <v>4127</v>
      </c>
      <c r="S273" s="11"/>
      <c r="T273" s="11"/>
      <c r="U273" s="11"/>
      <c r="V273" s="11"/>
      <c r="W273" s="11"/>
      <c r="X273" s="11"/>
      <c r="Y273" s="2"/>
      <c r="Z273" s="2"/>
      <c r="AA273" s="2"/>
      <c r="AB273" s="2"/>
      <c r="AC273" s="2"/>
      <c r="AD273" s="2"/>
      <c r="AE273" s="2"/>
      <c r="AF273" s="2"/>
      <c r="AG273" s="2"/>
      <c r="AH273" s="2"/>
      <c r="AI273" s="2"/>
      <c r="AJ273" s="2"/>
      <c r="AK273" s="2"/>
      <c r="AL273" s="2"/>
      <c r="AM273" s="2"/>
      <c r="AN273" s="2"/>
    </row>
    <row r="274" spans="3:40" ht="45" x14ac:dyDescent="0.25">
      <c r="C274" s="11"/>
      <c r="D274" s="11"/>
      <c r="E274" s="11"/>
      <c r="F274" s="11">
        <v>3</v>
      </c>
      <c r="G274" s="11"/>
      <c r="H274" s="11"/>
      <c r="I274" s="11"/>
      <c r="J274" s="6" t="s">
        <v>4128</v>
      </c>
      <c r="K274" s="6" t="s">
        <v>4129</v>
      </c>
      <c r="L274" s="8" t="s">
        <v>4124</v>
      </c>
      <c r="M274" s="11"/>
      <c r="N274" s="716" t="str">
        <f>HYPERLINK("http://wiki.academyofsports.online/tiki-index.php?page=Ben%C3%B6tigte-Infos-zur-Erstellung-von-medialem-Content-f%C3%BCr-die-Content-Creator", "Infos Content")</f>
        <v>Infos Content</v>
      </c>
      <c r="O274" s="11"/>
      <c r="P274" s="6" t="s">
        <v>4125</v>
      </c>
      <c r="Q274" s="10" t="s">
        <v>4130</v>
      </c>
      <c r="R274" s="11"/>
      <c r="S274" s="11"/>
      <c r="T274" s="11"/>
      <c r="U274" s="11"/>
      <c r="V274" s="11"/>
      <c r="W274" s="11"/>
      <c r="X274" s="11"/>
      <c r="Y274" s="2"/>
      <c r="Z274" s="2"/>
      <c r="AA274" s="2"/>
      <c r="AB274" s="2"/>
      <c r="AC274" s="2"/>
      <c r="AD274" s="2"/>
      <c r="AE274" s="2"/>
      <c r="AF274" s="2"/>
      <c r="AG274" s="2"/>
      <c r="AH274" s="2"/>
      <c r="AI274" s="2"/>
      <c r="AJ274" s="2"/>
      <c r="AK274" s="2"/>
      <c r="AL274" s="2"/>
      <c r="AM274" s="2"/>
      <c r="AN274" s="2"/>
    </row>
    <row r="275" spans="3:40" x14ac:dyDescent="0.25">
      <c r="C275" s="11"/>
      <c r="D275" s="11"/>
      <c r="E275" s="11"/>
      <c r="F275" s="11">
        <v>3</v>
      </c>
      <c r="G275" s="11"/>
      <c r="H275" s="11"/>
      <c r="I275" s="11"/>
      <c r="J275" s="6" t="s">
        <v>4131</v>
      </c>
      <c r="K275" s="10" t="s">
        <v>4132</v>
      </c>
      <c r="L275" s="8" t="s">
        <v>3639</v>
      </c>
      <c r="M275" s="11"/>
      <c r="N275" s="11"/>
      <c r="O275" s="11"/>
      <c r="P275" s="10" t="s">
        <v>4133</v>
      </c>
      <c r="Q275" s="10"/>
      <c r="R275" s="11"/>
      <c r="S275" s="11"/>
      <c r="T275" s="11"/>
      <c r="U275" s="11"/>
      <c r="V275" s="11"/>
      <c r="W275" s="11"/>
      <c r="X275" s="11"/>
      <c r="Y275" s="2"/>
      <c r="Z275" s="2"/>
      <c r="AA275" s="2"/>
      <c r="AB275" s="2"/>
      <c r="AC275" s="2"/>
      <c r="AD275" s="2"/>
      <c r="AE275" s="2"/>
      <c r="AF275" s="2"/>
      <c r="AG275" s="2"/>
      <c r="AH275" s="2"/>
      <c r="AI275" s="2"/>
      <c r="AJ275" s="2"/>
      <c r="AK275" s="2"/>
      <c r="AL275" s="2"/>
      <c r="AM275" s="2"/>
      <c r="AN275" s="2"/>
    </row>
    <row r="276" spans="3:40" ht="45" x14ac:dyDescent="0.25">
      <c r="C276" s="11"/>
      <c r="D276" s="11"/>
      <c r="E276" s="11"/>
      <c r="F276" s="11">
        <v>3</v>
      </c>
      <c r="G276" s="11"/>
      <c r="H276" s="11"/>
      <c r="I276" s="11"/>
      <c r="J276" s="6" t="s">
        <v>3636</v>
      </c>
      <c r="K276" s="62" t="s">
        <v>4134</v>
      </c>
      <c r="L276" s="8" t="s">
        <v>3639</v>
      </c>
      <c r="M276" s="11"/>
      <c r="N276" s="716"/>
      <c r="O276" s="11"/>
      <c r="P276" s="6" t="s">
        <v>4125</v>
      </c>
      <c r="Q276" s="10"/>
      <c r="R276" s="11"/>
      <c r="S276" s="11"/>
      <c r="T276" s="11"/>
      <c r="U276" s="11"/>
      <c r="V276" s="11"/>
      <c r="W276" s="11"/>
      <c r="X276" s="11"/>
      <c r="Y276" s="2"/>
      <c r="Z276" s="2"/>
      <c r="AA276" s="2"/>
      <c r="AB276" s="2"/>
      <c r="AC276" s="2"/>
      <c r="AD276" s="2"/>
      <c r="AE276" s="2"/>
      <c r="AF276" s="2"/>
      <c r="AG276" s="2"/>
      <c r="AH276" s="2"/>
      <c r="AI276" s="2"/>
      <c r="AJ276" s="2"/>
      <c r="AK276" s="2"/>
      <c r="AL276" s="2"/>
      <c r="AM276" s="2"/>
      <c r="AN276" s="2"/>
    </row>
    <row r="277" spans="3:40" ht="45" x14ac:dyDescent="0.25">
      <c r="C277" s="11"/>
      <c r="D277" s="11"/>
      <c r="E277" s="11"/>
      <c r="F277" s="11">
        <v>3</v>
      </c>
      <c r="G277" s="11"/>
      <c r="H277" s="11"/>
      <c r="I277" s="11"/>
      <c r="J277" s="10" t="s">
        <v>4135</v>
      </c>
      <c r="K277" s="6" t="s">
        <v>4136</v>
      </c>
      <c r="L277" s="8" t="s">
        <v>3639</v>
      </c>
      <c r="M277" s="11"/>
      <c r="N277" s="11"/>
      <c r="O277" s="11"/>
      <c r="P277" s="6" t="s">
        <v>4137</v>
      </c>
      <c r="Q277" s="10"/>
      <c r="R277" s="11"/>
      <c r="S277" s="11"/>
      <c r="T277" s="11"/>
      <c r="U277" s="11"/>
      <c r="V277" s="11"/>
      <c r="W277" s="11"/>
      <c r="X277" s="11"/>
      <c r="Y277" s="2"/>
      <c r="Z277" s="2"/>
      <c r="AA277" s="2"/>
      <c r="AB277" s="2"/>
      <c r="AC277" s="2"/>
      <c r="AD277" s="2"/>
      <c r="AE277" s="2"/>
      <c r="AF277" s="2"/>
      <c r="AG277" s="2"/>
      <c r="AH277" s="2"/>
      <c r="AI277" s="2"/>
      <c r="AJ277" s="2"/>
      <c r="AK277" s="2"/>
      <c r="AL277" s="2"/>
      <c r="AM277" s="2"/>
      <c r="AN277" s="2"/>
    </row>
    <row r="278" spans="3:40" ht="45" x14ac:dyDescent="0.25">
      <c r="C278" s="11"/>
      <c r="D278" s="11"/>
      <c r="E278" s="11"/>
      <c r="F278" s="11">
        <v>3</v>
      </c>
      <c r="G278" s="11"/>
      <c r="H278" s="11"/>
      <c r="I278" s="11"/>
      <c r="J278" s="10" t="s">
        <v>4138</v>
      </c>
      <c r="K278" s="10" t="s">
        <v>4139</v>
      </c>
      <c r="L278" s="8" t="s">
        <v>3639</v>
      </c>
      <c r="M278" s="11"/>
      <c r="N278" s="11"/>
      <c r="O278" s="11"/>
      <c r="P278" s="6" t="s">
        <v>4125</v>
      </c>
      <c r="Q278" s="10"/>
      <c r="R278" s="11"/>
      <c r="S278" s="11"/>
      <c r="T278" s="11"/>
      <c r="U278" s="11"/>
      <c r="V278" s="11"/>
      <c r="W278" s="11"/>
      <c r="X278" s="11"/>
      <c r="Y278" s="2"/>
      <c r="Z278" s="2"/>
      <c r="AA278" s="2"/>
      <c r="AB278" s="2"/>
      <c r="AC278" s="2"/>
      <c r="AD278" s="2"/>
      <c r="AE278" s="2"/>
      <c r="AF278" s="2"/>
      <c r="AG278" s="2"/>
      <c r="AH278" s="2"/>
      <c r="AI278" s="2"/>
      <c r="AJ278" s="2"/>
      <c r="AK278" s="2"/>
      <c r="AL278" s="2"/>
      <c r="AM278" s="2"/>
      <c r="AN278" s="2"/>
    </row>
    <row r="279" spans="3:40" ht="45" x14ac:dyDescent="0.25">
      <c r="C279" s="11"/>
      <c r="D279" s="11"/>
      <c r="E279" s="11"/>
      <c r="F279" s="11">
        <v>3</v>
      </c>
      <c r="G279" s="11"/>
      <c r="H279" s="11"/>
      <c r="I279" s="11"/>
      <c r="J279" s="10" t="s">
        <v>4140</v>
      </c>
      <c r="K279" s="6" t="s">
        <v>4141</v>
      </c>
      <c r="L279" s="8" t="s">
        <v>3639</v>
      </c>
      <c r="M279" s="11"/>
      <c r="N279" s="716"/>
      <c r="O279" s="11"/>
      <c r="P279" s="6" t="s">
        <v>4142</v>
      </c>
      <c r="Q279" s="10"/>
      <c r="R279" s="11"/>
      <c r="S279" s="11"/>
      <c r="T279" s="11"/>
      <c r="U279" s="11"/>
      <c r="V279" s="11"/>
      <c r="W279" s="11"/>
      <c r="X279" s="11"/>
      <c r="Y279" s="2"/>
      <c r="Z279" s="2"/>
      <c r="AA279" s="2"/>
      <c r="AB279" s="2"/>
      <c r="AC279" s="2"/>
      <c r="AD279" s="2"/>
      <c r="AE279" s="2"/>
      <c r="AF279" s="2"/>
      <c r="AG279" s="2"/>
      <c r="AH279" s="2"/>
      <c r="AI279" s="2"/>
      <c r="AJ279" s="2"/>
      <c r="AK279" s="2"/>
      <c r="AL279" s="2"/>
      <c r="AM279" s="2"/>
      <c r="AN279" s="2"/>
    </row>
    <row r="280" spans="3:40" x14ac:dyDescent="0.25">
      <c r="C280" s="11"/>
      <c r="D280" s="11"/>
      <c r="E280" s="315">
        <v>2</v>
      </c>
      <c r="F280" s="1249" t="s">
        <v>4143</v>
      </c>
      <c r="G280" s="1249"/>
      <c r="H280" s="1249"/>
      <c r="I280" s="1249"/>
      <c r="J280" s="1249"/>
      <c r="K280" s="1249"/>
      <c r="L280" s="1261"/>
      <c r="M280" s="1249"/>
      <c r="N280" s="1249"/>
      <c r="O280" s="1249"/>
      <c r="P280" s="1249"/>
      <c r="Q280" s="1249"/>
      <c r="R280" s="1249"/>
      <c r="S280" s="1249"/>
      <c r="T280" s="1249"/>
      <c r="U280" s="1249"/>
      <c r="V280" s="1249"/>
      <c r="W280" s="1249"/>
      <c r="X280" s="1249"/>
      <c r="Y280" s="2"/>
      <c r="Z280" s="2"/>
      <c r="AA280" s="2"/>
      <c r="AB280" s="2"/>
      <c r="AC280" s="2"/>
      <c r="AD280" s="2"/>
      <c r="AE280" s="2"/>
      <c r="AF280" s="2"/>
      <c r="AG280" s="2"/>
      <c r="AH280" s="2"/>
      <c r="AI280" s="2"/>
      <c r="AJ280" s="2"/>
      <c r="AK280" s="2"/>
      <c r="AL280" s="2"/>
      <c r="AM280" s="2"/>
      <c r="AN280" s="2"/>
    </row>
    <row r="281" spans="3:40" ht="57.75" x14ac:dyDescent="0.25">
      <c r="C281" s="11"/>
      <c r="D281" s="11"/>
      <c r="E281" s="11"/>
      <c r="F281" s="11">
        <v>3</v>
      </c>
      <c r="G281" s="11"/>
      <c r="H281" s="11"/>
      <c r="I281" s="11"/>
      <c r="J281" s="10" t="s">
        <v>4144</v>
      </c>
      <c r="K281" s="6" t="s">
        <v>4145</v>
      </c>
      <c r="L281" s="8" t="s">
        <v>4146</v>
      </c>
      <c r="M281" s="11"/>
      <c r="N281" s="716"/>
      <c r="O281" s="11"/>
      <c r="P281" s="10" t="s">
        <v>4147</v>
      </c>
      <c r="Q281" s="290" t="s">
        <v>4148</v>
      </c>
      <c r="R281" s="11"/>
      <c r="S281" s="11"/>
      <c r="T281" s="11"/>
      <c r="U281" s="11"/>
      <c r="V281" s="11"/>
      <c r="W281" s="11"/>
      <c r="X281" s="11"/>
      <c r="Y281" s="2"/>
      <c r="Z281" s="2"/>
      <c r="AA281" s="2"/>
      <c r="AB281" s="2"/>
      <c r="AC281" s="2"/>
      <c r="AD281" s="2"/>
      <c r="AE281" s="2"/>
      <c r="AF281" s="2"/>
      <c r="AG281" s="2"/>
      <c r="AH281" s="2"/>
      <c r="AI281" s="2"/>
      <c r="AJ281" s="2"/>
      <c r="AK281" s="2"/>
      <c r="AL281" s="2"/>
      <c r="AM281" s="2"/>
      <c r="AN281" s="2"/>
    </row>
    <row r="282" spans="3:40" ht="30" x14ac:dyDescent="0.25">
      <c r="C282" s="11"/>
      <c r="D282" s="11"/>
      <c r="E282" s="11"/>
      <c r="F282" s="11">
        <v>3</v>
      </c>
      <c r="G282" s="11"/>
      <c r="H282" s="11"/>
      <c r="I282" s="11"/>
      <c r="J282" s="10" t="s">
        <v>4149</v>
      </c>
      <c r="K282" s="848" t="s">
        <v>4150</v>
      </c>
      <c r="L282" s="8" t="s">
        <v>4146</v>
      </c>
      <c r="M282" s="11"/>
      <c r="N282" s="11"/>
      <c r="O282" s="11"/>
      <c r="P282" s="6" t="s">
        <v>4151</v>
      </c>
      <c r="Q282" s="324"/>
      <c r="R282" s="11"/>
      <c r="S282" s="11"/>
      <c r="T282" s="11"/>
      <c r="U282" s="11"/>
      <c r="V282" s="11"/>
      <c r="W282" s="11"/>
      <c r="X282" s="11"/>
      <c r="Y282" s="2"/>
      <c r="Z282" s="2"/>
      <c r="AA282" s="2"/>
      <c r="AB282" s="2"/>
      <c r="AC282" s="2"/>
      <c r="AD282" s="2"/>
      <c r="AE282" s="2"/>
      <c r="AF282" s="2"/>
      <c r="AG282" s="2"/>
      <c r="AH282" s="2"/>
      <c r="AI282" s="2"/>
      <c r="AJ282" s="2"/>
      <c r="AK282" s="2"/>
      <c r="AL282" s="2"/>
      <c r="AM282" s="2"/>
      <c r="AN282" s="2"/>
    </row>
    <row r="283" spans="3:40" x14ac:dyDescent="0.25">
      <c r="C283" s="11"/>
      <c r="D283" s="11"/>
      <c r="E283" s="315">
        <v>2</v>
      </c>
      <c r="F283" s="1249" t="s">
        <v>3717</v>
      </c>
      <c r="G283" s="1249"/>
      <c r="H283" s="1249"/>
      <c r="I283" s="1249"/>
      <c r="J283" s="1249"/>
      <c r="K283" s="1249"/>
      <c r="L283" s="1261"/>
      <c r="M283" s="1249"/>
      <c r="N283" s="1249"/>
      <c r="O283" s="1249"/>
      <c r="P283" s="1249"/>
      <c r="Q283" s="1249"/>
      <c r="R283" s="1249"/>
      <c r="S283" s="1249"/>
      <c r="T283" s="1249"/>
      <c r="U283" s="1249"/>
      <c r="V283" s="1249"/>
      <c r="W283" s="1249"/>
      <c r="X283" s="1249"/>
      <c r="Y283" s="2"/>
      <c r="Z283" s="2"/>
      <c r="AA283" s="2"/>
      <c r="AB283" s="2"/>
      <c r="AC283" s="2"/>
      <c r="AD283" s="2"/>
      <c r="AE283" s="2"/>
      <c r="AF283" s="2"/>
      <c r="AG283" s="2"/>
      <c r="AH283" s="2"/>
      <c r="AI283" s="2"/>
      <c r="AJ283" s="2"/>
      <c r="AK283" s="2"/>
      <c r="AL283" s="2"/>
      <c r="AM283" s="2"/>
      <c r="AN283" s="2"/>
    </row>
    <row r="284" spans="3:40" ht="105" x14ac:dyDescent="0.25">
      <c r="C284" s="11"/>
      <c r="D284" s="11"/>
      <c r="E284" s="11"/>
      <c r="F284" s="6">
        <v>3</v>
      </c>
      <c r="G284" s="6"/>
      <c r="H284" s="6"/>
      <c r="I284" s="6"/>
      <c r="J284" s="6" t="s">
        <v>3718</v>
      </c>
      <c r="K284" s="6" t="s">
        <v>4152</v>
      </c>
      <c r="L284" s="8" t="s">
        <v>3720</v>
      </c>
      <c r="M284" s="6"/>
      <c r="N284" s="6"/>
      <c r="O284" s="6"/>
      <c r="P284" s="6" t="s">
        <v>4153</v>
      </c>
      <c r="Q284" s="6" t="s">
        <v>3722</v>
      </c>
      <c r="R284" s="11"/>
      <c r="S284" s="11"/>
      <c r="T284" s="11"/>
      <c r="U284" s="11"/>
      <c r="V284" s="11"/>
      <c r="W284" s="11"/>
      <c r="X284" s="11"/>
      <c r="Y284" s="2"/>
      <c r="Z284" s="2"/>
      <c r="AA284" s="2"/>
      <c r="AB284" s="2"/>
      <c r="AC284" s="2"/>
      <c r="AD284" s="2"/>
      <c r="AE284" s="2"/>
      <c r="AF284" s="2"/>
      <c r="AG284" s="2"/>
      <c r="AH284" s="2"/>
      <c r="AI284" s="2"/>
      <c r="AJ284" s="2"/>
      <c r="AK284" s="2"/>
      <c r="AL284" s="2"/>
      <c r="AM284" s="2"/>
      <c r="AN284" s="2"/>
    </row>
    <row r="285" spans="3:40" ht="105" x14ac:dyDescent="0.25">
      <c r="C285" s="11"/>
      <c r="D285" s="11"/>
      <c r="E285" s="11"/>
      <c r="F285" s="6">
        <v>3</v>
      </c>
      <c r="G285" s="6"/>
      <c r="H285" s="6"/>
      <c r="I285" s="6"/>
      <c r="J285" s="6" t="s">
        <v>3723</v>
      </c>
      <c r="K285" s="6" t="s">
        <v>4152</v>
      </c>
      <c r="L285" s="8" t="s">
        <v>3720</v>
      </c>
      <c r="M285" s="6"/>
      <c r="N285" s="6"/>
      <c r="O285" s="6"/>
      <c r="P285" s="6" t="s">
        <v>4153</v>
      </c>
      <c r="Q285" s="6" t="s">
        <v>3722</v>
      </c>
      <c r="R285" s="11"/>
      <c r="S285" s="11"/>
      <c r="T285" s="11"/>
      <c r="U285" s="11"/>
      <c r="V285" s="11"/>
      <c r="W285" s="11"/>
      <c r="X285" s="11"/>
      <c r="Y285" s="2"/>
      <c r="Z285" s="2"/>
      <c r="AA285" s="2"/>
      <c r="AB285" s="2"/>
      <c r="AC285" s="2"/>
      <c r="AD285" s="2"/>
      <c r="AE285" s="2"/>
      <c r="AF285" s="2"/>
      <c r="AG285" s="2"/>
      <c r="AH285" s="2"/>
      <c r="AI285" s="2"/>
      <c r="AJ285" s="2"/>
      <c r="AK285" s="2"/>
      <c r="AL285" s="2"/>
      <c r="AM285" s="2"/>
      <c r="AN285" s="2"/>
    </row>
    <row r="286" spans="3:40" ht="105" x14ac:dyDescent="0.25">
      <c r="C286" s="11"/>
      <c r="D286" s="11"/>
      <c r="E286" s="11"/>
      <c r="F286" s="6">
        <v>3</v>
      </c>
      <c r="G286" s="6"/>
      <c r="H286" s="6"/>
      <c r="I286" s="6"/>
      <c r="J286" s="6" t="s">
        <v>3725</v>
      </c>
      <c r="K286" s="6" t="s">
        <v>4152</v>
      </c>
      <c r="L286" s="8" t="s">
        <v>3720</v>
      </c>
      <c r="M286" s="6"/>
      <c r="N286" s="6"/>
      <c r="O286" s="6"/>
      <c r="P286" s="6" t="s">
        <v>4153</v>
      </c>
      <c r="Q286" s="6" t="s">
        <v>3722</v>
      </c>
      <c r="R286" s="11"/>
      <c r="S286" s="11"/>
      <c r="T286" s="11"/>
      <c r="U286" s="11"/>
      <c r="V286" s="11"/>
      <c r="W286" s="11"/>
      <c r="X286" s="11"/>
      <c r="Y286" s="2"/>
      <c r="Z286" s="2"/>
      <c r="AA286" s="2"/>
      <c r="AB286" s="2"/>
      <c r="AC286" s="2"/>
      <c r="AD286" s="2"/>
      <c r="AE286" s="2"/>
      <c r="AF286" s="2"/>
      <c r="AG286" s="2"/>
      <c r="AH286" s="2"/>
      <c r="AI286" s="2"/>
      <c r="AJ286" s="2"/>
      <c r="AK286" s="2"/>
      <c r="AL286" s="2"/>
      <c r="AM286" s="2"/>
      <c r="AN286" s="2"/>
    </row>
    <row r="287" spans="3:40" x14ac:dyDescent="0.25">
      <c r="C287" s="11"/>
      <c r="D287" s="11"/>
      <c r="E287" s="315">
        <v>2</v>
      </c>
      <c r="F287" s="1262" t="s">
        <v>2992</v>
      </c>
      <c r="G287" s="1262"/>
      <c r="H287" s="1262"/>
      <c r="I287" s="1262"/>
      <c r="J287" s="1262"/>
      <c r="K287" s="1262"/>
      <c r="L287" s="1263"/>
      <c r="M287" s="1262"/>
      <c r="N287" s="1262"/>
      <c r="O287" s="1262"/>
      <c r="P287" s="1262"/>
      <c r="Q287" s="1262"/>
      <c r="R287" s="1262"/>
      <c r="S287" s="1262"/>
      <c r="T287" s="1262"/>
      <c r="U287" s="1262"/>
      <c r="V287" s="1262"/>
      <c r="W287" s="1262"/>
      <c r="X287" s="1262"/>
      <c r="Y287" s="2"/>
      <c r="Z287" s="2"/>
      <c r="AA287" s="2"/>
      <c r="AB287" s="2"/>
      <c r="AC287" s="2"/>
      <c r="AD287" s="2"/>
      <c r="AE287" s="2"/>
      <c r="AF287" s="2"/>
      <c r="AG287" s="2"/>
      <c r="AH287" s="2"/>
      <c r="AI287" s="2"/>
      <c r="AJ287" s="2"/>
      <c r="AK287" s="2"/>
      <c r="AL287" s="2"/>
      <c r="AM287" s="2"/>
      <c r="AN287" s="2"/>
    </row>
    <row r="288" spans="3:40" ht="26.25" x14ac:dyDescent="0.25">
      <c r="C288" s="11"/>
      <c r="D288" s="11"/>
      <c r="E288" s="11"/>
      <c r="F288" s="6"/>
      <c r="G288" s="6"/>
      <c r="H288" s="6"/>
      <c r="I288" s="6"/>
      <c r="J288" s="290" t="s">
        <v>4154</v>
      </c>
      <c r="K288" s="290" t="s">
        <v>4155</v>
      </c>
      <c r="L288" s="8"/>
      <c r="M288" s="6"/>
      <c r="N288" s="6"/>
      <c r="O288" s="6"/>
      <c r="P288" s="290" t="s">
        <v>4156</v>
      </c>
      <c r="Q288" s="6"/>
      <c r="R288" s="11"/>
      <c r="S288" s="11"/>
      <c r="T288" s="11"/>
      <c r="U288" s="11"/>
      <c r="V288" s="11"/>
      <c r="W288" s="11"/>
      <c r="X288" s="11"/>
      <c r="Y288" s="2"/>
      <c r="Z288" s="2"/>
      <c r="AA288" s="2"/>
      <c r="AB288" s="2"/>
      <c r="AC288" s="2"/>
      <c r="AD288" s="2"/>
      <c r="AE288" s="2"/>
      <c r="AF288" s="2"/>
      <c r="AG288" s="2"/>
      <c r="AH288" s="2"/>
      <c r="AI288" s="2"/>
      <c r="AJ288" s="2"/>
      <c r="AK288" s="2"/>
      <c r="AL288" s="2"/>
      <c r="AM288" s="2"/>
      <c r="AN288" s="2"/>
    </row>
    <row r="289" spans="3:40" ht="20.25" customHeight="1" x14ac:dyDescent="0.25">
      <c r="C289" s="93"/>
      <c r="D289" s="93">
        <v>1</v>
      </c>
      <c r="E289" s="1247" t="s">
        <v>4157</v>
      </c>
      <c r="F289" s="1247"/>
      <c r="G289" s="1247"/>
      <c r="H289" s="1247"/>
      <c r="I289" s="1247"/>
      <c r="J289" s="1247"/>
      <c r="K289" s="1247"/>
      <c r="L289" s="1248"/>
      <c r="M289" s="1247"/>
      <c r="N289" s="1247"/>
      <c r="O289" s="1247"/>
      <c r="P289" s="1247"/>
      <c r="Q289" s="1247"/>
      <c r="R289" s="1247"/>
      <c r="S289" s="1247"/>
      <c r="T289" s="1247"/>
      <c r="U289" s="1247"/>
      <c r="V289" s="1247"/>
      <c r="W289" s="1247"/>
      <c r="X289" s="1247"/>
      <c r="Y289" s="2"/>
      <c r="Z289" s="2"/>
      <c r="AA289" s="2"/>
      <c r="AB289" s="2"/>
      <c r="AC289" s="2"/>
      <c r="AD289" s="2"/>
      <c r="AE289" s="2"/>
      <c r="AF289" s="2"/>
      <c r="AG289" s="2"/>
      <c r="AH289" s="2"/>
      <c r="AI289" s="2"/>
      <c r="AJ289" s="2"/>
      <c r="AK289" s="2"/>
      <c r="AL289" s="2"/>
      <c r="AM289" s="2"/>
      <c r="AN289" s="2"/>
    </row>
    <row r="290" spans="3:40" x14ac:dyDescent="0.25">
      <c r="C290" s="11"/>
      <c r="D290" s="11"/>
      <c r="E290" s="315">
        <v>2</v>
      </c>
      <c r="F290" s="1262" t="s">
        <v>2992</v>
      </c>
      <c r="G290" s="1262"/>
      <c r="H290" s="1262"/>
      <c r="I290" s="1262"/>
      <c r="J290" s="1262"/>
      <c r="K290" s="315"/>
      <c r="L290" s="934"/>
      <c r="M290" s="315"/>
      <c r="N290" s="315"/>
      <c r="O290" s="315"/>
      <c r="P290" s="315"/>
      <c r="Q290" s="315"/>
      <c r="R290" s="315"/>
      <c r="S290" s="315"/>
      <c r="T290" s="315"/>
      <c r="U290" s="315"/>
      <c r="V290" s="315"/>
      <c r="W290" s="315"/>
      <c r="X290" s="315"/>
      <c r="Y290" s="2"/>
      <c r="Z290" s="2"/>
      <c r="AA290" s="2"/>
      <c r="AB290" s="2"/>
      <c r="AC290" s="2"/>
      <c r="AD290" s="2"/>
      <c r="AE290" s="2"/>
      <c r="AF290" s="2"/>
      <c r="AG290" s="2"/>
      <c r="AH290" s="2"/>
      <c r="AI290" s="2"/>
      <c r="AJ290" s="2"/>
      <c r="AK290" s="2"/>
      <c r="AL290" s="2"/>
      <c r="AM290" s="2"/>
      <c r="AN290" s="2"/>
    </row>
    <row r="291" spans="3:40" ht="45" x14ac:dyDescent="0.25">
      <c r="C291" s="11"/>
      <c r="D291" s="11"/>
      <c r="E291" s="11"/>
      <c r="F291" s="11">
        <v>3</v>
      </c>
      <c r="G291" s="11"/>
      <c r="H291" s="11"/>
      <c r="I291" s="11"/>
      <c r="J291" s="6" t="s">
        <v>4158</v>
      </c>
      <c r="K291" s="24" t="s">
        <v>4159</v>
      </c>
      <c r="L291" s="8" t="s">
        <v>4160</v>
      </c>
      <c r="M291" s="11"/>
      <c r="N291" s="11"/>
      <c r="O291" s="11"/>
      <c r="P291" s="10" t="s">
        <v>4161</v>
      </c>
      <c r="Q291" s="6" t="s">
        <v>4162</v>
      </c>
      <c r="R291" s="11"/>
      <c r="S291" s="11"/>
      <c r="T291" s="11"/>
      <c r="U291" s="11"/>
      <c r="V291" s="11"/>
      <c r="W291" s="11"/>
      <c r="X291" s="11"/>
      <c r="Y291" s="2"/>
      <c r="Z291" s="2"/>
      <c r="AA291" s="2"/>
      <c r="AB291" s="2"/>
      <c r="AC291" s="2"/>
      <c r="AD291" s="2"/>
      <c r="AE291" s="2"/>
      <c r="AF291" s="2"/>
      <c r="AG291" s="2"/>
      <c r="AH291" s="2"/>
      <c r="AI291" s="2"/>
      <c r="AJ291" s="2"/>
      <c r="AK291" s="2"/>
      <c r="AL291" s="2"/>
      <c r="AM291" s="2"/>
      <c r="AN291" s="2"/>
    </row>
    <row r="292" spans="3:40" ht="45" x14ac:dyDescent="0.25">
      <c r="C292" s="11"/>
      <c r="D292" s="11"/>
      <c r="E292" s="11"/>
      <c r="F292" s="11">
        <v>3</v>
      </c>
      <c r="G292" s="11"/>
      <c r="H292" s="11"/>
      <c r="I292" s="11"/>
      <c r="J292" s="6" t="s">
        <v>4163</v>
      </c>
      <c r="K292" s="6" t="s">
        <v>4164</v>
      </c>
      <c r="L292" s="8" t="s">
        <v>4165</v>
      </c>
      <c r="M292" s="11"/>
      <c r="N292" s="11"/>
      <c r="O292" s="11"/>
      <c r="P292" s="10" t="s">
        <v>4161</v>
      </c>
      <c r="Q292" s="6" t="s">
        <v>4166</v>
      </c>
      <c r="R292" s="11"/>
      <c r="S292" s="11"/>
      <c r="T292" s="11"/>
      <c r="U292" s="11"/>
      <c r="V292" s="11"/>
      <c r="W292" s="11"/>
      <c r="X292" s="11"/>
      <c r="Y292" s="2"/>
      <c r="Z292" s="2"/>
      <c r="AA292" s="2"/>
      <c r="AB292" s="2"/>
      <c r="AC292" s="2"/>
      <c r="AD292" s="2"/>
      <c r="AE292" s="2"/>
      <c r="AF292" s="2"/>
      <c r="AG292" s="2"/>
      <c r="AH292" s="2"/>
      <c r="AI292" s="2"/>
      <c r="AJ292" s="2"/>
      <c r="AK292" s="2"/>
      <c r="AL292" s="2"/>
      <c r="AM292" s="2"/>
      <c r="AN292" s="2"/>
    </row>
    <row r="293" spans="3:40" x14ac:dyDescent="0.25">
      <c r="C293" s="11"/>
      <c r="D293" s="11"/>
      <c r="E293" s="315">
        <v>2</v>
      </c>
      <c r="F293" s="1249" t="s">
        <v>3765</v>
      </c>
      <c r="G293" s="1249"/>
      <c r="H293" s="1249"/>
      <c r="I293" s="1249"/>
      <c r="J293" s="1249"/>
      <c r="K293" s="1249"/>
      <c r="L293" s="1261"/>
      <c r="M293" s="1249"/>
      <c r="N293" s="1249"/>
      <c r="O293" s="1249"/>
      <c r="P293" s="1249"/>
      <c r="Q293" s="1249"/>
      <c r="R293" s="1249"/>
      <c r="S293" s="1249"/>
      <c r="T293" s="1249"/>
      <c r="U293" s="1249"/>
      <c r="V293" s="1249"/>
      <c r="W293" s="1249"/>
      <c r="X293" s="1249"/>
      <c r="Y293" s="2"/>
      <c r="Z293" s="2"/>
      <c r="AA293" s="2"/>
      <c r="AB293" s="2"/>
      <c r="AC293" s="2"/>
      <c r="AD293" s="2"/>
      <c r="AE293" s="2"/>
      <c r="AF293" s="2"/>
      <c r="AG293" s="2"/>
      <c r="AH293" s="2"/>
      <c r="AI293" s="2"/>
      <c r="AJ293" s="2"/>
      <c r="AK293" s="2"/>
      <c r="AL293" s="2"/>
      <c r="AM293" s="2"/>
      <c r="AN293" s="2"/>
    </row>
    <row r="294" spans="3:40" ht="45" x14ac:dyDescent="0.25">
      <c r="C294" s="6"/>
      <c r="D294" s="6"/>
      <c r="E294" s="6"/>
      <c r="F294" s="6">
        <v>3</v>
      </c>
      <c r="G294" s="6"/>
      <c r="H294" s="6"/>
      <c r="I294" s="6"/>
      <c r="J294" s="6" t="s">
        <v>4158</v>
      </c>
      <c r="K294" s="6" t="s">
        <v>4167</v>
      </c>
      <c r="L294" s="8" t="s">
        <v>4168</v>
      </c>
      <c r="M294" s="6"/>
      <c r="N294" s="6"/>
      <c r="O294" s="6"/>
      <c r="P294" s="6" t="s">
        <v>4169</v>
      </c>
      <c r="Q294" s="6" t="s">
        <v>4162</v>
      </c>
      <c r="R294" s="6" t="s">
        <v>4170</v>
      </c>
      <c r="S294" s="6"/>
      <c r="T294" s="16"/>
      <c r="U294" s="16"/>
      <c r="V294" s="6"/>
      <c r="W294" s="6"/>
      <c r="X294" s="6"/>
    </row>
    <row r="295" spans="3:40" ht="45" x14ac:dyDescent="0.25">
      <c r="C295" s="6"/>
      <c r="D295" s="6"/>
      <c r="E295" s="6"/>
      <c r="F295" s="6">
        <v>3</v>
      </c>
      <c r="G295" s="6"/>
      <c r="H295" s="6"/>
      <c r="I295" s="6"/>
      <c r="J295" s="6" t="s">
        <v>4163</v>
      </c>
      <c r="K295" s="6" t="s">
        <v>4171</v>
      </c>
      <c r="L295" s="8" t="s">
        <v>4172</v>
      </c>
      <c r="M295" s="6"/>
      <c r="N295" s="6"/>
      <c r="O295" s="6"/>
      <c r="P295" s="6" t="s">
        <v>4169</v>
      </c>
      <c r="Q295" s="6" t="s">
        <v>4166</v>
      </c>
      <c r="R295" s="6"/>
      <c r="S295" s="6"/>
      <c r="T295" s="16"/>
      <c r="U295" s="16"/>
      <c r="V295" s="6"/>
      <c r="W295" s="6"/>
      <c r="X295" s="6"/>
    </row>
    <row r="296" spans="3:40" ht="20.25" customHeight="1" x14ac:dyDescent="0.25">
      <c r="C296" s="93"/>
      <c r="D296" s="93">
        <v>1</v>
      </c>
      <c r="E296" s="1247" t="s">
        <v>4173</v>
      </c>
      <c r="F296" s="1247"/>
      <c r="G296" s="1247"/>
      <c r="H296" s="1247"/>
      <c r="I296" s="1247"/>
      <c r="J296" s="1247"/>
      <c r="K296" s="93"/>
      <c r="L296" s="772"/>
      <c r="M296" s="93"/>
      <c r="N296" s="936" t="str">
        <f>HYPERLINK("http://wiki.academyofsports.online/tiki-index.php?page=Bildungsportale-(0319)", "Bildungsportale")</f>
        <v>Bildungsportale</v>
      </c>
      <c r="O296" s="93"/>
      <c r="P296" s="93"/>
      <c r="Q296" s="93"/>
      <c r="R296" s="93"/>
      <c r="S296" s="93"/>
      <c r="T296" s="93"/>
      <c r="U296" s="93"/>
      <c r="V296" s="93"/>
      <c r="W296" s="93"/>
      <c r="X296" s="93"/>
      <c r="Y296" s="2"/>
      <c r="Z296" s="2"/>
      <c r="AA296" s="2"/>
      <c r="AB296" s="2"/>
      <c r="AC296" s="2"/>
      <c r="AD296" s="2"/>
      <c r="AE296" s="2"/>
      <c r="AF296" s="2"/>
      <c r="AG296" s="2"/>
      <c r="AH296" s="2"/>
      <c r="AI296" s="2"/>
      <c r="AJ296" s="2"/>
      <c r="AK296" s="2"/>
      <c r="AL296" s="2"/>
      <c r="AM296" s="2"/>
      <c r="AN296" s="2"/>
    </row>
    <row r="297" spans="3:40" x14ac:dyDescent="0.25">
      <c r="C297" s="11"/>
      <c r="D297" s="11"/>
      <c r="E297" s="939">
        <v>2</v>
      </c>
      <c r="F297" s="1245" t="s">
        <v>3765</v>
      </c>
      <c r="G297" s="1245"/>
      <c r="H297" s="1245"/>
      <c r="I297" s="1245"/>
      <c r="J297" s="1245"/>
      <c r="K297" s="931"/>
      <c r="L297" s="932"/>
      <c r="M297" s="931"/>
      <c r="N297" s="941" t="str">
        <f>HYPERLINK("http://wiki.academyofsports.online/tiki-index.php?page=Google-My-Business-(GMB)", "GMB")</f>
        <v>GMB</v>
      </c>
      <c r="O297" s="931"/>
      <c r="P297" s="931"/>
      <c r="Q297" s="931"/>
      <c r="R297" s="931"/>
      <c r="S297" s="931"/>
      <c r="T297" s="931"/>
      <c r="U297" s="931"/>
      <c r="V297" s="931"/>
      <c r="W297" s="931"/>
      <c r="X297" s="931"/>
      <c r="Y297" s="2"/>
      <c r="Z297" s="2"/>
      <c r="AA297" s="2"/>
      <c r="AB297" s="2"/>
      <c r="AC297" s="2"/>
      <c r="AD297" s="2"/>
      <c r="AE297" s="2"/>
      <c r="AF297" s="2"/>
      <c r="AG297" s="2"/>
      <c r="AH297" s="2"/>
      <c r="AI297" s="2"/>
      <c r="AJ297" s="2"/>
      <c r="AK297" s="2"/>
      <c r="AL297" s="2"/>
      <c r="AM297" s="2"/>
      <c r="AN297" s="2"/>
    </row>
    <row r="298" spans="3:40" ht="45" x14ac:dyDescent="0.25">
      <c r="C298" s="11"/>
      <c r="D298" s="11"/>
      <c r="E298" s="41"/>
      <c r="F298" s="11">
        <v>3</v>
      </c>
      <c r="G298" s="11"/>
      <c r="H298" s="11"/>
      <c r="I298" s="11"/>
      <c r="J298" s="10" t="s">
        <v>4174</v>
      </c>
      <c r="K298" s="6" t="s">
        <v>4175</v>
      </c>
      <c r="L298" s="8" t="s">
        <v>3673</v>
      </c>
      <c r="M298" s="11"/>
      <c r="N298" s="11"/>
      <c r="O298" s="11"/>
      <c r="P298" s="10" t="s">
        <v>4176</v>
      </c>
      <c r="Q298" s="10"/>
      <c r="R298" s="11"/>
      <c r="S298" s="11"/>
      <c r="T298" s="11"/>
      <c r="U298" s="11"/>
      <c r="V298" s="11"/>
      <c r="W298" s="11"/>
      <c r="X298" s="11"/>
      <c r="Y298" s="2"/>
      <c r="Z298" s="2"/>
      <c r="AA298" s="2"/>
      <c r="AB298" s="2"/>
      <c r="AC298" s="2"/>
      <c r="AD298" s="2"/>
      <c r="AE298" s="2"/>
      <c r="AF298" s="2"/>
      <c r="AG298" s="2"/>
      <c r="AH298" s="2"/>
      <c r="AI298" s="2"/>
      <c r="AJ298" s="2"/>
      <c r="AK298" s="2"/>
      <c r="AL298" s="2"/>
      <c r="AM298" s="2"/>
      <c r="AN298" s="2"/>
    </row>
    <row r="299" spans="3:40" ht="30" x14ac:dyDescent="0.25">
      <c r="C299" s="11"/>
      <c r="D299" s="11"/>
      <c r="E299" s="41"/>
      <c r="F299" s="11">
        <v>3</v>
      </c>
      <c r="G299" s="11"/>
      <c r="H299" s="11"/>
      <c r="I299" s="11"/>
      <c r="J299" s="10" t="s">
        <v>4177</v>
      </c>
      <c r="K299" s="6" t="s">
        <v>4178</v>
      </c>
      <c r="L299" s="8" t="s">
        <v>3673</v>
      </c>
      <c r="M299" s="11"/>
      <c r="N299" s="11"/>
      <c r="O299" s="11"/>
      <c r="P299" s="6" t="s">
        <v>4179</v>
      </c>
      <c r="Q299" s="10"/>
      <c r="R299" s="11"/>
      <c r="S299" s="11"/>
      <c r="T299" s="11"/>
      <c r="U299" s="11"/>
      <c r="V299" s="11"/>
      <c r="W299" s="11"/>
      <c r="X299" s="11"/>
      <c r="Y299" s="2"/>
      <c r="Z299" s="2"/>
      <c r="AA299" s="2"/>
      <c r="AB299" s="2"/>
      <c r="AC299" s="2"/>
      <c r="AD299" s="2"/>
      <c r="AE299" s="2"/>
      <c r="AF299" s="2"/>
      <c r="AG299" s="2"/>
      <c r="AH299" s="2"/>
      <c r="AI299" s="2"/>
      <c r="AJ299" s="2"/>
      <c r="AK299" s="2"/>
      <c r="AL299" s="2"/>
      <c r="AM299" s="2"/>
      <c r="AN299" s="2"/>
    </row>
    <row r="300" spans="3:40" ht="26.25" x14ac:dyDescent="0.25">
      <c r="C300" s="11"/>
      <c r="D300" s="11"/>
      <c r="E300" s="41"/>
      <c r="F300" s="11">
        <v>3</v>
      </c>
      <c r="G300" s="11"/>
      <c r="H300" s="11"/>
      <c r="I300" s="11"/>
      <c r="J300" s="10" t="s">
        <v>4180</v>
      </c>
      <c r="K300" s="10" t="s">
        <v>4181</v>
      </c>
      <c r="L300" s="8" t="s">
        <v>3673</v>
      </c>
      <c r="M300" s="11"/>
      <c r="N300" s="11"/>
      <c r="O300" s="11"/>
      <c r="P300" s="10" t="s">
        <v>4182</v>
      </c>
      <c r="Q300" s="10"/>
      <c r="R300" s="11"/>
      <c r="S300" s="11"/>
      <c r="T300" s="11"/>
      <c r="U300" s="11"/>
      <c r="V300" s="11"/>
      <c r="W300" s="11"/>
      <c r="X300" s="11"/>
      <c r="Y300" s="2"/>
      <c r="Z300" s="2"/>
      <c r="AA300" s="2"/>
      <c r="AB300" s="2"/>
      <c r="AC300" s="2"/>
      <c r="AD300" s="2"/>
      <c r="AE300" s="2"/>
      <c r="AF300" s="2"/>
      <c r="AG300" s="2"/>
      <c r="AH300" s="2"/>
      <c r="AI300" s="2"/>
      <c r="AJ300" s="2"/>
      <c r="AK300" s="2"/>
      <c r="AL300" s="2"/>
      <c r="AM300" s="2"/>
      <c r="AN300" s="2"/>
    </row>
    <row r="301" spans="3:40" ht="26.25" x14ac:dyDescent="0.25">
      <c r="C301" s="11"/>
      <c r="D301" s="11"/>
      <c r="E301" s="41"/>
      <c r="F301" s="11">
        <v>3</v>
      </c>
      <c r="G301" s="11"/>
      <c r="H301" s="11"/>
      <c r="I301" s="11"/>
      <c r="J301" s="10" t="s">
        <v>4183</v>
      </c>
      <c r="K301" s="6" t="s">
        <v>4184</v>
      </c>
      <c r="L301" s="8" t="s">
        <v>3673</v>
      </c>
      <c r="M301" s="11"/>
      <c r="N301" s="11"/>
      <c r="O301" s="11"/>
      <c r="P301" s="10" t="s">
        <v>4185</v>
      </c>
      <c r="Q301" s="10"/>
      <c r="R301" s="11"/>
      <c r="S301" s="11"/>
      <c r="T301" s="11"/>
      <c r="U301" s="11"/>
      <c r="V301" s="11"/>
      <c r="W301" s="11"/>
      <c r="X301" s="11"/>
      <c r="Y301" s="2"/>
      <c r="Z301" s="2"/>
      <c r="AA301" s="2"/>
      <c r="AB301" s="2"/>
      <c r="AC301" s="2"/>
      <c r="AD301" s="2"/>
      <c r="AE301" s="2"/>
      <c r="AF301" s="2"/>
      <c r="AG301" s="2"/>
      <c r="AH301" s="2"/>
      <c r="AI301" s="2"/>
      <c r="AJ301" s="2"/>
      <c r="AK301" s="2"/>
      <c r="AL301" s="2"/>
      <c r="AM301" s="2"/>
      <c r="AN301" s="2"/>
    </row>
    <row r="302" spans="3:40" x14ac:dyDescent="0.25">
      <c r="C302" s="11"/>
      <c r="D302" s="11"/>
      <c r="E302" s="41"/>
      <c r="F302" s="11">
        <v>3</v>
      </c>
      <c r="G302" s="11"/>
      <c r="H302" s="11"/>
      <c r="I302" s="11"/>
      <c r="J302" s="10" t="s">
        <v>4186</v>
      </c>
      <c r="K302" s="10" t="s">
        <v>4187</v>
      </c>
      <c r="L302" s="8" t="s">
        <v>3673</v>
      </c>
      <c r="M302" s="11"/>
      <c r="N302" s="11"/>
      <c r="O302" s="11"/>
      <c r="P302" s="10" t="s">
        <v>4188</v>
      </c>
      <c r="Q302" s="10"/>
      <c r="R302" s="11"/>
      <c r="S302" s="11"/>
      <c r="T302" s="11"/>
      <c r="U302" s="11"/>
      <c r="V302" s="11"/>
      <c r="W302" s="11"/>
      <c r="X302" s="11"/>
      <c r="Y302" s="2"/>
      <c r="Z302" s="2"/>
      <c r="AA302" s="2"/>
      <c r="AB302" s="2"/>
      <c r="AC302" s="2"/>
      <c r="AD302" s="2"/>
      <c r="AE302" s="2"/>
      <c r="AF302" s="2"/>
      <c r="AG302" s="2"/>
      <c r="AH302" s="2"/>
      <c r="AI302" s="2"/>
      <c r="AJ302" s="2"/>
      <c r="AK302" s="2"/>
      <c r="AL302" s="2"/>
      <c r="AM302" s="2"/>
      <c r="AN302" s="2"/>
    </row>
    <row r="303" spans="3:40" x14ac:dyDescent="0.25">
      <c r="C303" s="11"/>
      <c r="D303" s="11"/>
      <c r="E303" s="939">
        <v>2</v>
      </c>
      <c r="F303" s="1245" t="s">
        <v>3747</v>
      </c>
      <c r="G303" s="1245"/>
      <c r="H303" s="1245"/>
      <c r="I303" s="1245"/>
      <c r="J303" s="1245"/>
      <c r="K303" s="931"/>
      <c r="L303" s="932"/>
      <c r="M303" s="931"/>
      <c r="N303" s="941" t="str">
        <f>HYPERLINK("http://wiki.academyofsports.online/tiki-index.php?page=FernstudiumCheck", "FCheck")</f>
        <v>FCheck</v>
      </c>
      <c r="O303" s="931"/>
      <c r="P303" s="945"/>
      <c r="Q303" s="945"/>
      <c r="R303" s="931"/>
      <c r="S303" s="931"/>
      <c r="T303" s="931"/>
      <c r="U303" s="931"/>
      <c r="V303" s="931"/>
      <c r="W303" s="931"/>
      <c r="X303" s="931"/>
      <c r="Y303" s="2"/>
      <c r="Z303" s="2"/>
      <c r="AA303" s="2"/>
      <c r="AB303" s="2"/>
      <c r="AC303" s="2"/>
      <c r="AD303" s="2"/>
      <c r="AE303" s="2"/>
      <c r="AF303" s="2"/>
      <c r="AG303" s="2"/>
      <c r="AH303" s="2"/>
      <c r="AI303" s="2"/>
      <c r="AJ303" s="2"/>
      <c r="AK303" s="2"/>
      <c r="AL303" s="2"/>
      <c r="AM303" s="2"/>
      <c r="AN303" s="2"/>
    </row>
    <row r="304" spans="3:40" ht="45" x14ac:dyDescent="0.25">
      <c r="C304" s="11"/>
      <c r="D304" s="11"/>
      <c r="E304" s="41"/>
      <c r="F304" s="11">
        <v>3</v>
      </c>
      <c r="G304" s="11"/>
      <c r="H304" s="11"/>
      <c r="I304" s="11"/>
      <c r="J304" s="10" t="s">
        <v>4174</v>
      </c>
      <c r="K304" s="6" t="s">
        <v>4189</v>
      </c>
      <c r="L304" s="8" t="s">
        <v>3673</v>
      </c>
      <c r="M304" s="11"/>
      <c r="N304" s="11"/>
      <c r="O304" s="11"/>
      <c r="P304" s="10" t="s">
        <v>4190</v>
      </c>
      <c r="Q304" s="10" t="s">
        <v>4191</v>
      </c>
      <c r="R304" s="11"/>
      <c r="S304" s="11"/>
      <c r="T304" s="11"/>
      <c r="U304" s="11"/>
      <c r="V304" s="11"/>
      <c r="W304" s="11"/>
      <c r="X304" s="11"/>
      <c r="Y304" s="2"/>
      <c r="Z304" s="2"/>
      <c r="AA304" s="2"/>
      <c r="AB304" s="2"/>
      <c r="AC304" s="2"/>
      <c r="AD304" s="2"/>
      <c r="AE304" s="2"/>
      <c r="AF304" s="2"/>
      <c r="AG304" s="2"/>
      <c r="AH304" s="2"/>
      <c r="AI304" s="2"/>
      <c r="AJ304" s="2"/>
      <c r="AK304" s="2"/>
      <c r="AL304" s="2"/>
      <c r="AM304" s="2"/>
      <c r="AN304" s="2"/>
    </row>
    <row r="305" spans="3:40" ht="30" x14ac:dyDescent="0.25">
      <c r="C305" s="11"/>
      <c r="D305" s="11"/>
      <c r="E305" s="41"/>
      <c r="F305" s="11">
        <v>3</v>
      </c>
      <c r="G305" s="11"/>
      <c r="H305" s="11"/>
      <c r="I305" s="11"/>
      <c r="J305" s="10" t="s">
        <v>4177</v>
      </c>
      <c r="K305" s="10" t="s">
        <v>4192</v>
      </c>
      <c r="L305" s="8" t="s">
        <v>3673</v>
      </c>
      <c r="M305" s="11"/>
      <c r="N305" s="11"/>
      <c r="O305" s="11"/>
      <c r="P305" s="6" t="s">
        <v>4193</v>
      </c>
      <c r="Q305" s="10" t="s">
        <v>4194</v>
      </c>
      <c r="R305" s="11"/>
      <c r="S305" s="11"/>
      <c r="T305" s="11"/>
      <c r="U305" s="11"/>
      <c r="V305" s="11"/>
      <c r="W305" s="11"/>
      <c r="X305" s="11"/>
      <c r="Y305" s="2"/>
      <c r="Z305" s="2"/>
      <c r="AA305" s="2"/>
      <c r="AB305" s="2"/>
      <c r="AC305" s="2"/>
      <c r="AD305" s="2"/>
      <c r="AE305" s="2"/>
      <c r="AF305" s="2"/>
      <c r="AG305" s="2"/>
      <c r="AH305" s="2"/>
      <c r="AI305" s="2"/>
      <c r="AJ305" s="2"/>
      <c r="AK305" s="2"/>
      <c r="AL305" s="2"/>
      <c r="AM305" s="2"/>
      <c r="AN305" s="2"/>
    </row>
    <row r="306" spans="3:40" ht="26.25" x14ac:dyDescent="0.25">
      <c r="C306" s="11"/>
      <c r="D306" s="11"/>
      <c r="E306" s="41"/>
      <c r="F306" s="11">
        <v>3</v>
      </c>
      <c r="G306" s="11"/>
      <c r="H306" s="11"/>
      <c r="I306" s="11"/>
      <c r="J306" s="10" t="s">
        <v>4180</v>
      </c>
      <c r="K306" s="10" t="s">
        <v>4195</v>
      </c>
      <c r="L306" s="8" t="s">
        <v>3673</v>
      </c>
      <c r="M306" s="11"/>
      <c r="N306" s="11"/>
      <c r="O306" s="11"/>
      <c r="P306" s="10" t="s">
        <v>4182</v>
      </c>
      <c r="Q306" s="10" t="s">
        <v>4196</v>
      </c>
      <c r="R306" s="11"/>
      <c r="S306" s="11"/>
      <c r="T306" s="11"/>
      <c r="U306" s="11"/>
      <c r="V306" s="11"/>
      <c r="W306" s="11"/>
      <c r="X306" s="11"/>
      <c r="Y306" s="2"/>
      <c r="Z306" s="2"/>
      <c r="AA306" s="2"/>
      <c r="AB306" s="2"/>
      <c r="AC306" s="2"/>
      <c r="AD306" s="2"/>
      <c r="AE306" s="2"/>
      <c r="AF306" s="2"/>
      <c r="AG306" s="2"/>
      <c r="AH306" s="2"/>
      <c r="AI306" s="2"/>
      <c r="AJ306" s="2"/>
      <c r="AK306" s="2"/>
      <c r="AL306" s="2"/>
      <c r="AM306" s="2"/>
      <c r="AN306" s="2"/>
    </row>
    <row r="307" spans="3:40" ht="26.25" x14ac:dyDescent="0.25">
      <c r="C307" s="11"/>
      <c r="D307" s="11"/>
      <c r="E307" s="41"/>
      <c r="F307" s="11">
        <v>3</v>
      </c>
      <c r="G307" s="11"/>
      <c r="H307" s="11"/>
      <c r="I307" s="11"/>
      <c r="J307" s="10" t="s">
        <v>4183</v>
      </c>
      <c r="K307" s="6" t="s">
        <v>4197</v>
      </c>
      <c r="L307" s="8" t="s">
        <v>3673</v>
      </c>
      <c r="M307" s="11"/>
      <c r="N307" s="11"/>
      <c r="O307" s="11"/>
      <c r="P307" s="10" t="s">
        <v>4185</v>
      </c>
      <c r="Q307" s="10"/>
      <c r="R307" s="11"/>
      <c r="S307" s="11"/>
      <c r="T307" s="11"/>
      <c r="U307" s="11"/>
      <c r="V307" s="11"/>
      <c r="W307" s="11"/>
      <c r="X307" s="11"/>
      <c r="Y307" s="2"/>
      <c r="Z307" s="2"/>
      <c r="AA307" s="2"/>
      <c r="AB307" s="2"/>
      <c r="AC307" s="2"/>
      <c r="AD307" s="2"/>
      <c r="AE307" s="2"/>
      <c r="AF307" s="2"/>
      <c r="AG307" s="2"/>
      <c r="AH307" s="2"/>
      <c r="AI307" s="2"/>
      <c r="AJ307" s="2"/>
      <c r="AK307" s="2"/>
      <c r="AL307" s="2"/>
      <c r="AM307" s="2"/>
      <c r="AN307" s="2"/>
    </row>
    <row r="308" spans="3:40" x14ac:dyDescent="0.25">
      <c r="C308" s="11"/>
      <c r="D308" s="11"/>
      <c r="E308" s="41"/>
      <c r="F308" s="11">
        <v>3</v>
      </c>
      <c r="G308" s="11"/>
      <c r="H308" s="11"/>
      <c r="I308" s="11"/>
      <c r="J308" s="10" t="s">
        <v>4186</v>
      </c>
      <c r="K308" s="10" t="s">
        <v>4187</v>
      </c>
      <c r="L308" s="8" t="s">
        <v>3673</v>
      </c>
      <c r="M308" s="11"/>
      <c r="N308" s="11"/>
      <c r="O308" s="11"/>
      <c r="P308" s="10" t="s">
        <v>4188</v>
      </c>
      <c r="Q308" s="10"/>
      <c r="R308" s="11"/>
      <c r="S308" s="11"/>
      <c r="T308" s="11"/>
      <c r="U308" s="11"/>
      <c r="V308" s="11"/>
      <c r="W308" s="11"/>
      <c r="X308" s="11"/>
      <c r="Y308" s="2"/>
      <c r="Z308" s="2"/>
      <c r="AA308" s="2"/>
      <c r="AB308" s="2"/>
      <c r="AC308" s="2"/>
      <c r="AD308" s="2"/>
      <c r="AE308" s="2"/>
      <c r="AF308" s="2"/>
      <c r="AG308" s="2"/>
      <c r="AH308" s="2"/>
      <c r="AI308" s="2"/>
      <c r="AJ308" s="2"/>
      <c r="AK308" s="2"/>
      <c r="AL308" s="2"/>
      <c r="AM308" s="2"/>
      <c r="AN308" s="2"/>
    </row>
    <row r="309" spans="3:40" ht="26.25" x14ac:dyDescent="0.25">
      <c r="C309" s="11"/>
      <c r="D309" s="11"/>
      <c r="E309" s="41"/>
      <c r="F309" s="11">
        <v>3</v>
      </c>
      <c r="G309" s="11"/>
      <c r="H309" s="11"/>
      <c r="I309" s="11"/>
      <c r="J309" s="10" t="s">
        <v>4198</v>
      </c>
      <c r="K309" s="10" t="s">
        <v>4199</v>
      </c>
      <c r="L309" s="8" t="s">
        <v>4200</v>
      </c>
      <c r="M309" s="11"/>
      <c r="N309" s="11"/>
      <c r="O309" s="11"/>
      <c r="P309" s="10"/>
      <c r="Q309" s="10"/>
      <c r="R309" s="11"/>
      <c r="S309" s="11"/>
      <c r="T309" s="11"/>
      <c r="U309" s="11"/>
      <c r="V309" s="11"/>
      <c r="W309" s="11"/>
      <c r="X309" s="11"/>
      <c r="Y309" s="2"/>
      <c r="Z309" s="2"/>
      <c r="AA309" s="2"/>
      <c r="AB309" s="2"/>
      <c r="AC309" s="2"/>
      <c r="AD309" s="2"/>
      <c r="AE309" s="2"/>
      <c r="AF309" s="2"/>
      <c r="AG309" s="2"/>
      <c r="AH309" s="2"/>
      <c r="AI309" s="2"/>
      <c r="AJ309" s="2"/>
      <c r="AK309" s="2"/>
      <c r="AL309" s="2"/>
      <c r="AM309" s="2"/>
      <c r="AN309" s="2"/>
    </row>
    <row r="310" spans="3:40" x14ac:dyDescent="0.25">
      <c r="C310" s="11"/>
      <c r="D310" s="11"/>
      <c r="E310" s="939">
        <v>2</v>
      </c>
      <c r="F310" s="1245" t="s">
        <v>3684</v>
      </c>
      <c r="G310" s="1245"/>
      <c r="H310" s="1245"/>
      <c r="I310" s="1245"/>
      <c r="J310" s="1245"/>
      <c r="K310" s="931"/>
      <c r="L310" s="932"/>
      <c r="M310" s="931"/>
      <c r="N310" s="941" t="str">
        <f>HYPERLINK("http://wiki.academyofsports.online/tiki-index.php?page=Fortbildung-24-(meister-boxx-GmbH-)", "FB24")</f>
        <v>FB24</v>
      </c>
      <c r="O310" s="931"/>
      <c r="P310" s="945"/>
      <c r="Q310" s="945"/>
      <c r="R310" s="931"/>
      <c r="S310" s="931"/>
      <c r="T310" s="931"/>
      <c r="U310" s="931"/>
      <c r="V310" s="931"/>
      <c r="W310" s="931"/>
      <c r="X310" s="931"/>
      <c r="Y310" s="2"/>
      <c r="Z310" s="2"/>
      <c r="AA310" s="2"/>
      <c r="AB310" s="2"/>
      <c r="AC310" s="2"/>
      <c r="AD310" s="2"/>
      <c r="AE310" s="2"/>
      <c r="AF310" s="2"/>
      <c r="AG310" s="2"/>
      <c r="AH310" s="2"/>
      <c r="AI310" s="2"/>
      <c r="AJ310" s="2"/>
      <c r="AK310" s="2"/>
      <c r="AL310" s="2"/>
      <c r="AM310" s="2"/>
      <c r="AN310" s="2"/>
    </row>
    <row r="311" spans="3:40" ht="60" x14ac:dyDescent="0.25">
      <c r="C311" s="11"/>
      <c r="D311" s="11"/>
      <c r="E311" s="41"/>
      <c r="F311" s="11">
        <v>3</v>
      </c>
      <c r="G311" s="11"/>
      <c r="H311" s="11"/>
      <c r="I311" s="11"/>
      <c r="J311" s="10" t="s">
        <v>4174</v>
      </c>
      <c r="K311" s="6" t="s">
        <v>4201</v>
      </c>
      <c r="L311" s="8" t="s">
        <v>3673</v>
      </c>
      <c r="M311" s="11"/>
      <c r="N311" s="11"/>
      <c r="O311" s="11"/>
      <c r="P311" s="10" t="s">
        <v>4176</v>
      </c>
      <c r="Q311" s="10"/>
      <c r="R311" s="11"/>
      <c r="S311" s="11"/>
      <c r="T311" s="11"/>
      <c r="U311" s="11"/>
      <c r="V311" s="11"/>
      <c r="W311" s="11"/>
      <c r="X311" s="11"/>
      <c r="Y311" s="2"/>
      <c r="Z311" s="2"/>
      <c r="AA311" s="2"/>
      <c r="AB311" s="2"/>
      <c r="AC311" s="2"/>
      <c r="AD311" s="2"/>
      <c r="AE311" s="2"/>
      <c r="AF311" s="2"/>
      <c r="AG311" s="2"/>
      <c r="AH311" s="2"/>
      <c r="AI311" s="2"/>
      <c r="AJ311" s="2"/>
      <c r="AK311" s="2"/>
      <c r="AL311" s="2"/>
      <c r="AM311" s="2"/>
      <c r="AN311" s="2"/>
    </row>
    <row r="312" spans="3:40" ht="30" x14ac:dyDescent="0.25">
      <c r="C312" s="11"/>
      <c r="D312" s="11"/>
      <c r="E312" s="41"/>
      <c r="F312" s="11">
        <v>3</v>
      </c>
      <c r="G312" s="11"/>
      <c r="H312" s="11"/>
      <c r="I312" s="11"/>
      <c r="J312" s="10" t="s">
        <v>4177</v>
      </c>
      <c r="K312" s="6" t="s">
        <v>4202</v>
      </c>
      <c r="L312" s="8" t="s">
        <v>3673</v>
      </c>
      <c r="M312" s="11"/>
      <c r="N312" s="11"/>
      <c r="O312" s="11"/>
      <c r="P312" s="6" t="s">
        <v>4193</v>
      </c>
      <c r="Q312" s="10"/>
      <c r="R312" s="11"/>
      <c r="S312" s="11"/>
      <c r="T312" s="11"/>
      <c r="U312" s="11"/>
      <c r="V312" s="11"/>
      <c r="W312" s="11"/>
      <c r="X312" s="11"/>
      <c r="Y312" s="2"/>
      <c r="Z312" s="2"/>
      <c r="AA312" s="2"/>
      <c r="AB312" s="2"/>
      <c r="AC312" s="2"/>
      <c r="AD312" s="2"/>
      <c r="AE312" s="2"/>
      <c r="AF312" s="2"/>
      <c r="AG312" s="2"/>
      <c r="AH312" s="2"/>
      <c r="AI312" s="2"/>
      <c r="AJ312" s="2"/>
      <c r="AK312" s="2"/>
      <c r="AL312" s="2"/>
      <c r="AM312" s="2"/>
      <c r="AN312" s="2"/>
    </row>
    <row r="313" spans="3:40" ht="26.25" x14ac:dyDescent="0.25">
      <c r="C313" s="11"/>
      <c r="D313" s="11"/>
      <c r="E313" s="41"/>
      <c r="F313" s="11">
        <v>3</v>
      </c>
      <c r="G313" s="11"/>
      <c r="H313" s="11"/>
      <c r="I313" s="11"/>
      <c r="J313" s="10" t="s">
        <v>4180</v>
      </c>
      <c r="K313" s="10" t="s">
        <v>4181</v>
      </c>
      <c r="L313" s="8" t="s">
        <v>3673</v>
      </c>
      <c r="M313" s="11"/>
      <c r="N313" s="11"/>
      <c r="O313" s="11"/>
      <c r="P313" s="10" t="s">
        <v>4182</v>
      </c>
      <c r="Q313" s="10"/>
      <c r="R313" s="11"/>
      <c r="S313" s="11"/>
      <c r="T313" s="11"/>
      <c r="U313" s="11"/>
      <c r="V313" s="11"/>
      <c r="W313" s="11"/>
      <c r="X313" s="11"/>
      <c r="Y313" s="2"/>
      <c r="Z313" s="2"/>
      <c r="AA313" s="2"/>
      <c r="AB313" s="2"/>
      <c r="AC313" s="2"/>
      <c r="AD313" s="2"/>
      <c r="AE313" s="2"/>
      <c r="AF313" s="2"/>
      <c r="AG313" s="2"/>
      <c r="AH313" s="2"/>
      <c r="AI313" s="2"/>
      <c r="AJ313" s="2"/>
      <c r="AK313" s="2"/>
      <c r="AL313" s="2"/>
      <c r="AM313" s="2"/>
      <c r="AN313" s="2"/>
    </row>
    <row r="314" spans="3:40" ht="39" x14ac:dyDescent="0.25">
      <c r="C314" s="11"/>
      <c r="D314" s="11"/>
      <c r="E314" s="41"/>
      <c r="F314" s="11">
        <v>3</v>
      </c>
      <c r="G314" s="11"/>
      <c r="H314" s="11"/>
      <c r="I314" s="11"/>
      <c r="J314" s="10" t="s">
        <v>4186</v>
      </c>
      <c r="K314" s="10" t="s">
        <v>4203</v>
      </c>
      <c r="L314" s="8" t="s">
        <v>3673</v>
      </c>
      <c r="M314" s="11"/>
      <c r="N314" s="11"/>
      <c r="O314" s="11"/>
      <c r="P314" s="10" t="s">
        <v>4188</v>
      </c>
      <c r="Q314" s="10"/>
      <c r="R314" s="11"/>
      <c r="S314" s="11"/>
      <c r="T314" s="11"/>
      <c r="U314" s="11"/>
      <c r="V314" s="11"/>
      <c r="W314" s="11"/>
      <c r="X314" s="11"/>
      <c r="Y314" s="2"/>
      <c r="Z314" s="2"/>
      <c r="AA314" s="2"/>
      <c r="AB314" s="2"/>
      <c r="AC314" s="2"/>
      <c r="AD314" s="2"/>
      <c r="AE314" s="2"/>
      <c r="AF314" s="2"/>
      <c r="AG314" s="2"/>
      <c r="AH314" s="2"/>
      <c r="AI314" s="2"/>
      <c r="AJ314" s="2"/>
      <c r="AK314" s="2"/>
      <c r="AL314" s="2"/>
      <c r="AM314" s="2"/>
      <c r="AN314" s="2"/>
    </row>
    <row r="315" spans="3:40" ht="26.25" x14ac:dyDescent="0.25">
      <c r="C315" s="11"/>
      <c r="D315" s="11"/>
      <c r="E315" s="41"/>
      <c r="F315" s="11">
        <v>3</v>
      </c>
      <c r="G315" s="11"/>
      <c r="H315" s="11"/>
      <c r="I315" s="11"/>
      <c r="J315" s="10" t="s">
        <v>4198</v>
      </c>
      <c r="K315" s="10" t="s">
        <v>4199</v>
      </c>
      <c r="L315" s="8" t="s">
        <v>4200</v>
      </c>
      <c r="M315" s="11"/>
      <c r="N315" s="11"/>
      <c r="O315" s="11"/>
      <c r="P315" s="10"/>
      <c r="Q315" s="10"/>
      <c r="R315" s="11"/>
      <c r="S315" s="11"/>
      <c r="T315" s="11"/>
      <c r="U315" s="11"/>
      <c r="V315" s="11"/>
      <c r="W315" s="11"/>
      <c r="X315" s="11"/>
      <c r="Y315" s="2"/>
      <c r="Z315" s="2"/>
      <c r="AA315" s="2"/>
      <c r="AB315" s="2"/>
      <c r="AC315" s="2"/>
      <c r="AD315" s="2"/>
      <c r="AE315" s="2"/>
      <c r="AF315" s="2"/>
      <c r="AG315" s="2"/>
      <c r="AH315" s="2"/>
      <c r="AI315" s="2"/>
      <c r="AJ315" s="2"/>
      <c r="AK315" s="2"/>
      <c r="AL315" s="2"/>
      <c r="AM315" s="2"/>
      <c r="AN315" s="2"/>
    </row>
    <row r="316" spans="3:40" x14ac:dyDescent="0.25">
      <c r="C316" s="11"/>
      <c r="D316" s="11"/>
      <c r="E316" s="939">
        <v>2</v>
      </c>
      <c r="F316" s="1245" t="s">
        <v>4204</v>
      </c>
      <c r="G316" s="1245"/>
      <c r="H316" s="1245"/>
      <c r="I316" s="1245"/>
      <c r="J316" s="1245"/>
      <c r="K316" s="931"/>
      <c r="L316" s="932"/>
      <c r="M316" s="931"/>
      <c r="N316" s="941" t="str">
        <f>HYPERLINK("http://wiki.academyofsports.online/tiki-index.php?page=Weiterbildungsdatenbank-Saar", "WDB Saar")</f>
        <v>WDB Saar</v>
      </c>
      <c r="O316" s="931"/>
      <c r="P316" s="945"/>
      <c r="Q316" s="945"/>
      <c r="R316" s="931"/>
      <c r="S316" s="931"/>
      <c r="T316" s="931"/>
      <c r="U316" s="931"/>
      <c r="V316" s="931"/>
      <c r="W316" s="931"/>
      <c r="X316" s="931"/>
      <c r="Y316" s="2"/>
      <c r="Z316" s="2"/>
      <c r="AA316" s="2"/>
      <c r="AB316" s="2"/>
      <c r="AC316" s="2"/>
      <c r="AD316" s="2"/>
      <c r="AE316" s="2"/>
      <c r="AF316" s="2"/>
      <c r="AG316" s="2"/>
      <c r="AH316" s="2"/>
      <c r="AI316" s="2"/>
      <c r="AJ316" s="2"/>
      <c r="AK316" s="2"/>
      <c r="AL316" s="2"/>
      <c r="AM316" s="2"/>
      <c r="AN316" s="2"/>
    </row>
    <row r="317" spans="3:40" ht="30" x14ac:dyDescent="0.25">
      <c r="C317" s="11"/>
      <c r="D317" s="11"/>
      <c r="E317" s="41"/>
      <c r="F317" s="11">
        <v>3</v>
      </c>
      <c r="G317" s="11"/>
      <c r="H317" s="11"/>
      <c r="I317" s="11"/>
      <c r="J317" s="10" t="s">
        <v>4174</v>
      </c>
      <c r="K317" s="6" t="s">
        <v>4205</v>
      </c>
      <c r="L317" s="8" t="s">
        <v>3673</v>
      </c>
      <c r="M317" s="11"/>
      <c r="N317" s="11"/>
      <c r="O317" s="11"/>
      <c r="P317" s="10" t="s">
        <v>4176</v>
      </c>
      <c r="Q317" s="10"/>
      <c r="R317" s="11"/>
      <c r="S317" s="11"/>
      <c r="T317" s="11"/>
      <c r="U317" s="11"/>
      <c r="V317" s="11"/>
      <c r="W317" s="11"/>
      <c r="X317" s="11"/>
      <c r="Y317" s="2"/>
      <c r="Z317" s="2"/>
      <c r="AA317" s="2"/>
      <c r="AB317" s="2"/>
      <c r="AC317" s="2"/>
      <c r="AD317" s="2"/>
      <c r="AE317" s="2"/>
      <c r="AF317" s="2"/>
      <c r="AG317" s="2"/>
      <c r="AH317" s="2"/>
      <c r="AI317" s="2"/>
      <c r="AJ317" s="2"/>
      <c r="AK317" s="2"/>
      <c r="AL317" s="2"/>
      <c r="AM317" s="2"/>
      <c r="AN317" s="2"/>
    </row>
    <row r="318" spans="3:40" ht="30" x14ac:dyDescent="0.25">
      <c r="C318" s="11"/>
      <c r="D318" s="11"/>
      <c r="E318" s="41"/>
      <c r="F318" s="11">
        <v>3</v>
      </c>
      <c r="G318" s="11"/>
      <c r="H318" s="11"/>
      <c r="I318" s="11"/>
      <c r="J318" s="10" t="s">
        <v>4177</v>
      </c>
      <c r="K318" s="6" t="s">
        <v>4206</v>
      </c>
      <c r="L318" s="8" t="s">
        <v>3673</v>
      </c>
      <c r="M318" s="11"/>
      <c r="N318" s="11"/>
      <c r="O318" s="11"/>
      <c r="P318" s="6" t="s">
        <v>4193</v>
      </c>
      <c r="Q318" s="10"/>
      <c r="R318" s="11"/>
      <c r="S318" s="11"/>
      <c r="T318" s="11"/>
      <c r="U318" s="11"/>
      <c r="V318" s="11"/>
      <c r="W318" s="11"/>
      <c r="X318" s="11"/>
      <c r="Y318" s="2"/>
      <c r="Z318" s="2"/>
      <c r="AA318" s="2"/>
      <c r="AB318" s="2"/>
      <c r="AC318" s="2"/>
      <c r="AD318" s="2"/>
      <c r="AE318" s="2"/>
      <c r="AF318" s="2"/>
      <c r="AG318" s="2"/>
      <c r="AH318" s="2"/>
      <c r="AI318" s="2"/>
      <c r="AJ318" s="2"/>
      <c r="AK318" s="2"/>
      <c r="AL318" s="2"/>
      <c r="AM318" s="2"/>
      <c r="AN318" s="2"/>
    </row>
    <row r="319" spans="3:40" ht="26.25" x14ac:dyDescent="0.25">
      <c r="C319" s="11"/>
      <c r="D319" s="11"/>
      <c r="E319" s="41"/>
      <c r="F319" s="11">
        <v>3</v>
      </c>
      <c r="G319" s="11"/>
      <c r="H319" s="11"/>
      <c r="I319" s="11"/>
      <c r="J319" s="10" t="s">
        <v>4180</v>
      </c>
      <c r="K319" s="10" t="s">
        <v>4181</v>
      </c>
      <c r="L319" s="8" t="s">
        <v>3673</v>
      </c>
      <c r="M319" s="11"/>
      <c r="N319" s="11"/>
      <c r="O319" s="11"/>
      <c r="P319" s="10" t="s">
        <v>4182</v>
      </c>
      <c r="Q319" s="10"/>
      <c r="R319" s="11"/>
      <c r="S319" s="11"/>
      <c r="T319" s="11"/>
      <c r="U319" s="11"/>
      <c r="V319" s="11"/>
      <c r="W319" s="11"/>
      <c r="X319" s="11"/>
      <c r="Y319" s="2"/>
      <c r="Z319" s="2"/>
      <c r="AA319" s="2"/>
      <c r="AB319" s="2"/>
      <c r="AC319" s="2"/>
      <c r="AD319" s="2"/>
      <c r="AE319" s="2"/>
      <c r="AF319" s="2"/>
      <c r="AG319" s="2"/>
      <c r="AH319" s="2"/>
      <c r="AI319" s="2"/>
      <c r="AJ319" s="2"/>
      <c r="AK319" s="2"/>
      <c r="AL319" s="2"/>
      <c r="AM319" s="2"/>
      <c r="AN319" s="2"/>
    </row>
    <row r="320" spans="3:40" x14ac:dyDescent="0.25">
      <c r="C320" s="11"/>
      <c r="D320" s="11"/>
      <c r="E320" s="939">
        <v>2</v>
      </c>
      <c r="F320" s="1245" t="s">
        <v>4207</v>
      </c>
      <c r="G320" s="1245"/>
      <c r="H320" s="1245"/>
      <c r="I320" s="1245"/>
      <c r="J320" s="1245"/>
      <c r="K320" s="931"/>
      <c r="L320" s="932"/>
      <c r="M320" s="931"/>
      <c r="N320" s="941" t="str">
        <f>HYPERLINK("http://wiki.academyofsports.online/tiki-index.php?page=Weiterbildungsdatenbank-|-Brandenburg", "WDB ")</f>
        <v xml:space="preserve">WDB </v>
      </c>
      <c r="O320" s="931"/>
      <c r="P320" s="945"/>
      <c r="Q320" s="945"/>
      <c r="R320" s="931"/>
      <c r="S320" s="931"/>
      <c r="T320" s="931"/>
      <c r="U320" s="931"/>
      <c r="V320" s="931"/>
      <c r="W320" s="931"/>
      <c r="X320" s="931"/>
      <c r="Y320" s="2"/>
      <c r="Z320" s="2"/>
      <c r="AA320" s="2"/>
      <c r="AB320" s="2"/>
      <c r="AC320" s="2"/>
      <c r="AD320" s="2"/>
      <c r="AE320" s="2"/>
      <c r="AF320" s="2"/>
      <c r="AG320" s="2"/>
      <c r="AH320" s="2"/>
      <c r="AI320" s="2"/>
      <c r="AJ320" s="2"/>
      <c r="AK320" s="2"/>
      <c r="AL320" s="2"/>
      <c r="AM320" s="2"/>
      <c r="AN320" s="2"/>
    </row>
    <row r="321" spans="3:40" ht="30" x14ac:dyDescent="0.25">
      <c r="C321" s="11"/>
      <c r="D321" s="11"/>
      <c r="E321" s="41"/>
      <c r="F321" s="11">
        <v>3</v>
      </c>
      <c r="G321" s="11"/>
      <c r="H321" s="11"/>
      <c r="I321" s="11"/>
      <c r="J321" s="10" t="s">
        <v>4174</v>
      </c>
      <c r="K321" s="6" t="s">
        <v>4205</v>
      </c>
      <c r="L321" s="8" t="s">
        <v>3673</v>
      </c>
      <c r="M321" s="11"/>
      <c r="N321" s="11"/>
      <c r="O321" s="11"/>
      <c r="P321" s="10" t="s">
        <v>4176</v>
      </c>
      <c r="Q321" s="10"/>
      <c r="R321" s="11"/>
      <c r="S321" s="11"/>
      <c r="T321" s="11"/>
      <c r="U321" s="11"/>
      <c r="V321" s="11"/>
      <c r="W321" s="11"/>
      <c r="X321" s="11"/>
      <c r="Y321" s="2"/>
      <c r="Z321" s="2"/>
      <c r="AA321" s="2"/>
      <c r="AB321" s="2"/>
      <c r="AC321" s="2"/>
      <c r="AD321" s="2"/>
      <c r="AE321" s="2"/>
      <c r="AF321" s="2"/>
      <c r="AG321" s="2"/>
      <c r="AH321" s="2"/>
      <c r="AI321" s="2"/>
      <c r="AJ321" s="2"/>
      <c r="AK321" s="2"/>
      <c r="AL321" s="2"/>
      <c r="AM321" s="2"/>
      <c r="AN321" s="2"/>
    </row>
    <row r="322" spans="3:40" ht="43.5" x14ac:dyDescent="0.25">
      <c r="C322" s="11"/>
      <c r="D322" s="11"/>
      <c r="E322" s="41"/>
      <c r="F322" s="11">
        <v>3</v>
      </c>
      <c r="G322" s="11"/>
      <c r="H322" s="11"/>
      <c r="I322" s="11"/>
      <c r="J322" s="10" t="s">
        <v>4177</v>
      </c>
      <c r="K322" s="10" t="s">
        <v>4208</v>
      </c>
      <c r="L322" s="8" t="s">
        <v>3673</v>
      </c>
      <c r="M322" s="11"/>
      <c r="N322" s="11"/>
      <c r="O322" s="11"/>
      <c r="P322" s="6" t="s">
        <v>4193</v>
      </c>
      <c r="Q322" s="10"/>
      <c r="R322" s="11"/>
      <c r="S322" s="11"/>
      <c r="T322" s="11"/>
      <c r="U322" s="11"/>
      <c r="V322" s="11"/>
      <c r="W322" s="11"/>
      <c r="X322" s="11"/>
      <c r="Y322" s="2"/>
      <c r="Z322" s="2"/>
      <c r="AA322" s="2"/>
      <c r="AB322" s="2"/>
      <c r="AC322" s="2"/>
      <c r="AD322" s="2"/>
      <c r="AE322" s="2"/>
      <c r="AF322" s="2"/>
      <c r="AG322" s="2"/>
      <c r="AH322" s="2"/>
      <c r="AI322" s="2"/>
      <c r="AJ322" s="2"/>
      <c r="AK322" s="2"/>
      <c r="AL322" s="2"/>
      <c r="AM322" s="2"/>
      <c r="AN322" s="2"/>
    </row>
    <row r="323" spans="3:40" ht="26.25" x14ac:dyDescent="0.25">
      <c r="C323" s="11"/>
      <c r="D323" s="11"/>
      <c r="E323" s="41"/>
      <c r="F323" s="11">
        <v>3</v>
      </c>
      <c r="G323" s="11"/>
      <c r="H323" s="11"/>
      <c r="I323" s="11"/>
      <c r="J323" s="10" t="s">
        <v>4180</v>
      </c>
      <c r="K323" s="10" t="s">
        <v>4181</v>
      </c>
      <c r="L323" s="8" t="s">
        <v>3673</v>
      </c>
      <c r="M323" s="11"/>
      <c r="N323" s="11"/>
      <c r="O323" s="11"/>
      <c r="P323" s="10" t="s">
        <v>4182</v>
      </c>
      <c r="Q323" s="10"/>
      <c r="R323" s="11"/>
      <c r="S323" s="11"/>
      <c r="T323" s="11"/>
      <c r="U323" s="11"/>
      <c r="V323" s="11"/>
      <c r="W323" s="11"/>
      <c r="X323" s="11"/>
      <c r="Y323" s="2"/>
      <c r="Z323" s="2"/>
      <c r="AA323" s="2"/>
      <c r="AB323" s="2"/>
      <c r="AC323" s="2"/>
      <c r="AD323" s="2"/>
      <c r="AE323" s="2"/>
      <c r="AF323" s="2"/>
      <c r="AG323" s="2"/>
      <c r="AH323" s="2"/>
      <c r="AI323" s="2"/>
      <c r="AJ323" s="2"/>
      <c r="AK323" s="2"/>
      <c r="AL323" s="2"/>
      <c r="AM323" s="2"/>
      <c r="AN323" s="2"/>
    </row>
    <row r="324" spans="3:40" x14ac:dyDescent="0.25">
      <c r="C324" s="11"/>
      <c r="D324" s="11"/>
      <c r="E324" s="939">
        <v>2</v>
      </c>
      <c r="F324" s="1245" t="s">
        <v>4209</v>
      </c>
      <c r="G324" s="1245"/>
      <c r="H324" s="1245"/>
      <c r="I324" s="1245"/>
      <c r="J324" s="1245"/>
      <c r="K324" s="931"/>
      <c r="L324" s="932"/>
      <c r="M324" s="931"/>
      <c r="N324" s="941" t="str">
        <f>HYPERLINK("http://wiki.academyofsports.online/tiki-index.php?page=Bildung.de", "Bildung.de")</f>
        <v>Bildung.de</v>
      </c>
      <c r="O324" s="931"/>
      <c r="P324" s="945"/>
      <c r="Q324" s="945"/>
      <c r="R324" s="931"/>
      <c r="S324" s="931"/>
      <c r="T324" s="931"/>
      <c r="U324" s="931"/>
      <c r="V324" s="931"/>
      <c r="W324" s="931"/>
      <c r="X324" s="931"/>
      <c r="Y324" s="2"/>
      <c r="Z324" s="2"/>
      <c r="AA324" s="2"/>
      <c r="AB324" s="2"/>
      <c r="AC324" s="2"/>
      <c r="AD324" s="2"/>
      <c r="AE324" s="2"/>
      <c r="AF324" s="2"/>
      <c r="AG324" s="2"/>
      <c r="AH324" s="2"/>
      <c r="AI324" s="2"/>
      <c r="AJ324" s="2"/>
      <c r="AK324" s="2"/>
      <c r="AL324" s="2"/>
      <c r="AM324" s="2"/>
      <c r="AN324" s="2"/>
    </row>
    <row r="325" spans="3:40" ht="45" x14ac:dyDescent="0.25">
      <c r="C325" s="11"/>
      <c r="D325" s="11"/>
      <c r="E325" s="41"/>
      <c r="F325" s="11">
        <v>3</v>
      </c>
      <c r="G325" s="11"/>
      <c r="H325" s="11"/>
      <c r="I325" s="11"/>
      <c r="J325" s="10" t="s">
        <v>4174</v>
      </c>
      <c r="K325" s="10" t="s">
        <v>4210</v>
      </c>
      <c r="L325" s="8" t="s">
        <v>3673</v>
      </c>
      <c r="M325" s="11"/>
      <c r="N325" s="11"/>
      <c r="O325" s="11"/>
      <c r="P325" s="10" t="s">
        <v>4176</v>
      </c>
      <c r="Q325" s="6" t="s">
        <v>4211</v>
      </c>
      <c r="R325" s="11"/>
      <c r="S325" s="11"/>
      <c r="T325" s="11"/>
      <c r="U325" s="11"/>
      <c r="V325" s="11"/>
      <c r="W325" s="11"/>
      <c r="X325" s="11"/>
      <c r="Y325" s="2"/>
      <c r="Z325" s="2"/>
      <c r="AA325" s="2"/>
      <c r="AB325" s="2"/>
      <c r="AC325" s="2"/>
      <c r="AD325" s="2"/>
      <c r="AE325" s="2"/>
      <c r="AF325" s="2"/>
      <c r="AG325" s="2"/>
      <c r="AH325" s="2"/>
      <c r="AI325" s="2"/>
      <c r="AJ325" s="2"/>
      <c r="AK325" s="2"/>
      <c r="AL325" s="2"/>
      <c r="AM325" s="2"/>
      <c r="AN325" s="2"/>
    </row>
    <row r="326" spans="3:40" ht="45" x14ac:dyDescent="0.25">
      <c r="C326" s="11"/>
      <c r="D326" s="11"/>
      <c r="E326" s="41"/>
      <c r="F326" s="11">
        <v>3</v>
      </c>
      <c r="G326" s="11"/>
      <c r="H326" s="11"/>
      <c r="I326" s="11"/>
      <c r="J326" s="10" t="s">
        <v>4177</v>
      </c>
      <c r="K326" s="6" t="s">
        <v>4206</v>
      </c>
      <c r="L326" s="8" t="s">
        <v>3673</v>
      </c>
      <c r="M326" s="11"/>
      <c r="N326" s="11"/>
      <c r="O326" s="11"/>
      <c r="P326" s="6" t="s">
        <v>4193</v>
      </c>
      <c r="Q326" s="6" t="s">
        <v>4211</v>
      </c>
      <c r="R326" s="11"/>
      <c r="S326" s="11"/>
      <c r="T326" s="11"/>
      <c r="U326" s="11"/>
      <c r="V326" s="11"/>
      <c r="W326" s="11"/>
      <c r="X326" s="11"/>
      <c r="Y326" s="2"/>
      <c r="Z326" s="2"/>
      <c r="AA326" s="2"/>
      <c r="AB326" s="2"/>
      <c r="AC326" s="2"/>
      <c r="AD326" s="2"/>
      <c r="AE326" s="2"/>
      <c r="AF326" s="2"/>
      <c r="AG326" s="2"/>
      <c r="AH326" s="2"/>
      <c r="AI326" s="2"/>
      <c r="AJ326" s="2"/>
      <c r="AK326" s="2"/>
      <c r="AL326" s="2"/>
      <c r="AM326" s="2"/>
      <c r="AN326" s="2"/>
    </row>
    <row r="327" spans="3:40" ht="45" x14ac:dyDescent="0.25">
      <c r="C327" s="11"/>
      <c r="D327" s="11"/>
      <c r="E327" s="41"/>
      <c r="F327" s="11">
        <v>3</v>
      </c>
      <c r="G327" s="11"/>
      <c r="H327" s="11"/>
      <c r="I327" s="11"/>
      <c r="J327" s="10" t="s">
        <v>4180</v>
      </c>
      <c r="K327" s="10" t="s">
        <v>4181</v>
      </c>
      <c r="L327" s="8" t="s">
        <v>3673</v>
      </c>
      <c r="M327" s="11"/>
      <c r="N327" s="11"/>
      <c r="O327" s="11"/>
      <c r="P327" s="10" t="s">
        <v>4182</v>
      </c>
      <c r="Q327" s="6" t="s">
        <v>4212</v>
      </c>
      <c r="R327" s="11"/>
      <c r="S327" s="11"/>
      <c r="T327" s="11"/>
      <c r="U327" s="11"/>
      <c r="V327" s="11"/>
      <c r="W327" s="11"/>
      <c r="X327" s="11"/>
      <c r="Y327" s="2"/>
      <c r="Z327" s="2"/>
      <c r="AA327" s="2"/>
      <c r="AB327" s="2"/>
      <c r="AC327" s="2"/>
      <c r="AD327" s="2"/>
      <c r="AE327" s="2"/>
      <c r="AF327" s="2"/>
      <c r="AG327" s="2"/>
      <c r="AH327" s="2"/>
      <c r="AI327" s="2"/>
      <c r="AJ327" s="2"/>
      <c r="AK327" s="2"/>
      <c r="AL327" s="2"/>
      <c r="AM327" s="2"/>
      <c r="AN327" s="2"/>
    </row>
    <row r="328" spans="3:40" x14ac:dyDescent="0.25">
      <c r="C328" s="11"/>
      <c r="D328" s="11"/>
      <c r="E328" s="41"/>
      <c r="F328" s="11">
        <v>3</v>
      </c>
      <c r="G328" s="11"/>
      <c r="H328" s="11"/>
      <c r="I328" s="11"/>
      <c r="J328" s="10" t="s">
        <v>4186</v>
      </c>
      <c r="K328" s="10" t="s">
        <v>4187</v>
      </c>
      <c r="L328" s="8" t="s">
        <v>3673</v>
      </c>
      <c r="M328" s="11"/>
      <c r="N328" s="11"/>
      <c r="O328" s="11"/>
      <c r="P328" s="10" t="s">
        <v>4188</v>
      </c>
      <c r="Q328" s="10"/>
      <c r="R328" s="11"/>
      <c r="S328" s="11"/>
      <c r="T328" s="11"/>
      <c r="U328" s="11"/>
      <c r="V328" s="11"/>
      <c r="W328" s="11"/>
      <c r="X328" s="11"/>
      <c r="Y328" s="2"/>
      <c r="Z328" s="2"/>
      <c r="AA328" s="2"/>
      <c r="AB328" s="2"/>
      <c r="AC328" s="2"/>
      <c r="AD328" s="2"/>
      <c r="AE328" s="2"/>
      <c r="AF328" s="2"/>
      <c r="AG328" s="2"/>
      <c r="AH328" s="2"/>
      <c r="AI328" s="2"/>
      <c r="AJ328" s="2"/>
      <c r="AK328" s="2"/>
      <c r="AL328" s="2"/>
      <c r="AM328" s="2"/>
      <c r="AN328" s="2"/>
    </row>
    <row r="329" spans="3:40" x14ac:dyDescent="0.25">
      <c r="C329" s="11"/>
      <c r="D329" s="11"/>
      <c r="E329" s="939">
        <v>2</v>
      </c>
      <c r="F329" s="1245" t="s">
        <v>3686</v>
      </c>
      <c r="G329" s="1245"/>
      <c r="H329" s="1245"/>
      <c r="I329" s="1245"/>
      <c r="J329" s="1245"/>
      <c r="K329" s="931"/>
      <c r="L329" s="932"/>
      <c r="M329" s="931"/>
      <c r="N329" s="941" t="str">
        <f>HYPERLINK("http://wiki.academyofsports.online/tiki-index.php?page=Seminarzoom-|-Bildungsportal", "Seminarzoom")</f>
        <v>Seminarzoom</v>
      </c>
      <c r="O329" s="931"/>
      <c r="P329" s="931"/>
      <c r="Q329" s="931"/>
      <c r="R329" s="931"/>
      <c r="S329" s="931"/>
      <c r="T329" s="931"/>
      <c r="U329" s="931"/>
      <c r="V329" s="931"/>
      <c r="W329" s="931"/>
      <c r="X329" s="931"/>
      <c r="Y329" s="2"/>
      <c r="Z329" s="2"/>
      <c r="AA329" s="2"/>
      <c r="AB329" s="2"/>
      <c r="AC329" s="2"/>
      <c r="AD329" s="2"/>
      <c r="AE329" s="2"/>
      <c r="AF329" s="2"/>
      <c r="AG329" s="2"/>
      <c r="AH329" s="2"/>
      <c r="AI329" s="2"/>
      <c r="AJ329" s="2"/>
      <c r="AK329" s="2"/>
      <c r="AL329" s="2"/>
      <c r="AM329" s="2"/>
      <c r="AN329" s="2"/>
    </row>
    <row r="330" spans="3:40" ht="45" x14ac:dyDescent="0.25">
      <c r="C330" s="11"/>
      <c r="D330" s="11"/>
      <c r="E330" s="41"/>
      <c r="F330" s="11">
        <v>3</v>
      </c>
      <c r="G330" s="11"/>
      <c r="H330" s="11"/>
      <c r="I330" s="11"/>
      <c r="J330" s="10" t="s">
        <v>4174</v>
      </c>
      <c r="K330" s="6" t="s">
        <v>4213</v>
      </c>
      <c r="L330" s="8" t="s">
        <v>3673</v>
      </c>
      <c r="M330" s="11"/>
      <c r="N330" s="11"/>
      <c r="O330" s="11"/>
      <c r="P330" s="10" t="s">
        <v>4176</v>
      </c>
      <c r="Q330" s="6" t="s">
        <v>4214</v>
      </c>
      <c r="R330" s="11"/>
      <c r="S330" s="11"/>
      <c r="T330" s="11"/>
      <c r="U330" s="11"/>
      <c r="V330" s="11"/>
      <c r="W330" s="11"/>
      <c r="X330" s="11"/>
      <c r="Y330" s="2"/>
      <c r="Z330" s="2"/>
      <c r="AA330" s="2"/>
      <c r="AB330" s="2"/>
      <c r="AC330" s="2"/>
      <c r="AD330" s="2"/>
      <c r="AE330" s="2"/>
      <c r="AF330" s="2"/>
      <c r="AG330" s="2"/>
      <c r="AH330" s="2"/>
      <c r="AI330" s="2"/>
      <c r="AJ330" s="2"/>
      <c r="AK330" s="2"/>
      <c r="AL330" s="2"/>
      <c r="AM330" s="2"/>
      <c r="AN330" s="2"/>
    </row>
    <row r="331" spans="3:40" ht="45" x14ac:dyDescent="0.25">
      <c r="C331" s="11"/>
      <c r="D331" s="11"/>
      <c r="E331" s="41"/>
      <c r="F331" s="11">
        <v>3</v>
      </c>
      <c r="G331" s="11"/>
      <c r="H331" s="11"/>
      <c r="I331" s="11"/>
      <c r="J331" s="10" t="s">
        <v>4177</v>
      </c>
      <c r="K331" s="6" t="s">
        <v>4206</v>
      </c>
      <c r="L331" s="8" t="s">
        <v>3673</v>
      </c>
      <c r="M331" s="11"/>
      <c r="N331" s="11"/>
      <c r="O331" s="11"/>
      <c r="P331" s="6" t="s">
        <v>4193</v>
      </c>
      <c r="Q331" s="6" t="s">
        <v>4214</v>
      </c>
      <c r="R331" s="11"/>
      <c r="S331" s="11"/>
      <c r="T331" s="11"/>
      <c r="U331" s="11"/>
      <c r="V331" s="11"/>
      <c r="W331" s="11"/>
      <c r="X331" s="11"/>
      <c r="Y331" s="2"/>
      <c r="Z331" s="2"/>
      <c r="AA331" s="2"/>
      <c r="AB331" s="2"/>
      <c r="AC331" s="2"/>
      <c r="AD331" s="2"/>
      <c r="AE331" s="2"/>
      <c r="AF331" s="2"/>
      <c r="AG331" s="2"/>
      <c r="AH331" s="2"/>
      <c r="AI331" s="2"/>
      <c r="AJ331" s="2"/>
      <c r="AK331" s="2"/>
      <c r="AL331" s="2"/>
      <c r="AM331" s="2"/>
      <c r="AN331" s="2"/>
    </row>
    <row r="332" spans="3:40" ht="45" x14ac:dyDescent="0.25">
      <c r="C332" s="11"/>
      <c r="D332" s="11"/>
      <c r="E332" s="41"/>
      <c r="F332" s="11">
        <v>3</v>
      </c>
      <c r="G332" s="11"/>
      <c r="H332" s="11"/>
      <c r="I332" s="11"/>
      <c r="J332" s="10" t="s">
        <v>4180</v>
      </c>
      <c r="K332" s="10" t="s">
        <v>4181</v>
      </c>
      <c r="L332" s="8" t="s">
        <v>3673</v>
      </c>
      <c r="M332" s="11"/>
      <c r="N332" s="11"/>
      <c r="O332" s="11"/>
      <c r="P332" s="10" t="s">
        <v>4182</v>
      </c>
      <c r="Q332" s="6" t="s">
        <v>4215</v>
      </c>
      <c r="R332" s="11"/>
      <c r="S332" s="11"/>
      <c r="T332" s="11"/>
      <c r="U332" s="11"/>
      <c r="V332" s="11"/>
      <c r="W332" s="11"/>
      <c r="X332" s="11"/>
      <c r="Y332" s="2"/>
      <c r="Z332" s="2"/>
      <c r="AA332" s="2"/>
      <c r="AB332" s="2"/>
      <c r="AC332" s="2"/>
      <c r="AD332" s="2"/>
      <c r="AE332" s="2"/>
      <c r="AF332" s="2"/>
      <c r="AG332" s="2"/>
      <c r="AH332" s="2"/>
      <c r="AI332" s="2"/>
      <c r="AJ332" s="2"/>
      <c r="AK332" s="2"/>
      <c r="AL332" s="2"/>
      <c r="AM332" s="2"/>
      <c r="AN332" s="2"/>
    </row>
    <row r="333" spans="3:40" ht="15.75" customHeight="1" x14ac:dyDescent="0.25">
      <c r="C333" s="11"/>
      <c r="D333" s="11"/>
      <c r="E333" s="939">
        <v>2</v>
      </c>
      <c r="F333" s="1245" t="s">
        <v>3749</v>
      </c>
      <c r="G333" s="1245"/>
      <c r="H333" s="1245"/>
      <c r="I333" s="1245"/>
      <c r="J333" s="1245"/>
      <c r="K333" s="931"/>
      <c r="L333" s="932"/>
      <c r="M333" s="931"/>
      <c r="N333" s="941" t="str">
        <f>HYPERLINK("http://wiki.academyofsports.online/tiki-index.php?page=Springest", "Springest")</f>
        <v>Springest</v>
      </c>
      <c r="O333" s="931"/>
      <c r="P333" s="931"/>
      <c r="Q333" s="945"/>
      <c r="R333" s="931"/>
      <c r="S333" s="931"/>
      <c r="T333" s="931"/>
      <c r="U333" s="931"/>
      <c r="V333" s="931"/>
      <c r="W333" s="931"/>
      <c r="X333" s="931"/>
      <c r="Y333" s="2"/>
      <c r="Z333" s="2"/>
      <c r="AA333" s="2"/>
      <c r="AB333" s="2"/>
      <c r="AC333" s="2"/>
      <c r="AD333" s="2"/>
      <c r="AE333" s="2"/>
      <c r="AF333" s="2"/>
      <c r="AG333" s="2"/>
      <c r="AH333" s="2"/>
      <c r="AI333" s="2"/>
      <c r="AJ333" s="2"/>
      <c r="AK333" s="2"/>
      <c r="AL333" s="2"/>
      <c r="AM333" s="2"/>
      <c r="AN333" s="2"/>
    </row>
    <row r="334" spans="3:40" ht="60" x14ac:dyDescent="0.25">
      <c r="C334" s="11"/>
      <c r="D334" s="11"/>
      <c r="E334" s="41"/>
      <c r="F334" s="11">
        <v>3</v>
      </c>
      <c r="G334" s="11"/>
      <c r="H334" s="11"/>
      <c r="I334" s="11"/>
      <c r="J334" s="10" t="s">
        <v>4174</v>
      </c>
      <c r="K334" s="6" t="s">
        <v>4216</v>
      </c>
      <c r="L334" s="8" t="s">
        <v>3673</v>
      </c>
      <c r="M334" s="11"/>
      <c r="N334" s="11"/>
      <c r="O334" s="11"/>
      <c r="P334" s="6" t="s">
        <v>4190</v>
      </c>
      <c r="Q334" s="6" t="s">
        <v>4217</v>
      </c>
      <c r="R334" s="11"/>
      <c r="S334" s="11"/>
      <c r="T334" s="11"/>
      <c r="U334" s="11"/>
      <c r="V334" s="11"/>
      <c r="W334" s="11"/>
      <c r="X334" s="11"/>
      <c r="Y334" s="2"/>
      <c r="Z334" s="2"/>
      <c r="AA334" s="2"/>
      <c r="AB334" s="2"/>
      <c r="AC334" s="2"/>
      <c r="AD334" s="2"/>
      <c r="AE334" s="2"/>
      <c r="AF334" s="2"/>
      <c r="AG334" s="2"/>
      <c r="AH334" s="2"/>
      <c r="AI334" s="2"/>
      <c r="AJ334" s="2"/>
      <c r="AK334" s="2"/>
      <c r="AL334" s="2"/>
      <c r="AM334" s="2"/>
      <c r="AN334" s="2"/>
    </row>
    <row r="335" spans="3:40" ht="60" x14ac:dyDescent="0.25">
      <c r="C335" s="11"/>
      <c r="D335" s="11"/>
      <c r="E335" s="41"/>
      <c r="F335" s="11">
        <v>3</v>
      </c>
      <c r="G335" s="11"/>
      <c r="H335" s="11"/>
      <c r="I335" s="11"/>
      <c r="J335" s="10" t="s">
        <v>4177</v>
      </c>
      <c r="K335" s="6" t="s">
        <v>4206</v>
      </c>
      <c r="L335" s="8" t="s">
        <v>3673</v>
      </c>
      <c r="M335" s="11"/>
      <c r="N335" s="11"/>
      <c r="O335" s="11"/>
      <c r="P335" s="6" t="s">
        <v>4193</v>
      </c>
      <c r="Q335" s="6" t="s">
        <v>4217</v>
      </c>
      <c r="R335" s="11"/>
      <c r="S335" s="11"/>
      <c r="T335" s="11"/>
      <c r="U335" s="11"/>
      <c r="V335" s="11"/>
      <c r="W335" s="11"/>
      <c r="X335" s="11"/>
      <c r="Y335" s="2"/>
      <c r="Z335" s="2"/>
      <c r="AA335" s="2"/>
      <c r="AB335" s="2"/>
      <c r="AC335" s="2"/>
      <c r="AD335" s="2"/>
      <c r="AE335" s="2"/>
      <c r="AF335" s="2"/>
      <c r="AG335" s="2"/>
      <c r="AH335" s="2"/>
      <c r="AI335" s="2"/>
      <c r="AJ335" s="2"/>
      <c r="AK335" s="2"/>
      <c r="AL335" s="2"/>
      <c r="AM335" s="2"/>
      <c r="AN335" s="2"/>
    </row>
    <row r="336" spans="3:40" ht="45" x14ac:dyDescent="0.25">
      <c r="C336" s="11"/>
      <c r="D336" s="11"/>
      <c r="E336" s="41"/>
      <c r="F336" s="11">
        <v>3</v>
      </c>
      <c r="G336" s="11"/>
      <c r="H336" s="11"/>
      <c r="I336" s="11"/>
      <c r="J336" s="10" t="s">
        <v>4180</v>
      </c>
      <c r="K336" s="10" t="s">
        <v>4181</v>
      </c>
      <c r="L336" s="8" t="s">
        <v>3673</v>
      </c>
      <c r="M336" s="11"/>
      <c r="N336" s="11"/>
      <c r="O336" s="11"/>
      <c r="P336" s="10" t="s">
        <v>4182</v>
      </c>
      <c r="Q336" s="6" t="s">
        <v>4218</v>
      </c>
      <c r="R336" s="11"/>
      <c r="S336" s="11"/>
      <c r="T336" s="11"/>
      <c r="U336" s="11"/>
      <c r="V336" s="11"/>
      <c r="W336" s="11"/>
      <c r="X336" s="11"/>
      <c r="Y336" s="2"/>
      <c r="Z336" s="2"/>
      <c r="AA336" s="2"/>
      <c r="AB336" s="2"/>
      <c r="AC336" s="2"/>
      <c r="AD336" s="2"/>
      <c r="AE336" s="2"/>
      <c r="AF336" s="2"/>
      <c r="AG336" s="2"/>
      <c r="AH336" s="2"/>
      <c r="AI336" s="2"/>
      <c r="AJ336" s="2"/>
      <c r="AK336" s="2"/>
      <c r="AL336" s="2"/>
      <c r="AM336" s="2"/>
      <c r="AN336" s="2"/>
    </row>
    <row r="337" spans="3:40" x14ac:dyDescent="0.25">
      <c r="C337" s="11"/>
      <c r="D337" s="11"/>
      <c r="E337" s="41"/>
      <c r="F337" s="11">
        <v>3</v>
      </c>
      <c r="G337" s="11"/>
      <c r="H337" s="11"/>
      <c r="I337" s="11"/>
      <c r="J337" s="10" t="s">
        <v>4186</v>
      </c>
      <c r="K337" s="10" t="s">
        <v>4187</v>
      </c>
      <c r="L337" s="8" t="s">
        <v>3673</v>
      </c>
      <c r="M337" s="11"/>
      <c r="N337" s="11"/>
      <c r="O337" s="11"/>
      <c r="P337" s="10" t="s">
        <v>4188</v>
      </c>
      <c r="Q337" s="10"/>
      <c r="R337" s="11"/>
      <c r="S337" s="11"/>
      <c r="T337" s="11"/>
      <c r="U337" s="11"/>
      <c r="V337" s="11"/>
      <c r="W337" s="11"/>
      <c r="X337" s="11"/>
      <c r="Y337" s="2"/>
      <c r="Z337" s="2"/>
      <c r="AA337" s="2"/>
      <c r="AB337" s="2"/>
      <c r="AC337" s="2"/>
      <c r="AD337" s="2"/>
      <c r="AE337" s="2"/>
      <c r="AF337" s="2"/>
      <c r="AG337" s="2"/>
      <c r="AH337" s="2"/>
      <c r="AI337" s="2"/>
      <c r="AJ337" s="2"/>
      <c r="AK337" s="2"/>
      <c r="AL337" s="2"/>
      <c r="AM337" s="2"/>
      <c r="AN337" s="2"/>
    </row>
    <row r="338" spans="3:40" ht="15.75" customHeight="1" x14ac:dyDescent="0.25">
      <c r="C338" s="11"/>
      <c r="D338" s="11"/>
      <c r="E338" s="939">
        <v>2</v>
      </c>
      <c r="F338" s="1245" t="s">
        <v>4219</v>
      </c>
      <c r="G338" s="1245"/>
      <c r="H338" s="1245"/>
      <c r="I338" s="1245"/>
      <c r="J338" s="1245"/>
      <c r="K338" s="931"/>
      <c r="L338" s="932"/>
      <c r="M338" s="931"/>
      <c r="N338" s="941" t="str">
        <f>HYPERLINK("http://wiki.academyofsports.online/tiki-index.php?page=Weiterbildungs-Informations-System-(WIS)", "WIS")</f>
        <v>WIS</v>
      </c>
      <c r="O338" s="931"/>
      <c r="P338" s="931"/>
      <c r="Q338" s="945"/>
      <c r="R338" s="931"/>
      <c r="S338" s="931"/>
      <c r="T338" s="931"/>
      <c r="U338" s="931"/>
      <c r="V338" s="931"/>
      <c r="W338" s="931"/>
      <c r="X338" s="931"/>
      <c r="Y338" s="2"/>
      <c r="Z338" s="2"/>
      <c r="AA338" s="2"/>
      <c r="AB338" s="2"/>
      <c r="AC338" s="2"/>
      <c r="AD338" s="2"/>
      <c r="AE338" s="2"/>
      <c r="AF338" s="2"/>
      <c r="AG338" s="2"/>
      <c r="AH338" s="2"/>
      <c r="AI338" s="2"/>
      <c r="AJ338" s="2"/>
      <c r="AK338" s="2"/>
      <c r="AL338" s="2"/>
      <c r="AM338" s="2"/>
      <c r="AN338" s="2"/>
    </row>
    <row r="339" spans="3:40" ht="30" x14ac:dyDescent="0.25">
      <c r="C339" s="11"/>
      <c r="D339" s="11"/>
      <c r="E339" s="41"/>
      <c r="F339" s="11">
        <v>3</v>
      </c>
      <c r="G339" s="11"/>
      <c r="H339" s="11"/>
      <c r="I339" s="11"/>
      <c r="J339" s="10" t="s">
        <v>4174</v>
      </c>
      <c r="K339" s="6" t="s">
        <v>4216</v>
      </c>
      <c r="L339" s="8" t="s">
        <v>3673</v>
      </c>
      <c r="M339" s="11"/>
      <c r="N339" s="11"/>
      <c r="O339" s="11"/>
      <c r="P339" s="10" t="s">
        <v>4176</v>
      </c>
      <c r="Q339" s="10"/>
      <c r="R339" s="11"/>
      <c r="S339" s="11"/>
      <c r="T339" s="11"/>
      <c r="U339" s="11"/>
      <c r="V339" s="11"/>
      <c r="W339" s="11"/>
      <c r="X339" s="11"/>
      <c r="Y339" s="2"/>
      <c r="Z339" s="2"/>
      <c r="AA339" s="2"/>
      <c r="AB339" s="2"/>
      <c r="AC339" s="2"/>
      <c r="AD339" s="2"/>
      <c r="AE339" s="2"/>
      <c r="AF339" s="2"/>
      <c r="AG339" s="2"/>
      <c r="AH339" s="2"/>
      <c r="AI339" s="2"/>
      <c r="AJ339" s="2"/>
      <c r="AK339" s="2"/>
      <c r="AL339" s="2"/>
      <c r="AM339" s="2"/>
      <c r="AN339" s="2"/>
    </row>
    <row r="340" spans="3:40" ht="30" x14ac:dyDescent="0.25">
      <c r="C340" s="11"/>
      <c r="D340" s="11"/>
      <c r="E340" s="41"/>
      <c r="F340" s="11">
        <v>3</v>
      </c>
      <c r="G340" s="11"/>
      <c r="H340" s="11"/>
      <c r="I340" s="11"/>
      <c r="J340" s="10" t="s">
        <v>4177</v>
      </c>
      <c r="K340" s="6" t="s">
        <v>4206</v>
      </c>
      <c r="L340" s="8" t="s">
        <v>3673</v>
      </c>
      <c r="M340" s="11"/>
      <c r="N340" s="11"/>
      <c r="O340" s="11"/>
      <c r="P340" s="6" t="s">
        <v>4193</v>
      </c>
      <c r="Q340" s="10"/>
      <c r="R340" s="11"/>
      <c r="S340" s="11"/>
      <c r="T340" s="11"/>
      <c r="U340" s="11"/>
      <c r="V340" s="11"/>
      <c r="W340" s="11"/>
      <c r="X340" s="11"/>
      <c r="Y340" s="2"/>
      <c r="Z340" s="2"/>
      <c r="AA340" s="2"/>
      <c r="AB340" s="2"/>
      <c r="AC340" s="2"/>
      <c r="AD340" s="2"/>
      <c r="AE340" s="2"/>
      <c r="AF340" s="2"/>
      <c r="AG340" s="2"/>
      <c r="AH340" s="2"/>
      <c r="AI340" s="2"/>
      <c r="AJ340" s="2"/>
      <c r="AK340" s="2"/>
      <c r="AL340" s="2"/>
      <c r="AM340" s="2"/>
      <c r="AN340" s="2"/>
    </row>
    <row r="341" spans="3:40" ht="26.25" x14ac:dyDescent="0.25">
      <c r="C341" s="11"/>
      <c r="D341" s="11"/>
      <c r="E341" s="41"/>
      <c r="F341" s="11">
        <v>3</v>
      </c>
      <c r="G341" s="11"/>
      <c r="H341" s="11"/>
      <c r="I341" s="11"/>
      <c r="J341" s="10" t="s">
        <v>4180</v>
      </c>
      <c r="K341" s="10" t="s">
        <v>4181</v>
      </c>
      <c r="L341" s="8" t="s">
        <v>3673</v>
      </c>
      <c r="M341" s="11"/>
      <c r="N341" s="11"/>
      <c r="O341" s="11"/>
      <c r="P341" s="10" t="s">
        <v>4182</v>
      </c>
      <c r="Q341" s="10"/>
      <c r="R341" s="11"/>
      <c r="S341" s="11"/>
      <c r="T341" s="11"/>
      <c r="U341" s="11"/>
      <c r="V341" s="11"/>
      <c r="W341" s="11"/>
      <c r="X341" s="11"/>
      <c r="Y341" s="2"/>
      <c r="Z341" s="2"/>
      <c r="AA341" s="2"/>
      <c r="AB341" s="2"/>
      <c r="AC341" s="2"/>
      <c r="AD341" s="2"/>
      <c r="AE341" s="2"/>
      <c r="AF341" s="2"/>
      <c r="AG341" s="2"/>
      <c r="AH341" s="2"/>
      <c r="AI341" s="2"/>
      <c r="AJ341" s="2"/>
      <c r="AK341" s="2"/>
      <c r="AL341" s="2"/>
      <c r="AM341" s="2"/>
      <c r="AN341" s="2"/>
    </row>
    <row r="342" spans="3:40" x14ac:dyDescent="0.25">
      <c r="C342" s="11"/>
      <c r="D342" s="11"/>
      <c r="E342" s="939">
        <v>2</v>
      </c>
      <c r="F342" s="1245" t="s">
        <v>4220</v>
      </c>
      <c r="G342" s="1245"/>
      <c r="H342" s="1245"/>
      <c r="I342" s="1245"/>
      <c r="J342" s="1245"/>
      <c r="K342" s="931"/>
      <c r="L342" s="932"/>
      <c r="M342" s="931"/>
      <c r="N342" s="941" t="str">
        <f>HYPERLINK("http://wiki.academyofsports.online/tiki-index.php?page=Seminarb%C3%B6rse-|-Bildungsportal", "Seminarbörse")</f>
        <v>Seminarbörse</v>
      </c>
      <c r="O342" s="931"/>
      <c r="P342" s="931"/>
      <c r="Q342" s="945"/>
      <c r="R342" s="931"/>
      <c r="S342" s="931"/>
      <c r="T342" s="931"/>
      <c r="U342" s="931"/>
      <c r="V342" s="931"/>
      <c r="W342" s="931"/>
      <c r="X342" s="931"/>
      <c r="Y342" s="2"/>
      <c r="Z342" s="2"/>
      <c r="AA342" s="2"/>
      <c r="AB342" s="2"/>
      <c r="AC342" s="2"/>
      <c r="AD342" s="2"/>
      <c r="AE342" s="2"/>
      <c r="AF342" s="2"/>
      <c r="AG342" s="2"/>
      <c r="AH342" s="2"/>
      <c r="AI342" s="2"/>
      <c r="AJ342" s="2"/>
      <c r="AK342" s="2"/>
      <c r="AL342" s="2"/>
      <c r="AM342" s="2"/>
      <c r="AN342" s="2"/>
    </row>
    <row r="343" spans="3:40" ht="60" x14ac:dyDescent="0.25">
      <c r="C343" s="11"/>
      <c r="D343" s="11"/>
      <c r="E343" s="41"/>
      <c r="F343" s="11">
        <v>3</v>
      </c>
      <c r="G343" s="11"/>
      <c r="H343" s="11"/>
      <c r="I343" s="11"/>
      <c r="J343" s="10" t="s">
        <v>4174</v>
      </c>
      <c r="K343" s="6" t="s">
        <v>4216</v>
      </c>
      <c r="L343" s="8" t="s">
        <v>3673</v>
      </c>
      <c r="M343" s="11"/>
      <c r="N343" s="11"/>
      <c r="O343" s="11"/>
      <c r="P343" s="6" t="s">
        <v>4221</v>
      </c>
      <c r="Q343" s="10"/>
      <c r="R343" s="11"/>
      <c r="S343" s="11"/>
      <c r="T343" s="11"/>
      <c r="U343" s="11"/>
      <c r="V343" s="11"/>
      <c r="W343" s="11"/>
      <c r="X343" s="11"/>
      <c r="Y343" s="2"/>
      <c r="Z343" s="2"/>
      <c r="AA343" s="2"/>
      <c r="AB343" s="2"/>
      <c r="AC343" s="2"/>
      <c r="AD343" s="2"/>
      <c r="AE343" s="2"/>
      <c r="AF343" s="2"/>
      <c r="AG343" s="2"/>
      <c r="AH343" s="2"/>
      <c r="AI343" s="2"/>
      <c r="AJ343" s="2"/>
      <c r="AK343" s="2"/>
      <c r="AL343" s="2"/>
      <c r="AM343" s="2"/>
      <c r="AN343" s="2"/>
    </row>
    <row r="344" spans="3:40" ht="30" x14ac:dyDescent="0.25">
      <c r="C344" s="11"/>
      <c r="D344" s="11"/>
      <c r="E344" s="41"/>
      <c r="F344" s="11">
        <v>3</v>
      </c>
      <c r="G344" s="11"/>
      <c r="H344" s="11"/>
      <c r="I344" s="11"/>
      <c r="J344" s="10" t="s">
        <v>4177</v>
      </c>
      <c r="K344" s="6" t="s">
        <v>4206</v>
      </c>
      <c r="L344" s="8" t="s">
        <v>3673</v>
      </c>
      <c r="M344" s="11"/>
      <c r="N344" s="11"/>
      <c r="O344" s="11"/>
      <c r="P344" s="6" t="s">
        <v>4193</v>
      </c>
      <c r="Q344" s="10"/>
      <c r="R344" s="11"/>
      <c r="S344" s="11"/>
      <c r="T344" s="11"/>
      <c r="U344" s="11"/>
      <c r="V344" s="11"/>
      <c r="W344" s="11"/>
      <c r="X344" s="11"/>
      <c r="Y344" s="2"/>
      <c r="Z344" s="2"/>
      <c r="AA344" s="2"/>
      <c r="AB344" s="2"/>
      <c r="AC344" s="2"/>
      <c r="AD344" s="2"/>
      <c r="AE344" s="2"/>
      <c r="AF344" s="2"/>
      <c r="AG344" s="2"/>
      <c r="AH344" s="2"/>
      <c r="AI344" s="2"/>
      <c r="AJ344" s="2"/>
      <c r="AK344" s="2"/>
      <c r="AL344" s="2"/>
      <c r="AM344" s="2"/>
      <c r="AN344" s="2"/>
    </row>
    <row r="345" spans="3:40" ht="26.25" x14ac:dyDescent="0.25">
      <c r="C345" s="11"/>
      <c r="D345" s="11"/>
      <c r="E345" s="41"/>
      <c r="F345" s="11">
        <v>3</v>
      </c>
      <c r="G345" s="11"/>
      <c r="H345" s="11"/>
      <c r="I345" s="11"/>
      <c r="J345" s="10" t="s">
        <v>4180</v>
      </c>
      <c r="K345" s="10" t="s">
        <v>4181</v>
      </c>
      <c r="L345" s="8" t="s">
        <v>3673</v>
      </c>
      <c r="M345" s="11"/>
      <c r="N345" s="11"/>
      <c r="O345" s="11"/>
      <c r="P345" s="10" t="s">
        <v>4182</v>
      </c>
      <c r="Q345" s="10"/>
      <c r="R345" s="11"/>
      <c r="S345" s="11"/>
      <c r="T345" s="11"/>
      <c r="U345" s="11"/>
      <c r="V345" s="11"/>
      <c r="W345" s="11"/>
      <c r="X345" s="11"/>
      <c r="Y345" s="2"/>
      <c r="Z345" s="2"/>
      <c r="AA345" s="2"/>
      <c r="AB345" s="2"/>
      <c r="AC345" s="2"/>
      <c r="AD345" s="2"/>
      <c r="AE345" s="2"/>
      <c r="AF345" s="2"/>
      <c r="AG345" s="2"/>
      <c r="AH345" s="2"/>
      <c r="AI345" s="2"/>
      <c r="AJ345" s="2"/>
      <c r="AK345" s="2"/>
      <c r="AL345" s="2"/>
      <c r="AM345" s="2"/>
      <c r="AN345" s="2"/>
    </row>
    <row r="346" spans="3:40" x14ac:dyDescent="0.25">
      <c r="C346" s="11"/>
      <c r="D346" s="11"/>
      <c r="E346" s="939">
        <v>2</v>
      </c>
      <c r="F346" s="1245" t="s">
        <v>3750</v>
      </c>
      <c r="G346" s="1245"/>
      <c r="H346" s="1245"/>
      <c r="I346" s="1245"/>
      <c r="J346" s="1245"/>
      <c r="K346" s="931"/>
      <c r="L346" s="932"/>
      <c r="M346" s="931"/>
      <c r="N346" s="941" t="str">
        <f>HYPERLINK("http://wiki.academyofsports.online/tiki-index.php?page=Emagister", "Emagister")</f>
        <v>Emagister</v>
      </c>
      <c r="O346" s="931"/>
      <c r="P346" s="945"/>
      <c r="Q346" s="945"/>
      <c r="R346" s="931"/>
      <c r="S346" s="931"/>
      <c r="T346" s="931"/>
      <c r="U346" s="931"/>
      <c r="V346" s="931"/>
      <c r="W346" s="931"/>
      <c r="X346" s="931"/>
      <c r="Y346" s="2"/>
      <c r="Z346" s="2"/>
      <c r="AA346" s="2"/>
      <c r="AB346" s="2"/>
      <c r="AC346" s="2"/>
      <c r="AD346" s="2"/>
      <c r="AE346" s="2"/>
      <c r="AF346" s="2"/>
      <c r="AG346" s="2"/>
      <c r="AH346" s="2"/>
      <c r="AI346" s="2"/>
      <c r="AJ346" s="2"/>
      <c r="AK346" s="2"/>
      <c r="AL346" s="2"/>
      <c r="AM346" s="2"/>
      <c r="AN346" s="2"/>
    </row>
    <row r="347" spans="3:40" x14ac:dyDescent="0.25">
      <c r="C347" s="11"/>
      <c r="D347" s="11"/>
      <c r="E347" s="41"/>
      <c r="F347" s="11">
        <v>3</v>
      </c>
      <c r="G347" s="11"/>
      <c r="H347" s="11"/>
      <c r="I347" s="11"/>
      <c r="J347" s="10" t="s">
        <v>4174</v>
      </c>
      <c r="K347" s="6" t="s">
        <v>4222</v>
      </c>
      <c r="L347" s="8" t="s">
        <v>3673</v>
      </c>
      <c r="M347" s="11"/>
      <c r="N347" s="11"/>
      <c r="O347" s="11"/>
      <c r="P347" s="6" t="s">
        <v>4190</v>
      </c>
      <c r="Q347" s="10"/>
      <c r="R347" s="11"/>
      <c r="S347" s="11"/>
      <c r="T347" s="11"/>
      <c r="U347" s="11"/>
      <c r="V347" s="11"/>
      <c r="W347" s="11"/>
      <c r="X347" s="11"/>
      <c r="Y347" s="2"/>
      <c r="Z347" s="2"/>
      <c r="AA347" s="2"/>
      <c r="AB347" s="2"/>
      <c r="AC347" s="2"/>
      <c r="AD347" s="2"/>
      <c r="AE347" s="2"/>
      <c r="AF347" s="2"/>
      <c r="AG347" s="2"/>
      <c r="AH347" s="2"/>
      <c r="AI347" s="2"/>
      <c r="AJ347" s="2"/>
      <c r="AK347" s="2"/>
      <c r="AL347" s="2"/>
      <c r="AM347" s="2"/>
      <c r="AN347" s="2"/>
    </row>
    <row r="348" spans="3:40" ht="30" x14ac:dyDescent="0.25">
      <c r="C348" s="11"/>
      <c r="D348" s="11"/>
      <c r="E348" s="41"/>
      <c r="F348" s="11">
        <v>3</v>
      </c>
      <c r="G348" s="11"/>
      <c r="H348" s="11"/>
      <c r="I348" s="11"/>
      <c r="J348" s="10" t="s">
        <v>4177</v>
      </c>
      <c r="K348" s="10" t="s">
        <v>4223</v>
      </c>
      <c r="L348" s="8" t="s">
        <v>3673</v>
      </c>
      <c r="M348" s="11"/>
      <c r="N348" s="11"/>
      <c r="O348" s="11"/>
      <c r="P348" s="6" t="s">
        <v>4193</v>
      </c>
      <c r="Q348" s="10"/>
      <c r="R348" s="11"/>
      <c r="S348" s="11"/>
      <c r="T348" s="11"/>
      <c r="U348" s="11"/>
      <c r="V348" s="11"/>
      <c r="W348" s="11"/>
      <c r="X348" s="11"/>
      <c r="Y348" s="2"/>
      <c r="Z348" s="2"/>
      <c r="AA348" s="2"/>
      <c r="AB348" s="2"/>
      <c r="AC348" s="2"/>
      <c r="AD348" s="2"/>
      <c r="AE348" s="2"/>
      <c r="AF348" s="2"/>
      <c r="AG348" s="2"/>
      <c r="AH348" s="2"/>
      <c r="AI348" s="2"/>
      <c r="AJ348" s="2"/>
      <c r="AK348" s="2"/>
      <c r="AL348" s="2"/>
      <c r="AM348" s="2"/>
      <c r="AN348" s="2"/>
    </row>
    <row r="349" spans="3:40" ht="26.25" x14ac:dyDescent="0.25">
      <c r="C349" s="11"/>
      <c r="D349" s="11"/>
      <c r="E349" s="41"/>
      <c r="F349" s="11">
        <v>3</v>
      </c>
      <c r="G349" s="11"/>
      <c r="H349" s="11"/>
      <c r="I349" s="11"/>
      <c r="J349" s="10" t="s">
        <v>4180</v>
      </c>
      <c r="K349" s="6" t="s">
        <v>4224</v>
      </c>
      <c r="L349" s="8" t="s">
        <v>3673</v>
      </c>
      <c r="M349" s="11"/>
      <c r="N349" s="11"/>
      <c r="O349" s="11"/>
      <c r="P349" s="10" t="s">
        <v>4182</v>
      </c>
      <c r="Q349" s="10"/>
      <c r="R349" s="11"/>
      <c r="S349" s="11"/>
      <c r="T349" s="11"/>
      <c r="U349" s="11"/>
      <c r="V349" s="11"/>
      <c r="W349" s="11"/>
      <c r="X349" s="11"/>
      <c r="Y349" s="2"/>
      <c r="Z349" s="2"/>
      <c r="AA349" s="2"/>
      <c r="AB349" s="2"/>
      <c r="AC349" s="2"/>
      <c r="AD349" s="2"/>
      <c r="AE349" s="2"/>
      <c r="AF349" s="2"/>
      <c r="AG349" s="2"/>
      <c r="AH349" s="2"/>
      <c r="AI349" s="2"/>
      <c r="AJ349" s="2"/>
      <c r="AK349" s="2"/>
      <c r="AL349" s="2"/>
      <c r="AM349" s="2"/>
      <c r="AN349" s="2"/>
    </row>
    <row r="350" spans="3:40" x14ac:dyDescent="0.25">
      <c r="C350" s="11"/>
      <c r="D350" s="11"/>
      <c r="E350" s="939">
        <v>2</v>
      </c>
      <c r="F350" s="1245" t="s">
        <v>3682</v>
      </c>
      <c r="G350" s="1245"/>
      <c r="H350" s="1245"/>
      <c r="I350" s="1245"/>
      <c r="J350" s="1245"/>
      <c r="K350" s="931"/>
      <c r="L350" s="932"/>
      <c r="M350" s="931"/>
      <c r="N350" s="941" t="str">
        <f>HYPERLINK("http://wiki.academyofsports.online/tiki-index.php?page=Fortbildung-BW", "Fortbildung BW")</f>
        <v>Fortbildung BW</v>
      </c>
      <c r="O350" s="931"/>
      <c r="P350" s="945"/>
      <c r="Q350" s="945"/>
      <c r="R350" s="931"/>
      <c r="S350" s="931"/>
      <c r="T350" s="931"/>
      <c r="U350" s="931"/>
      <c r="V350" s="931"/>
      <c r="W350" s="931"/>
      <c r="X350" s="931"/>
      <c r="Y350" s="2"/>
      <c r="Z350" s="2"/>
      <c r="AA350" s="2"/>
      <c r="AB350" s="2"/>
      <c r="AC350" s="2"/>
      <c r="AD350" s="2"/>
      <c r="AE350" s="2"/>
      <c r="AF350" s="2"/>
      <c r="AG350" s="2"/>
      <c r="AH350" s="2"/>
      <c r="AI350" s="2"/>
      <c r="AJ350" s="2"/>
      <c r="AK350" s="2"/>
      <c r="AL350" s="2"/>
      <c r="AM350" s="2"/>
      <c r="AN350" s="2"/>
    </row>
    <row r="351" spans="3:40" ht="45" x14ac:dyDescent="0.25">
      <c r="C351" s="11"/>
      <c r="D351" s="11"/>
      <c r="E351" s="41"/>
      <c r="F351" s="11">
        <v>3</v>
      </c>
      <c r="G351" s="11"/>
      <c r="H351" s="11"/>
      <c r="I351" s="11"/>
      <c r="J351" s="10" t="s">
        <v>4174</v>
      </c>
      <c r="K351" s="6" t="s">
        <v>4225</v>
      </c>
      <c r="L351" s="8" t="s">
        <v>3673</v>
      </c>
      <c r="M351" s="11"/>
      <c r="N351" s="11"/>
      <c r="O351" s="11"/>
      <c r="P351" s="10" t="s">
        <v>4176</v>
      </c>
      <c r="Q351" s="10"/>
      <c r="R351" s="11"/>
      <c r="S351" s="11"/>
      <c r="T351" s="11"/>
      <c r="U351" s="11"/>
      <c r="V351" s="11"/>
      <c r="W351" s="11"/>
      <c r="X351" s="11"/>
      <c r="Y351" s="2"/>
      <c r="Z351" s="2"/>
      <c r="AA351" s="2"/>
      <c r="AB351" s="2"/>
      <c r="AC351" s="2"/>
      <c r="AD351" s="2"/>
      <c r="AE351" s="2"/>
      <c r="AF351" s="2"/>
      <c r="AG351" s="2"/>
      <c r="AH351" s="2"/>
      <c r="AI351" s="2"/>
      <c r="AJ351" s="2"/>
      <c r="AK351" s="2"/>
      <c r="AL351" s="2"/>
      <c r="AM351" s="2"/>
      <c r="AN351" s="2"/>
    </row>
    <row r="352" spans="3:40" ht="30" x14ac:dyDescent="0.25">
      <c r="C352" s="11"/>
      <c r="D352" s="11"/>
      <c r="E352" s="41"/>
      <c r="F352" s="11">
        <v>3</v>
      </c>
      <c r="G352" s="11"/>
      <c r="H352" s="11"/>
      <c r="I352" s="11"/>
      <c r="J352" s="10" t="s">
        <v>4177</v>
      </c>
      <c r="K352" s="6" t="s">
        <v>4206</v>
      </c>
      <c r="L352" s="8" t="s">
        <v>3673</v>
      </c>
      <c r="M352" s="11"/>
      <c r="N352" s="11"/>
      <c r="O352" s="11"/>
      <c r="P352" s="6" t="s">
        <v>4193</v>
      </c>
      <c r="Q352" s="10"/>
      <c r="R352" s="11"/>
      <c r="S352" s="11"/>
      <c r="T352" s="11"/>
      <c r="U352" s="11"/>
      <c r="V352" s="11"/>
      <c r="W352" s="11"/>
      <c r="X352" s="11"/>
      <c r="Y352" s="2"/>
      <c r="Z352" s="2"/>
      <c r="AA352" s="2"/>
      <c r="AB352" s="2"/>
      <c r="AC352" s="2"/>
      <c r="AD352" s="2"/>
      <c r="AE352" s="2"/>
      <c r="AF352" s="2"/>
      <c r="AG352" s="2"/>
      <c r="AH352" s="2"/>
      <c r="AI352" s="2"/>
      <c r="AJ352" s="2"/>
      <c r="AK352" s="2"/>
      <c r="AL352" s="2"/>
      <c r="AM352" s="2"/>
      <c r="AN352" s="2"/>
    </row>
    <row r="353" spans="3:40" ht="26.25" x14ac:dyDescent="0.25">
      <c r="C353" s="11"/>
      <c r="D353" s="11"/>
      <c r="E353" s="41"/>
      <c r="F353" s="11">
        <v>3</v>
      </c>
      <c r="G353" s="11"/>
      <c r="H353" s="11"/>
      <c r="I353" s="11"/>
      <c r="J353" s="10" t="s">
        <v>4180</v>
      </c>
      <c r="K353" s="10" t="s">
        <v>4181</v>
      </c>
      <c r="L353" s="8" t="s">
        <v>3673</v>
      </c>
      <c r="M353" s="11"/>
      <c r="N353" s="11"/>
      <c r="O353" s="11"/>
      <c r="P353" s="10" t="s">
        <v>4182</v>
      </c>
      <c r="Q353" s="10"/>
      <c r="R353" s="11"/>
      <c r="S353" s="11"/>
      <c r="T353" s="11"/>
      <c r="U353" s="11"/>
      <c r="V353" s="11"/>
      <c r="W353" s="11"/>
      <c r="X353" s="11"/>
      <c r="Y353" s="2"/>
      <c r="Z353" s="2"/>
      <c r="AA353" s="2"/>
      <c r="AB353" s="2"/>
      <c r="AC353" s="2"/>
      <c r="AD353" s="2"/>
      <c r="AE353" s="2"/>
      <c r="AF353" s="2"/>
      <c r="AG353" s="2"/>
      <c r="AH353" s="2"/>
      <c r="AI353" s="2"/>
      <c r="AJ353" s="2"/>
      <c r="AK353" s="2"/>
      <c r="AL353" s="2"/>
      <c r="AM353" s="2"/>
      <c r="AN353" s="2"/>
    </row>
    <row r="354" spans="3:40" x14ac:dyDescent="0.25">
      <c r="C354" s="11"/>
      <c r="D354" s="11"/>
      <c r="E354" s="41"/>
      <c r="F354" s="11">
        <v>3</v>
      </c>
      <c r="G354" s="11"/>
      <c r="H354" s="11"/>
      <c r="I354" s="11"/>
      <c r="J354" s="10" t="s">
        <v>4186</v>
      </c>
      <c r="K354" s="10" t="s">
        <v>4187</v>
      </c>
      <c r="L354" s="8" t="s">
        <v>3673</v>
      </c>
      <c r="M354" s="11"/>
      <c r="N354" s="11"/>
      <c r="O354" s="11"/>
      <c r="P354" s="10" t="s">
        <v>4188</v>
      </c>
      <c r="Q354" s="10"/>
      <c r="R354" s="11"/>
      <c r="S354" s="11"/>
      <c r="T354" s="11"/>
      <c r="U354" s="11"/>
      <c r="V354" s="11"/>
      <c r="W354" s="11"/>
      <c r="X354" s="11"/>
      <c r="Y354" s="2"/>
      <c r="Z354" s="2"/>
      <c r="AA354" s="2"/>
      <c r="AB354" s="2"/>
      <c r="AC354" s="2"/>
      <c r="AD354" s="2"/>
      <c r="AE354" s="2"/>
      <c r="AF354" s="2"/>
      <c r="AG354" s="2"/>
      <c r="AH354" s="2"/>
      <c r="AI354" s="2"/>
      <c r="AJ354" s="2"/>
      <c r="AK354" s="2"/>
      <c r="AL354" s="2"/>
      <c r="AM354" s="2"/>
      <c r="AN354" s="2"/>
    </row>
    <row r="355" spans="3:40" x14ac:dyDescent="0.25">
      <c r="C355" s="11"/>
      <c r="D355" s="11"/>
      <c r="E355" s="939">
        <v>2</v>
      </c>
      <c r="F355" s="1245" t="s">
        <v>3751</v>
      </c>
      <c r="G355" s="1245"/>
      <c r="H355" s="1245"/>
      <c r="I355" s="1245"/>
      <c r="J355" s="1245"/>
      <c r="K355" s="931"/>
      <c r="L355" s="932"/>
      <c r="M355" s="931"/>
      <c r="N355" s="941" t="str">
        <f>HYPERLINK("http://wiki.academyofsports.online/tiki-index.php?page=Fernstudium-Direkt", "FSD")</f>
        <v>FSD</v>
      </c>
      <c r="O355" s="931"/>
      <c r="P355" s="945"/>
      <c r="Q355" s="945"/>
      <c r="R355" s="931"/>
      <c r="S355" s="931"/>
      <c r="T355" s="931"/>
      <c r="U355" s="931"/>
      <c r="V355" s="931"/>
      <c r="W355" s="931"/>
      <c r="X355" s="931"/>
      <c r="Y355" s="2"/>
      <c r="Z355" s="2"/>
      <c r="AA355" s="2"/>
      <c r="AB355" s="2"/>
      <c r="AC355" s="2"/>
      <c r="AD355" s="2"/>
      <c r="AE355" s="2"/>
      <c r="AF355" s="2"/>
      <c r="AG355" s="2"/>
      <c r="AH355" s="2"/>
      <c r="AI355" s="2"/>
      <c r="AJ355" s="2"/>
      <c r="AK355" s="2"/>
      <c r="AL355" s="2"/>
      <c r="AM355" s="2"/>
      <c r="AN355" s="2"/>
    </row>
    <row r="356" spans="3:40" ht="30" x14ac:dyDescent="0.25">
      <c r="C356" s="11"/>
      <c r="D356" s="11"/>
      <c r="E356" s="41"/>
      <c r="F356" s="11">
        <v>3</v>
      </c>
      <c r="G356" s="11"/>
      <c r="H356" s="11"/>
      <c r="I356" s="11"/>
      <c r="J356" s="10" t="s">
        <v>4174</v>
      </c>
      <c r="K356" s="6" t="s">
        <v>4216</v>
      </c>
      <c r="L356" s="8" t="s">
        <v>3673</v>
      </c>
      <c r="M356" s="11"/>
      <c r="N356" s="11"/>
      <c r="O356" s="11"/>
      <c r="P356" s="6" t="s">
        <v>4190</v>
      </c>
      <c r="Q356" s="10"/>
      <c r="R356" s="11"/>
      <c r="S356" s="11"/>
      <c r="T356" s="11"/>
      <c r="U356" s="11"/>
      <c r="V356" s="11"/>
      <c r="W356" s="11"/>
      <c r="X356" s="11"/>
      <c r="Y356" s="2"/>
      <c r="Z356" s="2"/>
      <c r="AA356" s="2"/>
      <c r="AB356" s="2"/>
      <c r="AC356" s="2"/>
      <c r="AD356" s="2"/>
      <c r="AE356" s="2"/>
      <c r="AF356" s="2"/>
      <c r="AG356" s="2"/>
      <c r="AH356" s="2"/>
      <c r="AI356" s="2"/>
      <c r="AJ356" s="2"/>
      <c r="AK356" s="2"/>
      <c r="AL356" s="2"/>
      <c r="AM356" s="2"/>
      <c r="AN356" s="2"/>
    </row>
    <row r="357" spans="3:40" ht="30" x14ac:dyDescent="0.25">
      <c r="C357" s="11"/>
      <c r="D357" s="11"/>
      <c r="E357" s="41"/>
      <c r="F357" s="11">
        <v>3</v>
      </c>
      <c r="G357" s="11"/>
      <c r="H357" s="11"/>
      <c r="I357" s="11"/>
      <c r="J357" s="10" t="s">
        <v>4177</v>
      </c>
      <c r="K357" s="6" t="s">
        <v>4206</v>
      </c>
      <c r="L357" s="8" t="s">
        <v>3673</v>
      </c>
      <c r="M357" s="11"/>
      <c r="N357" s="11"/>
      <c r="O357" s="11"/>
      <c r="P357" s="6" t="s">
        <v>4193</v>
      </c>
      <c r="Q357" s="10"/>
      <c r="R357" s="11"/>
      <c r="S357" s="11"/>
      <c r="T357" s="11"/>
      <c r="U357" s="11"/>
      <c r="V357" s="11"/>
      <c r="W357" s="11"/>
      <c r="X357" s="11"/>
      <c r="Y357" s="2"/>
      <c r="Z357" s="2"/>
      <c r="AA357" s="2"/>
      <c r="AB357" s="2"/>
      <c r="AC357" s="2"/>
      <c r="AD357" s="2"/>
      <c r="AE357" s="2"/>
      <c r="AF357" s="2"/>
      <c r="AG357" s="2"/>
      <c r="AH357" s="2"/>
      <c r="AI357" s="2"/>
      <c r="AJ357" s="2"/>
      <c r="AK357" s="2"/>
      <c r="AL357" s="2"/>
      <c r="AM357" s="2"/>
      <c r="AN357" s="2"/>
    </row>
    <row r="358" spans="3:40" ht="26.25" x14ac:dyDescent="0.25">
      <c r="C358" s="11"/>
      <c r="D358" s="11"/>
      <c r="E358" s="41"/>
      <c r="F358" s="11">
        <v>3</v>
      </c>
      <c r="G358" s="11"/>
      <c r="H358" s="11"/>
      <c r="I358" s="11"/>
      <c r="J358" s="10" t="s">
        <v>4180</v>
      </c>
      <c r="K358" s="6" t="s">
        <v>4226</v>
      </c>
      <c r="L358" s="8" t="s">
        <v>3673</v>
      </c>
      <c r="M358" s="11"/>
      <c r="N358" s="11"/>
      <c r="O358" s="11"/>
      <c r="P358" s="10" t="s">
        <v>4182</v>
      </c>
      <c r="Q358" s="10" t="s">
        <v>4227</v>
      </c>
      <c r="R358" s="11"/>
      <c r="S358" s="11"/>
      <c r="T358" s="11"/>
      <c r="U358" s="11"/>
      <c r="V358" s="11"/>
      <c r="W358" s="11"/>
      <c r="X358" s="11"/>
      <c r="Y358" s="2"/>
      <c r="Z358" s="2"/>
      <c r="AA358" s="2"/>
      <c r="AB358" s="2"/>
      <c r="AC358" s="2"/>
      <c r="AD358" s="2"/>
      <c r="AE358" s="2"/>
      <c r="AF358" s="2"/>
      <c r="AG358" s="2"/>
      <c r="AH358" s="2"/>
      <c r="AI358" s="2"/>
      <c r="AJ358" s="2"/>
      <c r="AK358" s="2"/>
      <c r="AL358" s="2"/>
      <c r="AM358" s="2"/>
      <c r="AN358" s="2"/>
    </row>
    <row r="359" spans="3:40" ht="26.25" x14ac:dyDescent="0.25">
      <c r="C359" s="11"/>
      <c r="D359" s="11"/>
      <c r="E359" s="41"/>
      <c r="F359" s="11">
        <v>3</v>
      </c>
      <c r="G359" s="11"/>
      <c r="H359" s="11"/>
      <c r="I359" s="11"/>
      <c r="J359" s="10" t="s">
        <v>4183</v>
      </c>
      <c r="K359" s="6" t="s">
        <v>4184</v>
      </c>
      <c r="L359" s="8" t="s">
        <v>3673</v>
      </c>
      <c r="M359" s="11"/>
      <c r="N359" s="11"/>
      <c r="O359" s="11"/>
      <c r="P359" s="10" t="s">
        <v>4185</v>
      </c>
      <c r="Q359" s="10"/>
      <c r="R359" s="11"/>
      <c r="S359" s="11"/>
      <c r="T359" s="11"/>
      <c r="U359" s="11"/>
      <c r="V359" s="11"/>
      <c r="W359" s="11"/>
      <c r="X359" s="11"/>
      <c r="Y359" s="2"/>
      <c r="Z359" s="2"/>
      <c r="AA359" s="2"/>
      <c r="AB359" s="2"/>
      <c r="AC359" s="2"/>
      <c r="AD359" s="2"/>
      <c r="AE359" s="2"/>
      <c r="AF359" s="2"/>
      <c r="AG359" s="2"/>
      <c r="AH359" s="2"/>
      <c r="AI359" s="2"/>
      <c r="AJ359" s="2"/>
      <c r="AK359" s="2"/>
      <c r="AL359" s="2"/>
      <c r="AM359" s="2"/>
      <c r="AN359" s="2"/>
    </row>
    <row r="360" spans="3:40" x14ac:dyDescent="0.25">
      <c r="C360" s="11"/>
      <c r="D360" s="11"/>
      <c r="E360" s="41"/>
      <c r="F360" s="11">
        <v>3</v>
      </c>
      <c r="G360" s="11"/>
      <c r="H360" s="11"/>
      <c r="I360" s="11"/>
      <c r="J360" s="10" t="s">
        <v>4186</v>
      </c>
      <c r="K360" s="10" t="s">
        <v>4187</v>
      </c>
      <c r="L360" s="8" t="s">
        <v>3673</v>
      </c>
      <c r="M360" s="11"/>
      <c r="N360" s="11"/>
      <c r="O360" s="11"/>
      <c r="P360" s="10" t="s">
        <v>4188</v>
      </c>
      <c r="Q360" s="10"/>
      <c r="R360" s="11"/>
      <c r="S360" s="11"/>
      <c r="T360" s="11"/>
      <c r="U360" s="11"/>
      <c r="V360" s="11"/>
      <c r="W360" s="11"/>
      <c r="X360" s="11"/>
      <c r="Y360" s="2"/>
      <c r="Z360" s="2"/>
      <c r="AA360" s="2"/>
      <c r="AB360" s="2"/>
      <c r="AC360" s="2"/>
      <c r="AD360" s="2"/>
      <c r="AE360" s="2"/>
      <c r="AF360" s="2"/>
      <c r="AG360" s="2"/>
      <c r="AH360" s="2"/>
      <c r="AI360" s="2"/>
      <c r="AJ360" s="2"/>
      <c r="AK360" s="2"/>
      <c r="AL360" s="2"/>
      <c r="AM360" s="2"/>
      <c r="AN360" s="2"/>
    </row>
    <row r="361" spans="3:40" x14ac:dyDescent="0.25">
      <c r="C361" s="11"/>
      <c r="D361" s="11"/>
      <c r="E361" s="939">
        <v>2</v>
      </c>
      <c r="F361" s="1245" t="s">
        <v>3752</v>
      </c>
      <c r="G361" s="1245"/>
      <c r="H361" s="1245"/>
      <c r="I361" s="1245"/>
      <c r="J361" s="1245"/>
      <c r="K361" s="931"/>
      <c r="L361" s="932"/>
      <c r="M361" s="931"/>
      <c r="N361" s="941" t="str">
        <f>HYPERLINK("http://wiki.academyofsports.online/tiki-index.php?page=Kursfinder", "Kursfinder")</f>
        <v>Kursfinder</v>
      </c>
      <c r="O361" s="931"/>
      <c r="P361" s="931"/>
      <c r="Q361" s="931"/>
      <c r="R361" s="931"/>
      <c r="S361" s="931"/>
      <c r="T361" s="931"/>
      <c r="U361" s="931"/>
      <c r="V361" s="931"/>
      <c r="W361" s="931"/>
      <c r="X361" s="931"/>
      <c r="Y361" s="2"/>
      <c r="Z361" s="2"/>
      <c r="AA361" s="2"/>
      <c r="AB361" s="2"/>
      <c r="AC361" s="2"/>
      <c r="AD361" s="2"/>
      <c r="AE361" s="2"/>
      <c r="AF361" s="2"/>
      <c r="AG361" s="2"/>
      <c r="AH361" s="2"/>
      <c r="AI361" s="2"/>
      <c r="AJ361" s="2"/>
      <c r="AK361" s="2"/>
      <c r="AL361" s="2"/>
      <c r="AM361" s="2"/>
      <c r="AN361" s="2"/>
    </row>
    <row r="362" spans="3:40" ht="60" x14ac:dyDescent="0.25">
      <c r="C362" s="11"/>
      <c r="D362" s="11"/>
      <c r="E362" s="41"/>
      <c r="F362" s="11">
        <v>3</v>
      </c>
      <c r="G362" s="11"/>
      <c r="H362" s="11"/>
      <c r="I362" s="11"/>
      <c r="J362" s="10" t="s">
        <v>4174</v>
      </c>
      <c r="K362" s="6" t="s">
        <v>4228</v>
      </c>
      <c r="L362" s="8" t="s">
        <v>3673</v>
      </c>
      <c r="M362" s="11"/>
      <c r="N362" s="11"/>
      <c r="O362" s="11"/>
      <c r="P362" s="6" t="s">
        <v>4229</v>
      </c>
      <c r="Q362" s="11"/>
      <c r="R362" s="11"/>
      <c r="S362" s="11"/>
      <c r="T362" s="11"/>
      <c r="U362" s="11"/>
      <c r="V362" s="11"/>
      <c r="W362" s="11"/>
      <c r="X362" s="11"/>
      <c r="Y362" s="2"/>
      <c r="Z362" s="2"/>
      <c r="AA362" s="2"/>
      <c r="AB362" s="2"/>
      <c r="AC362" s="2"/>
      <c r="AD362" s="2"/>
      <c r="AE362" s="2"/>
      <c r="AF362" s="2"/>
      <c r="AG362" s="2"/>
      <c r="AH362" s="2"/>
      <c r="AI362" s="2"/>
      <c r="AJ362" s="2"/>
      <c r="AK362" s="2"/>
      <c r="AL362" s="2"/>
      <c r="AM362" s="2"/>
      <c r="AN362" s="2"/>
    </row>
    <row r="363" spans="3:40" ht="30" x14ac:dyDescent="0.25">
      <c r="C363" s="11"/>
      <c r="D363" s="11"/>
      <c r="E363" s="41"/>
      <c r="F363" s="11">
        <v>3</v>
      </c>
      <c r="G363" s="11"/>
      <c r="H363" s="11"/>
      <c r="I363" s="11"/>
      <c r="J363" s="10" t="s">
        <v>4177</v>
      </c>
      <c r="K363" s="6" t="s">
        <v>4206</v>
      </c>
      <c r="L363" s="8" t="s">
        <v>3673</v>
      </c>
      <c r="M363" s="11"/>
      <c r="N363" s="11"/>
      <c r="O363" s="11"/>
      <c r="P363" s="6" t="s">
        <v>4193</v>
      </c>
      <c r="Q363" s="11"/>
      <c r="R363" s="11"/>
      <c r="S363" s="11"/>
      <c r="T363" s="11"/>
      <c r="U363" s="11"/>
      <c r="V363" s="11"/>
      <c r="W363" s="11"/>
      <c r="X363" s="11"/>
      <c r="Y363" s="2"/>
      <c r="Z363" s="2"/>
      <c r="AA363" s="2"/>
      <c r="AB363" s="2"/>
      <c r="AC363" s="2"/>
      <c r="AD363" s="2"/>
      <c r="AE363" s="2"/>
      <c r="AF363" s="2"/>
      <c r="AG363" s="2"/>
      <c r="AH363" s="2"/>
      <c r="AI363" s="2"/>
      <c r="AJ363" s="2"/>
      <c r="AK363" s="2"/>
      <c r="AL363" s="2"/>
      <c r="AM363" s="2"/>
      <c r="AN363" s="2"/>
    </row>
    <row r="364" spans="3:40" ht="30" x14ac:dyDescent="0.25">
      <c r="C364" s="11"/>
      <c r="D364" s="11"/>
      <c r="E364" s="41"/>
      <c r="F364" s="11">
        <v>3</v>
      </c>
      <c r="G364" s="11"/>
      <c r="H364" s="11"/>
      <c r="I364" s="11"/>
      <c r="J364" s="10" t="s">
        <v>4180</v>
      </c>
      <c r="K364" s="6" t="s">
        <v>4230</v>
      </c>
      <c r="L364" s="8" t="s">
        <v>3673</v>
      </c>
      <c r="M364" s="11"/>
      <c r="N364" s="11"/>
      <c r="O364" s="11"/>
      <c r="P364" s="10" t="s">
        <v>4182</v>
      </c>
      <c r="Q364" s="6" t="s">
        <v>4231</v>
      </c>
      <c r="R364" s="11"/>
      <c r="S364" s="11"/>
      <c r="T364" s="11"/>
      <c r="U364" s="11"/>
      <c r="V364" s="11"/>
      <c r="W364" s="11"/>
      <c r="X364" s="11"/>
      <c r="Y364" s="2"/>
      <c r="Z364" s="2"/>
      <c r="AA364" s="2"/>
      <c r="AB364" s="2"/>
      <c r="AC364" s="2"/>
      <c r="AD364" s="2"/>
      <c r="AE364" s="2"/>
      <c r="AF364" s="2"/>
      <c r="AG364" s="2"/>
      <c r="AH364" s="2"/>
      <c r="AI364" s="2"/>
      <c r="AJ364" s="2"/>
      <c r="AK364" s="2"/>
      <c r="AL364" s="2"/>
      <c r="AM364" s="2"/>
      <c r="AN364" s="2"/>
    </row>
    <row r="365" spans="3:40" ht="26.25" x14ac:dyDescent="0.25">
      <c r="C365" s="11"/>
      <c r="D365" s="11"/>
      <c r="E365" s="41"/>
      <c r="F365" s="11">
        <v>3</v>
      </c>
      <c r="G365" s="11"/>
      <c r="H365" s="11"/>
      <c r="I365" s="11"/>
      <c r="J365" s="10" t="s">
        <v>4183</v>
      </c>
      <c r="K365" s="6" t="s">
        <v>4184</v>
      </c>
      <c r="L365" s="8" t="s">
        <v>3673</v>
      </c>
      <c r="M365" s="11"/>
      <c r="N365" s="11"/>
      <c r="O365" s="11"/>
      <c r="P365" s="10" t="s">
        <v>4185</v>
      </c>
      <c r="Q365" s="11"/>
      <c r="R365" s="11"/>
      <c r="S365" s="11"/>
      <c r="T365" s="11"/>
      <c r="U365" s="11"/>
      <c r="V365" s="11"/>
      <c r="W365" s="11"/>
      <c r="X365" s="11"/>
      <c r="Y365" s="2"/>
      <c r="Z365" s="2"/>
      <c r="AA365" s="2"/>
      <c r="AB365" s="2"/>
      <c r="AC365" s="2"/>
      <c r="AD365" s="2"/>
      <c r="AE365" s="2"/>
      <c r="AF365" s="2"/>
      <c r="AG365" s="2"/>
      <c r="AH365" s="2"/>
      <c r="AI365" s="2"/>
      <c r="AJ365" s="2"/>
      <c r="AK365" s="2"/>
      <c r="AL365" s="2"/>
      <c r="AM365" s="2"/>
      <c r="AN365" s="2"/>
    </row>
    <row r="366" spans="3:40" x14ac:dyDescent="0.25">
      <c r="C366" s="11"/>
      <c r="D366" s="11"/>
      <c r="E366" s="939">
        <v>2</v>
      </c>
      <c r="F366" s="1245" t="s">
        <v>4232</v>
      </c>
      <c r="G366" s="1245"/>
      <c r="H366" s="1245"/>
      <c r="I366" s="1245"/>
      <c r="J366" s="1245"/>
      <c r="K366" s="931"/>
      <c r="L366" s="932"/>
      <c r="M366" s="931"/>
      <c r="N366" s="941" t="str">
        <f>HYPERLINK("http://wiki.academyofsports.online/tiki-index.php?page=Fernstudi.net", "Fernstudi")</f>
        <v>Fernstudi</v>
      </c>
      <c r="O366" s="931"/>
      <c r="P366" s="931"/>
      <c r="Q366" s="931"/>
      <c r="R366" s="931"/>
      <c r="S366" s="931"/>
      <c r="T366" s="931"/>
      <c r="U366" s="931"/>
      <c r="V366" s="931"/>
      <c r="W366" s="931"/>
      <c r="X366" s="931"/>
      <c r="Y366" s="2"/>
      <c r="Z366" s="2"/>
      <c r="AA366" s="2"/>
      <c r="AB366" s="2"/>
      <c r="AC366" s="2"/>
      <c r="AD366" s="2"/>
      <c r="AE366" s="2"/>
      <c r="AF366" s="2"/>
      <c r="AG366" s="2"/>
      <c r="AH366" s="2"/>
      <c r="AI366" s="2"/>
      <c r="AJ366" s="2"/>
      <c r="AK366" s="2"/>
      <c r="AL366" s="2"/>
      <c r="AM366" s="2"/>
      <c r="AN366" s="2"/>
    </row>
    <row r="367" spans="3:40" ht="26.25" x14ac:dyDescent="0.25">
      <c r="C367" s="11"/>
      <c r="D367" s="11"/>
      <c r="E367" s="41"/>
      <c r="F367" s="11">
        <v>3</v>
      </c>
      <c r="G367" s="11"/>
      <c r="H367" s="11"/>
      <c r="I367" s="11"/>
      <c r="J367" s="10" t="s">
        <v>4174</v>
      </c>
      <c r="K367" s="10" t="s">
        <v>4210</v>
      </c>
      <c r="L367" s="8" t="s">
        <v>3673</v>
      </c>
      <c r="M367" s="11"/>
      <c r="N367" s="11"/>
      <c r="O367" s="11"/>
      <c r="P367" s="6" t="s">
        <v>4190</v>
      </c>
      <c r="Q367" s="11"/>
      <c r="R367" s="11"/>
      <c r="S367" s="11"/>
      <c r="T367" s="11"/>
      <c r="U367" s="11"/>
      <c r="V367" s="11"/>
      <c r="W367" s="11"/>
      <c r="X367" s="11"/>
      <c r="Y367" s="2"/>
      <c r="Z367" s="2"/>
      <c r="AA367" s="2"/>
      <c r="AB367" s="2"/>
      <c r="AC367" s="2"/>
      <c r="AD367" s="2"/>
      <c r="AE367" s="2"/>
      <c r="AF367" s="2"/>
      <c r="AG367" s="2"/>
      <c r="AH367" s="2"/>
      <c r="AI367" s="2"/>
      <c r="AJ367" s="2"/>
      <c r="AK367" s="2"/>
      <c r="AL367" s="2"/>
      <c r="AM367" s="2"/>
      <c r="AN367" s="2"/>
    </row>
    <row r="368" spans="3:40" ht="30" x14ac:dyDescent="0.25">
      <c r="C368" s="11"/>
      <c r="D368" s="11"/>
      <c r="E368" s="41"/>
      <c r="F368" s="11">
        <v>3</v>
      </c>
      <c r="G368" s="11"/>
      <c r="H368" s="11"/>
      <c r="I368" s="11"/>
      <c r="J368" s="10" t="s">
        <v>4177</v>
      </c>
      <c r="K368" s="6" t="s">
        <v>4206</v>
      </c>
      <c r="L368" s="8" t="s">
        <v>3673</v>
      </c>
      <c r="M368" s="11"/>
      <c r="N368" s="11"/>
      <c r="O368" s="11"/>
      <c r="P368" s="6" t="s">
        <v>4193</v>
      </c>
      <c r="Q368" s="11"/>
      <c r="R368" s="11"/>
      <c r="S368" s="11"/>
      <c r="T368" s="11"/>
      <c r="U368" s="11"/>
      <c r="V368" s="11"/>
      <c r="W368" s="11"/>
      <c r="X368" s="11"/>
      <c r="Y368" s="2"/>
      <c r="Z368" s="2"/>
      <c r="AA368" s="2"/>
      <c r="AB368" s="2"/>
      <c r="AC368" s="2"/>
      <c r="AD368" s="2"/>
      <c r="AE368" s="2"/>
      <c r="AF368" s="2"/>
      <c r="AG368" s="2"/>
      <c r="AH368" s="2"/>
      <c r="AI368" s="2"/>
      <c r="AJ368" s="2"/>
      <c r="AK368" s="2"/>
      <c r="AL368" s="2"/>
      <c r="AM368" s="2"/>
      <c r="AN368" s="2"/>
    </row>
    <row r="369" spans="3:40" ht="30" x14ac:dyDescent="0.25">
      <c r="C369" s="11"/>
      <c r="D369" s="11"/>
      <c r="E369" s="41"/>
      <c r="F369" s="11">
        <v>3</v>
      </c>
      <c r="G369" s="11"/>
      <c r="H369" s="11"/>
      <c r="I369" s="11"/>
      <c r="J369" s="10" t="s">
        <v>4180</v>
      </c>
      <c r="K369" s="6" t="s">
        <v>4233</v>
      </c>
      <c r="L369" s="8" t="s">
        <v>3673</v>
      </c>
      <c r="M369" s="11"/>
      <c r="N369" s="11"/>
      <c r="O369" s="11"/>
      <c r="P369" s="10" t="s">
        <v>4182</v>
      </c>
      <c r="Q369" s="6" t="s">
        <v>4234</v>
      </c>
      <c r="R369" s="11"/>
      <c r="S369" s="11"/>
      <c r="T369" s="11"/>
      <c r="U369" s="11"/>
      <c r="V369" s="11"/>
      <c r="W369" s="11"/>
      <c r="X369" s="11"/>
      <c r="Y369" s="2"/>
      <c r="Z369" s="2"/>
      <c r="AA369" s="2"/>
      <c r="AB369" s="2"/>
      <c r="AC369" s="2"/>
      <c r="AD369" s="2"/>
      <c r="AE369" s="2"/>
      <c r="AF369" s="2"/>
      <c r="AG369" s="2"/>
      <c r="AH369" s="2"/>
      <c r="AI369" s="2"/>
      <c r="AJ369" s="2"/>
      <c r="AK369" s="2"/>
      <c r="AL369" s="2"/>
      <c r="AM369" s="2"/>
      <c r="AN369" s="2"/>
    </row>
    <row r="370" spans="3:40" x14ac:dyDescent="0.25">
      <c r="C370" s="11"/>
      <c r="D370" s="11"/>
      <c r="E370" s="939">
        <v>2</v>
      </c>
      <c r="F370" s="1245" t="s">
        <v>3754</v>
      </c>
      <c r="G370" s="1245"/>
      <c r="H370" s="1245"/>
      <c r="I370" s="1245"/>
      <c r="J370" s="1245"/>
      <c r="K370" s="931"/>
      <c r="L370" s="932"/>
      <c r="M370" s="931"/>
      <c r="N370" s="941" t="str">
        <f>HYPERLINK("http://wiki.academyofsports.online/tiki-index.php?page=Educheck-|-Bildungsportal", "Educheck")</f>
        <v>Educheck</v>
      </c>
      <c r="O370" s="931"/>
      <c r="P370" s="931"/>
      <c r="Q370" s="931"/>
      <c r="R370" s="931"/>
      <c r="S370" s="931"/>
      <c r="T370" s="931"/>
      <c r="U370" s="931"/>
      <c r="V370" s="931"/>
      <c r="W370" s="931"/>
      <c r="X370" s="931"/>
      <c r="Y370" s="2"/>
      <c r="Z370" s="2"/>
      <c r="AA370" s="2"/>
      <c r="AB370" s="2"/>
      <c r="AC370" s="2"/>
      <c r="AD370" s="2"/>
      <c r="AE370" s="2"/>
      <c r="AF370" s="2"/>
      <c r="AG370" s="2"/>
      <c r="AH370" s="2"/>
      <c r="AI370" s="2"/>
      <c r="AJ370" s="2"/>
      <c r="AK370" s="2"/>
      <c r="AL370" s="2"/>
      <c r="AM370" s="2"/>
      <c r="AN370" s="2"/>
    </row>
    <row r="371" spans="3:40" ht="45" x14ac:dyDescent="0.25">
      <c r="C371" s="11"/>
      <c r="D371" s="11"/>
      <c r="E371" s="41"/>
      <c r="F371" s="11">
        <v>3</v>
      </c>
      <c r="G371" s="11"/>
      <c r="H371" s="11"/>
      <c r="I371" s="11"/>
      <c r="J371" s="10" t="s">
        <v>4174</v>
      </c>
      <c r="K371" s="6" t="s">
        <v>4216</v>
      </c>
      <c r="L371" s="8" t="s">
        <v>3673</v>
      </c>
      <c r="M371" s="11"/>
      <c r="N371" s="11"/>
      <c r="O371" s="11"/>
      <c r="P371" s="6" t="s">
        <v>4235</v>
      </c>
      <c r="Q371" s="11"/>
      <c r="R371" s="11"/>
      <c r="S371" s="11"/>
      <c r="T371" s="11"/>
      <c r="U371" s="11"/>
      <c r="V371" s="11"/>
      <c r="W371" s="11"/>
      <c r="X371" s="11"/>
      <c r="Y371" s="2"/>
      <c r="Z371" s="2"/>
      <c r="AA371" s="2"/>
      <c r="AB371" s="2"/>
      <c r="AC371" s="2"/>
      <c r="AD371" s="2"/>
      <c r="AE371" s="2"/>
      <c r="AF371" s="2"/>
      <c r="AG371" s="2"/>
      <c r="AH371" s="2"/>
      <c r="AI371" s="2"/>
      <c r="AJ371" s="2"/>
      <c r="AK371" s="2"/>
      <c r="AL371" s="2"/>
      <c r="AM371" s="2"/>
      <c r="AN371" s="2"/>
    </row>
    <row r="372" spans="3:40" ht="30" x14ac:dyDescent="0.25">
      <c r="C372" s="11"/>
      <c r="D372" s="11"/>
      <c r="E372" s="41"/>
      <c r="F372" s="11">
        <v>3</v>
      </c>
      <c r="G372" s="11"/>
      <c r="H372" s="11"/>
      <c r="I372" s="11"/>
      <c r="J372" s="10" t="s">
        <v>4177</v>
      </c>
      <c r="K372" s="6" t="s">
        <v>4236</v>
      </c>
      <c r="L372" s="8" t="s">
        <v>3673</v>
      </c>
      <c r="M372" s="11"/>
      <c r="N372" s="11"/>
      <c r="O372" s="11"/>
      <c r="P372" s="6" t="s">
        <v>4193</v>
      </c>
      <c r="Q372" s="11"/>
      <c r="R372" s="11"/>
      <c r="S372" s="11"/>
      <c r="T372" s="11"/>
      <c r="U372" s="11"/>
      <c r="V372" s="11"/>
      <c r="W372" s="11"/>
      <c r="X372" s="11"/>
      <c r="Y372" s="2"/>
      <c r="Z372" s="2"/>
      <c r="AA372" s="2"/>
      <c r="AB372" s="2"/>
      <c r="AC372" s="2"/>
      <c r="AD372" s="2"/>
      <c r="AE372" s="2"/>
      <c r="AF372" s="2"/>
      <c r="AG372" s="2"/>
      <c r="AH372" s="2"/>
      <c r="AI372" s="2"/>
      <c r="AJ372" s="2"/>
      <c r="AK372" s="2"/>
      <c r="AL372" s="2"/>
      <c r="AM372" s="2"/>
      <c r="AN372" s="2"/>
    </row>
    <row r="373" spans="3:40" ht="26.25" x14ac:dyDescent="0.25">
      <c r="C373" s="11"/>
      <c r="D373" s="11"/>
      <c r="E373" s="41"/>
      <c r="F373" s="11">
        <v>3</v>
      </c>
      <c r="G373" s="11"/>
      <c r="H373" s="11"/>
      <c r="I373" s="11"/>
      <c r="J373" s="10" t="s">
        <v>4180</v>
      </c>
      <c r="K373" s="10" t="s">
        <v>4181</v>
      </c>
      <c r="L373" s="8" t="s">
        <v>3673</v>
      </c>
      <c r="M373" s="11"/>
      <c r="N373" s="11"/>
      <c r="O373" s="11"/>
      <c r="P373" s="10" t="s">
        <v>4182</v>
      </c>
      <c r="Q373" s="11"/>
      <c r="R373" s="11"/>
      <c r="S373" s="11"/>
      <c r="T373" s="11"/>
      <c r="U373" s="11"/>
      <c r="V373" s="11"/>
      <c r="W373" s="11"/>
      <c r="X373" s="11"/>
      <c r="Y373" s="2"/>
      <c r="Z373" s="2"/>
      <c r="AA373" s="2"/>
      <c r="AB373" s="2"/>
      <c r="AC373" s="2"/>
      <c r="AD373" s="2"/>
      <c r="AE373" s="2"/>
      <c r="AF373" s="2"/>
      <c r="AG373" s="2"/>
      <c r="AH373" s="2"/>
      <c r="AI373" s="2"/>
      <c r="AJ373" s="2"/>
      <c r="AK373" s="2"/>
      <c r="AL373" s="2"/>
      <c r="AM373" s="2"/>
      <c r="AN373" s="2"/>
    </row>
    <row r="374" spans="3:40" ht="26.25" x14ac:dyDescent="0.25">
      <c r="C374" s="11"/>
      <c r="D374" s="11"/>
      <c r="E374" s="41"/>
      <c r="F374" s="11">
        <v>3</v>
      </c>
      <c r="G374" s="11"/>
      <c r="H374" s="11"/>
      <c r="I374" s="11"/>
      <c r="J374" s="10" t="s">
        <v>4198</v>
      </c>
      <c r="K374" s="10" t="s">
        <v>4199</v>
      </c>
      <c r="L374" s="8" t="s">
        <v>4200</v>
      </c>
      <c r="M374" s="11"/>
      <c r="N374" s="11"/>
      <c r="O374" s="11"/>
      <c r="P374" s="10"/>
      <c r="Q374" s="10"/>
      <c r="R374" s="11"/>
      <c r="S374" s="11"/>
      <c r="T374" s="11"/>
      <c r="U374" s="11"/>
      <c r="V374" s="11"/>
      <c r="W374" s="11"/>
      <c r="X374" s="11"/>
      <c r="Y374" s="2"/>
      <c r="Z374" s="2"/>
      <c r="AA374" s="2"/>
      <c r="AB374" s="2"/>
      <c r="AC374" s="2"/>
      <c r="AD374" s="2"/>
      <c r="AE374" s="2"/>
      <c r="AF374" s="2"/>
      <c r="AG374" s="2"/>
      <c r="AH374" s="2"/>
      <c r="AI374" s="2"/>
      <c r="AJ374" s="2"/>
      <c r="AK374" s="2"/>
      <c r="AL374" s="2"/>
      <c r="AM374" s="2"/>
      <c r="AN374" s="2"/>
    </row>
    <row r="375" spans="3:40" x14ac:dyDescent="0.25">
      <c r="C375" s="11"/>
      <c r="D375" s="11"/>
      <c r="E375" s="939">
        <v>2</v>
      </c>
      <c r="F375" s="1245" t="s">
        <v>4237</v>
      </c>
      <c r="G375" s="1245"/>
      <c r="H375" s="1245"/>
      <c r="I375" s="1245"/>
      <c r="J375" s="1245"/>
      <c r="K375" s="931"/>
      <c r="L375" s="932"/>
      <c r="M375" s="931"/>
      <c r="N375" s="941" t="str">
        <f>HYPERLINK("http://wiki.academyofsports.online/tiki-index.php?page=Lehrerfortbildung-NRW-|-Bildungsportal", "Lehrer NRW")</f>
        <v>Lehrer NRW</v>
      </c>
      <c r="O375" s="931"/>
      <c r="P375" s="931"/>
      <c r="Q375" s="931"/>
      <c r="R375" s="931"/>
      <c r="S375" s="931"/>
      <c r="T375" s="931"/>
      <c r="U375" s="931"/>
      <c r="V375" s="931"/>
      <c r="W375" s="931"/>
      <c r="X375" s="931"/>
      <c r="Y375" s="2"/>
      <c r="Z375" s="2"/>
      <c r="AA375" s="2"/>
      <c r="AB375" s="2"/>
      <c r="AC375" s="2"/>
      <c r="AD375" s="2"/>
      <c r="AE375" s="2"/>
      <c r="AF375" s="2"/>
      <c r="AG375" s="2"/>
      <c r="AH375" s="2"/>
      <c r="AI375" s="2"/>
      <c r="AJ375" s="2"/>
      <c r="AK375" s="2"/>
      <c r="AL375" s="2"/>
      <c r="AM375" s="2"/>
      <c r="AN375" s="2"/>
    </row>
    <row r="376" spans="3:40" ht="30" x14ac:dyDescent="0.25">
      <c r="C376" s="11"/>
      <c r="D376" s="11"/>
      <c r="E376" s="41"/>
      <c r="F376" s="11">
        <v>3</v>
      </c>
      <c r="G376" s="11"/>
      <c r="H376" s="11"/>
      <c r="I376" s="11"/>
      <c r="J376" s="10" t="s">
        <v>4174</v>
      </c>
      <c r="K376" s="6" t="s">
        <v>4216</v>
      </c>
      <c r="L376" s="8" t="s">
        <v>3673</v>
      </c>
      <c r="M376" s="11"/>
      <c r="N376" s="11"/>
      <c r="O376" s="11"/>
      <c r="P376" s="6" t="s">
        <v>4238</v>
      </c>
      <c r="Q376" s="10"/>
      <c r="R376" s="11"/>
      <c r="S376" s="11"/>
      <c r="T376" s="11"/>
      <c r="U376" s="11"/>
      <c r="V376" s="11"/>
      <c r="W376" s="11"/>
      <c r="X376" s="11"/>
      <c r="Y376" s="2"/>
      <c r="Z376" s="2"/>
      <c r="AA376" s="2"/>
      <c r="AB376" s="2"/>
      <c r="AC376" s="2"/>
      <c r="AD376" s="2"/>
      <c r="AE376" s="2"/>
      <c r="AF376" s="2"/>
      <c r="AG376" s="2"/>
      <c r="AH376" s="2"/>
      <c r="AI376" s="2"/>
      <c r="AJ376" s="2"/>
      <c r="AK376" s="2"/>
      <c r="AL376" s="2"/>
      <c r="AM376" s="2"/>
      <c r="AN376" s="2"/>
    </row>
    <row r="377" spans="3:40" ht="30" x14ac:dyDescent="0.25">
      <c r="C377" s="11"/>
      <c r="D377" s="11"/>
      <c r="E377" s="41"/>
      <c r="F377" s="11">
        <v>3</v>
      </c>
      <c r="G377" s="11"/>
      <c r="H377" s="11"/>
      <c r="I377" s="11"/>
      <c r="J377" s="10" t="s">
        <v>4177</v>
      </c>
      <c r="K377" s="6" t="s">
        <v>4206</v>
      </c>
      <c r="L377" s="8" t="s">
        <v>3673</v>
      </c>
      <c r="M377" s="11"/>
      <c r="N377" s="11"/>
      <c r="O377" s="11"/>
      <c r="P377" s="6" t="s">
        <v>4193</v>
      </c>
      <c r="Q377" s="10"/>
      <c r="R377" s="11"/>
      <c r="S377" s="11"/>
      <c r="T377" s="11"/>
      <c r="U377" s="11"/>
      <c r="V377" s="11"/>
      <c r="W377" s="11"/>
      <c r="X377" s="11"/>
      <c r="Y377" s="2"/>
      <c r="Z377" s="2"/>
      <c r="AA377" s="2"/>
      <c r="AB377" s="2"/>
      <c r="AC377" s="2"/>
      <c r="AD377" s="2"/>
      <c r="AE377" s="2"/>
      <c r="AF377" s="2"/>
      <c r="AG377" s="2"/>
      <c r="AH377" s="2"/>
      <c r="AI377" s="2"/>
      <c r="AJ377" s="2"/>
      <c r="AK377" s="2"/>
      <c r="AL377" s="2"/>
      <c r="AM377" s="2"/>
      <c r="AN377" s="2"/>
    </row>
    <row r="378" spans="3:40" ht="26.25" x14ac:dyDescent="0.25">
      <c r="C378" s="11"/>
      <c r="D378" s="11"/>
      <c r="E378" s="41"/>
      <c r="F378" s="11">
        <v>3</v>
      </c>
      <c r="G378" s="11"/>
      <c r="H378" s="11"/>
      <c r="I378" s="11"/>
      <c r="J378" s="10" t="s">
        <v>4180</v>
      </c>
      <c r="K378" s="10" t="s">
        <v>4181</v>
      </c>
      <c r="L378" s="8" t="s">
        <v>3673</v>
      </c>
      <c r="M378" s="11"/>
      <c r="N378" s="11"/>
      <c r="O378" s="11"/>
      <c r="P378" s="10" t="s">
        <v>4182</v>
      </c>
      <c r="Q378" s="10"/>
      <c r="R378" s="11"/>
      <c r="S378" s="11"/>
      <c r="T378" s="11"/>
      <c r="U378" s="11"/>
      <c r="V378" s="11"/>
      <c r="W378" s="11"/>
      <c r="X378" s="11"/>
      <c r="Y378" s="2"/>
      <c r="Z378" s="2"/>
      <c r="AA378" s="2"/>
      <c r="AB378" s="2"/>
      <c r="AC378" s="2"/>
      <c r="AD378" s="2"/>
      <c r="AE378" s="2"/>
      <c r="AF378" s="2"/>
      <c r="AG378" s="2"/>
      <c r="AH378" s="2"/>
      <c r="AI378" s="2"/>
      <c r="AJ378" s="2"/>
      <c r="AK378" s="2"/>
      <c r="AL378" s="2"/>
      <c r="AM378" s="2"/>
      <c r="AN378" s="2"/>
    </row>
    <row r="379" spans="3:40" x14ac:dyDescent="0.25">
      <c r="C379" s="11"/>
      <c r="D379" s="11"/>
      <c r="E379" s="939">
        <v>2</v>
      </c>
      <c r="F379" s="1245" t="s">
        <v>4239</v>
      </c>
      <c r="G379" s="1245"/>
      <c r="H379" s="1245"/>
      <c r="I379" s="1245"/>
      <c r="J379" s="1245"/>
      <c r="K379" s="931"/>
      <c r="L379" s="932"/>
      <c r="M379" s="931"/>
      <c r="N379" s="931"/>
      <c r="O379" s="931"/>
      <c r="P379" s="945"/>
      <c r="Q379" s="945"/>
      <c r="R379" s="931"/>
      <c r="S379" s="931"/>
      <c r="T379" s="931"/>
      <c r="U379" s="931"/>
      <c r="V379" s="931"/>
      <c r="W379" s="931"/>
      <c r="X379" s="931"/>
      <c r="Y379" s="2"/>
      <c r="Z379" s="2"/>
      <c r="AA379" s="2"/>
      <c r="AB379" s="2"/>
      <c r="AC379" s="2"/>
      <c r="AD379" s="2"/>
      <c r="AE379" s="2"/>
      <c r="AF379" s="2"/>
      <c r="AG379" s="2"/>
      <c r="AH379" s="2"/>
      <c r="AI379" s="2"/>
      <c r="AJ379" s="2"/>
      <c r="AK379" s="2"/>
      <c r="AL379" s="2"/>
      <c r="AM379" s="2"/>
      <c r="AN379" s="2"/>
    </row>
    <row r="380" spans="3:40" ht="30" x14ac:dyDescent="0.25">
      <c r="C380" s="11"/>
      <c r="D380" s="11"/>
      <c r="E380" s="41"/>
      <c r="F380" s="11">
        <v>3</v>
      </c>
      <c r="G380" s="11"/>
      <c r="H380" s="11"/>
      <c r="I380" s="11"/>
      <c r="J380" s="10" t="s">
        <v>4174</v>
      </c>
      <c r="K380" s="6" t="s">
        <v>4240</v>
      </c>
      <c r="L380" s="8" t="s">
        <v>3673</v>
      </c>
      <c r="M380" s="11"/>
      <c r="N380" s="11"/>
      <c r="O380" s="11"/>
      <c r="P380" s="6" t="s">
        <v>4190</v>
      </c>
      <c r="Q380" s="10"/>
      <c r="R380" s="11"/>
      <c r="S380" s="11"/>
      <c r="T380" s="11"/>
      <c r="U380" s="11"/>
      <c r="V380" s="11"/>
      <c r="W380" s="11"/>
      <c r="X380" s="11"/>
      <c r="Y380" s="2"/>
      <c r="Z380" s="2"/>
      <c r="AA380" s="2"/>
      <c r="AB380" s="2"/>
      <c r="AC380" s="2"/>
      <c r="AD380" s="2"/>
      <c r="AE380" s="2"/>
      <c r="AF380" s="2"/>
      <c r="AG380" s="2"/>
      <c r="AH380" s="2"/>
      <c r="AI380" s="2"/>
      <c r="AJ380" s="2"/>
      <c r="AK380" s="2"/>
      <c r="AL380" s="2"/>
      <c r="AM380" s="2"/>
      <c r="AN380" s="2"/>
    </row>
    <row r="381" spans="3:40" ht="30" x14ac:dyDescent="0.25">
      <c r="C381" s="11"/>
      <c r="D381" s="11"/>
      <c r="E381" s="41"/>
      <c r="F381" s="11">
        <v>3</v>
      </c>
      <c r="G381" s="11"/>
      <c r="H381" s="11"/>
      <c r="I381" s="11"/>
      <c r="J381" s="10" t="s">
        <v>4177</v>
      </c>
      <c r="K381" s="6" t="s">
        <v>4206</v>
      </c>
      <c r="L381" s="8" t="s">
        <v>3673</v>
      </c>
      <c r="M381" s="11"/>
      <c r="N381" s="11"/>
      <c r="O381" s="11"/>
      <c r="P381" s="6" t="s">
        <v>4193</v>
      </c>
      <c r="Q381" s="10"/>
      <c r="R381" s="11"/>
      <c r="S381" s="11"/>
      <c r="T381" s="11"/>
      <c r="U381" s="11"/>
      <c r="V381" s="11"/>
      <c r="W381" s="11"/>
      <c r="X381" s="11"/>
      <c r="Y381" s="2"/>
      <c r="Z381" s="2"/>
      <c r="AA381" s="2"/>
      <c r="AB381" s="2"/>
      <c r="AC381" s="2"/>
      <c r="AD381" s="2"/>
      <c r="AE381" s="2"/>
      <c r="AF381" s="2"/>
      <c r="AG381" s="2"/>
      <c r="AH381" s="2"/>
      <c r="AI381" s="2"/>
      <c r="AJ381" s="2"/>
      <c r="AK381" s="2"/>
      <c r="AL381" s="2"/>
      <c r="AM381" s="2"/>
      <c r="AN381" s="2"/>
    </row>
    <row r="382" spans="3:40" ht="26.25" x14ac:dyDescent="0.25">
      <c r="C382" s="11"/>
      <c r="D382" s="11"/>
      <c r="E382" s="41"/>
      <c r="F382" s="11">
        <v>3</v>
      </c>
      <c r="G382" s="11"/>
      <c r="H382" s="11"/>
      <c r="I382" s="11"/>
      <c r="J382" s="10" t="s">
        <v>4180</v>
      </c>
      <c r="K382" s="6" t="s">
        <v>4241</v>
      </c>
      <c r="L382" s="8" t="s">
        <v>3673</v>
      </c>
      <c r="M382" s="11"/>
      <c r="N382" s="11"/>
      <c r="O382" s="11"/>
      <c r="P382" s="10" t="s">
        <v>4182</v>
      </c>
      <c r="Q382" s="10" t="s">
        <v>4242</v>
      </c>
      <c r="R382" s="11"/>
      <c r="S382" s="11"/>
      <c r="T382" s="11"/>
      <c r="U382" s="11"/>
      <c r="V382" s="11"/>
      <c r="W382" s="11"/>
      <c r="X382" s="11"/>
      <c r="Y382" s="2"/>
      <c r="Z382" s="2"/>
      <c r="AA382" s="2"/>
      <c r="AB382" s="2"/>
      <c r="AC382" s="2"/>
      <c r="AD382" s="2"/>
      <c r="AE382" s="2"/>
      <c r="AF382" s="2"/>
      <c r="AG382" s="2"/>
      <c r="AH382" s="2"/>
      <c r="AI382" s="2"/>
      <c r="AJ382" s="2"/>
      <c r="AK382" s="2"/>
      <c r="AL382" s="2"/>
      <c r="AM382" s="2"/>
      <c r="AN382" s="2"/>
    </row>
    <row r="383" spans="3:40" x14ac:dyDescent="0.25">
      <c r="C383" s="11"/>
      <c r="D383" s="11"/>
      <c r="E383" s="41"/>
      <c r="F383" s="11">
        <v>3</v>
      </c>
      <c r="G383" s="11"/>
      <c r="H383" s="11"/>
      <c r="I383" s="11"/>
      <c r="J383" s="10" t="s">
        <v>4186</v>
      </c>
      <c r="K383" s="10" t="s">
        <v>4187</v>
      </c>
      <c r="L383" s="8" t="s">
        <v>3673</v>
      </c>
      <c r="M383" s="11"/>
      <c r="N383" s="11"/>
      <c r="O383" s="11"/>
      <c r="P383" s="10" t="s">
        <v>4188</v>
      </c>
      <c r="Q383" s="10"/>
      <c r="R383" s="11"/>
      <c r="S383" s="11"/>
      <c r="T383" s="11"/>
      <c r="U383" s="11"/>
      <c r="V383" s="11"/>
      <c r="W383" s="11"/>
      <c r="X383" s="11"/>
      <c r="Y383" s="2"/>
      <c r="Z383" s="2"/>
      <c r="AA383" s="2"/>
      <c r="AB383" s="2"/>
      <c r="AC383" s="2"/>
      <c r="AD383" s="2"/>
      <c r="AE383" s="2"/>
      <c r="AF383" s="2"/>
      <c r="AG383" s="2"/>
      <c r="AH383" s="2"/>
      <c r="AI383" s="2"/>
      <c r="AJ383" s="2"/>
      <c r="AK383" s="2"/>
      <c r="AL383" s="2"/>
      <c r="AM383" s="2"/>
      <c r="AN383" s="2"/>
    </row>
    <row r="384" spans="3:40" x14ac:dyDescent="0.25">
      <c r="C384" s="11"/>
      <c r="D384" s="11"/>
      <c r="E384" s="939">
        <v>2</v>
      </c>
      <c r="F384" s="1245" t="s">
        <v>4243</v>
      </c>
      <c r="G384" s="1245"/>
      <c r="H384" s="1245"/>
      <c r="I384" s="1245"/>
      <c r="J384" s="1245"/>
      <c r="K384" s="931"/>
      <c r="L384" s="932"/>
      <c r="M384" s="931"/>
      <c r="N384" s="941" t="str">
        <f>HYPERLINK("http://wiki.academyofsports.online/tiki-index.php?page=Studddy---Targroup-Media-(sport-studieren.de)", "TarGroup")</f>
        <v>TarGroup</v>
      </c>
      <c r="O384" s="931"/>
      <c r="P384" s="945"/>
      <c r="Q384" s="945"/>
      <c r="R384" s="931"/>
      <c r="S384" s="931"/>
      <c r="T384" s="931"/>
      <c r="U384" s="931"/>
      <c r="V384" s="931"/>
      <c r="W384" s="931"/>
      <c r="X384" s="931"/>
      <c r="Y384" s="2"/>
      <c r="Z384" s="2"/>
      <c r="AA384" s="2"/>
      <c r="AB384" s="2"/>
      <c r="AC384" s="2"/>
      <c r="AD384" s="2"/>
      <c r="AE384" s="2"/>
      <c r="AF384" s="2"/>
      <c r="AG384" s="2"/>
      <c r="AH384" s="2"/>
      <c r="AI384" s="2"/>
      <c r="AJ384" s="2"/>
      <c r="AK384" s="2"/>
      <c r="AL384" s="2"/>
      <c r="AM384" s="2"/>
      <c r="AN384" s="2"/>
    </row>
    <row r="385" spans="3:40" ht="75" x14ac:dyDescent="0.25">
      <c r="C385" s="11"/>
      <c r="D385" s="11"/>
      <c r="E385" s="41"/>
      <c r="F385" s="11">
        <v>3</v>
      </c>
      <c r="G385" s="11"/>
      <c r="H385" s="11"/>
      <c r="I385" s="11"/>
      <c r="J385" s="10" t="s">
        <v>4174</v>
      </c>
      <c r="K385" s="6" t="s">
        <v>4244</v>
      </c>
      <c r="L385" s="8" t="s">
        <v>3673</v>
      </c>
      <c r="M385" s="11"/>
      <c r="N385" s="11"/>
      <c r="O385" s="11"/>
      <c r="P385" s="6" t="s">
        <v>4245</v>
      </c>
      <c r="Q385" s="6" t="s">
        <v>4246</v>
      </c>
      <c r="R385" s="11"/>
      <c r="S385" s="11"/>
      <c r="T385" s="11"/>
      <c r="U385" s="11"/>
      <c r="V385" s="11"/>
      <c r="W385" s="11"/>
      <c r="X385" s="11"/>
      <c r="Y385" s="2"/>
      <c r="Z385" s="2"/>
      <c r="AA385" s="2"/>
      <c r="AB385" s="2"/>
      <c r="AC385" s="2"/>
      <c r="AD385" s="2"/>
      <c r="AE385" s="2"/>
      <c r="AF385" s="2"/>
      <c r="AG385" s="2"/>
      <c r="AH385" s="2"/>
      <c r="AI385" s="2"/>
      <c r="AJ385" s="2"/>
      <c r="AK385" s="2"/>
      <c r="AL385" s="2"/>
      <c r="AM385" s="2"/>
      <c r="AN385" s="2"/>
    </row>
    <row r="386" spans="3:40" ht="60" x14ac:dyDescent="0.25">
      <c r="C386" s="11"/>
      <c r="D386" s="11"/>
      <c r="E386" s="41"/>
      <c r="F386" s="11">
        <v>3</v>
      </c>
      <c r="G386" s="11"/>
      <c r="H386" s="11"/>
      <c r="I386" s="11"/>
      <c r="J386" s="10" t="s">
        <v>4177</v>
      </c>
      <c r="K386" s="10" t="s">
        <v>4247</v>
      </c>
      <c r="L386" s="8" t="s">
        <v>3673</v>
      </c>
      <c r="M386" s="11"/>
      <c r="N386" s="11"/>
      <c r="O386" s="11"/>
      <c r="P386" s="6" t="s">
        <v>4193</v>
      </c>
      <c r="Q386" s="6" t="s">
        <v>4248</v>
      </c>
      <c r="R386" s="11"/>
      <c r="S386" s="11"/>
      <c r="T386" s="11"/>
      <c r="U386" s="11"/>
      <c r="V386" s="11"/>
      <c r="W386" s="11"/>
      <c r="X386" s="11"/>
      <c r="Y386" s="2"/>
      <c r="Z386" s="2"/>
      <c r="AA386" s="2"/>
      <c r="AB386" s="2"/>
      <c r="AC386" s="2"/>
      <c r="AD386" s="2"/>
      <c r="AE386" s="2"/>
      <c r="AF386" s="2"/>
      <c r="AG386" s="2"/>
      <c r="AH386" s="2"/>
      <c r="AI386" s="2"/>
      <c r="AJ386" s="2"/>
      <c r="AK386" s="2"/>
      <c r="AL386" s="2"/>
      <c r="AM386" s="2"/>
      <c r="AN386" s="2"/>
    </row>
    <row r="387" spans="3:40" ht="30" x14ac:dyDescent="0.25">
      <c r="C387" s="11"/>
      <c r="D387" s="11"/>
      <c r="E387" s="41"/>
      <c r="F387" s="11">
        <v>3</v>
      </c>
      <c r="G387" s="11"/>
      <c r="H387" s="11"/>
      <c r="I387" s="11"/>
      <c r="J387" s="10" t="s">
        <v>4180</v>
      </c>
      <c r="K387" s="6" t="s">
        <v>4249</v>
      </c>
      <c r="L387" s="8" t="s">
        <v>3673</v>
      </c>
      <c r="M387" s="11"/>
      <c r="N387" s="11"/>
      <c r="O387" s="11"/>
      <c r="P387" s="10" t="s">
        <v>4182</v>
      </c>
      <c r="Q387" s="6" t="s">
        <v>4250</v>
      </c>
      <c r="R387" s="11"/>
      <c r="S387" s="11"/>
      <c r="T387" s="11"/>
      <c r="U387" s="11"/>
      <c r="V387" s="11"/>
      <c r="W387" s="11"/>
      <c r="X387" s="11"/>
      <c r="Y387" s="2"/>
      <c r="Z387" s="2"/>
      <c r="AA387" s="2"/>
      <c r="AB387" s="2"/>
      <c r="AC387" s="2"/>
      <c r="AD387" s="2"/>
      <c r="AE387" s="2"/>
      <c r="AF387" s="2"/>
      <c r="AG387" s="2"/>
      <c r="AH387" s="2"/>
      <c r="AI387" s="2"/>
      <c r="AJ387" s="2"/>
      <c r="AK387" s="2"/>
      <c r="AL387" s="2"/>
      <c r="AM387" s="2"/>
      <c r="AN387" s="2"/>
    </row>
    <row r="388" spans="3:40" ht="26.25" x14ac:dyDescent="0.25">
      <c r="C388" s="11"/>
      <c r="D388" s="11"/>
      <c r="E388" s="41"/>
      <c r="F388" s="11">
        <v>3</v>
      </c>
      <c r="G388" s="11"/>
      <c r="H388" s="11"/>
      <c r="I388" s="11"/>
      <c r="J388" s="10" t="s">
        <v>4198</v>
      </c>
      <c r="K388" s="10" t="s">
        <v>4199</v>
      </c>
      <c r="L388" s="8" t="s">
        <v>4200</v>
      </c>
      <c r="M388" s="11"/>
      <c r="N388" s="11"/>
      <c r="O388" s="11"/>
      <c r="P388" s="10"/>
      <c r="Q388" s="10"/>
      <c r="R388" s="11"/>
      <c r="S388" s="11"/>
      <c r="T388" s="11"/>
      <c r="U388" s="11"/>
      <c r="V388" s="11"/>
      <c r="W388" s="11"/>
      <c r="X388" s="11"/>
      <c r="Y388" s="2"/>
      <c r="Z388" s="2"/>
      <c r="AA388" s="2"/>
      <c r="AB388" s="2"/>
      <c r="AC388" s="2"/>
      <c r="AD388" s="2"/>
      <c r="AE388" s="2"/>
      <c r="AF388" s="2"/>
      <c r="AG388" s="2"/>
      <c r="AH388" s="2"/>
      <c r="AI388" s="2"/>
      <c r="AJ388" s="2"/>
      <c r="AK388" s="2"/>
      <c r="AL388" s="2"/>
      <c r="AM388" s="2"/>
      <c r="AN388" s="2"/>
    </row>
    <row r="389" spans="3:40" x14ac:dyDescent="0.25">
      <c r="C389" s="11"/>
      <c r="D389" s="11"/>
      <c r="E389" s="939">
        <v>2</v>
      </c>
      <c r="F389" s="1245" t="s">
        <v>4251</v>
      </c>
      <c r="G389" s="1245"/>
      <c r="H389" s="1245"/>
      <c r="I389" s="1245"/>
      <c r="J389" s="1245"/>
      <c r="K389" s="931"/>
      <c r="L389" s="932"/>
      <c r="M389" s="931"/>
      <c r="N389" s="941" t="str">
        <f>HYPERLINK("http://wiki.academyofsports.online/tiki-index.php?page=Forum-Distance-E-Learning-(FDL)-Fernstudienanbieter", "FDL")</f>
        <v>FDL</v>
      </c>
      <c r="O389" s="931"/>
      <c r="P389" s="931"/>
      <c r="Q389" s="931"/>
      <c r="R389" s="931"/>
      <c r="S389" s="931"/>
      <c r="T389" s="931"/>
      <c r="U389" s="931"/>
      <c r="V389" s="931"/>
      <c r="W389" s="931"/>
      <c r="X389" s="931"/>
      <c r="Y389" s="2"/>
      <c r="Z389" s="2"/>
      <c r="AA389" s="2"/>
      <c r="AB389" s="2"/>
      <c r="AC389" s="2"/>
      <c r="AD389" s="2"/>
      <c r="AE389" s="2"/>
      <c r="AF389" s="2"/>
      <c r="AG389" s="2"/>
      <c r="AH389" s="2"/>
      <c r="AI389" s="2"/>
      <c r="AJ389" s="2"/>
      <c r="AK389" s="2"/>
      <c r="AL389" s="2"/>
      <c r="AM389" s="2"/>
      <c r="AN389" s="2"/>
    </row>
    <row r="390" spans="3:40" x14ac:dyDescent="0.25">
      <c r="C390" s="11"/>
      <c r="D390" s="11"/>
      <c r="E390" s="41"/>
      <c r="F390" s="11">
        <v>3</v>
      </c>
      <c r="G390" s="11"/>
      <c r="H390" s="11"/>
      <c r="I390" s="11"/>
      <c r="J390" s="10" t="s">
        <v>4174</v>
      </c>
      <c r="K390" s="6" t="s">
        <v>4252</v>
      </c>
      <c r="L390" s="8" t="s">
        <v>3673</v>
      </c>
      <c r="M390" s="11"/>
      <c r="N390" s="11"/>
      <c r="O390" s="11"/>
      <c r="P390" s="6" t="s">
        <v>4190</v>
      </c>
      <c r="Q390" s="11"/>
      <c r="R390" s="11"/>
      <c r="S390" s="11"/>
      <c r="T390" s="11"/>
      <c r="U390" s="11"/>
      <c r="V390" s="11"/>
      <c r="W390" s="11"/>
      <c r="X390" s="11"/>
      <c r="Y390" s="2"/>
      <c r="Z390" s="2"/>
      <c r="AA390" s="2"/>
      <c r="AB390" s="2"/>
      <c r="AC390" s="2"/>
      <c r="AD390" s="2"/>
      <c r="AE390" s="2"/>
      <c r="AF390" s="2"/>
      <c r="AG390" s="2"/>
      <c r="AH390" s="2"/>
      <c r="AI390" s="2"/>
      <c r="AJ390" s="2"/>
      <c r="AK390" s="2"/>
      <c r="AL390" s="2"/>
      <c r="AM390" s="2"/>
      <c r="AN390" s="2"/>
    </row>
    <row r="391" spans="3:40" ht="30" x14ac:dyDescent="0.25">
      <c r="C391" s="11"/>
      <c r="D391" s="11"/>
      <c r="E391" s="41"/>
      <c r="F391" s="11">
        <v>3</v>
      </c>
      <c r="G391" s="11"/>
      <c r="H391" s="11"/>
      <c r="I391" s="11"/>
      <c r="J391" s="10" t="s">
        <v>4177</v>
      </c>
      <c r="K391" s="6" t="s">
        <v>4253</v>
      </c>
      <c r="L391" s="8" t="s">
        <v>3673</v>
      </c>
      <c r="M391" s="11"/>
      <c r="N391" s="11"/>
      <c r="O391" s="11"/>
      <c r="P391" s="6" t="s">
        <v>4254</v>
      </c>
      <c r="Q391" s="11"/>
      <c r="R391" s="11"/>
      <c r="S391" s="11"/>
      <c r="T391" s="11"/>
      <c r="U391" s="11"/>
      <c r="V391" s="11"/>
      <c r="W391" s="11"/>
      <c r="X391" s="11"/>
      <c r="Y391" s="2"/>
      <c r="Z391" s="2"/>
      <c r="AA391" s="2"/>
      <c r="AB391" s="2"/>
      <c r="AC391" s="2"/>
      <c r="AD391" s="2"/>
      <c r="AE391" s="2"/>
      <c r="AF391" s="2"/>
      <c r="AG391" s="2"/>
      <c r="AH391" s="2"/>
      <c r="AI391" s="2"/>
      <c r="AJ391" s="2"/>
      <c r="AK391" s="2"/>
      <c r="AL391" s="2"/>
      <c r="AM391" s="2"/>
      <c r="AN391" s="2"/>
    </row>
    <row r="392" spans="3:40" ht="26.25" x14ac:dyDescent="0.25">
      <c r="C392" s="11"/>
      <c r="D392" s="11"/>
      <c r="E392" s="41"/>
      <c r="F392" s="11">
        <v>3</v>
      </c>
      <c r="G392" s="11"/>
      <c r="H392" s="11"/>
      <c r="I392" s="11"/>
      <c r="J392" s="10" t="s">
        <v>4180</v>
      </c>
      <c r="K392" s="10" t="s">
        <v>4181</v>
      </c>
      <c r="L392" s="8" t="s">
        <v>3673</v>
      </c>
      <c r="M392" s="11"/>
      <c r="N392" s="11"/>
      <c r="O392" s="11"/>
      <c r="P392" s="10" t="s">
        <v>4182</v>
      </c>
      <c r="Q392" s="11"/>
      <c r="R392" s="11"/>
      <c r="S392" s="11"/>
      <c r="T392" s="11"/>
      <c r="U392" s="11"/>
      <c r="V392" s="11"/>
      <c r="W392" s="11"/>
      <c r="X392" s="11"/>
      <c r="Y392" s="2"/>
      <c r="Z392" s="2"/>
      <c r="AA392" s="2"/>
      <c r="AB392" s="2"/>
      <c r="AC392" s="2"/>
      <c r="AD392" s="2"/>
      <c r="AE392" s="2"/>
      <c r="AF392" s="2"/>
      <c r="AG392" s="2"/>
      <c r="AH392" s="2"/>
      <c r="AI392" s="2"/>
      <c r="AJ392" s="2"/>
      <c r="AK392" s="2"/>
      <c r="AL392" s="2"/>
      <c r="AM392" s="2"/>
      <c r="AN392" s="2"/>
    </row>
    <row r="393" spans="3:40" x14ac:dyDescent="0.25">
      <c r="C393" s="11"/>
      <c r="D393" s="11"/>
      <c r="E393" s="939">
        <v>2</v>
      </c>
      <c r="F393" s="1245" t="s">
        <v>4255</v>
      </c>
      <c r="G393" s="1245"/>
      <c r="H393" s="1245"/>
      <c r="I393" s="1245"/>
      <c r="J393" s="1245"/>
      <c r="K393" s="931"/>
      <c r="L393" s="932"/>
      <c r="M393" s="931"/>
      <c r="N393" s="941" t="str">
        <f>HYPERLINK("http://wiki.academyofsports.online/tiki-index.php?page=Fobimarkt", "Fobimarkt")</f>
        <v>Fobimarkt</v>
      </c>
      <c r="O393" s="931"/>
      <c r="P393" s="931"/>
      <c r="Q393" s="931"/>
      <c r="R393" s="931"/>
      <c r="S393" s="931"/>
      <c r="T393" s="931"/>
      <c r="U393" s="931"/>
      <c r="V393" s="931"/>
      <c r="W393" s="931"/>
      <c r="X393" s="931"/>
      <c r="Y393" s="2"/>
      <c r="Z393" s="2"/>
      <c r="AA393" s="2"/>
      <c r="AB393" s="2"/>
      <c r="AC393" s="2"/>
      <c r="AD393" s="2"/>
      <c r="AE393" s="2"/>
      <c r="AF393" s="2"/>
      <c r="AG393" s="2"/>
      <c r="AH393" s="2"/>
      <c r="AI393" s="2"/>
      <c r="AJ393" s="2"/>
      <c r="AK393" s="2"/>
      <c r="AL393" s="2"/>
      <c r="AM393" s="2"/>
      <c r="AN393" s="2"/>
    </row>
    <row r="394" spans="3:40" ht="45" x14ac:dyDescent="0.25">
      <c r="C394" s="11"/>
      <c r="D394" s="11"/>
      <c r="E394" s="41"/>
      <c r="F394" s="11">
        <v>3</v>
      </c>
      <c r="G394" s="11"/>
      <c r="H394" s="11"/>
      <c r="I394" s="11"/>
      <c r="J394" s="10" t="s">
        <v>4174</v>
      </c>
      <c r="K394" s="6" t="s">
        <v>4256</v>
      </c>
      <c r="L394" s="8" t="s">
        <v>3673</v>
      </c>
      <c r="M394" s="11"/>
      <c r="N394" s="11"/>
      <c r="O394" s="11"/>
      <c r="P394" s="6" t="s">
        <v>4257</v>
      </c>
      <c r="Q394" s="11"/>
      <c r="R394" s="11"/>
      <c r="S394" s="11"/>
      <c r="T394" s="11"/>
      <c r="U394" s="11"/>
      <c r="V394" s="11"/>
      <c r="W394" s="11"/>
      <c r="X394" s="11"/>
      <c r="Y394" s="2"/>
      <c r="Z394" s="2"/>
      <c r="AA394" s="2"/>
      <c r="AB394" s="2"/>
      <c r="AC394" s="2"/>
      <c r="AD394" s="2"/>
      <c r="AE394" s="2"/>
      <c r="AF394" s="2"/>
      <c r="AG394" s="2"/>
      <c r="AH394" s="2"/>
      <c r="AI394" s="2"/>
      <c r="AJ394" s="2"/>
      <c r="AK394" s="2"/>
      <c r="AL394" s="2"/>
      <c r="AM394" s="2"/>
      <c r="AN394" s="2"/>
    </row>
    <row r="395" spans="3:40" ht="30" x14ac:dyDescent="0.25">
      <c r="C395" s="11"/>
      <c r="D395" s="11"/>
      <c r="E395" s="41"/>
      <c r="F395" s="11">
        <v>3</v>
      </c>
      <c r="G395" s="11"/>
      <c r="H395" s="11"/>
      <c r="I395" s="11"/>
      <c r="J395" s="10" t="s">
        <v>4177</v>
      </c>
      <c r="K395" s="6" t="s">
        <v>4236</v>
      </c>
      <c r="L395" s="8" t="s">
        <v>3673</v>
      </c>
      <c r="M395" s="11"/>
      <c r="N395" s="11"/>
      <c r="O395" s="11"/>
      <c r="P395" s="6" t="s">
        <v>4193</v>
      </c>
      <c r="Q395" s="11"/>
      <c r="R395" s="11"/>
      <c r="S395" s="11"/>
      <c r="T395" s="11"/>
      <c r="U395" s="11"/>
      <c r="V395" s="11"/>
      <c r="W395" s="11"/>
      <c r="X395" s="11"/>
      <c r="Y395" s="2"/>
      <c r="Z395" s="2"/>
      <c r="AA395" s="2"/>
      <c r="AB395" s="2"/>
      <c r="AC395" s="2"/>
      <c r="AD395" s="2"/>
      <c r="AE395" s="2"/>
      <c r="AF395" s="2"/>
      <c r="AG395" s="2"/>
      <c r="AH395" s="2"/>
      <c r="AI395" s="2"/>
      <c r="AJ395" s="2"/>
      <c r="AK395" s="2"/>
      <c r="AL395" s="2"/>
      <c r="AM395" s="2"/>
      <c r="AN395" s="2"/>
    </row>
    <row r="396" spans="3:40" ht="26.25" x14ac:dyDescent="0.25">
      <c r="C396" s="11"/>
      <c r="D396" s="11"/>
      <c r="E396" s="41"/>
      <c r="F396" s="11">
        <v>3</v>
      </c>
      <c r="G396" s="11"/>
      <c r="H396" s="11"/>
      <c r="I396" s="11"/>
      <c r="J396" s="10" t="s">
        <v>4180</v>
      </c>
      <c r="K396" s="6" t="s">
        <v>4181</v>
      </c>
      <c r="L396" s="8" t="s">
        <v>3673</v>
      </c>
      <c r="M396" s="11"/>
      <c r="N396" s="11"/>
      <c r="O396" s="11"/>
      <c r="P396" s="10" t="s">
        <v>4182</v>
      </c>
      <c r="Q396" s="11"/>
      <c r="R396" s="11"/>
      <c r="S396" s="11"/>
      <c r="T396" s="11"/>
      <c r="U396" s="11"/>
      <c r="V396" s="11"/>
      <c r="W396" s="11"/>
      <c r="X396" s="11"/>
      <c r="Y396" s="2"/>
      <c r="Z396" s="2"/>
      <c r="AA396" s="2"/>
      <c r="AB396" s="2"/>
      <c r="AC396" s="2"/>
      <c r="AD396" s="2"/>
      <c r="AE396" s="2"/>
      <c r="AF396" s="2"/>
      <c r="AG396" s="2"/>
      <c r="AH396" s="2"/>
      <c r="AI396" s="2"/>
      <c r="AJ396" s="2"/>
      <c r="AK396" s="2"/>
      <c r="AL396" s="2"/>
      <c r="AM396" s="2"/>
      <c r="AN396" s="2"/>
    </row>
    <row r="397" spans="3:40" x14ac:dyDescent="0.25">
      <c r="C397" s="11"/>
      <c r="D397" s="11"/>
      <c r="E397" s="939">
        <v>2</v>
      </c>
      <c r="F397" s="1245" t="s">
        <v>4258</v>
      </c>
      <c r="G397" s="1245"/>
      <c r="H397" s="1245"/>
      <c r="I397" s="1245"/>
      <c r="J397" s="1245"/>
      <c r="K397" s="931"/>
      <c r="L397" s="932"/>
      <c r="M397" s="931"/>
      <c r="N397" s="941" t="str">
        <f>HYPERLINK("http://wiki.academyofsports.online/tiki-index.php?page=Bildung.de", "Bildung.de")</f>
        <v>Bildung.de</v>
      </c>
      <c r="O397" s="931"/>
      <c r="P397" s="931"/>
      <c r="Q397" s="931"/>
      <c r="R397" s="931"/>
      <c r="S397" s="931"/>
      <c r="T397" s="931"/>
      <c r="U397" s="931"/>
      <c r="V397" s="931"/>
      <c r="W397" s="931"/>
      <c r="X397" s="931"/>
      <c r="Y397" s="2"/>
      <c r="Z397" s="2"/>
      <c r="AA397" s="2"/>
      <c r="AB397" s="2"/>
      <c r="AC397" s="2"/>
      <c r="AD397" s="2"/>
      <c r="AE397" s="2"/>
      <c r="AF397" s="2"/>
      <c r="AG397" s="2"/>
      <c r="AH397" s="2"/>
      <c r="AI397" s="2"/>
      <c r="AJ397" s="2"/>
      <c r="AK397" s="2"/>
      <c r="AL397" s="2"/>
      <c r="AM397" s="2"/>
      <c r="AN397" s="2"/>
    </row>
    <row r="398" spans="3:40" ht="30" x14ac:dyDescent="0.25">
      <c r="C398" s="11"/>
      <c r="D398" s="11"/>
      <c r="E398" s="41"/>
      <c r="F398" s="11">
        <v>3</v>
      </c>
      <c r="G398" s="11"/>
      <c r="H398" s="11"/>
      <c r="I398" s="11"/>
      <c r="J398" s="6" t="s">
        <v>4259</v>
      </c>
      <c r="K398" s="10" t="s">
        <v>4260</v>
      </c>
      <c r="L398" s="8" t="s">
        <v>3673</v>
      </c>
      <c r="M398" s="11"/>
      <c r="N398" s="11"/>
      <c r="O398" s="11"/>
      <c r="P398" s="6" t="s">
        <v>4261</v>
      </c>
      <c r="Q398" s="11"/>
      <c r="R398" s="11"/>
      <c r="S398" s="11"/>
      <c r="T398" s="11"/>
      <c r="U398" s="11"/>
      <c r="V398" s="11"/>
      <c r="W398" s="11"/>
      <c r="X398" s="11"/>
      <c r="Y398" s="2"/>
      <c r="Z398" s="2"/>
      <c r="AA398" s="2"/>
      <c r="AB398" s="2"/>
      <c r="AC398" s="2"/>
      <c r="AD398" s="2"/>
      <c r="AE398" s="2"/>
      <c r="AF398" s="2"/>
      <c r="AG398" s="2"/>
      <c r="AH398" s="2"/>
      <c r="AI398" s="2"/>
      <c r="AJ398" s="2"/>
      <c r="AK398" s="2"/>
      <c r="AL398" s="2"/>
      <c r="AM398" s="2"/>
      <c r="AN398" s="2"/>
    </row>
    <row r="399" spans="3:40" x14ac:dyDescent="0.25">
      <c r="C399" s="11"/>
      <c r="D399" s="11"/>
      <c r="E399" s="939">
        <v>2</v>
      </c>
      <c r="F399" s="1245" t="s">
        <v>4262</v>
      </c>
      <c r="G399" s="1245"/>
      <c r="H399" s="1245"/>
      <c r="I399" s="1245"/>
      <c r="J399" s="1245"/>
      <c r="K399" s="931"/>
      <c r="L399" s="932"/>
      <c r="M399" s="931"/>
      <c r="N399" s="941" t="str">
        <f>HYPERLINK("http://wiki.academyofsports.online/tiki-index.php?page=Deutscher-Bildungsserver", "Bildungsserver")</f>
        <v>Bildungsserver</v>
      </c>
      <c r="O399" s="931"/>
      <c r="P399" s="931"/>
      <c r="Q399" s="931"/>
      <c r="R399" s="931"/>
      <c r="S399" s="931"/>
      <c r="T399" s="931"/>
      <c r="U399" s="931"/>
      <c r="V399" s="931"/>
      <c r="W399" s="931"/>
      <c r="X399" s="931"/>
      <c r="Y399" s="2"/>
      <c r="Z399" s="2"/>
      <c r="AA399" s="2"/>
      <c r="AB399" s="2"/>
      <c r="AC399" s="2"/>
      <c r="AD399" s="2"/>
      <c r="AE399" s="2"/>
      <c r="AF399" s="2"/>
      <c r="AG399" s="2"/>
      <c r="AH399" s="2"/>
      <c r="AI399" s="2"/>
      <c r="AJ399" s="2"/>
      <c r="AK399" s="2"/>
      <c r="AL399" s="2"/>
      <c r="AM399" s="2"/>
      <c r="AN399" s="2"/>
    </row>
    <row r="400" spans="3:40" ht="60" x14ac:dyDescent="0.25">
      <c r="C400" s="11"/>
      <c r="D400" s="11"/>
      <c r="E400" s="41"/>
      <c r="F400" s="11">
        <v>3</v>
      </c>
      <c r="G400" s="11"/>
      <c r="H400" s="11"/>
      <c r="I400" s="11"/>
      <c r="J400" s="6" t="s">
        <v>4259</v>
      </c>
      <c r="K400" s="6" t="s">
        <v>4263</v>
      </c>
      <c r="L400" s="8" t="s">
        <v>3673</v>
      </c>
      <c r="M400" s="11"/>
      <c r="N400" s="11"/>
      <c r="O400" s="11"/>
      <c r="P400" s="6" t="s">
        <v>4264</v>
      </c>
      <c r="Q400" s="11"/>
      <c r="R400" s="11"/>
      <c r="S400" s="11"/>
      <c r="T400" s="11"/>
      <c r="U400" s="11"/>
      <c r="V400" s="11"/>
      <c r="W400" s="11"/>
      <c r="X400" s="11"/>
      <c r="Y400" s="2"/>
      <c r="Z400" s="2"/>
      <c r="AA400" s="2"/>
      <c r="AB400" s="2"/>
      <c r="AC400" s="2"/>
      <c r="AD400" s="2"/>
      <c r="AE400" s="2"/>
      <c r="AF400" s="2"/>
      <c r="AG400" s="2"/>
      <c r="AH400" s="2"/>
      <c r="AI400" s="2"/>
      <c r="AJ400" s="2"/>
      <c r="AK400" s="2"/>
      <c r="AL400" s="2"/>
      <c r="AM400" s="2"/>
      <c r="AN400" s="2"/>
    </row>
    <row r="401" spans="3:40" x14ac:dyDescent="0.25">
      <c r="C401" s="11"/>
      <c r="D401" s="11"/>
      <c r="E401" s="939">
        <v>2</v>
      </c>
      <c r="F401" s="1245" t="s">
        <v>4265</v>
      </c>
      <c r="G401" s="1245"/>
      <c r="H401" s="1245"/>
      <c r="I401" s="1245"/>
      <c r="J401" s="1245"/>
      <c r="K401" s="931"/>
      <c r="L401" s="932"/>
      <c r="M401" s="931"/>
      <c r="N401" s="941" t="str">
        <f>HYPERLINK("http://wiki.academyofsports.online/tiki-index.php?page=Hessische-Weiterbildungsdatenbank", "WDB Hessen")</f>
        <v>WDB Hessen</v>
      </c>
      <c r="O401" s="931"/>
      <c r="P401" s="931"/>
      <c r="Q401" s="931"/>
      <c r="R401" s="931"/>
      <c r="S401" s="931"/>
      <c r="T401" s="931"/>
      <c r="U401" s="931"/>
      <c r="V401" s="931"/>
      <c r="W401" s="931"/>
      <c r="X401" s="931"/>
      <c r="Y401" s="2"/>
      <c r="Z401" s="2"/>
      <c r="AA401" s="2"/>
      <c r="AB401" s="2"/>
      <c r="AC401" s="2"/>
      <c r="AD401" s="2"/>
      <c r="AE401" s="2"/>
      <c r="AF401" s="2"/>
      <c r="AG401" s="2"/>
      <c r="AH401" s="2"/>
      <c r="AI401" s="2"/>
      <c r="AJ401" s="2"/>
      <c r="AK401" s="2"/>
      <c r="AL401" s="2"/>
      <c r="AM401" s="2"/>
      <c r="AN401" s="2"/>
    </row>
    <row r="402" spans="3:40" ht="26.25" x14ac:dyDescent="0.25">
      <c r="C402" s="11"/>
      <c r="D402" s="11"/>
      <c r="E402" s="41"/>
      <c r="F402" s="11">
        <v>3</v>
      </c>
      <c r="G402" s="11"/>
      <c r="H402" s="11"/>
      <c r="I402" s="11"/>
      <c r="J402" s="6" t="s">
        <v>4259</v>
      </c>
      <c r="K402" s="10" t="s">
        <v>4266</v>
      </c>
      <c r="L402" s="8" t="s">
        <v>3673</v>
      </c>
      <c r="M402" s="11"/>
      <c r="N402" s="11"/>
      <c r="O402" s="11"/>
      <c r="P402" s="10" t="s">
        <v>4267</v>
      </c>
      <c r="Q402" s="11"/>
      <c r="R402" s="11"/>
      <c r="S402" s="11"/>
      <c r="T402" s="11"/>
      <c r="U402" s="11"/>
      <c r="V402" s="11"/>
      <c r="W402" s="11"/>
      <c r="X402" s="11"/>
      <c r="Y402" s="2"/>
      <c r="Z402" s="2"/>
      <c r="AA402" s="2"/>
      <c r="AB402" s="2"/>
      <c r="AC402" s="2"/>
      <c r="AD402" s="2"/>
      <c r="AE402" s="2"/>
      <c r="AF402" s="2"/>
      <c r="AG402" s="2"/>
      <c r="AH402" s="2"/>
      <c r="AI402" s="2"/>
      <c r="AJ402" s="2"/>
      <c r="AK402" s="2"/>
      <c r="AL402" s="2"/>
      <c r="AM402" s="2"/>
      <c r="AN402" s="2"/>
    </row>
    <row r="403" spans="3:40" x14ac:dyDescent="0.25">
      <c r="C403" s="11"/>
      <c r="D403" s="11"/>
      <c r="E403" s="939">
        <v>2</v>
      </c>
      <c r="F403" s="1245" t="s">
        <v>4268</v>
      </c>
      <c r="G403" s="1245"/>
      <c r="H403" s="1245"/>
      <c r="I403" s="1245"/>
      <c r="J403" s="1245"/>
      <c r="K403" s="931"/>
      <c r="L403" s="932"/>
      <c r="M403" s="931"/>
      <c r="N403" s="941" t="str">
        <f>HYPERLINK("http://wiki.academyofsports.online/tiki-index.php?page=Kursportal-Schleswig-Holstein", "Portal SH")</f>
        <v>Portal SH</v>
      </c>
      <c r="O403" s="931"/>
      <c r="P403" s="931"/>
      <c r="Q403" s="931"/>
      <c r="R403" s="931"/>
      <c r="S403" s="931"/>
      <c r="T403" s="931"/>
      <c r="U403" s="931"/>
      <c r="V403" s="931"/>
      <c r="W403" s="931"/>
      <c r="X403" s="931"/>
      <c r="Y403" s="2"/>
      <c r="Z403" s="2"/>
      <c r="AA403" s="2"/>
      <c r="AB403" s="2"/>
      <c r="AC403" s="2"/>
      <c r="AD403" s="2"/>
      <c r="AE403" s="2"/>
      <c r="AF403" s="2"/>
      <c r="AG403" s="2"/>
      <c r="AH403" s="2"/>
      <c r="AI403" s="2"/>
      <c r="AJ403" s="2"/>
      <c r="AK403" s="2"/>
      <c r="AL403" s="2"/>
      <c r="AM403" s="2"/>
      <c r="AN403" s="2"/>
    </row>
    <row r="404" spans="3:40" ht="26.25" x14ac:dyDescent="0.25">
      <c r="C404" s="11"/>
      <c r="D404" s="11"/>
      <c r="E404" s="41"/>
      <c r="F404" s="11">
        <v>3</v>
      </c>
      <c r="G404" s="11"/>
      <c r="H404" s="11"/>
      <c r="I404" s="11"/>
      <c r="J404" s="6" t="s">
        <v>4259</v>
      </c>
      <c r="K404" s="10" t="s">
        <v>4266</v>
      </c>
      <c r="L404" s="8" t="s">
        <v>3673</v>
      </c>
      <c r="M404" s="11"/>
      <c r="N404" s="11"/>
      <c r="O404" s="11"/>
      <c r="P404" s="10" t="s">
        <v>4267</v>
      </c>
      <c r="Q404" s="11"/>
      <c r="R404" s="11"/>
      <c r="S404" s="11"/>
      <c r="T404" s="11"/>
      <c r="U404" s="11"/>
      <c r="V404" s="11"/>
      <c r="W404" s="11"/>
      <c r="X404" s="11"/>
      <c r="Y404" s="2"/>
      <c r="Z404" s="2"/>
      <c r="AA404" s="2"/>
      <c r="AB404" s="2"/>
      <c r="AC404" s="2"/>
      <c r="AD404" s="2"/>
      <c r="AE404" s="2"/>
      <c r="AF404" s="2"/>
      <c r="AG404" s="2"/>
      <c r="AH404" s="2"/>
      <c r="AI404" s="2"/>
      <c r="AJ404" s="2"/>
      <c r="AK404" s="2"/>
      <c r="AL404" s="2"/>
      <c r="AM404" s="2"/>
      <c r="AN404" s="2"/>
    </row>
    <row r="405" spans="3:40" x14ac:dyDescent="0.25">
      <c r="C405" s="11"/>
      <c r="D405" s="11"/>
      <c r="E405" s="939">
        <v>2</v>
      </c>
      <c r="F405" s="1245" t="s">
        <v>4269</v>
      </c>
      <c r="G405" s="1245"/>
      <c r="H405" s="1245"/>
      <c r="I405" s="1245"/>
      <c r="J405" s="1245"/>
      <c r="K405" s="931"/>
      <c r="L405" s="932"/>
      <c r="M405" s="931"/>
      <c r="N405" s="941" t="str">
        <f>HYPERLINK("http://wiki.academyofsports.online/tiki-index.php?page=Weiterbildung.de", "Weiterbildung.de")</f>
        <v>Weiterbildung.de</v>
      </c>
      <c r="O405" s="931"/>
      <c r="P405" s="931"/>
      <c r="Q405" s="931"/>
      <c r="R405" s="931"/>
      <c r="S405" s="931"/>
      <c r="T405" s="931"/>
      <c r="U405" s="931"/>
      <c r="V405" s="931"/>
      <c r="W405" s="931"/>
      <c r="X405" s="931"/>
      <c r="Y405" s="2"/>
      <c r="Z405" s="2"/>
      <c r="AA405" s="2"/>
      <c r="AB405" s="2"/>
      <c r="AC405" s="2"/>
      <c r="AD405" s="2"/>
      <c r="AE405" s="2"/>
      <c r="AF405" s="2"/>
      <c r="AG405" s="2"/>
      <c r="AH405" s="2"/>
      <c r="AI405" s="2"/>
      <c r="AJ405" s="2"/>
      <c r="AK405" s="2"/>
      <c r="AL405" s="2"/>
      <c r="AM405" s="2"/>
      <c r="AN405" s="2"/>
    </row>
    <row r="406" spans="3:40" ht="30" x14ac:dyDescent="0.25">
      <c r="C406" s="11"/>
      <c r="D406" s="11"/>
      <c r="E406" s="41"/>
      <c r="F406" s="11">
        <v>3</v>
      </c>
      <c r="G406" s="11"/>
      <c r="H406" s="11"/>
      <c r="I406" s="11"/>
      <c r="J406" s="6" t="s">
        <v>4259</v>
      </c>
      <c r="K406" s="6" t="s">
        <v>4270</v>
      </c>
      <c r="L406" s="8" t="s">
        <v>3673</v>
      </c>
      <c r="M406" s="11"/>
      <c r="N406" s="11"/>
      <c r="O406" s="11"/>
      <c r="P406" s="10" t="s">
        <v>4271</v>
      </c>
      <c r="Q406" s="11"/>
      <c r="R406" s="11"/>
      <c r="S406" s="11"/>
      <c r="T406" s="11"/>
      <c r="U406" s="11"/>
      <c r="V406" s="11"/>
      <c r="W406" s="11"/>
      <c r="X406" s="11"/>
      <c r="Y406" s="2"/>
      <c r="Z406" s="2"/>
      <c r="AA406" s="2"/>
      <c r="AB406" s="2"/>
      <c r="AC406" s="2"/>
      <c r="AD406" s="2"/>
      <c r="AE406" s="2"/>
      <c r="AF406" s="2"/>
      <c r="AG406" s="2"/>
      <c r="AH406" s="2"/>
      <c r="AI406" s="2"/>
      <c r="AJ406" s="2"/>
      <c r="AK406" s="2"/>
      <c r="AL406" s="2"/>
      <c r="AM406" s="2"/>
      <c r="AN406" s="2"/>
    </row>
    <row r="407" spans="3:40" x14ac:dyDescent="0.25">
      <c r="C407" s="11"/>
      <c r="D407" s="11"/>
      <c r="E407" s="939">
        <v>2</v>
      </c>
      <c r="F407" s="1245" t="s">
        <v>4272</v>
      </c>
      <c r="G407" s="1245"/>
      <c r="H407" s="1245"/>
      <c r="I407" s="1245"/>
      <c r="J407" s="1245"/>
      <c r="K407" s="931"/>
      <c r="L407" s="932"/>
      <c r="M407" s="931"/>
      <c r="N407" s="941" t="str">
        <f>HYPERLINK("http://wiki.academyofsports.online/tiki-index.php?page=Hamburg---Kursportal-Wisy", "Wisy")</f>
        <v>Wisy</v>
      </c>
      <c r="O407" s="931"/>
      <c r="P407" s="931"/>
      <c r="Q407" s="931"/>
      <c r="R407" s="931"/>
      <c r="S407" s="931"/>
      <c r="T407" s="931"/>
      <c r="U407" s="931"/>
      <c r="V407" s="931"/>
      <c r="W407" s="931"/>
      <c r="X407" s="931"/>
      <c r="Y407" s="2"/>
      <c r="Z407" s="2"/>
      <c r="AA407" s="2"/>
      <c r="AB407" s="2"/>
      <c r="AC407" s="2"/>
      <c r="AD407" s="2"/>
      <c r="AE407" s="2"/>
      <c r="AF407" s="2"/>
      <c r="AG407" s="2"/>
      <c r="AH407" s="2"/>
      <c r="AI407" s="2"/>
      <c r="AJ407" s="2"/>
      <c r="AK407" s="2"/>
      <c r="AL407" s="2"/>
      <c r="AM407" s="2"/>
      <c r="AN407" s="2"/>
    </row>
    <row r="408" spans="3:40" ht="26.25" x14ac:dyDescent="0.25">
      <c r="C408" s="11"/>
      <c r="D408" s="11"/>
      <c r="E408" s="41"/>
      <c r="F408" s="11">
        <v>3</v>
      </c>
      <c r="G408" s="11"/>
      <c r="H408" s="11"/>
      <c r="I408" s="11"/>
      <c r="J408" s="6" t="s">
        <v>4259</v>
      </c>
      <c r="K408" s="10" t="s">
        <v>4266</v>
      </c>
      <c r="L408" s="8" t="s">
        <v>3673</v>
      </c>
      <c r="M408" s="11"/>
      <c r="N408" s="11"/>
      <c r="O408" s="11"/>
      <c r="P408" s="10" t="s">
        <v>4267</v>
      </c>
      <c r="Q408" s="11"/>
      <c r="R408" s="11"/>
      <c r="S408" s="11"/>
      <c r="T408" s="11"/>
      <c r="U408" s="11"/>
      <c r="V408" s="11"/>
      <c r="W408" s="11"/>
      <c r="X408" s="11"/>
      <c r="Y408" s="2"/>
      <c r="Z408" s="2"/>
      <c r="AA408" s="2"/>
      <c r="AB408" s="2"/>
      <c r="AC408" s="2"/>
      <c r="AD408" s="2"/>
      <c r="AE408" s="2"/>
      <c r="AF408" s="2"/>
      <c r="AG408" s="2"/>
      <c r="AH408" s="2"/>
      <c r="AI408" s="2"/>
      <c r="AJ408" s="2"/>
      <c r="AK408" s="2"/>
      <c r="AL408" s="2"/>
      <c r="AM408" s="2"/>
      <c r="AN408" s="2"/>
    </row>
    <row r="409" spans="3:40" x14ac:dyDescent="0.25">
      <c r="C409" s="11"/>
      <c r="D409" s="11"/>
      <c r="E409" s="939">
        <v>2</v>
      </c>
      <c r="F409" s="1245" t="s">
        <v>4273</v>
      </c>
      <c r="G409" s="1245"/>
      <c r="H409" s="1245"/>
      <c r="I409" s="1245"/>
      <c r="J409" s="1245"/>
      <c r="K409" s="931"/>
      <c r="L409" s="932"/>
      <c r="M409" s="931"/>
      <c r="N409" s="941" t="str">
        <f>HYPERLINK("http://wiki.academyofsports.online/tiki-index.php?page=Weiterbildungsdatenbank-Berlin", "WDB Berlin")</f>
        <v>WDB Berlin</v>
      </c>
      <c r="O409" s="931"/>
      <c r="P409" s="931"/>
      <c r="Q409" s="931"/>
      <c r="R409" s="931"/>
      <c r="S409" s="931"/>
      <c r="T409" s="931"/>
      <c r="U409" s="931"/>
      <c r="V409" s="931"/>
      <c r="W409" s="931"/>
      <c r="X409" s="931"/>
      <c r="Y409" s="2"/>
      <c r="Z409" s="2"/>
      <c r="AA409" s="2"/>
      <c r="AB409" s="2"/>
      <c r="AC409" s="2"/>
      <c r="AD409" s="2"/>
      <c r="AE409" s="2"/>
      <c r="AF409" s="2"/>
      <c r="AG409" s="2"/>
      <c r="AH409" s="2"/>
      <c r="AI409" s="2"/>
      <c r="AJ409" s="2"/>
      <c r="AK409" s="2"/>
      <c r="AL409" s="2"/>
      <c r="AM409" s="2"/>
      <c r="AN409" s="2"/>
    </row>
    <row r="410" spans="3:40" ht="30" x14ac:dyDescent="0.25">
      <c r="C410" s="11"/>
      <c r="D410" s="11"/>
      <c r="E410" s="41"/>
      <c r="F410" s="11">
        <v>3</v>
      </c>
      <c r="G410" s="11"/>
      <c r="H410" s="11"/>
      <c r="I410" s="11"/>
      <c r="J410" s="6" t="s">
        <v>4259</v>
      </c>
      <c r="K410" s="6" t="s">
        <v>4274</v>
      </c>
      <c r="L410" s="8" t="s">
        <v>3673</v>
      </c>
      <c r="M410" s="11"/>
      <c r="N410" s="11"/>
      <c r="O410" s="11"/>
      <c r="P410" s="10" t="s">
        <v>4267</v>
      </c>
      <c r="Q410" s="11"/>
      <c r="R410" s="11"/>
      <c r="S410" s="11"/>
      <c r="T410" s="11"/>
      <c r="U410" s="11"/>
      <c r="V410" s="11"/>
      <c r="W410" s="11"/>
      <c r="X410" s="11"/>
      <c r="Y410" s="2"/>
      <c r="Z410" s="2"/>
      <c r="AA410" s="2"/>
      <c r="AB410" s="2"/>
      <c r="AC410" s="2"/>
      <c r="AD410" s="2"/>
      <c r="AE410" s="2"/>
      <c r="AF410" s="2"/>
      <c r="AG410" s="2"/>
      <c r="AH410" s="2"/>
      <c r="AI410" s="2"/>
      <c r="AJ410" s="2"/>
      <c r="AK410" s="2"/>
      <c r="AL410" s="2"/>
      <c r="AM410" s="2"/>
      <c r="AN410" s="2"/>
    </row>
    <row r="411" spans="3:40" x14ac:dyDescent="0.25">
      <c r="C411" s="11"/>
      <c r="D411" s="11"/>
      <c r="E411" s="939">
        <v>2</v>
      </c>
      <c r="F411" s="1245" t="s">
        <v>4275</v>
      </c>
      <c r="G411" s="1245"/>
      <c r="H411" s="1245"/>
      <c r="I411" s="1245"/>
      <c r="J411" s="1245"/>
      <c r="K411" s="931"/>
      <c r="L411" s="932"/>
      <c r="M411" s="931"/>
      <c r="N411" s="941" t="str">
        <f>HYPERLINK("http://wiki.academyofsports.online/tiki-index.php?page=Weiterbildungsportal-Rheinland-Pfalz", "RLP")</f>
        <v>RLP</v>
      </c>
      <c r="O411" s="931"/>
      <c r="P411" s="931"/>
      <c r="Q411" s="931"/>
      <c r="R411" s="931"/>
      <c r="S411" s="931"/>
      <c r="T411" s="931"/>
      <c r="U411" s="931"/>
      <c r="V411" s="931"/>
      <c r="W411" s="931"/>
      <c r="X411" s="931"/>
      <c r="Y411" s="2"/>
      <c r="Z411" s="2"/>
      <c r="AA411" s="2"/>
      <c r="AB411" s="2"/>
      <c r="AC411" s="2"/>
      <c r="AD411" s="2"/>
      <c r="AE411" s="2"/>
      <c r="AF411" s="2"/>
      <c r="AG411" s="2"/>
      <c r="AH411" s="2"/>
      <c r="AI411" s="2"/>
      <c r="AJ411" s="2"/>
      <c r="AK411" s="2"/>
      <c r="AL411" s="2"/>
      <c r="AM411" s="2"/>
      <c r="AN411" s="2"/>
    </row>
    <row r="412" spans="3:40" ht="26.25" x14ac:dyDescent="0.25">
      <c r="C412" s="11"/>
      <c r="D412" s="11"/>
      <c r="E412" s="41"/>
      <c r="F412" s="11">
        <v>3</v>
      </c>
      <c r="G412" s="11"/>
      <c r="H412" s="11"/>
      <c r="I412" s="11"/>
      <c r="J412" s="6" t="s">
        <v>4259</v>
      </c>
      <c r="K412" s="10" t="s">
        <v>4266</v>
      </c>
      <c r="L412" s="8" t="s">
        <v>3673</v>
      </c>
      <c r="M412" s="11"/>
      <c r="N412" s="11"/>
      <c r="O412" s="11"/>
      <c r="P412" s="10" t="s">
        <v>4267</v>
      </c>
      <c r="Q412" s="11"/>
      <c r="R412" s="11"/>
      <c r="S412" s="11"/>
      <c r="T412" s="11"/>
      <c r="U412" s="11"/>
      <c r="V412" s="11"/>
      <c r="W412" s="11"/>
      <c r="X412" s="11"/>
      <c r="Y412" s="2"/>
      <c r="Z412" s="2"/>
      <c r="AA412" s="2"/>
      <c r="AB412" s="2"/>
      <c r="AC412" s="2"/>
      <c r="AD412" s="2"/>
      <c r="AE412" s="2"/>
      <c r="AF412" s="2"/>
      <c r="AG412" s="2"/>
      <c r="AH412" s="2"/>
      <c r="AI412" s="2"/>
      <c r="AJ412" s="2"/>
      <c r="AK412" s="2"/>
      <c r="AL412" s="2"/>
      <c r="AM412" s="2"/>
      <c r="AN412" s="2"/>
    </row>
    <row r="413" spans="3:40" ht="20.25" customHeight="1" x14ac:dyDescent="0.25">
      <c r="C413" s="93"/>
      <c r="D413" s="93">
        <v>1</v>
      </c>
      <c r="E413" s="1247" t="s">
        <v>4276</v>
      </c>
      <c r="F413" s="1247"/>
      <c r="G413" s="1247"/>
      <c r="H413" s="1247"/>
      <c r="I413" s="1247"/>
      <c r="J413" s="1247"/>
      <c r="K413" s="93"/>
      <c r="L413" s="772"/>
      <c r="M413" s="93"/>
      <c r="N413" s="936" t="str">
        <f>HYPERLINK("http://wiki.academyofsports.online/tiki-index.php?page=%C3%9Cberpr%C3%BCfung-und-Festlegung-der-Qualit%C3%A4ts--und-Unternehmensziele", "Ziele")</f>
        <v>Ziele</v>
      </c>
      <c r="O413" s="93"/>
      <c r="P413" s="93"/>
      <c r="Q413" s="93"/>
      <c r="R413" s="93"/>
      <c r="S413" s="93"/>
      <c r="T413" s="93"/>
      <c r="U413" s="93"/>
      <c r="V413" s="93"/>
      <c r="W413" s="93"/>
      <c r="X413" s="93"/>
      <c r="Y413" s="2"/>
      <c r="Z413" s="2"/>
      <c r="AA413" s="2"/>
      <c r="AB413" s="2"/>
      <c r="AC413" s="2"/>
      <c r="AD413" s="2"/>
      <c r="AE413" s="2"/>
      <c r="AF413" s="2"/>
      <c r="AG413" s="2"/>
      <c r="AH413" s="2"/>
      <c r="AI413" s="2"/>
      <c r="AJ413" s="2"/>
      <c r="AK413" s="2"/>
      <c r="AL413" s="2"/>
      <c r="AM413" s="2"/>
      <c r="AN413" s="2"/>
    </row>
    <row r="414" spans="3:40" x14ac:dyDescent="0.25">
      <c r="C414" s="11"/>
      <c r="D414" s="11"/>
      <c r="E414" s="939">
        <v>2</v>
      </c>
      <c r="F414" s="1245" t="s">
        <v>4277</v>
      </c>
      <c r="G414" s="1245"/>
      <c r="H414" s="1245"/>
      <c r="I414" s="1245"/>
      <c r="J414" s="1245"/>
      <c r="K414" s="931"/>
      <c r="L414" s="932"/>
      <c r="M414" s="931"/>
      <c r="N414" s="931"/>
      <c r="O414" s="931"/>
      <c r="P414" s="931"/>
      <c r="Q414" s="931"/>
      <c r="R414" s="931"/>
      <c r="S414" s="931"/>
      <c r="T414" s="931"/>
      <c r="U414" s="931"/>
      <c r="V414" s="931"/>
      <c r="W414" s="931"/>
      <c r="X414" s="931"/>
      <c r="Y414" s="2"/>
      <c r="Z414" s="2"/>
      <c r="AA414" s="2"/>
      <c r="AB414" s="2"/>
      <c r="AC414" s="2"/>
      <c r="AD414" s="2"/>
      <c r="AE414" s="2"/>
      <c r="AF414" s="2"/>
      <c r="AG414" s="2"/>
      <c r="AH414" s="2"/>
      <c r="AI414" s="2"/>
      <c r="AJ414" s="2"/>
      <c r="AK414" s="2"/>
      <c r="AL414" s="2"/>
      <c r="AM414" s="2"/>
      <c r="AN414" s="2"/>
    </row>
    <row r="415" spans="3:40" ht="30" x14ac:dyDescent="0.25">
      <c r="C415" s="11"/>
      <c r="D415" s="11"/>
      <c r="E415" s="41"/>
      <c r="F415" s="11">
        <v>3</v>
      </c>
      <c r="G415" s="11"/>
      <c r="H415" s="11"/>
      <c r="I415" s="11"/>
      <c r="J415" s="10" t="s">
        <v>4278</v>
      </c>
      <c r="K415" s="6" t="s">
        <v>4279</v>
      </c>
      <c r="L415" s="8" t="s">
        <v>3605</v>
      </c>
      <c r="M415" s="11"/>
      <c r="N415" s="11"/>
      <c r="O415" s="11"/>
      <c r="P415" s="11"/>
      <c r="Q415" s="11"/>
      <c r="R415" s="11"/>
      <c r="S415" s="11"/>
      <c r="T415" s="11"/>
      <c r="U415" s="11"/>
      <c r="V415" s="11"/>
      <c r="W415" s="11"/>
      <c r="X415" s="11"/>
      <c r="Y415" s="2"/>
      <c r="Z415" s="2"/>
      <c r="AA415" s="2"/>
      <c r="AB415" s="2"/>
      <c r="AC415" s="2"/>
      <c r="AD415" s="2"/>
      <c r="AE415" s="2"/>
      <c r="AF415" s="2"/>
      <c r="AG415" s="2"/>
      <c r="AH415" s="2"/>
      <c r="AI415" s="2"/>
      <c r="AJ415" s="2"/>
      <c r="AK415" s="2"/>
      <c r="AL415" s="2"/>
      <c r="AM415" s="2"/>
      <c r="AN415" s="2"/>
    </row>
    <row r="416" spans="3:40" x14ac:dyDescent="0.25">
      <c r="C416" s="11"/>
      <c r="D416" s="11"/>
      <c r="E416" s="939">
        <v>2</v>
      </c>
      <c r="F416" s="1245" t="s">
        <v>3717</v>
      </c>
      <c r="G416" s="1245"/>
      <c r="H416" s="1245"/>
      <c r="I416" s="1245"/>
      <c r="J416" s="1245"/>
      <c r="K416" s="931"/>
      <c r="L416" s="932"/>
      <c r="M416" s="931"/>
      <c r="N416" s="931"/>
      <c r="O416" s="931"/>
      <c r="P416" s="931"/>
      <c r="Q416" s="931"/>
      <c r="R416" s="931"/>
      <c r="S416" s="931"/>
      <c r="T416" s="931"/>
      <c r="U416" s="931"/>
      <c r="V416" s="931"/>
      <c r="W416" s="931"/>
      <c r="X416" s="931"/>
      <c r="Y416" s="2"/>
      <c r="Z416" s="2"/>
      <c r="AA416" s="2"/>
      <c r="AB416" s="2"/>
      <c r="AC416" s="2"/>
      <c r="AD416" s="2"/>
      <c r="AE416" s="2"/>
      <c r="AF416" s="2"/>
      <c r="AG416" s="2"/>
      <c r="AH416" s="2"/>
      <c r="AI416" s="2"/>
      <c r="AJ416" s="2"/>
      <c r="AK416" s="2"/>
      <c r="AL416" s="2"/>
      <c r="AM416" s="2"/>
      <c r="AN416" s="2"/>
    </row>
    <row r="417" spans="1:40" ht="30" x14ac:dyDescent="0.25">
      <c r="C417" s="11"/>
      <c r="D417" s="11"/>
      <c r="E417" s="41"/>
      <c r="F417" s="11">
        <v>3</v>
      </c>
      <c r="G417" s="11"/>
      <c r="H417" s="11"/>
      <c r="I417" s="11"/>
      <c r="J417" s="10" t="s">
        <v>4278</v>
      </c>
      <c r="K417" s="6" t="s">
        <v>4280</v>
      </c>
      <c r="L417" s="8" t="s">
        <v>3720</v>
      </c>
      <c r="M417" s="11"/>
      <c r="N417" s="11"/>
      <c r="O417" s="11"/>
      <c r="P417" s="11"/>
      <c r="Q417" s="11"/>
      <c r="R417" s="11"/>
      <c r="S417" s="11"/>
      <c r="T417" s="11"/>
      <c r="U417" s="11"/>
      <c r="V417" s="11"/>
      <c r="W417" s="11"/>
      <c r="X417" s="11"/>
      <c r="Y417" s="2"/>
      <c r="Z417" s="2"/>
      <c r="AA417" s="2"/>
      <c r="AB417" s="2"/>
      <c r="AC417" s="2"/>
      <c r="AD417" s="2"/>
      <c r="AE417" s="2"/>
      <c r="AF417" s="2"/>
      <c r="AG417" s="2"/>
      <c r="AH417" s="2"/>
      <c r="AI417" s="2"/>
      <c r="AJ417" s="2"/>
      <c r="AK417" s="2"/>
      <c r="AL417" s="2"/>
      <c r="AM417" s="2"/>
      <c r="AN417" s="2"/>
    </row>
    <row r="418" spans="1:40" x14ac:dyDescent="0.25">
      <c r="C418" s="11"/>
      <c r="D418" s="11"/>
      <c r="E418" s="939">
        <v>2</v>
      </c>
      <c r="F418" s="1250" t="s">
        <v>2992</v>
      </c>
      <c r="G418" s="1250"/>
      <c r="H418" s="1250"/>
      <c r="I418" s="1250"/>
      <c r="J418" s="1250"/>
      <c r="K418" s="931"/>
      <c r="L418" s="932"/>
      <c r="M418" s="931"/>
      <c r="N418" s="931"/>
      <c r="O418" s="931"/>
      <c r="P418" s="931"/>
      <c r="Q418" s="931"/>
      <c r="R418" s="931"/>
      <c r="S418" s="931"/>
      <c r="T418" s="931"/>
      <c r="U418" s="931"/>
      <c r="V418" s="931"/>
      <c r="W418" s="931"/>
      <c r="X418" s="931"/>
      <c r="Y418" s="2"/>
      <c r="Z418" s="2"/>
      <c r="AA418" s="2"/>
      <c r="AB418" s="2"/>
      <c r="AC418" s="2"/>
      <c r="AD418" s="2"/>
      <c r="AE418" s="2"/>
      <c r="AF418" s="2"/>
      <c r="AG418" s="2"/>
      <c r="AH418" s="2"/>
      <c r="AI418" s="2"/>
      <c r="AJ418" s="2"/>
      <c r="AK418" s="2"/>
      <c r="AL418" s="2"/>
      <c r="AM418" s="2"/>
      <c r="AN418" s="2"/>
    </row>
    <row r="419" spans="1:40" ht="30" x14ac:dyDescent="0.25">
      <c r="C419" s="11"/>
      <c r="D419" s="11"/>
      <c r="E419" s="41"/>
      <c r="F419" s="11">
        <v>3</v>
      </c>
      <c r="G419" s="11"/>
      <c r="H419" s="11"/>
      <c r="I419" s="11"/>
      <c r="J419" s="10" t="s">
        <v>4278</v>
      </c>
      <c r="K419" s="6" t="s">
        <v>4281</v>
      </c>
      <c r="L419" s="8" t="s">
        <v>945</v>
      </c>
      <c r="M419" s="11"/>
      <c r="N419" s="11"/>
      <c r="O419" s="11"/>
      <c r="P419" s="11"/>
      <c r="Q419" s="11"/>
      <c r="R419" s="11"/>
      <c r="S419" s="11"/>
      <c r="T419" s="11"/>
      <c r="U419" s="11"/>
      <c r="V419" s="11"/>
      <c r="W419" s="11"/>
      <c r="X419" s="11"/>
      <c r="Y419" s="2"/>
      <c r="Z419" s="2"/>
      <c r="AA419" s="2"/>
      <c r="AB419" s="2"/>
      <c r="AC419" s="2"/>
      <c r="AD419" s="2"/>
      <c r="AE419" s="2"/>
      <c r="AF419" s="2"/>
      <c r="AG419" s="2"/>
      <c r="AH419" s="2"/>
      <c r="AI419" s="2"/>
      <c r="AJ419" s="2"/>
      <c r="AK419" s="2"/>
      <c r="AL419" s="2"/>
      <c r="AM419" s="2"/>
      <c r="AN419" s="2"/>
    </row>
    <row r="420" spans="1:40" x14ac:dyDescent="0.25">
      <c r="C420" s="11"/>
      <c r="D420" s="11"/>
      <c r="E420" s="939">
        <v>2</v>
      </c>
      <c r="F420" s="1245" t="s">
        <v>4282</v>
      </c>
      <c r="G420" s="1245"/>
      <c r="H420" s="1245"/>
      <c r="I420" s="1245"/>
      <c r="J420" s="1245"/>
      <c r="K420" s="931"/>
      <c r="L420" s="932"/>
      <c r="M420" s="931"/>
      <c r="N420" s="931"/>
      <c r="O420" s="931"/>
      <c r="P420" s="931"/>
      <c r="Q420" s="931"/>
      <c r="R420" s="931"/>
      <c r="S420" s="931"/>
      <c r="T420" s="931"/>
      <c r="U420" s="931"/>
      <c r="V420" s="931"/>
      <c r="W420" s="931"/>
      <c r="X420" s="931"/>
      <c r="Y420" s="2"/>
      <c r="Z420" s="2"/>
      <c r="AA420" s="2"/>
      <c r="AB420" s="2"/>
      <c r="AC420" s="2"/>
      <c r="AD420" s="2"/>
      <c r="AE420" s="2"/>
      <c r="AF420" s="2"/>
      <c r="AG420" s="2"/>
      <c r="AH420" s="2"/>
      <c r="AI420" s="2"/>
      <c r="AJ420" s="2"/>
      <c r="AK420" s="2"/>
      <c r="AL420" s="2"/>
      <c r="AM420" s="2"/>
      <c r="AN420" s="2"/>
    </row>
    <row r="421" spans="1:40" ht="30" x14ac:dyDescent="0.25">
      <c r="C421" s="11"/>
      <c r="D421" s="11"/>
      <c r="E421" s="41"/>
      <c r="F421" s="11">
        <v>3</v>
      </c>
      <c r="G421" s="11"/>
      <c r="H421" s="11"/>
      <c r="I421" s="11"/>
      <c r="J421" s="10" t="s">
        <v>4278</v>
      </c>
      <c r="K421" s="6" t="s">
        <v>4283</v>
      </c>
      <c r="L421" s="8" t="s">
        <v>3673</v>
      </c>
      <c r="M421" s="11"/>
      <c r="N421" s="11"/>
      <c r="O421" s="11"/>
      <c r="P421" s="11"/>
      <c r="Q421" s="11"/>
      <c r="R421" s="11"/>
      <c r="S421" s="11"/>
      <c r="T421" s="11"/>
      <c r="U421" s="11"/>
      <c r="V421" s="11"/>
      <c r="W421" s="11"/>
      <c r="X421" s="11"/>
      <c r="Y421" s="2"/>
      <c r="Z421" s="2"/>
      <c r="AA421" s="2"/>
      <c r="AB421" s="2"/>
      <c r="AC421" s="2"/>
      <c r="AD421" s="2"/>
      <c r="AE421" s="2"/>
      <c r="AF421" s="2"/>
      <c r="AG421" s="2"/>
      <c r="AH421" s="2"/>
      <c r="AI421" s="2"/>
      <c r="AJ421" s="2"/>
      <c r="AK421" s="2"/>
      <c r="AL421" s="2"/>
      <c r="AM421" s="2"/>
      <c r="AN421" s="2"/>
    </row>
    <row r="422" spans="1:40" ht="20.25" customHeight="1" x14ac:dyDescent="0.25">
      <c r="C422" s="93"/>
      <c r="D422" s="93">
        <v>1</v>
      </c>
      <c r="E422" s="1247" t="s">
        <v>4284</v>
      </c>
      <c r="F422" s="1247"/>
      <c r="G422" s="1247"/>
      <c r="H422" s="1247"/>
      <c r="I422" s="1247"/>
      <c r="J422" s="1247"/>
      <c r="K422" s="1247"/>
      <c r="L422" s="772"/>
      <c r="M422" s="93"/>
      <c r="N422" s="93"/>
      <c r="O422" s="93"/>
      <c r="P422" s="93"/>
      <c r="Q422" s="93"/>
      <c r="R422" s="93"/>
      <c r="S422" s="93"/>
      <c r="T422" s="93"/>
      <c r="U422" s="93"/>
      <c r="V422" s="93"/>
      <c r="W422" s="93"/>
      <c r="X422" s="93"/>
      <c r="Y422" s="2"/>
      <c r="Z422" s="2"/>
      <c r="AA422" s="2"/>
      <c r="AB422" s="2"/>
      <c r="AC422" s="2"/>
      <c r="AD422" s="2"/>
      <c r="AE422" s="2"/>
      <c r="AF422" s="2"/>
      <c r="AG422" s="2"/>
      <c r="AH422" s="2"/>
      <c r="AI422" s="2"/>
      <c r="AJ422" s="2"/>
      <c r="AK422" s="2"/>
      <c r="AL422" s="2"/>
      <c r="AM422" s="2"/>
      <c r="AN422" s="2"/>
    </row>
    <row r="423" spans="1:40" x14ac:dyDescent="0.25">
      <c r="A423" s="48"/>
      <c r="B423" s="48"/>
      <c r="C423" s="135"/>
      <c r="D423" s="135"/>
      <c r="E423" s="331">
        <v>2</v>
      </c>
      <c r="F423" s="1249" t="s">
        <v>4285</v>
      </c>
      <c r="G423" s="1144"/>
      <c r="H423" s="1144"/>
      <c r="I423" s="1144"/>
      <c r="J423" s="1144"/>
      <c r="K423" s="315"/>
      <c r="L423" s="318"/>
      <c r="M423" s="317"/>
      <c r="N423" s="317"/>
      <c r="O423" s="317"/>
      <c r="P423" s="317"/>
      <c r="Q423" s="317"/>
      <c r="R423" s="317"/>
      <c r="S423" s="317"/>
      <c r="T423" s="317"/>
      <c r="U423" s="317"/>
      <c r="V423" s="317"/>
      <c r="W423" s="317"/>
      <c r="X423" s="317"/>
      <c r="Y423" s="2"/>
      <c r="Z423" s="2"/>
      <c r="AA423" s="2"/>
      <c r="AB423" s="2"/>
      <c r="AC423" s="2"/>
      <c r="AD423" s="2"/>
      <c r="AE423" s="2"/>
      <c r="AF423" s="2"/>
      <c r="AG423" s="2"/>
      <c r="AH423" s="2"/>
      <c r="AI423" s="2"/>
      <c r="AJ423" s="2"/>
      <c r="AK423" s="2"/>
      <c r="AL423" s="2"/>
      <c r="AM423" s="2"/>
      <c r="AN423" s="2"/>
    </row>
    <row r="424" spans="1:40" ht="39" x14ac:dyDescent="0.25">
      <c r="A424" s="48"/>
      <c r="B424" s="48"/>
      <c r="C424" s="136"/>
      <c r="D424" s="136"/>
      <c r="E424" s="136"/>
      <c r="F424" s="301">
        <v>3</v>
      </c>
      <c r="G424" s="11"/>
      <c r="H424" s="11"/>
      <c r="I424" s="11"/>
      <c r="J424" s="6" t="s">
        <v>4286</v>
      </c>
      <c r="K424" s="131" t="s">
        <v>4287</v>
      </c>
      <c r="L424" s="200" t="s">
        <v>4288</v>
      </c>
      <c r="M424" s="136"/>
      <c r="N424" s="136"/>
      <c r="O424" s="136"/>
      <c r="P424" s="136"/>
      <c r="Q424" s="322" t="s">
        <v>4289</v>
      </c>
      <c r="R424" s="136"/>
      <c r="S424" s="136"/>
      <c r="T424" s="136"/>
      <c r="U424" s="136"/>
      <c r="V424" s="136"/>
      <c r="W424" s="136"/>
      <c r="X424" s="136"/>
      <c r="Y424" s="2"/>
      <c r="Z424" s="2"/>
      <c r="AA424" s="2"/>
      <c r="AB424" s="2"/>
      <c r="AC424" s="2"/>
      <c r="AD424" s="2"/>
      <c r="AE424" s="2"/>
      <c r="AF424" s="2"/>
      <c r="AG424" s="2"/>
      <c r="AH424" s="2"/>
      <c r="AI424" s="2"/>
      <c r="AJ424" s="2"/>
      <c r="AK424" s="2"/>
      <c r="AL424" s="2"/>
      <c r="AM424" s="2"/>
      <c r="AN424" s="2"/>
    </row>
    <row r="425" spans="1:40" ht="45" x14ac:dyDescent="0.25">
      <c r="A425" s="48"/>
      <c r="B425" s="48"/>
      <c r="C425" s="136"/>
      <c r="D425" s="136"/>
      <c r="E425" s="136"/>
      <c r="F425" s="301">
        <v>3</v>
      </c>
      <c r="G425" s="11"/>
      <c r="H425" s="11"/>
      <c r="I425" s="11"/>
      <c r="J425" s="6" t="s">
        <v>4290</v>
      </c>
      <c r="K425" s="131" t="s">
        <v>4291</v>
      </c>
      <c r="L425" s="200" t="s">
        <v>4292</v>
      </c>
      <c r="M425" s="136"/>
      <c r="N425" s="136"/>
      <c r="O425" s="136"/>
      <c r="P425" s="322" t="s">
        <v>4293</v>
      </c>
      <c r="Q425" s="136"/>
      <c r="R425" s="136"/>
      <c r="S425" s="136"/>
      <c r="T425" s="136"/>
      <c r="U425" s="136"/>
      <c r="V425" s="136"/>
      <c r="W425" s="136"/>
      <c r="X425" s="136"/>
      <c r="Y425" s="2"/>
      <c r="Z425" s="2"/>
      <c r="AA425" s="2"/>
      <c r="AB425" s="2"/>
      <c r="AC425" s="2"/>
      <c r="AD425" s="2"/>
      <c r="AE425" s="2"/>
      <c r="AF425" s="2"/>
      <c r="AG425" s="2"/>
      <c r="AH425" s="2"/>
      <c r="AI425" s="2"/>
      <c r="AJ425" s="2"/>
      <c r="AK425" s="2"/>
      <c r="AL425" s="2"/>
      <c r="AM425" s="2"/>
      <c r="AN425" s="2"/>
    </row>
    <row r="426" spans="1:40" x14ac:dyDescent="0.25">
      <c r="A426" s="48"/>
      <c r="B426" s="48"/>
      <c r="C426" s="136"/>
      <c r="D426" s="136"/>
      <c r="E426" s="316">
        <v>2</v>
      </c>
      <c r="F426" s="1249" t="s">
        <v>4294</v>
      </c>
      <c r="G426" s="1144"/>
      <c r="H426" s="1144"/>
      <c r="I426" s="1144"/>
      <c r="J426" s="1144"/>
      <c r="K426" s="317"/>
      <c r="L426" s="318"/>
      <c r="M426" s="317"/>
      <c r="N426" s="317"/>
      <c r="O426" s="317"/>
      <c r="P426" s="317"/>
      <c r="Q426" s="317"/>
      <c r="R426" s="317"/>
      <c r="S426" s="317"/>
      <c r="T426" s="317"/>
      <c r="U426" s="317"/>
      <c r="V426" s="317"/>
      <c r="W426" s="317"/>
      <c r="X426" s="317"/>
      <c r="Y426" s="2"/>
      <c r="Z426" s="2"/>
      <c r="AA426" s="2"/>
      <c r="AB426" s="2"/>
      <c r="AC426" s="2"/>
      <c r="AD426" s="2"/>
      <c r="AE426" s="2"/>
      <c r="AF426" s="2"/>
      <c r="AG426" s="2"/>
      <c r="AH426" s="2"/>
      <c r="AI426" s="2"/>
      <c r="AJ426" s="2"/>
      <c r="AK426" s="2"/>
      <c r="AL426" s="2"/>
      <c r="AM426" s="2"/>
      <c r="AN426" s="2"/>
    </row>
    <row r="427" spans="1:40" ht="30" x14ac:dyDescent="0.25">
      <c r="A427" s="48"/>
      <c r="B427" s="48"/>
      <c r="C427" s="136"/>
      <c r="D427" s="136"/>
      <c r="E427" s="136"/>
      <c r="F427" s="301">
        <v>3</v>
      </c>
      <c r="G427" s="11"/>
      <c r="H427" s="11"/>
      <c r="I427" s="11"/>
      <c r="J427" s="6" t="s">
        <v>3598</v>
      </c>
      <c r="K427" s="62" t="s">
        <v>4295</v>
      </c>
      <c r="L427" s="200" t="s">
        <v>3605</v>
      </c>
      <c r="M427" s="136"/>
      <c r="N427" s="136"/>
      <c r="O427" s="136"/>
      <c r="P427" s="147"/>
      <c r="Q427" s="136"/>
      <c r="R427" s="136"/>
      <c r="S427" s="136"/>
      <c r="T427" s="136"/>
      <c r="U427" s="136"/>
      <c r="V427" s="136"/>
      <c r="W427" s="136"/>
      <c r="X427" s="136"/>
      <c r="Y427" s="2"/>
      <c r="Z427" s="2"/>
      <c r="AA427" s="2"/>
      <c r="AB427" s="2"/>
      <c r="AC427" s="2"/>
      <c r="AD427" s="2"/>
      <c r="AE427" s="2"/>
      <c r="AF427" s="2"/>
      <c r="AG427" s="2"/>
      <c r="AH427" s="2"/>
      <c r="AI427" s="2"/>
      <c r="AJ427" s="2"/>
      <c r="AK427" s="2"/>
      <c r="AL427" s="2"/>
      <c r="AM427" s="2"/>
      <c r="AN427" s="2"/>
    </row>
    <row r="428" spans="1:40" x14ac:dyDescent="0.25">
      <c r="A428" s="48"/>
      <c r="B428" s="48"/>
      <c r="C428" s="136"/>
      <c r="D428" s="136"/>
      <c r="E428" s="316">
        <v>2</v>
      </c>
      <c r="F428" s="1249" t="s">
        <v>4296</v>
      </c>
      <c r="G428" s="1144"/>
      <c r="H428" s="1144"/>
      <c r="I428" s="1144"/>
      <c r="J428" s="1144"/>
      <c r="K428" s="317"/>
      <c r="L428" s="318"/>
      <c r="M428" s="317"/>
      <c r="N428" s="317"/>
      <c r="O428" s="317"/>
      <c r="P428" s="317"/>
      <c r="Q428" s="317"/>
      <c r="R428" s="317"/>
      <c r="S428" s="317"/>
      <c r="T428" s="317"/>
      <c r="U428" s="317"/>
      <c r="V428" s="317"/>
      <c r="W428" s="317"/>
      <c r="X428" s="317"/>
      <c r="Y428" s="2"/>
      <c r="Z428" s="2"/>
      <c r="AA428" s="2"/>
      <c r="AB428" s="2"/>
      <c r="AC428" s="2"/>
      <c r="AD428" s="2"/>
      <c r="AE428" s="2"/>
      <c r="AF428" s="2"/>
      <c r="AG428" s="2"/>
      <c r="AH428" s="2"/>
      <c r="AI428" s="2"/>
      <c r="AJ428" s="2"/>
      <c r="AK428" s="2"/>
      <c r="AL428" s="2"/>
      <c r="AM428" s="2"/>
      <c r="AN428" s="2"/>
    </row>
    <row r="429" spans="1:40" ht="26.25" x14ac:dyDescent="0.25">
      <c r="A429" s="48"/>
      <c r="B429" s="48"/>
      <c r="C429" s="136"/>
      <c r="D429" s="136"/>
      <c r="E429" s="136"/>
      <c r="F429" s="301">
        <v>3</v>
      </c>
      <c r="G429" s="11"/>
      <c r="H429" s="11"/>
      <c r="I429" s="11"/>
      <c r="J429" s="6" t="s">
        <v>4297</v>
      </c>
      <c r="K429" s="62" t="s">
        <v>4298</v>
      </c>
      <c r="L429" s="200" t="s">
        <v>3650</v>
      </c>
      <c r="M429" s="136"/>
      <c r="N429" s="136"/>
      <c r="O429" s="136"/>
      <c r="P429" s="147" t="s">
        <v>4299</v>
      </c>
      <c r="Q429" s="136"/>
      <c r="R429" s="136"/>
      <c r="S429" s="136"/>
      <c r="T429" s="136"/>
      <c r="U429" s="136"/>
      <c r="V429" s="136"/>
      <c r="W429" s="136"/>
      <c r="X429" s="136"/>
      <c r="Y429" s="2"/>
      <c r="Z429" s="2"/>
      <c r="AA429" s="2"/>
      <c r="AB429" s="2"/>
      <c r="AC429" s="2"/>
      <c r="AD429" s="2"/>
      <c r="AE429" s="2"/>
      <c r="AF429" s="2"/>
      <c r="AG429" s="2"/>
      <c r="AH429" s="2"/>
      <c r="AI429" s="2"/>
      <c r="AJ429" s="2"/>
      <c r="AK429" s="2"/>
      <c r="AL429" s="2"/>
      <c r="AM429" s="2"/>
      <c r="AN429" s="2"/>
    </row>
    <row r="430" spans="1:40" x14ac:dyDescent="0.25">
      <c r="A430" s="48"/>
      <c r="B430" s="48"/>
      <c r="C430" s="136"/>
      <c r="D430" s="136"/>
      <c r="E430" s="316">
        <v>2</v>
      </c>
      <c r="F430" s="1249" t="s">
        <v>4300</v>
      </c>
      <c r="G430" s="1144"/>
      <c r="H430" s="1144"/>
      <c r="I430" s="1144"/>
      <c r="J430" s="1144"/>
      <c r="K430" s="317"/>
      <c r="L430" s="318"/>
      <c r="M430" s="317"/>
      <c r="N430" s="721" t="str">
        <f>HYPERLINK("http://wiki.academyofsports.online/tiki-index.php?page=Erstellung-von-Microsites-(Landingpages)", "Microsites")</f>
        <v>Microsites</v>
      </c>
      <c r="O430" s="317"/>
      <c r="P430" s="317"/>
      <c r="Q430" s="317"/>
      <c r="R430" s="317"/>
      <c r="S430" s="317"/>
      <c r="T430" s="317"/>
      <c r="U430" s="317"/>
      <c r="V430" s="317"/>
      <c r="W430" s="317"/>
      <c r="X430" s="317"/>
      <c r="Y430" s="2"/>
      <c r="Z430" s="2"/>
      <c r="AA430" s="2"/>
      <c r="AB430" s="2"/>
      <c r="AC430" s="2"/>
      <c r="AD430" s="2"/>
      <c r="AE430" s="2"/>
      <c r="AF430" s="2"/>
      <c r="AG430" s="2"/>
      <c r="AH430" s="2"/>
      <c r="AI430" s="2"/>
      <c r="AJ430" s="2"/>
      <c r="AK430" s="2"/>
      <c r="AL430" s="2"/>
      <c r="AM430" s="2"/>
      <c r="AN430" s="2"/>
    </row>
    <row r="431" spans="1:40" ht="30" x14ac:dyDescent="0.25">
      <c r="A431" s="48"/>
      <c r="B431" s="48"/>
      <c r="C431" s="136"/>
      <c r="D431" s="136"/>
      <c r="E431" s="136"/>
      <c r="F431" s="301">
        <v>3</v>
      </c>
      <c r="G431" s="11"/>
      <c r="H431" s="11"/>
      <c r="I431" s="11"/>
      <c r="J431" s="6" t="s">
        <v>4301</v>
      </c>
      <c r="K431" s="131" t="s">
        <v>4302</v>
      </c>
      <c r="L431" s="200" t="s">
        <v>4288</v>
      </c>
      <c r="M431" s="136"/>
      <c r="N431" s="722" t="str">
        <f>HYPERLINK("https://synology.bildungscampus-backnang.de:50823/oo/r/mMn4PkPH5TnpU2LXRM5V7fIUCvK7E3ai", "Onpage Checkliste")</f>
        <v>Onpage Checkliste</v>
      </c>
      <c r="O431" s="136"/>
      <c r="P431" s="322" t="s">
        <v>4303</v>
      </c>
      <c r="Q431" s="136"/>
      <c r="R431" s="136"/>
      <c r="S431" s="136"/>
      <c r="T431" s="136"/>
      <c r="U431" s="136"/>
      <c r="V431" s="136"/>
      <c r="W431" s="136"/>
      <c r="X431" s="136"/>
      <c r="Y431" s="2"/>
      <c r="Z431" s="2"/>
      <c r="AA431" s="2"/>
      <c r="AB431" s="2"/>
      <c r="AC431" s="2"/>
      <c r="AD431" s="2"/>
      <c r="AE431" s="2"/>
      <c r="AF431" s="2"/>
      <c r="AG431" s="2"/>
      <c r="AH431" s="2"/>
      <c r="AI431" s="2"/>
      <c r="AJ431" s="2"/>
      <c r="AK431" s="2"/>
      <c r="AL431" s="2"/>
      <c r="AM431" s="2"/>
      <c r="AN431" s="2"/>
    </row>
    <row r="432" spans="1:40" x14ac:dyDescent="0.25">
      <c r="A432" s="48"/>
      <c r="B432" s="48"/>
      <c r="C432" s="136"/>
      <c r="D432" s="136"/>
      <c r="E432" s="136"/>
      <c r="F432" s="301">
        <v>3</v>
      </c>
      <c r="G432" s="11"/>
      <c r="H432" s="11"/>
      <c r="I432" s="11"/>
      <c r="J432" s="24" t="s">
        <v>4304</v>
      </c>
      <c r="K432" s="131" t="s">
        <v>4305</v>
      </c>
      <c r="L432" s="200" t="s">
        <v>4091</v>
      </c>
      <c r="M432" s="136"/>
      <c r="N432" s="322"/>
      <c r="O432" s="136"/>
      <c r="P432" s="322" t="s">
        <v>4306</v>
      </c>
      <c r="Q432" s="136"/>
      <c r="R432" s="136"/>
      <c r="S432" s="136"/>
      <c r="T432" s="136"/>
      <c r="U432" s="136"/>
      <c r="V432" s="136"/>
      <c r="W432" s="136"/>
      <c r="X432" s="136"/>
      <c r="Y432" s="2"/>
      <c r="Z432" s="2"/>
      <c r="AA432" s="2"/>
      <c r="AB432" s="2"/>
      <c r="AC432" s="2"/>
      <c r="AD432" s="2"/>
      <c r="AE432" s="2"/>
      <c r="AF432" s="2"/>
      <c r="AG432" s="2"/>
      <c r="AH432" s="2"/>
      <c r="AI432" s="2"/>
      <c r="AJ432" s="2"/>
      <c r="AK432" s="2"/>
      <c r="AL432" s="2"/>
      <c r="AM432" s="2"/>
      <c r="AN432" s="2"/>
    </row>
    <row r="433" spans="1:40" x14ac:dyDescent="0.25">
      <c r="A433" s="48"/>
      <c r="B433" s="48"/>
      <c r="C433" s="136"/>
      <c r="D433" s="136"/>
      <c r="E433" s="136"/>
      <c r="F433" s="301">
        <v>3</v>
      </c>
      <c r="G433" s="11"/>
      <c r="H433" s="11"/>
      <c r="I433" s="11"/>
      <c r="J433" s="6" t="s">
        <v>4307</v>
      </c>
      <c r="K433" s="131" t="s">
        <v>4308</v>
      </c>
      <c r="L433" s="200" t="s">
        <v>3605</v>
      </c>
      <c r="M433" s="136"/>
      <c r="N433" s="136"/>
      <c r="O433" s="136"/>
      <c r="P433" s="136"/>
      <c r="Q433" s="136"/>
      <c r="R433" s="136"/>
      <c r="S433" s="136"/>
      <c r="T433" s="136"/>
      <c r="U433" s="136"/>
      <c r="V433" s="136"/>
      <c r="W433" s="136"/>
      <c r="X433" s="136"/>
      <c r="Y433" s="2"/>
      <c r="Z433" s="2"/>
      <c r="AA433" s="2"/>
      <c r="AB433" s="2"/>
      <c r="AC433" s="2"/>
      <c r="AD433" s="2"/>
      <c r="AE433" s="2"/>
      <c r="AF433" s="2"/>
      <c r="AG433" s="2"/>
      <c r="AH433" s="2"/>
      <c r="AI433" s="2"/>
      <c r="AJ433" s="2"/>
      <c r="AK433" s="2"/>
      <c r="AL433" s="2"/>
      <c r="AM433" s="2"/>
      <c r="AN433" s="2"/>
    </row>
    <row r="434" spans="1:40" ht="30" x14ac:dyDescent="0.25">
      <c r="A434" s="48"/>
      <c r="B434" s="48"/>
      <c r="C434" s="136"/>
      <c r="D434" s="136"/>
      <c r="E434" s="136"/>
      <c r="F434" s="301">
        <v>3</v>
      </c>
      <c r="G434" s="11"/>
      <c r="H434" s="11"/>
      <c r="I434" s="11"/>
      <c r="J434" s="6" t="s">
        <v>4309</v>
      </c>
      <c r="K434" s="131" t="s">
        <v>4310</v>
      </c>
      <c r="L434" s="200" t="s">
        <v>3605</v>
      </c>
      <c r="M434" s="136"/>
      <c r="N434" s="722" t="str">
        <f>HYPERLINK("https://synology.bildungscampus-backnang.de:50823/drive/oo/r/559658189971307637#tid=2", "Dok Seitenübersicht")</f>
        <v>Dok Seitenübersicht</v>
      </c>
      <c r="O434" s="136"/>
      <c r="P434" s="136"/>
      <c r="Q434" s="136"/>
      <c r="R434" s="136"/>
      <c r="S434" s="136"/>
      <c r="T434" s="136"/>
      <c r="U434" s="136"/>
      <c r="V434" s="136"/>
      <c r="W434" s="136"/>
      <c r="X434" s="136"/>
      <c r="Y434" s="2"/>
      <c r="Z434" s="2"/>
      <c r="AA434" s="2"/>
      <c r="AB434" s="2"/>
      <c r="AC434" s="2"/>
      <c r="AD434" s="2"/>
      <c r="AE434" s="2"/>
      <c r="AF434" s="2"/>
      <c r="AG434" s="2"/>
      <c r="AH434" s="2"/>
      <c r="AI434" s="2"/>
      <c r="AJ434" s="2"/>
      <c r="AK434" s="2"/>
      <c r="AL434" s="2"/>
      <c r="AM434" s="2"/>
      <c r="AN434" s="2"/>
    </row>
    <row r="435" spans="1:40" ht="26.25" x14ac:dyDescent="0.25">
      <c r="A435" s="48"/>
      <c r="B435" s="48"/>
      <c r="C435" s="136"/>
      <c r="D435" s="136"/>
      <c r="E435" s="136"/>
      <c r="F435" s="301">
        <v>3</v>
      </c>
      <c r="G435" s="11"/>
      <c r="H435" s="11"/>
      <c r="I435" s="11"/>
      <c r="J435" s="6" t="s">
        <v>3929</v>
      </c>
      <c r="K435" s="131" t="s">
        <v>4311</v>
      </c>
      <c r="L435" s="200" t="s">
        <v>3902</v>
      </c>
      <c r="M435" s="136"/>
      <c r="N435" s="147"/>
      <c r="O435" s="136"/>
      <c r="P435" s="136"/>
      <c r="Q435" s="322" t="s">
        <v>4312</v>
      </c>
      <c r="R435" s="136"/>
      <c r="S435" s="136"/>
      <c r="T435" s="136"/>
      <c r="U435" s="136"/>
      <c r="V435" s="136"/>
      <c r="W435" s="136"/>
      <c r="X435" s="136"/>
      <c r="Y435" s="2"/>
      <c r="Z435" s="2"/>
      <c r="AA435" s="2"/>
      <c r="AB435" s="2"/>
      <c r="AC435" s="2"/>
      <c r="AD435" s="2"/>
      <c r="AE435" s="2"/>
      <c r="AF435" s="2"/>
      <c r="AG435" s="2"/>
      <c r="AH435" s="2"/>
      <c r="AI435" s="2"/>
      <c r="AJ435" s="2"/>
      <c r="AK435" s="2"/>
      <c r="AL435" s="2"/>
      <c r="AM435" s="2"/>
      <c r="AN435" s="2"/>
    </row>
    <row r="436" spans="1:40" x14ac:dyDescent="0.25">
      <c r="A436" s="48"/>
      <c r="B436" s="48"/>
      <c r="C436" s="136"/>
      <c r="D436" s="136"/>
      <c r="E436" s="136"/>
      <c r="F436" s="301">
        <v>3</v>
      </c>
      <c r="G436" s="11"/>
      <c r="H436" s="11"/>
      <c r="I436" s="11"/>
      <c r="J436" s="6" t="s">
        <v>4313</v>
      </c>
      <c r="K436" s="131" t="s">
        <v>3715</v>
      </c>
      <c r="L436" s="200" t="s">
        <v>3605</v>
      </c>
      <c r="M436" s="136"/>
      <c r="N436" s="147"/>
      <c r="O436" s="136"/>
      <c r="P436" s="136"/>
      <c r="Q436" s="322"/>
      <c r="R436" s="136"/>
      <c r="S436" s="136"/>
      <c r="T436" s="136"/>
      <c r="U436" s="136"/>
      <c r="V436" s="136"/>
      <c r="W436" s="136"/>
      <c r="X436" s="136"/>
      <c r="Y436" s="2"/>
      <c r="Z436" s="2"/>
      <c r="AA436" s="2"/>
      <c r="AB436" s="2"/>
      <c r="AC436" s="2"/>
      <c r="AD436" s="2"/>
      <c r="AE436" s="2"/>
      <c r="AF436" s="2"/>
      <c r="AG436" s="2"/>
      <c r="AH436" s="2"/>
      <c r="AI436" s="2"/>
      <c r="AJ436" s="2"/>
      <c r="AK436" s="2"/>
      <c r="AL436" s="2"/>
      <c r="AM436" s="2"/>
      <c r="AN436" s="2"/>
    </row>
    <row r="437" spans="1:40" x14ac:dyDescent="0.25">
      <c r="A437" s="48"/>
      <c r="B437" s="48"/>
      <c r="C437" s="136"/>
      <c r="D437" s="136"/>
      <c r="E437" s="316">
        <v>2</v>
      </c>
      <c r="F437" s="1249" t="s">
        <v>4314</v>
      </c>
      <c r="G437" s="1144"/>
      <c r="H437" s="1144"/>
      <c r="I437" s="1144"/>
      <c r="J437" s="1144"/>
      <c r="K437" s="317"/>
      <c r="L437" s="318"/>
      <c r="M437" s="317"/>
      <c r="N437" s="317"/>
      <c r="O437" s="317"/>
      <c r="P437" s="317"/>
      <c r="Q437" s="317"/>
      <c r="R437" s="317"/>
      <c r="S437" s="317"/>
      <c r="T437" s="317"/>
      <c r="U437" s="317"/>
      <c r="V437" s="317"/>
      <c r="W437" s="317"/>
      <c r="X437" s="317"/>
      <c r="Y437" s="2"/>
      <c r="Z437" s="2"/>
      <c r="AA437" s="2"/>
      <c r="AB437" s="2"/>
      <c r="AC437" s="2"/>
      <c r="AD437" s="2"/>
      <c r="AE437" s="2"/>
      <c r="AF437" s="2"/>
      <c r="AG437" s="2"/>
      <c r="AH437" s="2"/>
      <c r="AI437" s="2"/>
      <c r="AJ437" s="2"/>
      <c r="AK437" s="2"/>
      <c r="AL437" s="2"/>
      <c r="AM437" s="2"/>
      <c r="AN437" s="2"/>
    </row>
    <row r="438" spans="1:40" ht="26.25" x14ac:dyDescent="0.25">
      <c r="A438" s="48"/>
      <c r="B438" s="48"/>
      <c r="C438" s="136"/>
      <c r="D438" s="136"/>
      <c r="E438" s="136"/>
      <c r="F438" s="301">
        <v>3</v>
      </c>
      <c r="G438" s="11"/>
      <c r="H438" s="11"/>
      <c r="I438" s="11"/>
      <c r="J438" s="6" t="s">
        <v>4144</v>
      </c>
      <c r="K438" s="131" t="s">
        <v>4315</v>
      </c>
      <c r="L438" s="200" t="s">
        <v>3902</v>
      </c>
      <c r="M438" s="136"/>
      <c r="N438" s="136"/>
      <c r="O438" s="136"/>
      <c r="P438" s="136"/>
      <c r="Q438" s="322" t="s">
        <v>4312</v>
      </c>
      <c r="R438" s="136"/>
      <c r="S438" s="136"/>
      <c r="T438" s="136"/>
      <c r="U438" s="136"/>
      <c r="V438" s="136"/>
      <c r="W438" s="136"/>
      <c r="X438" s="136"/>
      <c r="Y438" s="2"/>
      <c r="Z438" s="2"/>
      <c r="AA438" s="2"/>
      <c r="AB438" s="2"/>
      <c r="AC438" s="2"/>
      <c r="AD438" s="2"/>
      <c r="AE438" s="2"/>
      <c r="AF438" s="2"/>
      <c r="AG438" s="2"/>
      <c r="AH438" s="2"/>
      <c r="AI438" s="2"/>
      <c r="AJ438" s="2"/>
      <c r="AK438" s="2"/>
      <c r="AL438" s="2"/>
      <c r="AM438" s="2"/>
      <c r="AN438" s="2"/>
    </row>
    <row r="439" spans="1:40" x14ac:dyDescent="0.25">
      <c r="A439" s="48"/>
      <c r="B439" s="48"/>
      <c r="C439" s="136"/>
      <c r="D439" s="136"/>
      <c r="E439" s="316">
        <v>2</v>
      </c>
      <c r="F439" s="1249" t="s">
        <v>3717</v>
      </c>
      <c r="G439" s="1144"/>
      <c r="H439" s="1144"/>
      <c r="I439" s="1144"/>
      <c r="J439" s="1144"/>
      <c r="K439" s="317"/>
      <c r="L439" s="318"/>
      <c r="M439" s="317"/>
      <c r="N439" s="317"/>
      <c r="O439" s="317"/>
      <c r="P439" s="317"/>
      <c r="Q439" s="317"/>
      <c r="R439" s="317"/>
      <c r="S439" s="317"/>
      <c r="T439" s="317"/>
      <c r="U439" s="317"/>
      <c r="V439" s="317"/>
      <c r="W439" s="317"/>
      <c r="X439" s="317"/>
      <c r="Y439" s="2"/>
      <c r="Z439" s="2"/>
      <c r="AA439" s="2"/>
      <c r="AB439" s="2"/>
      <c r="AC439" s="2"/>
      <c r="AD439" s="2"/>
      <c r="AE439" s="2"/>
      <c r="AF439" s="2"/>
      <c r="AG439" s="2"/>
      <c r="AH439" s="2"/>
      <c r="AI439" s="2"/>
      <c r="AJ439" s="2"/>
      <c r="AK439" s="2"/>
      <c r="AL439" s="2"/>
      <c r="AM439" s="2"/>
      <c r="AN439" s="2"/>
    </row>
    <row r="440" spans="1:40" ht="45" x14ac:dyDescent="0.25">
      <c r="A440" s="48"/>
      <c r="B440" s="48"/>
      <c r="C440" s="136"/>
      <c r="D440" s="136"/>
      <c r="E440" s="136"/>
      <c r="F440" s="301">
        <v>3</v>
      </c>
      <c r="G440" s="11"/>
      <c r="H440" s="11"/>
      <c r="I440" s="11"/>
      <c r="J440" s="6" t="s">
        <v>4144</v>
      </c>
      <c r="K440" s="6" t="s">
        <v>4316</v>
      </c>
      <c r="L440" s="8" t="s">
        <v>3868</v>
      </c>
      <c r="M440" s="11"/>
      <c r="N440" s="11"/>
      <c r="O440" s="11"/>
      <c r="P440" s="6" t="s">
        <v>3869</v>
      </c>
      <c r="Q440" s="322"/>
      <c r="R440" s="136"/>
      <c r="S440" s="136"/>
      <c r="T440" s="136"/>
      <c r="U440" s="136"/>
      <c r="V440" s="136"/>
      <c r="W440" s="136"/>
      <c r="X440" s="136"/>
      <c r="Y440" s="2"/>
      <c r="Z440" s="2"/>
      <c r="AA440" s="2"/>
      <c r="AB440" s="2"/>
      <c r="AC440" s="2"/>
      <c r="AD440" s="2"/>
      <c r="AE440" s="2"/>
      <c r="AF440" s="2"/>
      <c r="AG440" s="2"/>
      <c r="AH440" s="2"/>
      <c r="AI440" s="2"/>
      <c r="AJ440" s="2"/>
      <c r="AK440" s="2"/>
      <c r="AL440" s="2"/>
      <c r="AM440" s="2"/>
      <c r="AN440" s="2"/>
    </row>
    <row r="441" spans="1:40" x14ac:dyDescent="0.25">
      <c r="A441" s="48"/>
      <c r="B441" s="48"/>
      <c r="C441" s="136"/>
      <c r="D441" s="136"/>
      <c r="E441" s="316">
        <v>2</v>
      </c>
      <c r="F441" s="1262" t="s">
        <v>2992</v>
      </c>
      <c r="G441" s="1264"/>
      <c r="H441" s="1264"/>
      <c r="I441" s="1264"/>
      <c r="J441" s="1264"/>
      <c r="K441" s="317"/>
      <c r="L441" s="318"/>
      <c r="M441" s="317"/>
      <c r="N441" s="317"/>
      <c r="O441" s="317"/>
      <c r="P441" s="317"/>
      <c r="Q441" s="317"/>
      <c r="R441" s="317"/>
      <c r="S441" s="317"/>
      <c r="T441" s="317"/>
      <c r="U441" s="317"/>
      <c r="V441" s="317"/>
      <c r="W441" s="317"/>
      <c r="X441" s="317"/>
      <c r="Y441" s="2"/>
      <c r="Z441" s="2"/>
      <c r="AA441" s="2"/>
      <c r="AB441" s="2"/>
      <c r="AC441" s="2"/>
      <c r="AD441" s="2"/>
      <c r="AE441" s="2"/>
      <c r="AF441" s="2"/>
      <c r="AG441" s="2"/>
      <c r="AH441" s="2"/>
      <c r="AI441" s="2"/>
      <c r="AJ441" s="2"/>
      <c r="AK441" s="2"/>
      <c r="AL441" s="2"/>
      <c r="AM441" s="2"/>
      <c r="AN441" s="2"/>
    </row>
    <row r="442" spans="1:40" ht="26.25" x14ac:dyDescent="0.25">
      <c r="A442" s="48"/>
      <c r="B442" s="48"/>
      <c r="C442" s="136"/>
      <c r="D442" s="136"/>
      <c r="E442" s="136"/>
      <c r="F442" s="301"/>
      <c r="G442" s="11"/>
      <c r="H442" s="11"/>
      <c r="I442" s="11"/>
      <c r="J442" s="6" t="s">
        <v>4144</v>
      </c>
      <c r="K442" s="24" t="s">
        <v>4317</v>
      </c>
      <c r="L442" s="8" t="s">
        <v>3850</v>
      </c>
      <c r="M442" s="11"/>
      <c r="N442" s="11"/>
      <c r="O442" s="11"/>
      <c r="P442" s="24" t="s">
        <v>4318</v>
      </c>
      <c r="Q442" s="322"/>
      <c r="R442" s="136"/>
      <c r="S442" s="136"/>
      <c r="T442" s="136"/>
      <c r="U442" s="136"/>
      <c r="V442" s="136"/>
      <c r="W442" s="136"/>
      <c r="X442" s="136"/>
      <c r="Y442" s="2"/>
      <c r="Z442" s="2"/>
      <c r="AA442" s="2"/>
      <c r="AB442" s="2"/>
      <c r="AC442" s="2"/>
      <c r="AD442" s="2"/>
      <c r="AE442" s="2"/>
      <c r="AF442" s="2"/>
      <c r="AG442" s="2"/>
      <c r="AH442" s="2"/>
      <c r="AI442" s="2"/>
      <c r="AJ442" s="2"/>
      <c r="AK442" s="2"/>
      <c r="AL442" s="2"/>
      <c r="AM442" s="2"/>
      <c r="AN442" s="2"/>
    </row>
    <row r="443" spans="1:40" ht="20.25" customHeight="1" x14ac:dyDescent="0.25">
      <c r="C443" s="93"/>
      <c r="D443" s="93">
        <v>1</v>
      </c>
      <c r="E443" s="1247" t="s">
        <v>4319</v>
      </c>
      <c r="F443" s="1247"/>
      <c r="G443" s="1247"/>
      <c r="H443" s="1247"/>
      <c r="I443" s="1247"/>
      <c r="J443" s="1247"/>
      <c r="K443" s="1247"/>
      <c r="L443" s="772"/>
      <c r="M443" s="93"/>
      <c r="N443" s="936" t="str">
        <f>HYPERLINK("http://wiki.academyofsports.online/tiki-index.php?page=Erstellung-von-Microsites-(Landingpages)", "Microsites")</f>
        <v>Microsites</v>
      </c>
      <c r="O443" s="93"/>
      <c r="P443" s="93"/>
      <c r="Q443" s="93"/>
      <c r="R443" s="93"/>
      <c r="S443" s="93"/>
      <c r="T443" s="93"/>
      <c r="U443" s="93"/>
      <c r="V443" s="93"/>
      <c r="W443" s="93"/>
      <c r="X443" s="93"/>
      <c r="Y443" s="2"/>
      <c r="Z443" s="2"/>
      <c r="AA443" s="2"/>
      <c r="AB443" s="2"/>
      <c r="AC443" s="2"/>
      <c r="AD443" s="2"/>
      <c r="AE443" s="2"/>
      <c r="AF443" s="2"/>
      <c r="AG443" s="2"/>
      <c r="AH443" s="2"/>
      <c r="AI443" s="2"/>
      <c r="AJ443" s="2"/>
      <c r="AK443" s="2"/>
      <c r="AL443" s="2"/>
      <c r="AM443" s="2"/>
      <c r="AN443" s="2"/>
    </row>
    <row r="444" spans="1:40" x14ac:dyDescent="0.25">
      <c r="A444" s="48"/>
      <c r="B444" s="48"/>
      <c r="C444" s="135"/>
      <c r="D444" s="135"/>
      <c r="E444" s="331">
        <v>2</v>
      </c>
      <c r="F444" s="1249" t="s">
        <v>4285</v>
      </c>
      <c r="G444" s="1144"/>
      <c r="H444" s="1144"/>
      <c r="I444" s="1144"/>
      <c r="J444" s="1144"/>
      <c r="K444" s="315"/>
      <c r="L444" s="318"/>
      <c r="M444" s="317"/>
      <c r="N444" s="317"/>
      <c r="O444" s="317"/>
      <c r="P444" s="317"/>
      <c r="Q444" s="317"/>
      <c r="R444" s="317"/>
      <c r="S444" s="317"/>
      <c r="T444" s="317"/>
      <c r="U444" s="317"/>
      <c r="V444" s="317"/>
      <c r="W444" s="317"/>
      <c r="X444" s="317"/>
      <c r="Y444" s="2"/>
      <c r="Z444" s="2"/>
      <c r="AA444" s="2"/>
      <c r="AB444" s="2"/>
      <c r="AC444" s="2"/>
      <c r="AD444" s="2"/>
      <c r="AE444" s="2"/>
      <c r="AF444" s="2"/>
      <c r="AG444" s="2"/>
      <c r="AH444" s="2"/>
      <c r="AI444" s="2"/>
      <c r="AJ444" s="2"/>
      <c r="AK444" s="2"/>
      <c r="AL444" s="2"/>
      <c r="AM444" s="2"/>
      <c r="AN444" s="2"/>
    </row>
    <row r="445" spans="1:40" ht="30" x14ac:dyDescent="0.25">
      <c r="A445" s="48"/>
      <c r="B445" s="48"/>
      <c r="C445" s="136"/>
      <c r="D445" s="136"/>
      <c r="E445" s="136"/>
      <c r="F445" s="301">
        <v>3</v>
      </c>
      <c r="G445" s="11"/>
      <c r="H445" s="11"/>
      <c r="I445" s="11"/>
      <c r="J445" s="6" t="s">
        <v>4320</v>
      </c>
      <c r="K445" s="131" t="s">
        <v>4321</v>
      </c>
      <c r="L445" s="200" t="s">
        <v>3605</v>
      </c>
      <c r="M445" s="136"/>
      <c r="N445" s="136"/>
      <c r="O445" s="136"/>
      <c r="P445" s="322" t="s">
        <v>3598</v>
      </c>
      <c r="Q445" s="322"/>
      <c r="R445" s="136"/>
      <c r="S445" s="136"/>
      <c r="T445" s="136"/>
      <c r="U445" s="136"/>
      <c r="V445" s="136"/>
      <c r="W445" s="136"/>
      <c r="X445" s="136"/>
      <c r="Y445" s="2"/>
      <c r="Z445" s="2"/>
      <c r="AA445" s="2"/>
      <c r="AB445" s="2"/>
      <c r="AC445" s="2"/>
      <c r="AD445" s="2"/>
      <c r="AE445" s="2"/>
      <c r="AF445" s="2"/>
      <c r="AG445" s="2"/>
      <c r="AH445" s="2"/>
      <c r="AI445" s="2"/>
      <c r="AJ445" s="2"/>
      <c r="AK445" s="2"/>
      <c r="AL445" s="2"/>
      <c r="AM445" s="2"/>
      <c r="AN445" s="2"/>
    </row>
    <row r="446" spans="1:40" ht="30" x14ac:dyDescent="0.25">
      <c r="A446" s="48"/>
      <c r="B446" s="48"/>
      <c r="C446" s="136"/>
      <c r="D446" s="136"/>
      <c r="E446" s="136"/>
      <c r="F446" s="301">
        <v>3</v>
      </c>
      <c r="G446" s="11"/>
      <c r="H446" s="11"/>
      <c r="I446" s="11"/>
      <c r="J446" s="6" t="s">
        <v>4290</v>
      </c>
      <c r="K446" s="131" t="s">
        <v>4322</v>
      </c>
      <c r="L446" s="200" t="s">
        <v>3605</v>
      </c>
      <c r="M446" s="136"/>
      <c r="N446" s="136"/>
      <c r="O446" s="136"/>
      <c r="P446" s="322"/>
      <c r="Q446" s="136"/>
      <c r="R446" s="136"/>
      <c r="S446" s="136"/>
      <c r="T446" s="136"/>
      <c r="U446" s="136"/>
      <c r="V446" s="136"/>
      <c r="W446" s="136"/>
      <c r="X446" s="136"/>
      <c r="Y446" s="2"/>
      <c r="Z446" s="2"/>
      <c r="AA446" s="2"/>
      <c r="AB446" s="2"/>
      <c r="AC446" s="2"/>
      <c r="AD446" s="2"/>
      <c r="AE446" s="2"/>
      <c r="AF446" s="2"/>
      <c r="AG446" s="2"/>
      <c r="AH446" s="2"/>
      <c r="AI446" s="2"/>
      <c r="AJ446" s="2"/>
      <c r="AK446" s="2"/>
      <c r="AL446" s="2"/>
      <c r="AM446" s="2"/>
      <c r="AN446" s="2"/>
    </row>
    <row r="447" spans="1:40" x14ac:dyDescent="0.25">
      <c r="A447" s="48"/>
      <c r="B447" s="48"/>
      <c r="C447" s="136"/>
      <c r="D447" s="136"/>
      <c r="E447" s="316">
        <v>2</v>
      </c>
      <c r="F447" s="1249" t="s">
        <v>4323</v>
      </c>
      <c r="G447" s="1144"/>
      <c r="H447" s="1144"/>
      <c r="I447" s="1144"/>
      <c r="J447" s="1144"/>
      <c r="K447" s="317"/>
      <c r="L447" s="318"/>
      <c r="M447" s="317"/>
      <c r="N447" s="317"/>
      <c r="O447" s="317"/>
      <c r="P447" s="317"/>
      <c r="Q447" s="317"/>
      <c r="R447" s="317"/>
      <c r="S447" s="317"/>
      <c r="T447" s="317"/>
      <c r="U447" s="317"/>
      <c r="V447" s="317"/>
      <c r="W447" s="317"/>
      <c r="X447" s="317"/>
      <c r="Y447" s="2"/>
      <c r="Z447" s="2"/>
      <c r="AA447" s="2"/>
      <c r="AB447" s="2"/>
      <c r="AC447" s="2"/>
      <c r="AD447" s="2"/>
      <c r="AE447" s="2"/>
      <c r="AF447" s="2"/>
      <c r="AG447" s="2"/>
      <c r="AH447" s="2"/>
      <c r="AI447" s="2"/>
      <c r="AJ447" s="2"/>
      <c r="AK447" s="2"/>
      <c r="AL447" s="2"/>
      <c r="AM447" s="2"/>
      <c r="AN447" s="2"/>
    </row>
    <row r="448" spans="1:40" ht="26.25" x14ac:dyDescent="0.25">
      <c r="A448" s="48"/>
      <c r="B448" s="48"/>
      <c r="C448" s="136"/>
      <c r="D448" s="136"/>
      <c r="E448" s="136"/>
      <c r="F448" s="301">
        <v>3</v>
      </c>
      <c r="G448" s="11"/>
      <c r="H448" s="11"/>
      <c r="I448" s="11"/>
      <c r="J448" s="6" t="s">
        <v>3598</v>
      </c>
      <c r="K448" s="62" t="s">
        <v>4324</v>
      </c>
      <c r="L448" s="200" t="s">
        <v>3605</v>
      </c>
      <c r="M448" s="136"/>
      <c r="N448" s="136"/>
      <c r="O448" s="136"/>
      <c r="P448" s="147"/>
      <c r="Q448" s="322" t="s">
        <v>4325</v>
      </c>
      <c r="R448" s="136"/>
      <c r="S448" s="136"/>
      <c r="T448" s="136"/>
      <c r="U448" s="136"/>
      <c r="V448" s="136"/>
      <c r="W448" s="136"/>
      <c r="X448" s="136"/>
      <c r="Y448" s="2"/>
      <c r="Z448" s="2"/>
      <c r="AA448" s="2"/>
      <c r="AB448" s="2"/>
      <c r="AC448" s="2"/>
      <c r="AD448" s="2"/>
      <c r="AE448" s="2"/>
      <c r="AF448" s="2"/>
      <c r="AG448" s="2"/>
      <c r="AH448" s="2"/>
      <c r="AI448" s="2"/>
      <c r="AJ448" s="2"/>
      <c r="AK448" s="2"/>
      <c r="AL448" s="2"/>
      <c r="AM448" s="2"/>
      <c r="AN448" s="2"/>
    </row>
    <row r="449" spans="1:40" x14ac:dyDescent="0.25">
      <c r="A449" s="48"/>
      <c r="B449" s="48"/>
      <c r="C449" s="136"/>
      <c r="D449" s="136"/>
      <c r="E449" s="316">
        <v>2</v>
      </c>
      <c r="F449" s="1249" t="s">
        <v>4296</v>
      </c>
      <c r="G449" s="1144"/>
      <c r="H449" s="1144"/>
      <c r="I449" s="1144"/>
      <c r="J449" s="1144"/>
      <c r="K449" s="317"/>
      <c r="L449" s="318"/>
      <c r="M449" s="317"/>
      <c r="N449" s="317"/>
      <c r="O449" s="317"/>
      <c r="P449" s="317"/>
      <c r="Q449" s="317"/>
      <c r="R449" s="317"/>
      <c r="S449" s="317"/>
      <c r="T449" s="317"/>
      <c r="U449" s="317"/>
      <c r="V449" s="317"/>
      <c r="W449" s="317"/>
      <c r="X449" s="317"/>
      <c r="Y449" s="2"/>
      <c r="Z449" s="2"/>
      <c r="AA449" s="2"/>
      <c r="AB449" s="2"/>
      <c r="AC449" s="2"/>
      <c r="AD449" s="2"/>
      <c r="AE449" s="2"/>
      <c r="AF449" s="2"/>
      <c r="AG449" s="2"/>
      <c r="AH449" s="2"/>
      <c r="AI449" s="2"/>
      <c r="AJ449" s="2"/>
      <c r="AK449" s="2"/>
      <c r="AL449" s="2"/>
      <c r="AM449" s="2"/>
      <c r="AN449" s="2"/>
    </row>
    <row r="450" spans="1:40" ht="26.25" x14ac:dyDescent="0.25">
      <c r="A450" s="48"/>
      <c r="B450" s="48"/>
      <c r="C450" s="136"/>
      <c r="D450" s="136"/>
      <c r="E450" s="136"/>
      <c r="F450" s="301">
        <v>3</v>
      </c>
      <c r="G450" s="11"/>
      <c r="H450" s="11"/>
      <c r="I450" s="11"/>
      <c r="J450" s="6" t="s">
        <v>4297</v>
      </c>
      <c r="K450" s="62" t="s">
        <v>4298</v>
      </c>
      <c r="L450" s="200" t="s">
        <v>3650</v>
      </c>
      <c r="M450" s="136"/>
      <c r="N450" s="136"/>
      <c r="O450" s="136"/>
      <c r="P450" s="147" t="s">
        <v>4299</v>
      </c>
      <c r="Q450" s="136"/>
      <c r="R450" s="136"/>
      <c r="S450" s="136"/>
      <c r="T450" s="136"/>
      <c r="U450" s="136"/>
      <c r="V450" s="136"/>
      <c r="W450" s="136"/>
      <c r="X450" s="136"/>
      <c r="Y450" s="2"/>
      <c r="Z450" s="2"/>
      <c r="AA450" s="2"/>
      <c r="AB450" s="2"/>
      <c r="AC450" s="2"/>
      <c r="AD450" s="2"/>
      <c r="AE450" s="2"/>
      <c r="AF450" s="2"/>
      <c r="AG450" s="2"/>
      <c r="AH450" s="2"/>
      <c r="AI450" s="2"/>
      <c r="AJ450" s="2"/>
      <c r="AK450" s="2"/>
      <c r="AL450" s="2"/>
      <c r="AM450" s="2"/>
      <c r="AN450" s="2"/>
    </row>
    <row r="451" spans="1:40" x14ac:dyDescent="0.25">
      <c r="A451" s="48"/>
      <c r="B451" s="48"/>
      <c r="C451" s="136"/>
      <c r="D451" s="136"/>
      <c r="E451" s="316">
        <v>2</v>
      </c>
      <c r="F451" s="1249" t="s">
        <v>4326</v>
      </c>
      <c r="G451" s="1144"/>
      <c r="H451" s="1144"/>
      <c r="I451" s="1144"/>
      <c r="J451" s="1144"/>
      <c r="K451" s="317"/>
      <c r="L451" s="318"/>
      <c r="M451" s="317"/>
      <c r="N451" s="317"/>
      <c r="O451" s="317"/>
      <c r="P451" s="317"/>
      <c r="Q451" s="317"/>
      <c r="R451" s="317"/>
      <c r="S451" s="317"/>
      <c r="T451" s="317"/>
      <c r="U451" s="317"/>
      <c r="V451" s="317"/>
      <c r="W451" s="317"/>
      <c r="X451" s="317"/>
      <c r="Y451" s="2"/>
      <c r="Z451" s="2"/>
      <c r="AA451" s="2"/>
      <c r="AB451" s="2"/>
      <c r="AC451" s="2"/>
      <c r="AD451" s="2"/>
      <c r="AE451" s="2"/>
      <c r="AF451" s="2"/>
      <c r="AG451" s="2"/>
      <c r="AH451" s="2"/>
      <c r="AI451" s="2"/>
      <c r="AJ451" s="2"/>
      <c r="AK451" s="2"/>
      <c r="AL451" s="2"/>
      <c r="AM451" s="2"/>
      <c r="AN451" s="2"/>
    </row>
    <row r="452" spans="1:40" ht="30" x14ac:dyDescent="0.25">
      <c r="A452" s="48"/>
      <c r="B452" s="48"/>
      <c r="C452" s="136"/>
      <c r="D452" s="136"/>
      <c r="E452" s="136"/>
      <c r="F452" s="301">
        <v>3</v>
      </c>
      <c r="G452" s="11"/>
      <c r="H452" s="11"/>
      <c r="I452" s="11"/>
      <c r="J452" s="6" t="s">
        <v>4301</v>
      </c>
      <c r="K452" s="131" t="s">
        <v>4327</v>
      </c>
      <c r="L452" s="200" t="s">
        <v>3605</v>
      </c>
      <c r="M452" s="136"/>
      <c r="N452" s="722" t="str">
        <f>HYPERLINK("https://synology.bildungscampus-backnang.de:50823/oo/r/mMn4PkPH5TnpU2LXRM5V7fIUCvK7E3ai", "Onpage Checkliste")</f>
        <v>Onpage Checkliste</v>
      </c>
      <c r="O452" s="136"/>
      <c r="P452" s="322" t="s">
        <v>4303</v>
      </c>
      <c r="Q452" s="136"/>
      <c r="R452" s="136"/>
      <c r="S452" s="136"/>
      <c r="T452" s="136"/>
      <c r="U452" s="136"/>
      <c r="V452" s="136"/>
      <c r="W452" s="136"/>
      <c r="X452" s="136"/>
      <c r="Y452" s="2"/>
      <c r="Z452" s="2"/>
      <c r="AA452" s="2"/>
      <c r="AB452" s="2"/>
      <c r="AC452" s="2"/>
      <c r="AD452" s="2"/>
      <c r="AE452" s="2"/>
      <c r="AF452" s="2"/>
      <c r="AG452" s="2"/>
      <c r="AH452" s="2"/>
      <c r="AI452" s="2"/>
      <c r="AJ452" s="2"/>
      <c r="AK452" s="2"/>
      <c r="AL452" s="2"/>
      <c r="AM452" s="2"/>
      <c r="AN452" s="2"/>
    </row>
    <row r="453" spans="1:40" x14ac:dyDescent="0.25">
      <c r="A453" s="48"/>
      <c r="B453" s="48"/>
      <c r="C453" s="136"/>
      <c r="D453" s="136"/>
      <c r="E453" s="136"/>
      <c r="F453" s="301">
        <v>3</v>
      </c>
      <c r="G453" s="11"/>
      <c r="H453" s="11"/>
      <c r="I453" s="11"/>
      <c r="J453" s="24" t="s">
        <v>4304</v>
      </c>
      <c r="K453" s="131" t="s">
        <v>4305</v>
      </c>
      <c r="L453" s="200" t="s">
        <v>3605</v>
      </c>
      <c r="M453" s="136"/>
      <c r="N453" s="322"/>
      <c r="O453" s="136"/>
      <c r="P453" s="322" t="s">
        <v>4306</v>
      </c>
      <c r="Q453" s="136"/>
      <c r="R453" s="136"/>
      <c r="S453" s="136"/>
      <c r="T453" s="136"/>
      <c r="U453" s="136"/>
      <c r="V453" s="136"/>
      <c r="W453" s="136"/>
      <c r="X453" s="136"/>
      <c r="Y453" s="2"/>
      <c r="Z453" s="2"/>
      <c r="AA453" s="2"/>
      <c r="AB453" s="2"/>
      <c r="AC453" s="2"/>
      <c r="AD453" s="2"/>
      <c r="AE453" s="2"/>
      <c r="AF453" s="2"/>
      <c r="AG453" s="2"/>
      <c r="AH453" s="2"/>
      <c r="AI453" s="2"/>
      <c r="AJ453" s="2"/>
      <c r="AK453" s="2"/>
      <c r="AL453" s="2"/>
      <c r="AM453" s="2"/>
      <c r="AN453" s="2"/>
    </row>
    <row r="454" spans="1:40" x14ac:dyDescent="0.25">
      <c r="A454" s="48"/>
      <c r="B454" s="48"/>
      <c r="C454" s="136"/>
      <c r="D454" s="136"/>
      <c r="E454" s="136"/>
      <c r="F454" s="301">
        <v>3</v>
      </c>
      <c r="G454" s="11"/>
      <c r="H454" s="11"/>
      <c r="I454" s="11"/>
      <c r="J454" s="6" t="s">
        <v>4307</v>
      </c>
      <c r="K454" s="131" t="s">
        <v>4308</v>
      </c>
      <c r="L454" s="200" t="s">
        <v>3605</v>
      </c>
      <c r="M454" s="136"/>
      <c r="N454" s="136"/>
      <c r="O454" s="136"/>
      <c r="P454" s="136"/>
      <c r="Q454" s="136"/>
      <c r="R454" s="136"/>
      <c r="S454" s="136"/>
      <c r="T454" s="136"/>
      <c r="U454" s="136"/>
      <c r="V454" s="136"/>
      <c r="W454" s="136"/>
      <c r="X454" s="136"/>
      <c r="Y454" s="2"/>
      <c r="Z454" s="2"/>
      <c r="AA454" s="2"/>
      <c r="AB454" s="2"/>
      <c r="AC454" s="2"/>
      <c r="AD454" s="2"/>
      <c r="AE454" s="2"/>
      <c r="AF454" s="2"/>
      <c r="AG454" s="2"/>
      <c r="AH454" s="2"/>
      <c r="AI454" s="2"/>
      <c r="AJ454" s="2"/>
      <c r="AK454" s="2"/>
      <c r="AL454" s="2"/>
      <c r="AM454" s="2"/>
      <c r="AN454" s="2"/>
    </row>
    <row r="455" spans="1:40" ht="30" x14ac:dyDescent="0.25">
      <c r="A455" s="48"/>
      <c r="B455" s="48"/>
      <c r="C455" s="136"/>
      <c r="D455" s="136"/>
      <c r="E455" s="136"/>
      <c r="F455" s="301">
        <v>3</v>
      </c>
      <c r="G455" s="11"/>
      <c r="H455" s="11"/>
      <c r="I455" s="11"/>
      <c r="J455" s="6" t="s">
        <v>4309</v>
      </c>
      <c r="K455" s="131" t="s">
        <v>4328</v>
      </c>
      <c r="L455" s="200" t="s">
        <v>3605</v>
      </c>
      <c r="M455" s="136"/>
      <c r="N455" s="722" t="str">
        <f>HYPERLINK("https://synology.bildungscampus-backnang.de:50823/drive/oo/r/559658189971307637#tid=2", "Dok Seitenübersicht")</f>
        <v>Dok Seitenübersicht</v>
      </c>
      <c r="O455" s="136"/>
      <c r="P455" s="136"/>
      <c r="Q455" s="136"/>
      <c r="R455" s="136"/>
      <c r="S455" s="136"/>
      <c r="T455" s="136"/>
      <c r="U455" s="136"/>
      <c r="V455" s="136"/>
      <c r="W455" s="136"/>
      <c r="X455" s="136"/>
      <c r="Y455" s="2"/>
      <c r="Z455" s="2"/>
      <c r="AA455" s="2"/>
      <c r="AB455" s="2"/>
      <c r="AC455" s="2"/>
      <c r="AD455" s="2"/>
      <c r="AE455" s="2"/>
      <c r="AF455" s="2"/>
      <c r="AG455" s="2"/>
      <c r="AH455" s="2"/>
      <c r="AI455" s="2"/>
      <c r="AJ455" s="2"/>
      <c r="AK455" s="2"/>
      <c r="AL455" s="2"/>
      <c r="AM455" s="2"/>
      <c r="AN455" s="2"/>
    </row>
    <row r="456" spans="1:40" ht="26.25" x14ac:dyDescent="0.25">
      <c r="A456" s="48"/>
      <c r="B456" s="48"/>
      <c r="C456" s="136"/>
      <c r="D456" s="136"/>
      <c r="E456" s="136"/>
      <c r="F456" s="301">
        <v>3</v>
      </c>
      <c r="G456" s="11"/>
      <c r="H456" s="11"/>
      <c r="I456" s="11"/>
      <c r="J456" s="6" t="s">
        <v>3929</v>
      </c>
      <c r="K456" s="131" t="s">
        <v>4329</v>
      </c>
      <c r="L456" s="200" t="s">
        <v>3902</v>
      </c>
      <c r="M456" s="136"/>
      <c r="N456" s="147"/>
      <c r="O456" s="136"/>
      <c r="P456" s="136"/>
      <c r="Q456" s="322" t="s">
        <v>4312</v>
      </c>
      <c r="R456" s="136"/>
      <c r="S456" s="136"/>
      <c r="T456" s="136"/>
      <c r="U456" s="136"/>
      <c r="V456" s="136"/>
      <c r="W456" s="136"/>
      <c r="X456" s="136"/>
      <c r="Y456" s="2"/>
      <c r="Z456" s="2"/>
      <c r="AA456" s="2"/>
      <c r="AB456" s="2"/>
      <c r="AC456" s="2"/>
      <c r="AD456" s="2"/>
      <c r="AE456" s="2"/>
      <c r="AF456" s="2"/>
      <c r="AG456" s="2"/>
      <c r="AH456" s="2"/>
      <c r="AI456" s="2"/>
      <c r="AJ456" s="2"/>
      <c r="AK456" s="2"/>
      <c r="AL456" s="2"/>
      <c r="AM456" s="2"/>
      <c r="AN456" s="2"/>
    </row>
    <row r="457" spans="1:40" x14ac:dyDescent="0.25">
      <c r="A457" s="48"/>
      <c r="B457" s="48"/>
      <c r="C457" s="136"/>
      <c r="D457" s="136"/>
      <c r="E457" s="136"/>
      <c r="F457" s="301">
        <v>3</v>
      </c>
      <c r="G457" s="11"/>
      <c r="H457" s="11"/>
      <c r="I457" s="11"/>
      <c r="J457" s="6" t="s">
        <v>4313</v>
      </c>
      <c r="K457" s="131" t="s">
        <v>3715</v>
      </c>
      <c r="L457" s="200" t="s">
        <v>3605</v>
      </c>
      <c r="M457" s="136"/>
      <c r="N457" s="147"/>
      <c r="O457" s="136"/>
      <c r="P457" s="136"/>
      <c r="Q457" s="322"/>
      <c r="R457" s="136"/>
      <c r="S457" s="136"/>
      <c r="T457" s="136"/>
      <c r="U457" s="136"/>
      <c r="V457" s="136"/>
      <c r="W457" s="136"/>
      <c r="X457" s="136"/>
      <c r="Y457" s="2"/>
      <c r="Z457" s="2"/>
      <c r="AA457" s="2"/>
      <c r="AB457" s="2"/>
      <c r="AC457" s="2"/>
      <c r="AD457" s="2"/>
      <c r="AE457" s="2"/>
      <c r="AF457" s="2"/>
      <c r="AG457" s="2"/>
      <c r="AH457" s="2"/>
      <c r="AI457" s="2"/>
      <c r="AJ457" s="2"/>
      <c r="AK457" s="2"/>
      <c r="AL457" s="2"/>
      <c r="AM457" s="2"/>
      <c r="AN457" s="2"/>
    </row>
    <row r="458" spans="1:40" x14ac:dyDescent="0.25">
      <c r="A458" s="48"/>
      <c r="B458" s="48"/>
      <c r="C458" s="136"/>
      <c r="D458" s="136"/>
      <c r="E458" s="316">
        <v>2</v>
      </c>
      <c r="F458" s="1249" t="s">
        <v>4314</v>
      </c>
      <c r="G458" s="1144"/>
      <c r="H458" s="1144"/>
      <c r="I458" s="1144"/>
      <c r="J458" s="1144"/>
      <c r="K458" s="317"/>
      <c r="L458" s="318"/>
      <c r="M458" s="317"/>
      <c r="N458" s="317"/>
      <c r="O458" s="317"/>
      <c r="P458" s="317"/>
      <c r="Q458" s="317"/>
      <c r="R458" s="317"/>
      <c r="S458" s="317"/>
      <c r="T458" s="317"/>
      <c r="U458" s="317"/>
      <c r="V458" s="317"/>
      <c r="W458" s="317"/>
      <c r="X458" s="317"/>
      <c r="Y458" s="2"/>
      <c r="Z458" s="2"/>
      <c r="AA458" s="2"/>
      <c r="AB458" s="2"/>
      <c r="AC458" s="2"/>
      <c r="AD458" s="2"/>
      <c r="AE458" s="2"/>
      <c r="AF458" s="2"/>
      <c r="AG458" s="2"/>
      <c r="AH458" s="2"/>
      <c r="AI458" s="2"/>
      <c r="AJ458" s="2"/>
      <c r="AK458" s="2"/>
      <c r="AL458" s="2"/>
      <c r="AM458" s="2"/>
      <c r="AN458" s="2"/>
    </row>
    <row r="459" spans="1:40" ht="26.25" x14ac:dyDescent="0.25">
      <c r="A459" s="48"/>
      <c r="B459" s="48"/>
      <c r="C459" s="136"/>
      <c r="D459" s="136"/>
      <c r="E459" s="136"/>
      <c r="F459" s="301">
        <v>3</v>
      </c>
      <c r="G459" s="11"/>
      <c r="H459" s="11"/>
      <c r="I459" s="11"/>
      <c r="J459" s="6" t="s">
        <v>4144</v>
      </c>
      <c r="K459" s="131" t="s">
        <v>4315</v>
      </c>
      <c r="L459" s="200" t="s">
        <v>3902</v>
      </c>
      <c r="M459" s="136"/>
      <c r="N459" s="136"/>
      <c r="O459" s="136"/>
      <c r="P459" s="136"/>
      <c r="Q459" s="322" t="s">
        <v>4312</v>
      </c>
      <c r="R459" s="136"/>
      <c r="S459" s="136"/>
      <c r="T459" s="136"/>
      <c r="U459" s="136"/>
      <c r="V459" s="136"/>
      <c r="W459" s="136"/>
      <c r="X459" s="136"/>
      <c r="Y459" s="2"/>
      <c r="Z459" s="2"/>
      <c r="AA459" s="2"/>
      <c r="AB459" s="2"/>
      <c r="AC459" s="2"/>
      <c r="AD459" s="2"/>
      <c r="AE459" s="2"/>
      <c r="AF459" s="2"/>
      <c r="AG459" s="2"/>
      <c r="AH459" s="2"/>
      <c r="AI459" s="2"/>
      <c r="AJ459" s="2"/>
      <c r="AK459" s="2"/>
      <c r="AL459" s="2"/>
      <c r="AM459" s="2"/>
      <c r="AN459" s="2"/>
    </row>
    <row r="460" spans="1:40" x14ac:dyDescent="0.25">
      <c r="A460" s="48"/>
      <c r="B460" s="48"/>
      <c r="C460" s="136"/>
      <c r="D460" s="136"/>
      <c r="E460" s="316">
        <v>2</v>
      </c>
      <c r="F460" s="1249" t="s">
        <v>3717</v>
      </c>
      <c r="G460" s="1144"/>
      <c r="H460" s="1144"/>
      <c r="I460" s="1144"/>
      <c r="J460" s="1144"/>
      <c r="K460" s="317"/>
      <c r="L460" s="318"/>
      <c r="M460" s="317"/>
      <c r="N460" s="317"/>
      <c r="O460" s="317"/>
      <c r="P460" s="317"/>
      <c r="Q460" s="317"/>
      <c r="R460" s="317"/>
      <c r="S460" s="317"/>
      <c r="T460" s="317"/>
      <c r="U460" s="317"/>
      <c r="V460" s="317"/>
      <c r="W460" s="317"/>
      <c r="X460" s="317"/>
      <c r="Y460" s="2"/>
      <c r="Z460" s="2"/>
      <c r="AA460" s="2"/>
      <c r="AB460" s="2"/>
      <c r="AC460" s="2"/>
      <c r="AD460" s="2"/>
      <c r="AE460" s="2"/>
      <c r="AF460" s="2"/>
      <c r="AG460" s="2"/>
      <c r="AH460" s="2"/>
      <c r="AI460" s="2"/>
      <c r="AJ460" s="2"/>
      <c r="AK460" s="2"/>
      <c r="AL460" s="2"/>
      <c r="AM460" s="2"/>
      <c r="AN460" s="2"/>
    </row>
    <row r="461" spans="1:40" ht="45" x14ac:dyDescent="0.25">
      <c r="A461" s="48"/>
      <c r="B461" s="48"/>
      <c r="C461" s="136"/>
      <c r="D461" s="136"/>
      <c r="E461" s="136"/>
      <c r="F461" s="301">
        <v>3</v>
      </c>
      <c r="G461" s="11"/>
      <c r="H461" s="11"/>
      <c r="I461" s="11"/>
      <c r="J461" s="6" t="s">
        <v>4144</v>
      </c>
      <c r="K461" s="6" t="s">
        <v>4330</v>
      </c>
      <c r="L461" s="8" t="s">
        <v>3868</v>
      </c>
      <c r="M461" s="11"/>
      <c r="N461" s="11"/>
      <c r="O461" s="11"/>
      <c r="P461" s="6" t="s">
        <v>3869</v>
      </c>
      <c r="Q461" s="322"/>
      <c r="R461" s="136"/>
      <c r="S461" s="136"/>
      <c r="T461" s="136"/>
      <c r="U461" s="136"/>
      <c r="V461" s="136"/>
      <c r="W461" s="136"/>
      <c r="X461" s="136"/>
      <c r="Y461" s="2"/>
      <c r="Z461" s="2"/>
      <c r="AA461" s="2"/>
      <c r="AB461" s="2"/>
      <c r="AC461" s="2"/>
      <c r="AD461" s="2"/>
      <c r="AE461" s="2"/>
      <c r="AF461" s="2"/>
      <c r="AG461" s="2"/>
      <c r="AH461" s="2"/>
      <c r="AI461" s="2"/>
      <c r="AJ461" s="2"/>
      <c r="AK461" s="2"/>
      <c r="AL461" s="2"/>
      <c r="AM461" s="2"/>
      <c r="AN461" s="2"/>
    </row>
    <row r="462" spans="1:40" x14ac:dyDescent="0.25">
      <c r="A462" s="48"/>
      <c r="B462" s="48"/>
      <c r="C462" s="136"/>
      <c r="D462" s="136"/>
      <c r="E462" s="316">
        <v>2</v>
      </c>
      <c r="F462" s="1262" t="s">
        <v>2992</v>
      </c>
      <c r="G462" s="1264"/>
      <c r="H462" s="1264"/>
      <c r="I462" s="1264"/>
      <c r="J462" s="1264"/>
      <c r="K462" s="317"/>
      <c r="L462" s="318"/>
      <c r="M462" s="317"/>
      <c r="N462" s="317"/>
      <c r="O462" s="317"/>
      <c r="P462" s="317"/>
      <c r="Q462" s="317"/>
      <c r="R462" s="317"/>
      <c r="S462" s="317"/>
      <c r="T462" s="317"/>
      <c r="U462" s="317"/>
      <c r="V462" s="317"/>
      <c r="W462" s="317"/>
      <c r="X462" s="317"/>
      <c r="Y462" s="2"/>
      <c r="Z462" s="2"/>
      <c r="AA462" s="2"/>
      <c r="AB462" s="2"/>
      <c r="AC462" s="2"/>
      <c r="AD462" s="2"/>
      <c r="AE462" s="2"/>
      <c r="AF462" s="2"/>
      <c r="AG462" s="2"/>
      <c r="AH462" s="2"/>
      <c r="AI462" s="2"/>
      <c r="AJ462" s="2"/>
      <c r="AK462" s="2"/>
      <c r="AL462" s="2"/>
      <c r="AM462" s="2"/>
      <c r="AN462" s="2"/>
    </row>
    <row r="463" spans="1:40" ht="26.25" x14ac:dyDescent="0.25">
      <c r="A463" s="48"/>
      <c r="B463" s="48"/>
      <c r="C463" s="136"/>
      <c r="D463" s="136"/>
      <c r="E463" s="136"/>
      <c r="F463" s="301"/>
      <c r="G463" s="11"/>
      <c r="H463" s="11"/>
      <c r="I463" s="11"/>
      <c r="J463" s="6" t="s">
        <v>4144</v>
      </c>
      <c r="K463" s="24" t="s">
        <v>4331</v>
      </c>
      <c r="L463" s="8" t="s">
        <v>3850</v>
      </c>
      <c r="M463" s="11"/>
      <c r="N463" s="11"/>
      <c r="O463" s="11"/>
      <c r="P463" s="24" t="s">
        <v>4318</v>
      </c>
      <c r="Q463" s="322"/>
      <c r="R463" s="136"/>
      <c r="S463" s="136"/>
      <c r="T463" s="136"/>
      <c r="U463" s="136"/>
      <c r="V463" s="136"/>
      <c r="W463" s="136"/>
      <c r="X463" s="136"/>
      <c r="Y463" s="2"/>
      <c r="Z463" s="2"/>
      <c r="AA463" s="2"/>
      <c r="AB463" s="2"/>
      <c r="AC463" s="2"/>
      <c r="AD463" s="2"/>
      <c r="AE463" s="2"/>
      <c r="AF463" s="2"/>
      <c r="AG463" s="2"/>
      <c r="AH463" s="2"/>
      <c r="AI463" s="2"/>
      <c r="AJ463" s="2"/>
      <c r="AK463" s="2"/>
      <c r="AL463" s="2"/>
      <c r="AM463" s="2"/>
      <c r="AN463" s="2"/>
    </row>
    <row r="464" spans="1:40" ht="20.25" customHeight="1" x14ac:dyDescent="0.25">
      <c r="C464" s="93"/>
      <c r="D464" s="93">
        <v>1</v>
      </c>
      <c r="E464" s="1247" t="s">
        <v>4332</v>
      </c>
      <c r="F464" s="1247"/>
      <c r="G464" s="1247"/>
      <c r="H464" s="1247"/>
      <c r="I464" s="1247"/>
      <c r="J464" s="1247"/>
      <c r="K464" s="93"/>
      <c r="L464" s="772"/>
      <c r="M464" s="93"/>
      <c r="N464" s="93"/>
      <c r="O464" s="93"/>
      <c r="P464" s="93"/>
      <c r="Q464" s="93"/>
      <c r="R464" s="93"/>
      <c r="S464" s="93"/>
      <c r="T464" s="93"/>
      <c r="U464" s="93"/>
      <c r="V464" s="93"/>
      <c r="W464" s="93"/>
      <c r="X464" s="93"/>
      <c r="Y464" s="2"/>
      <c r="Z464" s="2"/>
      <c r="AA464" s="2"/>
      <c r="AB464" s="2"/>
      <c r="AC464" s="2"/>
      <c r="AD464" s="2"/>
      <c r="AE464" s="2"/>
      <c r="AF464" s="2"/>
      <c r="AG464" s="2"/>
      <c r="AH464" s="2"/>
      <c r="AI464" s="2"/>
      <c r="AJ464" s="2"/>
      <c r="AK464" s="2"/>
      <c r="AL464" s="2"/>
      <c r="AM464" s="2"/>
      <c r="AN464" s="2"/>
    </row>
    <row r="465" spans="1:40" x14ac:dyDescent="0.25">
      <c r="C465" s="11"/>
      <c r="D465" s="11"/>
      <c r="E465" s="939">
        <v>2</v>
      </c>
      <c r="F465" s="1245" t="s">
        <v>3905</v>
      </c>
      <c r="G465" s="1245"/>
      <c r="H465" s="1245"/>
      <c r="I465" s="1245"/>
      <c r="J465" s="1245"/>
      <c r="K465" s="931"/>
      <c r="L465" s="932"/>
      <c r="M465" s="931"/>
      <c r="N465" s="931"/>
      <c r="O465" s="931"/>
      <c r="P465" s="931"/>
      <c r="Q465" s="931"/>
      <c r="R465" s="931"/>
      <c r="S465" s="931"/>
      <c r="T465" s="931"/>
      <c r="U465" s="931"/>
      <c r="V465" s="931"/>
      <c r="W465" s="931"/>
      <c r="X465" s="931"/>
      <c r="Y465" s="2"/>
      <c r="Z465" s="2"/>
      <c r="AA465" s="2"/>
      <c r="AB465" s="2"/>
      <c r="AC465" s="2"/>
      <c r="AD465" s="2"/>
      <c r="AE465" s="2"/>
      <c r="AF465" s="2"/>
      <c r="AG465" s="2"/>
      <c r="AH465" s="2"/>
      <c r="AI465" s="2"/>
      <c r="AJ465" s="2"/>
      <c r="AK465" s="2"/>
      <c r="AL465" s="2"/>
      <c r="AM465" s="2"/>
      <c r="AN465" s="2"/>
    </row>
    <row r="466" spans="1:40" ht="45" x14ac:dyDescent="0.25">
      <c r="C466" s="11"/>
      <c r="D466" s="11"/>
      <c r="E466" s="41"/>
      <c r="F466" s="11">
        <v>3</v>
      </c>
      <c r="G466" s="11"/>
      <c r="H466" s="11"/>
      <c r="I466" s="11"/>
      <c r="J466" s="6" t="s">
        <v>4333</v>
      </c>
      <c r="K466" s="6" t="s">
        <v>4334</v>
      </c>
      <c r="L466" s="8" t="s">
        <v>3600</v>
      </c>
      <c r="M466" s="11"/>
      <c r="N466" s="11"/>
      <c r="O466" s="11"/>
      <c r="P466" s="6" t="s">
        <v>4335</v>
      </c>
      <c r="Q466" s="11"/>
      <c r="R466" s="11"/>
      <c r="S466" s="11"/>
      <c r="T466" s="11"/>
      <c r="U466" s="11"/>
      <c r="V466" s="11"/>
      <c r="W466" s="11"/>
      <c r="X466" s="11"/>
      <c r="Y466" s="2"/>
      <c r="Z466" s="2"/>
      <c r="AA466" s="2"/>
      <c r="AB466" s="2"/>
      <c r="AC466" s="2"/>
      <c r="AD466" s="2"/>
      <c r="AE466" s="2"/>
      <c r="AF466" s="2"/>
      <c r="AG466" s="2"/>
      <c r="AH466" s="2"/>
      <c r="AI466" s="2"/>
      <c r="AJ466" s="2"/>
      <c r="AK466" s="2"/>
      <c r="AL466" s="2"/>
      <c r="AM466" s="2"/>
      <c r="AN466" s="2"/>
    </row>
    <row r="467" spans="1:40" ht="45" x14ac:dyDescent="0.25">
      <c r="C467" s="11"/>
      <c r="D467" s="11"/>
      <c r="E467" s="41"/>
      <c r="F467" s="11">
        <v>3</v>
      </c>
      <c r="G467" s="11"/>
      <c r="H467" s="11"/>
      <c r="I467" s="11"/>
      <c r="J467" s="6" t="s">
        <v>4336</v>
      </c>
      <c r="K467" s="6" t="s">
        <v>4337</v>
      </c>
      <c r="L467" s="8" t="s">
        <v>3605</v>
      </c>
      <c r="M467" s="11"/>
      <c r="N467" s="11"/>
      <c r="O467" s="11"/>
      <c r="P467" s="11"/>
      <c r="Q467" s="11"/>
      <c r="R467" s="11"/>
      <c r="S467" s="11"/>
      <c r="T467" s="11"/>
      <c r="U467" s="11"/>
      <c r="V467" s="11"/>
      <c r="W467" s="11"/>
      <c r="X467" s="11"/>
      <c r="Y467" s="2"/>
      <c r="Z467" s="2"/>
      <c r="AA467" s="2"/>
      <c r="AB467" s="2"/>
      <c r="AC467" s="2"/>
      <c r="AD467" s="2"/>
      <c r="AE467" s="2"/>
      <c r="AF467" s="2"/>
      <c r="AG467" s="2"/>
      <c r="AH467" s="2"/>
      <c r="AI467" s="2"/>
      <c r="AJ467" s="2"/>
      <c r="AK467" s="2"/>
      <c r="AL467" s="2"/>
      <c r="AM467" s="2"/>
      <c r="AN467" s="2"/>
    </row>
    <row r="468" spans="1:40" ht="30" x14ac:dyDescent="0.25">
      <c r="C468" s="11"/>
      <c r="D468" s="11"/>
      <c r="E468" s="41"/>
      <c r="F468" s="11">
        <v>3</v>
      </c>
      <c r="G468" s="11"/>
      <c r="H468" s="11"/>
      <c r="I468" s="11"/>
      <c r="J468" s="6" t="s">
        <v>4338</v>
      </c>
      <c r="K468" s="848" t="s">
        <v>4339</v>
      </c>
      <c r="L468" s="8" t="s">
        <v>3605</v>
      </c>
      <c r="M468" s="11"/>
      <c r="N468" s="11"/>
      <c r="O468" s="11"/>
      <c r="P468" s="11"/>
      <c r="Q468" s="11"/>
      <c r="R468" s="11"/>
      <c r="S468" s="11"/>
      <c r="T468" s="11"/>
      <c r="U468" s="11"/>
      <c r="V468" s="11"/>
      <c r="W468" s="11"/>
      <c r="X468" s="11"/>
      <c r="Y468" s="2"/>
      <c r="Z468" s="2"/>
      <c r="AA468" s="2"/>
      <c r="AB468" s="2"/>
      <c r="AC468" s="2"/>
      <c r="AD468" s="2"/>
      <c r="AE468" s="2"/>
      <c r="AF468" s="2"/>
      <c r="AG468" s="2"/>
      <c r="AH468" s="2"/>
      <c r="AI468" s="2"/>
      <c r="AJ468" s="2"/>
      <c r="AK468" s="2"/>
      <c r="AL468" s="2"/>
      <c r="AM468" s="2"/>
      <c r="AN468" s="2"/>
    </row>
    <row r="469" spans="1:40" ht="43.5" x14ac:dyDescent="0.25">
      <c r="C469" s="1"/>
      <c r="D469" s="1"/>
      <c r="E469" s="1"/>
      <c r="F469" s="1">
        <v>3</v>
      </c>
      <c r="G469" s="1"/>
      <c r="H469" s="1"/>
      <c r="I469" s="1"/>
      <c r="J469" s="1" t="s">
        <v>4340</v>
      </c>
      <c r="K469" s="6" t="s">
        <v>4341</v>
      </c>
      <c r="L469" s="8" t="s">
        <v>3605</v>
      </c>
      <c r="M469" s="1"/>
      <c r="N469" s="1"/>
      <c r="O469" s="1"/>
      <c r="P469" s="1"/>
      <c r="Q469" s="1"/>
      <c r="R469" s="1"/>
      <c r="S469" s="1"/>
      <c r="T469" s="1"/>
      <c r="U469" s="1"/>
      <c r="V469" s="1"/>
      <c r="W469" s="1"/>
      <c r="X469" s="1"/>
    </row>
    <row r="470" spans="1:40" ht="30" x14ac:dyDescent="0.25">
      <c r="C470" s="11"/>
      <c r="D470" s="11"/>
      <c r="E470" s="11"/>
      <c r="F470" s="11">
        <v>3</v>
      </c>
      <c r="G470" s="11"/>
      <c r="H470" s="11"/>
      <c r="I470" s="11"/>
      <c r="J470" s="833" t="s">
        <v>3712</v>
      </c>
      <c r="K470" s="110" t="s">
        <v>4342</v>
      </c>
      <c r="L470" s="8" t="s">
        <v>3605</v>
      </c>
      <c r="M470" s="11"/>
      <c r="N470" s="11"/>
      <c r="O470" s="11"/>
      <c r="P470" s="11"/>
      <c r="Q470" s="11"/>
      <c r="R470" s="11"/>
      <c r="S470" s="11"/>
      <c r="T470" s="11"/>
      <c r="U470" s="11"/>
      <c r="V470" s="11"/>
      <c r="W470" s="11"/>
      <c r="X470" s="11"/>
      <c r="Y470" s="2"/>
      <c r="Z470" s="2"/>
      <c r="AA470" s="2"/>
      <c r="AB470" s="2"/>
      <c r="AC470" s="2"/>
      <c r="AD470" s="2"/>
      <c r="AE470" s="2"/>
      <c r="AF470" s="2"/>
      <c r="AG470" s="2"/>
      <c r="AH470" s="2"/>
      <c r="AI470" s="2"/>
      <c r="AJ470" s="2"/>
      <c r="AK470" s="2"/>
      <c r="AL470" s="2"/>
      <c r="AM470" s="2"/>
      <c r="AN470" s="2"/>
    </row>
    <row r="471" spans="1:40" x14ac:dyDescent="0.25">
      <c r="A471" s="946"/>
      <c r="B471" s="946"/>
      <c r="C471" s="947"/>
      <c r="D471" s="947"/>
      <c r="E471" s="947"/>
      <c r="F471" s="948">
        <v>3</v>
      </c>
      <c r="G471" s="947"/>
      <c r="H471" s="947"/>
      <c r="I471" s="947"/>
      <c r="J471" s="949" t="s">
        <v>3634</v>
      </c>
      <c r="K471" s="949" t="s">
        <v>3635</v>
      </c>
      <c r="L471" s="157" t="s">
        <v>3605</v>
      </c>
      <c r="M471" s="947"/>
      <c r="N471" s="947"/>
      <c r="O471" s="947"/>
      <c r="P471" s="949"/>
      <c r="Q471" s="949"/>
      <c r="R471" s="947"/>
      <c r="S471" s="947"/>
      <c r="T471" s="947"/>
      <c r="U471" s="947"/>
      <c r="V471" s="947"/>
      <c r="W471" s="947"/>
      <c r="X471" s="947"/>
      <c r="Y471" s="196"/>
      <c r="Z471" s="196"/>
      <c r="AA471" s="196"/>
      <c r="AB471" s="196"/>
      <c r="AC471" s="196"/>
      <c r="AD471" s="196"/>
      <c r="AE471" s="196"/>
      <c r="AF471" s="196"/>
      <c r="AG471" s="196"/>
      <c r="AH471" s="196"/>
      <c r="AI471" s="196"/>
      <c r="AJ471" s="196"/>
      <c r="AK471" s="196"/>
      <c r="AL471" s="196"/>
      <c r="AM471" s="196"/>
      <c r="AN471" s="196"/>
    </row>
    <row r="472" spans="1:40" x14ac:dyDescent="0.25">
      <c r="C472" s="11"/>
      <c r="D472" s="11"/>
      <c r="E472" s="939">
        <v>2</v>
      </c>
      <c r="F472" s="1245" t="s">
        <v>3978</v>
      </c>
      <c r="G472" s="1245"/>
      <c r="H472" s="1245"/>
      <c r="I472" s="1245"/>
      <c r="J472" s="1245"/>
      <c r="K472" s="931"/>
      <c r="L472" s="932"/>
      <c r="M472" s="931"/>
      <c r="N472" s="931"/>
      <c r="O472" s="931"/>
      <c r="P472" s="931"/>
      <c r="Q472" s="931"/>
      <c r="R472" s="931"/>
      <c r="S472" s="931"/>
      <c r="T472" s="931"/>
      <c r="U472" s="931"/>
      <c r="V472" s="931"/>
      <c r="W472" s="931"/>
      <c r="X472" s="931"/>
      <c r="Y472" s="2"/>
      <c r="Z472" s="2"/>
      <c r="AA472" s="2"/>
      <c r="AB472" s="2"/>
      <c r="AC472" s="2"/>
      <c r="AD472" s="2"/>
      <c r="AE472" s="2"/>
      <c r="AF472" s="2"/>
      <c r="AG472" s="2"/>
      <c r="AH472" s="2"/>
      <c r="AI472" s="2"/>
      <c r="AJ472" s="2"/>
      <c r="AK472" s="2"/>
      <c r="AL472" s="2"/>
      <c r="AM472" s="2"/>
      <c r="AN472" s="2"/>
    </row>
    <row r="473" spans="1:40" ht="30" x14ac:dyDescent="0.25">
      <c r="C473" s="11"/>
      <c r="D473" s="11"/>
      <c r="E473" s="41"/>
      <c r="F473" s="11">
        <v>3</v>
      </c>
      <c r="G473" s="11"/>
      <c r="H473" s="11"/>
      <c r="I473" s="11"/>
      <c r="J473" s="10" t="s">
        <v>3785</v>
      </c>
      <c r="K473" s="6" t="s">
        <v>4343</v>
      </c>
      <c r="L473" s="8" t="s">
        <v>3792</v>
      </c>
      <c r="M473" s="11"/>
      <c r="N473" s="11"/>
      <c r="O473" s="11"/>
      <c r="P473" s="10" t="s">
        <v>4344</v>
      </c>
      <c r="Q473" s="11"/>
      <c r="R473" s="11"/>
      <c r="S473" s="11"/>
      <c r="T473" s="11"/>
      <c r="U473" s="11"/>
      <c r="V473" s="11"/>
      <c r="W473" s="11"/>
      <c r="X473" s="11"/>
      <c r="Y473" s="2"/>
      <c r="Z473" s="2"/>
      <c r="AA473" s="2"/>
      <c r="AB473" s="2"/>
      <c r="AC473" s="2"/>
      <c r="AD473" s="2"/>
      <c r="AE473" s="2"/>
      <c r="AF473" s="2"/>
      <c r="AG473" s="2"/>
      <c r="AH473" s="2"/>
      <c r="AI473" s="2"/>
      <c r="AJ473" s="2"/>
      <c r="AK473" s="2"/>
      <c r="AL473" s="2"/>
      <c r="AM473" s="2"/>
      <c r="AN473" s="2"/>
    </row>
    <row r="474" spans="1:40" ht="20.25" customHeight="1" x14ac:dyDescent="0.25">
      <c r="C474" s="93"/>
      <c r="D474" s="93">
        <v>1</v>
      </c>
      <c r="E474" s="1247" t="s">
        <v>4345</v>
      </c>
      <c r="F474" s="1247"/>
      <c r="G474" s="1247"/>
      <c r="H474" s="1247"/>
      <c r="I474" s="1247"/>
      <c r="J474" s="1247"/>
      <c r="K474" s="93"/>
      <c r="L474" s="772"/>
      <c r="M474" s="93"/>
      <c r="N474" s="93"/>
      <c r="O474" s="93"/>
      <c r="P474" s="93"/>
      <c r="Q474" s="93"/>
      <c r="R474" s="93"/>
      <c r="S474" s="93"/>
      <c r="T474" s="93"/>
      <c r="U474" s="93"/>
      <c r="V474" s="93"/>
      <c r="W474" s="93"/>
      <c r="X474" s="93"/>
      <c r="Y474" s="2"/>
      <c r="Z474" s="2"/>
      <c r="AA474" s="2"/>
      <c r="AB474" s="2"/>
      <c r="AC474" s="2"/>
      <c r="AD474" s="2"/>
      <c r="AE474" s="2"/>
      <c r="AF474" s="2"/>
      <c r="AG474" s="2"/>
      <c r="AH474" s="2"/>
      <c r="AI474" s="2"/>
      <c r="AJ474" s="2"/>
      <c r="AK474" s="2"/>
      <c r="AL474" s="2"/>
      <c r="AM474" s="2"/>
      <c r="AN474" s="2"/>
    </row>
    <row r="475" spans="1:40" x14ac:dyDescent="0.25">
      <c r="C475" s="11"/>
      <c r="D475" s="11"/>
      <c r="E475" s="939">
        <v>2</v>
      </c>
      <c r="F475" s="1245" t="s">
        <v>4346</v>
      </c>
      <c r="G475" s="1245"/>
      <c r="H475" s="1245"/>
      <c r="I475" s="1245"/>
      <c r="J475" s="1245"/>
      <c r="K475" s="931"/>
      <c r="L475" s="932"/>
      <c r="M475" s="931"/>
      <c r="N475" s="931"/>
      <c r="O475" s="931"/>
      <c r="P475" s="931"/>
      <c r="Q475" s="931"/>
      <c r="R475" s="931"/>
      <c r="S475" s="931"/>
      <c r="T475" s="931"/>
      <c r="U475" s="931"/>
      <c r="V475" s="931"/>
      <c r="W475" s="931"/>
      <c r="X475" s="931"/>
      <c r="Y475" s="2"/>
      <c r="Z475" s="2"/>
      <c r="AA475" s="2"/>
      <c r="AB475" s="2"/>
      <c r="AC475" s="2"/>
      <c r="AD475" s="2"/>
      <c r="AE475" s="2"/>
      <c r="AF475" s="2"/>
      <c r="AG475" s="2"/>
      <c r="AH475" s="2"/>
      <c r="AI475" s="2"/>
      <c r="AJ475" s="2"/>
      <c r="AK475" s="2"/>
      <c r="AL475" s="2"/>
      <c r="AM475" s="2"/>
      <c r="AN475" s="2"/>
    </row>
    <row r="476" spans="1:40" ht="43.5" x14ac:dyDescent="0.25">
      <c r="C476" s="11"/>
      <c r="D476" s="11"/>
      <c r="E476" s="41"/>
      <c r="F476" s="11">
        <v>3</v>
      </c>
      <c r="G476" s="11"/>
      <c r="H476" s="11"/>
      <c r="I476" s="11"/>
      <c r="J476" s="6" t="s">
        <v>4347</v>
      </c>
      <c r="K476" s="6" t="s">
        <v>4348</v>
      </c>
      <c r="L476" s="8" t="s">
        <v>3605</v>
      </c>
      <c r="M476" s="11"/>
      <c r="N476" s="11"/>
      <c r="O476" s="11"/>
      <c r="P476" s="6"/>
      <c r="Q476" s="11"/>
      <c r="R476" s="11"/>
      <c r="S476" s="11"/>
      <c r="T476" s="11"/>
      <c r="U476" s="11"/>
      <c r="V476" s="11"/>
      <c r="W476" s="11"/>
      <c r="X476" s="11"/>
      <c r="Y476" s="2"/>
      <c r="Z476" s="2"/>
      <c r="AA476" s="2"/>
      <c r="AB476" s="2"/>
      <c r="AC476" s="2"/>
      <c r="AD476" s="2"/>
      <c r="AE476" s="2"/>
      <c r="AF476" s="2"/>
      <c r="AG476" s="2"/>
      <c r="AH476" s="2"/>
      <c r="AI476" s="2"/>
      <c r="AJ476" s="2"/>
      <c r="AK476" s="2"/>
      <c r="AL476" s="2"/>
      <c r="AM476" s="2"/>
      <c r="AN476" s="2"/>
    </row>
    <row r="477" spans="1:40" ht="45" x14ac:dyDescent="0.25">
      <c r="C477" s="11"/>
      <c r="D477" s="11"/>
      <c r="E477" s="41"/>
      <c r="F477" s="11">
        <v>3</v>
      </c>
      <c r="G477" s="11"/>
      <c r="H477" s="11"/>
      <c r="I477" s="11"/>
      <c r="J477" s="10" t="s">
        <v>4349</v>
      </c>
      <c r="K477" s="6" t="s">
        <v>4350</v>
      </c>
      <c r="L477" s="8" t="s">
        <v>3605</v>
      </c>
      <c r="M477" s="11"/>
      <c r="N477" s="11"/>
      <c r="O477" s="11"/>
      <c r="P477" s="6"/>
      <c r="Q477" s="11"/>
      <c r="R477" s="11"/>
      <c r="S477" s="11"/>
      <c r="T477" s="11"/>
      <c r="U477" s="11"/>
      <c r="V477" s="11"/>
      <c r="W477" s="11"/>
      <c r="X477" s="11"/>
      <c r="Y477" s="2"/>
      <c r="Z477" s="2"/>
      <c r="AA477" s="2"/>
      <c r="AB477" s="2"/>
      <c r="AC477" s="2"/>
      <c r="AD477" s="2"/>
      <c r="AE477" s="2"/>
      <c r="AF477" s="2"/>
      <c r="AG477" s="2"/>
      <c r="AH477" s="2"/>
      <c r="AI477" s="2"/>
      <c r="AJ477" s="2"/>
      <c r="AK477" s="2"/>
      <c r="AL477" s="2"/>
      <c r="AM477" s="2"/>
      <c r="AN477" s="2"/>
    </row>
    <row r="478" spans="1:40" x14ac:dyDescent="0.25">
      <c r="C478" s="11"/>
      <c r="D478" s="11"/>
      <c r="E478" s="939">
        <v>2</v>
      </c>
      <c r="F478" s="1245" t="s">
        <v>4351</v>
      </c>
      <c r="G478" s="1245"/>
      <c r="H478" s="1245"/>
      <c r="I478" s="1245"/>
      <c r="J478" s="1245"/>
      <c r="K478" s="931"/>
      <c r="L478" s="932"/>
      <c r="M478" s="931"/>
      <c r="N478" s="931"/>
      <c r="O478" s="931"/>
      <c r="P478" s="931"/>
      <c r="Q478" s="931"/>
      <c r="R478" s="931"/>
      <c r="S478" s="931"/>
      <c r="T478" s="931"/>
      <c r="U478" s="931"/>
      <c r="V478" s="931"/>
      <c r="W478" s="931"/>
      <c r="X478" s="931"/>
      <c r="Y478" s="2"/>
      <c r="Z478" s="2"/>
      <c r="AA478" s="2"/>
      <c r="AB478" s="2"/>
      <c r="AC478" s="2"/>
      <c r="AD478" s="2"/>
      <c r="AE478" s="2"/>
      <c r="AF478" s="2"/>
      <c r="AG478" s="2"/>
      <c r="AH478" s="2"/>
      <c r="AI478" s="2"/>
      <c r="AJ478" s="2"/>
      <c r="AK478" s="2"/>
      <c r="AL478" s="2"/>
      <c r="AM478" s="2"/>
      <c r="AN478" s="2"/>
    </row>
    <row r="479" spans="1:40" ht="24.75" customHeight="1" x14ac:dyDescent="0.25">
      <c r="C479" s="11"/>
      <c r="D479" s="11"/>
      <c r="E479" s="41"/>
      <c r="F479" s="11">
        <v>3</v>
      </c>
      <c r="G479" s="11"/>
      <c r="H479" s="11"/>
      <c r="I479" s="11"/>
      <c r="J479" s="6" t="s">
        <v>4352</v>
      </c>
      <c r="K479" s="6" t="s">
        <v>4353</v>
      </c>
      <c r="L479" s="8" t="s">
        <v>3605</v>
      </c>
      <c r="M479" s="11"/>
      <c r="N479" s="11"/>
      <c r="O479" s="11"/>
      <c r="P479" s="6"/>
      <c r="Q479" s="11"/>
      <c r="R479" s="11"/>
      <c r="S479" s="11"/>
      <c r="T479" s="11"/>
      <c r="U479" s="11"/>
      <c r="V479" s="11"/>
      <c r="W479" s="11"/>
      <c r="X479" s="11"/>
      <c r="Y479" s="2"/>
      <c r="Z479" s="2"/>
      <c r="AA479" s="2"/>
      <c r="AB479" s="2"/>
      <c r="AC479" s="2"/>
      <c r="AD479" s="2"/>
      <c r="AE479" s="2"/>
      <c r="AF479" s="2"/>
      <c r="AG479" s="2"/>
      <c r="AH479" s="2"/>
      <c r="AI479" s="2"/>
      <c r="AJ479" s="2"/>
      <c r="AK479" s="2"/>
      <c r="AL479" s="2"/>
      <c r="AM479" s="2"/>
      <c r="AN479" s="2"/>
    </row>
    <row r="480" spans="1:40" ht="20.25" customHeight="1" x14ac:dyDescent="0.25">
      <c r="C480" s="93"/>
      <c r="D480" s="93">
        <v>1</v>
      </c>
      <c r="E480" s="1247" t="s">
        <v>4354</v>
      </c>
      <c r="F480" s="1247"/>
      <c r="G480" s="1247"/>
      <c r="H480" s="1247"/>
      <c r="I480" s="1247"/>
      <c r="J480" s="1247"/>
      <c r="K480" s="93"/>
      <c r="L480" s="772"/>
      <c r="M480" s="93"/>
      <c r="N480" s="936" t="str">
        <f>HYPERLINK("http://wiki.academyofsports.online/tiki-index.php?page=Stellenanzeige-aufgeben-(0166)", "Stellen")</f>
        <v>Stellen</v>
      </c>
      <c r="O480" s="93"/>
      <c r="P480" s="93"/>
      <c r="Q480" s="93"/>
      <c r="R480" s="93"/>
      <c r="S480" s="93"/>
      <c r="T480" s="93"/>
      <c r="U480" s="93"/>
      <c r="V480" s="93"/>
      <c r="W480" s="93"/>
      <c r="X480" s="93"/>
      <c r="Y480" s="2"/>
      <c r="Z480" s="2"/>
      <c r="AA480" s="2"/>
      <c r="AB480" s="2"/>
      <c r="AC480" s="2"/>
      <c r="AD480" s="2"/>
      <c r="AE480" s="2"/>
      <c r="AF480" s="2"/>
      <c r="AG480" s="2"/>
      <c r="AH480" s="2"/>
      <c r="AI480" s="2"/>
      <c r="AJ480" s="2"/>
      <c r="AK480" s="2"/>
      <c r="AL480" s="2"/>
      <c r="AM480" s="2"/>
      <c r="AN480" s="2"/>
    </row>
    <row r="481" spans="1:40" x14ac:dyDescent="0.25">
      <c r="C481" s="11"/>
      <c r="D481" s="11"/>
      <c r="E481" s="939">
        <v>2</v>
      </c>
      <c r="F481" s="1245" t="s">
        <v>3776</v>
      </c>
      <c r="G481" s="1245"/>
      <c r="H481" s="1245"/>
      <c r="I481" s="1245"/>
      <c r="J481" s="1245"/>
      <c r="K481" s="931"/>
      <c r="L481" s="932"/>
      <c r="M481" s="931"/>
      <c r="N481" s="931"/>
      <c r="O481" s="931"/>
      <c r="P481" s="931"/>
      <c r="Q481" s="931"/>
      <c r="R481" s="931"/>
      <c r="S481" s="931"/>
      <c r="T481" s="931"/>
      <c r="U481" s="931"/>
      <c r="V481" s="931"/>
      <c r="W481" s="931"/>
      <c r="X481" s="931"/>
      <c r="Y481" s="2"/>
      <c r="Z481" s="2"/>
      <c r="AA481" s="2"/>
      <c r="AB481" s="2"/>
      <c r="AC481" s="2"/>
      <c r="AD481" s="2"/>
      <c r="AE481" s="2"/>
      <c r="AF481" s="2"/>
      <c r="AG481" s="2"/>
      <c r="AH481" s="2"/>
      <c r="AI481" s="2"/>
      <c r="AJ481" s="2"/>
      <c r="AK481" s="2"/>
      <c r="AL481" s="2"/>
      <c r="AM481" s="2"/>
      <c r="AN481" s="2"/>
    </row>
    <row r="482" spans="1:40" ht="45" x14ac:dyDescent="0.25">
      <c r="C482" s="11"/>
      <c r="D482" s="11"/>
      <c r="E482" s="41"/>
      <c r="F482" s="11">
        <v>3</v>
      </c>
      <c r="G482" s="11"/>
      <c r="H482" s="11"/>
      <c r="I482" s="11"/>
      <c r="J482" s="10" t="s">
        <v>3929</v>
      </c>
      <c r="K482" s="6" t="s">
        <v>4355</v>
      </c>
      <c r="L482" s="8" t="s">
        <v>4356</v>
      </c>
      <c r="M482" s="11"/>
      <c r="N482" s="716" t="str">
        <f>HYPERLINK("https://synology.bildungscampus-backnang.de:50823/oo/r/m21ZBUIlJOhPQeSXtivPumnLVfdm5UiO", "Infosheet zur Stelle")</f>
        <v>Infosheet zur Stelle</v>
      </c>
      <c r="O482" s="11"/>
      <c r="P482" s="6" t="s">
        <v>4357</v>
      </c>
      <c r="Q482" s="10" t="s">
        <v>4358</v>
      </c>
      <c r="R482" s="11"/>
      <c r="S482" s="11"/>
      <c r="T482" s="11"/>
      <c r="U482" s="11"/>
      <c r="V482" s="11"/>
      <c r="W482" s="11"/>
      <c r="X482" s="11"/>
      <c r="Y482" s="2"/>
      <c r="Z482" s="2"/>
      <c r="AA482" s="2"/>
      <c r="AB482" s="2"/>
      <c r="AC482" s="2"/>
      <c r="AD482" s="2"/>
      <c r="AE482" s="2"/>
      <c r="AF482" s="2"/>
      <c r="AG482" s="2"/>
      <c r="AH482" s="2"/>
      <c r="AI482" s="2"/>
      <c r="AJ482" s="2"/>
      <c r="AK482" s="2"/>
      <c r="AL482" s="2"/>
      <c r="AM482" s="2"/>
      <c r="AN482" s="2"/>
    </row>
    <row r="483" spans="1:40" ht="30" x14ac:dyDescent="0.25">
      <c r="C483" s="11"/>
      <c r="D483" s="11"/>
      <c r="E483" s="41"/>
      <c r="F483" s="11">
        <v>3</v>
      </c>
      <c r="G483" s="11"/>
      <c r="H483" s="11"/>
      <c r="I483" s="11"/>
      <c r="J483" s="10" t="s">
        <v>3942</v>
      </c>
      <c r="K483" s="6" t="s">
        <v>4359</v>
      </c>
      <c r="L483" s="8" t="s">
        <v>4356</v>
      </c>
      <c r="M483" s="11"/>
      <c r="N483" s="11"/>
      <c r="O483" s="11"/>
      <c r="P483" s="6" t="s">
        <v>4360</v>
      </c>
      <c r="Q483" s="10" t="s">
        <v>4358</v>
      </c>
      <c r="R483" s="11"/>
      <c r="S483" s="11"/>
      <c r="T483" s="11"/>
      <c r="U483" s="11"/>
      <c r="V483" s="11"/>
      <c r="W483" s="11"/>
      <c r="X483" s="11"/>
      <c r="Y483" s="2"/>
      <c r="Z483" s="2"/>
      <c r="AA483" s="2"/>
      <c r="AB483" s="2"/>
      <c r="AC483" s="2"/>
      <c r="AD483" s="2"/>
      <c r="AE483" s="2"/>
      <c r="AF483" s="2"/>
      <c r="AG483" s="2"/>
      <c r="AH483" s="2"/>
      <c r="AI483" s="2"/>
      <c r="AJ483" s="2"/>
      <c r="AK483" s="2"/>
      <c r="AL483" s="2"/>
      <c r="AM483" s="2"/>
      <c r="AN483" s="2"/>
    </row>
    <row r="484" spans="1:40" ht="24.75" customHeight="1" x14ac:dyDescent="0.25">
      <c r="C484" s="11"/>
      <c r="D484" s="11"/>
      <c r="E484" s="41"/>
      <c r="F484" s="11">
        <v>3</v>
      </c>
      <c r="G484" s="11"/>
      <c r="H484" s="11"/>
      <c r="I484" s="11"/>
      <c r="J484" s="10" t="s">
        <v>4361</v>
      </c>
      <c r="K484" s="6" t="s">
        <v>4362</v>
      </c>
      <c r="L484" s="8" t="s">
        <v>3650</v>
      </c>
      <c r="M484" s="11"/>
      <c r="N484" s="11"/>
      <c r="O484" s="11"/>
      <c r="P484" s="6" t="s">
        <v>4363</v>
      </c>
      <c r="Q484" s="10"/>
      <c r="R484" s="11"/>
      <c r="S484" s="11"/>
      <c r="T484" s="11"/>
      <c r="U484" s="11"/>
      <c r="V484" s="11"/>
      <c r="W484" s="11"/>
      <c r="X484" s="11"/>
      <c r="Y484" s="2"/>
      <c r="Z484" s="2"/>
      <c r="AA484" s="2"/>
      <c r="AB484" s="2"/>
      <c r="AC484" s="2"/>
      <c r="AD484" s="2"/>
      <c r="AE484" s="2"/>
      <c r="AF484" s="2"/>
      <c r="AG484" s="2"/>
      <c r="AH484" s="2"/>
      <c r="AI484" s="2"/>
      <c r="AJ484" s="2"/>
      <c r="AK484" s="2"/>
      <c r="AL484" s="2"/>
      <c r="AM484" s="2"/>
      <c r="AN484" s="2"/>
    </row>
    <row r="485" spans="1:40" x14ac:dyDescent="0.25">
      <c r="C485" s="11"/>
      <c r="D485" s="11"/>
      <c r="E485" s="939">
        <v>2</v>
      </c>
      <c r="F485" s="1245" t="s">
        <v>4364</v>
      </c>
      <c r="G485" s="1245"/>
      <c r="H485" s="1245"/>
      <c r="I485" s="1245"/>
      <c r="J485" s="1245"/>
      <c r="K485" s="931"/>
      <c r="L485" s="932"/>
      <c r="M485" s="931"/>
      <c r="N485" s="931"/>
      <c r="O485" s="931"/>
      <c r="P485" s="931"/>
      <c r="Q485" s="931"/>
      <c r="R485" s="931"/>
      <c r="S485" s="931"/>
      <c r="T485" s="931"/>
      <c r="U485" s="931"/>
      <c r="V485" s="931"/>
      <c r="W485" s="931"/>
      <c r="X485" s="931"/>
      <c r="Y485" s="2"/>
      <c r="Z485" s="2"/>
      <c r="AA485" s="2"/>
      <c r="AB485" s="2"/>
      <c r="AC485" s="2"/>
      <c r="AD485" s="2"/>
      <c r="AE485" s="2"/>
      <c r="AF485" s="2"/>
      <c r="AG485" s="2"/>
      <c r="AH485" s="2"/>
      <c r="AI485" s="2"/>
      <c r="AJ485" s="2"/>
      <c r="AK485" s="2"/>
      <c r="AL485" s="2"/>
      <c r="AM485" s="2"/>
      <c r="AN485" s="2"/>
    </row>
    <row r="486" spans="1:40" ht="45" x14ac:dyDescent="0.25">
      <c r="C486" s="11"/>
      <c r="D486" s="11"/>
      <c r="E486" s="41"/>
      <c r="F486" s="11">
        <v>3</v>
      </c>
      <c r="G486" s="11"/>
      <c r="H486" s="11"/>
      <c r="I486" s="11"/>
      <c r="J486" s="10" t="s">
        <v>4144</v>
      </c>
      <c r="K486" s="6" t="s">
        <v>4365</v>
      </c>
      <c r="L486" s="8" t="s">
        <v>4366</v>
      </c>
      <c r="M486" s="11"/>
      <c r="N486" s="11"/>
      <c r="O486" s="11"/>
      <c r="P486" s="6" t="s">
        <v>4367</v>
      </c>
      <c r="Q486" s="10" t="s">
        <v>4368</v>
      </c>
      <c r="R486" s="11"/>
      <c r="S486" s="11"/>
      <c r="T486" s="11"/>
      <c r="U486" s="11"/>
      <c r="V486" s="11"/>
      <c r="W486" s="11"/>
      <c r="X486" s="11"/>
      <c r="Y486" s="2"/>
      <c r="Z486" s="2"/>
      <c r="AA486" s="2"/>
      <c r="AB486" s="2"/>
      <c r="AC486" s="2"/>
      <c r="AD486" s="2"/>
      <c r="AE486" s="2"/>
      <c r="AF486" s="2"/>
      <c r="AG486" s="2"/>
      <c r="AH486" s="2"/>
      <c r="AI486" s="2"/>
      <c r="AJ486" s="2"/>
      <c r="AK486" s="2"/>
      <c r="AL486" s="2"/>
      <c r="AM486" s="2"/>
      <c r="AN486" s="2"/>
    </row>
    <row r="487" spans="1:40" ht="24.75" customHeight="1" x14ac:dyDescent="0.25">
      <c r="C487" s="11"/>
      <c r="D487" s="11"/>
      <c r="E487" s="41"/>
      <c r="F487" s="11">
        <v>3</v>
      </c>
      <c r="G487" s="11"/>
      <c r="H487" s="11"/>
      <c r="I487" s="11"/>
      <c r="J487" s="10" t="s">
        <v>4135</v>
      </c>
      <c r="K487" s="6" t="s">
        <v>4369</v>
      </c>
      <c r="L487" s="8" t="s">
        <v>3953</v>
      </c>
      <c r="M487" s="11"/>
      <c r="N487" s="716"/>
      <c r="O487" s="11"/>
      <c r="P487" s="6" t="s">
        <v>4370</v>
      </c>
      <c r="Q487" s="10"/>
      <c r="R487" s="11"/>
      <c r="S487" s="11"/>
      <c r="T487" s="11"/>
      <c r="U487" s="11"/>
      <c r="V487" s="11"/>
      <c r="W487" s="11"/>
      <c r="X487" s="11"/>
      <c r="Y487" s="2"/>
      <c r="Z487" s="2"/>
      <c r="AA487" s="2"/>
      <c r="AB487" s="2"/>
      <c r="AC487" s="2"/>
      <c r="AD487" s="2"/>
      <c r="AE487" s="2"/>
      <c r="AF487" s="2"/>
      <c r="AG487" s="2"/>
      <c r="AH487" s="2"/>
      <c r="AI487" s="2"/>
      <c r="AJ487" s="2"/>
      <c r="AK487" s="2"/>
      <c r="AL487" s="2"/>
      <c r="AM487" s="2"/>
      <c r="AN487" s="2"/>
    </row>
    <row r="488" spans="1:40" x14ac:dyDescent="0.25">
      <c r="C488" s="11"/>
      <c r="D488" s="11"/>
      <c r="E488" s="939">
        <v>2</v>
      </c>
      <c r="F488" s="1245" t="s">
        <v>3717</v>
      </c>
      <c r="G488" s="1245"/>
      <c r="H488" s="1245"/>
      <c r="I488" s="1245"/>
      <c r="J488" s="1245"/>
      <c r="K488" s="931"/>
      <c r="L488" s="932"/>
      <c r="M488" s="931"/>
      <c r="N488" s="931"/>
      <c r="O488" s="931"/>
      <c r="P488" s="931"/>
      <c r="Q488" s="931"/>
      <c r="R488" s="931"/>
      <c r="S488" s="931"/>
      <c r="T488" s="931"/>
      <c r="U488" s="931"/>
      <c r="V488" s="931"/>
      <c r="W488" s="931"/>
      <c r="X488" s="931"/>
      <c r="Y488" s="2"/>
      <c r="Z488" s="2"/>
      <c r="AA488" s="2"/>
      <c r="AB488" s="2"/>
      <c r="AC488" s="2"/>
      <c r="AD488" s="2"/>
      <c r="AE488" s="2"/>
      <c r="AF488" s="2"/>
      <c r="AG488" s="2"/>
      <c r="AH488" s="2"/>
      <c r="AI488" s="2"/>
      <c r="AJ488" s="2"/>
      <c r="AK488" s="2"/>
      <c r="AL488" s="2"/>
      <c r="AM488" s="2"/>
      <c r="AN488" s="2"/>
    </row>
    <row r="489" spans="1:40" ht="45" x14ac:dyDescent="0.25">
      <c r="C489" s="11"/>
      <c r="D489" s="11"/>
      <c r="E489" s="41"/>
      <c r="F489" s="11">
        <v>3</v>
      </c>
      <c r="G489" s="11"/>
      <c r="H489" s="11"/>
      <c r="I489" s="11"/>
      <c r="J489" s="6" t="s">
        <v>4371</v>
      </c>
      <c r="K489" s="6" t="s">
        <v>4372</v>
      </c>
      <c r="L489" s="8" t="s">
        <v>3720</v>
      </c>
      <c r="M489" s="11"/>
      <c r="N489" s="11"/>
      <c r="O489" s="11"/>
      <c r="P489" s="6"/>
      <c r="Q489" s="10"/>
      <c r="R489" s="11"/>
      <c r="S489" s="11"/>
      <c r="T489" s="11"/>
      <c r="U489" s="11"/>
      <c r="V489" s="11"/>
      <c r="W489" s="11"/>
      <c r="X489" s="11"/>
      <c r="Y489" s="2"/>
      <c r="Z489" s="2"/>
      <c r="AA489" s="2"/>
      <c r="AB489" s="2"/>
      <c r="AC489" s="2"/>
      <c r="AD489" s="2"/>
      <c r="AE489" s="2"/>
      <c r="AF489" s="2"/>
      <c r="AG489" s="2"/>
      <c r="AH489" s="2"/>
      <c r="AI489" s="2"/>
      <c r="AJ489" s="2"/>
      <c r="AK489" s="2"/>
      <c r="AL489" s="2"/>
      <c r="AM489" s="2"/>
      <c r="AN489" s="2"/>
    </row>
    <row r="490" spans="1:40" x14ac:dyDescent="0.25">
      <c r="A490" s="48"/>
      <c r="B490" s="48"/>
      <c r="C490" s="136"/>
      <c r="D490" s="136"/>
      <c r="E490" s="316">
        <v>2</v>
      </c>
      <c r="F490" s="1262" t="s">
        <v>2992</v>
      </c>
      <c r="G490" s="1264"/>
      <c r="H490" s="1264"/>
      <c r="I490" s="1264"/>
      <c r="J490" s="1264"/>
      <c r="K490" s="317"/>
      <c r="L490" s="318"/>
      <c r="M490" s="317"/>
      <c r="N490" s="317"/>
      <c r="O490" s="317"/>
      <c r="P490" s="317"/>
      <c r="Q490" s="317"/>
      <c r="R490" s="317"/>
      <c r="S490" s="317"/>
      <c r="T490" s="317"/>
      <c r="U490" s="317"/>
      <c r="V490" s="317"/>
      <c r="W490" s="317"/>
      <c r="X490" s="317"/>
      <c r="Y490" s="2"/>
      <c r="Z490" s="2"/>
      <c r="AA490" s="2"/>
      <c r="AB490" s="2"/>
      <c r="AC490" s="2"/>
      <c r="AD490" s="2"/>
      <c r="AE490" s="2"/>
      <c r="AF490" s="2"/>
      <c r="AG490" s="2"/>
      <c r="AH490" s="2"/>
      <c r="AI490" s="2"/>
      <c r="AJ490" s="2"/>
      <c r="AK490" s="2"/>
      <c r="AL490" s="2"/>
      <c r="AM490" s="2"/>
      <c r="AN490" s="2"/>
    </row>
    <row r="491" spans="1:40" x14ac:dyDescent="0.25">
      <c r="A491" s="48"/>
      <c r="B491" s="48"/>
      <c r="C491" s="136"/>
      <c r="D491" s="136"/>
      <c r="E491" s="136"/>
      <c r="F491" s="233">
        <v>3</v>
      </c>
      <c r="G491" s="233"/>
      <c r="H491" s="233"/>
      <c r="I491" s="233"/>
      <c r="J491" s="615" t="s">
        <v>2992</v>
      </c>
      <c r="K491" s="290"/>
      <c r="L491" s="8" t="s">
        <v>945</v>
      </c>
      <c r="M491" s="11"/>
      <c r="N491" s="11"/>
      <c r="O491" s="11"/>
      <c r="P491" s="6" t="s">
        <v>4373</v>
      </c>
      <c r="Q491" s="322"/>
      <c r="R491" s="136"/>
      <c r="S491" s="136"/>
      <c r="T491" s="136"/>
      <c r="U491" s="136"/>
      <c r="V491" s="136"/>
      <c r="W491" s="136"/>
      <c r="X491" s="136"/>
      <c r="Y491" s="2"/>
      <c r="Z491" s="2"/>
      <c r="AA491" s="2"/>
      <c r="AB491" s="2"/>
      <c r="AC491" s="2"/>
      <c r="AD491" s="2"/>
      <c r="AE491" s="2"/>
      <c r="AF491" s="2"/>
      <c r="AG491" s="2"/>
      <c r="AH491" s="2"/>
      <c r="AI491" s="2"/>
      <c r="AJ491" s="2"/>
      <c r="AK491" s="2"/>
      <c r="AL491" s="2"/>
      <c r="AM491" s="2"/>
      <c r="AN491" s="2"/>
    </row>
    <row r="492" spans="1:40" ht="30" x14ac:dyDescent="0.25">
      <c r="A492" s="48"/>
      <c r="B492" s="48"/>
      <c r="C492" s="136"/>
      <c r="D492" s="136"/>
      <c r="E492" s="136"/>
      <c r="F492" s="40"/>
      <c r="G492" s="51">
        <v>4</v>
      </c>
      <c r="H492" s="40"/>
      <c r="I492" s="40"/>
      <c r="J492" s="51" t="s">
        <v>45</v>
      </c>
      <c r="K492" s="6" t="s">
        <v>4374</v>
      </c>
      <c r="L492" s="8" t="s">
        <v>945</v>
      </c>
      <c r="M492" s="11"/>
      <c r="N492" s="11"/>
      <c r="O492" s="11"/>
      <c r="P492" s="6"/>
      <c r="Q492" s="322"/>
      <c r="R492" s="136"/>
      <c r="S492" s="136"/>
      <c r="T492" s="136"/>
      <c r="U492" s="136"/>
      <c r="V492" s="136"/>
      <c r="W492" s="136"/>
      <c r="X492" s="136"/>
      <c r="Y492" s="2"/>
      <c r="Z492" s="2"/>
      <c r="AA492" s="2"/>
      <c r="AB492" s="2"/>
      <c r="AC492" s="2"/>
      <c r="AD492" s="2"/>
      <c r="AE492" s="2"/>
      <c r="AF492" s="2"/>
      <c r="AG492" s="2"/>
      <c r="AH492" s="2"/>
      <c r="AI492" s="2"/>
      <c r="AJ492" s="2"/>
      <c r="AK492" s="2"/>
      <c r="AL492" s="2"/>
      <c r="AM492" s="2"/>
      <c r="AN492" s="2"/>
    </row>
    <row r="493" spans="1:40" x14ac:dyDescent="0.25">
      <c r="A493" s="48"/>
      <c r="B493" s="48"/>
      <c r="C493" s="136"/>
      <c r="D493" s="136"/>
      <c r="E493" s="136"/>
      <c r="F493" s="40"/>
      <c r="G493" s="51">
        <v>4</v>
      </c>
      <c r="H493" s="40"/>
      <c r="I493" s="40"/>
      <c r="J493" s="6" t="s">
        <v>3852</v>
      </c>
      <c r="K493" s="6" t="s">
        <v>4375</v>
      </c>
      <c r="L493" s="8" t="s">
        <v>945</v>
      </c>
      <c r="M493" s="11"/>
      <c r="N493" s="11"/>
      <c r="O493" s="11"/>
      <c r="P493" s="6"/>
      <c r="Q493" s="322"/>
      <c r="R493" s="136"/>
      <c r="S493" s="136"/>
      <c r="T493" s="136"/>
      <c r="U493" s="136"/>
      <c r="V493" s="136"/>
      <c r="W493" s="136"/>
      <c r="X493" s="136"/>
      <c r="Y493" s="2"/>
      <c r="Z493" s="2"/>
      <c r="AA493" s="2"/>
      <c r="AB493" s="2"/>
      <c r="AC493" s="2"/>
      <c r="AD493" s="2"/>
      <c r="AE493" s="2"/>
      <c r="AF493" s="2"/>
      <c r="AG493" s="2"/>
      <c r="AH493" s="2"/>
      <c r="AI493" s="2"/>
      <c r="AJ493" s="2"/>
      <c r="AK493" s="2"/>
      <c r="AL493" s="2"/>
      <c r="AM493" s="2"/>
      <c r="AN493" s="2"/>
    </row>
    <row r="494" spans="1:40" ht="20.25" customHeight="1" x14ac:dyDescent="0.25">
      <c r="C494" s="93"/>
      <c r="D494" s="93">
        <v>1</v>
      </c>
      <c r="E494" s="1247" t="s">
        <v>4376</v>
      </c>
      <c r="F494" s="1247"/>
      <c r="G494" s="1247"/>
      <c r="H494" s="1247"/>
      <c r="I494" s="1247"/>
      <c r="J494" s="1247"/>
      <c r="K494" s="93"/>
      <c r="L494" s="772"/>
      <c r="M494" s="93"/>
      <c r="N494" s="93"/>
      <c r="O494" s="93"/>
      <c r="P494" s="93"/>
      <c r="Q494" s="93"/>
      <c r="R494" s="93"/>
      <c r="S494" s="93"/>
      <c r="T494" s="93"/>
      <c r="U494" s="93"/>
      <c r="V494" s="93"/>
      <c r="W494" s="93"/>
      <c r="X494" s="93"/>
      <c r="Y494" s="2"/>
      <c r="Z494" s="2"/>
      <c r="AA494" s="2"/>
      <c r="AB494" s="2"/>
      <c r="AC494" s="2"/>
      <c r="AD494" s="2"/>
      <c r="AE494" s="2"/>
      <c r="AF494" s="2"/>
      <c r="AG494" s="2"/>
      <c r="AH494" s="2"/>
      <c r="AI494" s="2"/>
      <c r="AJ494" s="2"/>
      <c r="AK494" s="2"/>
      <c r="AL494" s="2"/>
      <c r="AM494" s="2"/>
      <c r="AN494" s="2"/>
    </row>
    <row r="495" spans="1:40" x14ac:dyDescent="0.25">
      <c r="C495" s="11"/>
      <c r="D495" s="11"/>
      <c r="E495" s="939">
        <v>2</v>
      </c>
      <c r="F495" s="1245" t="s">
        <v>4377</v>
      </c>
      <c r="G495" s="1245"/>
      <c r="H495" s="1245"/>
      <c r="I495" s="1245"/>
      <c r="J495" s="1245"/>
      <c r="K495" s="931"/>
      <c r="L495" s="932"/>
      <c r="M495" s="931"/>
      <c r="N495" s="931"/>
      <c r="O495" s="931"/>
      <c r="P495" s="931"/>
      <c r="Q495" s="931"/>
      <c r="R495" s="931"/>
      <c r="S495" s="931"/>
      <c r="T495" s="931"/>
      <c r="U495" s="931"/>
      <c r="V495" s="931"/>
      <c r="W495" s="931"/>
      <c r="X495" s="931"/>
      <c r="Y495" s="2"/>
      <c r="Z495" s="2"/>
      <c r="AA495" s="2"/>
      <c r="AB495" s="2"/>
      <c r="AC495" s="2"/>
      <c r="AD495" s="2"/>
      <c r="AE495" s="2"/>
      <c r="AF495" s="2"/>
      <c r="AG495" s="2"/>
      <c r="AH495" s="2"/>
      <c r="AI495" s="2"/>
      <c r="AJ495" s="2"/>
      <c r="AK495" s="2"/>
      <c r="AL495" s="2"/>
      <c r="AM495" s="2"/>
      <c r="AN495" s="2"/>
    </row>
    <row r="496" spans="1:40" ht="30" x14ac:dyDescent="0.25">
      <c r="C496" s="11"/>
      <c r="D496" s="11"/>
      <c r="E496" s="41"/>
      <c r="F496" s="11">
        <v>3</v>
      </c>
      <c r="G496" s="11"/>
      <c r="H496" s="11"/>
      <c r="I496" s="11"/>
      <c r="J496" s="6" t="s">
        <v>4378</v>
      </c>
      <c r="K496" s="6" t="s">
        <v>4379</v>
      </c>
      <c r="L496" s="8" t="s">
        <v>969</v>
      </c>
      <c r="M496" s="11"/>
      <c r="N496" s="11"/>
      <c r="O496" s="11"/>
      <c r="P496" s="11"/>
      <c r="Q496" s="11"/>
      <c r="R496" s="11"/>
      <c r="S496" s="11"/>
      <c r="T496" s="11"/>
      <c r="U496" s="11"/>
      <c r="V496" s="11"/>
      <c r="W496" s="11"/>
      <c r="X496" s="11"/>
      <c r="Y496" s="2"/>
      <c r="Z496" s="2"/>
      <c r="AA496" s="2"/>
      <c r="AB496" s="2"/>
      <c r="AC496" s="2"/>
      <c r="AD496" s="2"/>
      <c r="AE496" s="2"/>
      <c r="AF496" s="2"/>
      <c r="AG496" s="2"/>
      <c r="AH496" s="2"/>
      <c r="AI496" s="2"/>
      <c r="AJ496" s="2"/>
      <c r="AK496" s="2"/>
      <c r="AL496" s="2"/>
      <c r="AM496" s="2"/>
      <c r="AN496" s="2"/>
    </row>
    <row r="497" spans="3:40" ht="30" x14ac:dyDescent="0.25">
      <c r="C497" s="11"/>
      <c r="D497" s="11"/>
      <c r="E497" s="41"/>
      <c r="F497" s="11">
        <v>3</v>
      </c>
      <c r="G497" s="11"/>
      <c r="H497" s="11"/>
      <c r="I497" s="11"/>
      <c r="J497" s="6" t="s">
        <v>4380</v>
      </c>
      <c r="K497" s="6" t="s">
        <v>4381</v>
      </c>
      <c r="L497" s="8" t="s">
        <v>3720</v>
      </c>
      <c r="M497" s="11"/>
      <c r="N497" s="11"/>
      <c r="O497" s="11"/>
      <c r="P497" s="10" t="s">
        <v>4382</v>
      </c>
      <c r="Q497" s="11"/>
      <c r="R497" s="11"/>
      <c r="S497" s="11"/>
      <c r="T497" s="11"/>
      <c r="U497" s="11"/>
      <c r="V497" s="11"/>
      <c r="W497" s="11"/>
      <c r="X497" s="11"/>
      <c r="Y497" s="2"/>
      <c r="Z497" s="2"/>
      <c r="AA497" s="2"/>
      <c r="AB497" s="2"/>
      <c r="AC497" s="2"/>
      <c r="AD497" s="2"/>
      <c r="AE497" s="2"/>
      <c r="AF497" s="2"/>
      <c r="AG497" s="2"/>
      <c r="AH497" s="2"/>
      <c r="AI497" s="2"/>
      <c r="AJ497" s="2"/>
      <c r="AK497" s="2"/>
      <c r="AL497" s="2"/>
      <c r="AM497" s="2"/>
      <c r="AN497" s="2"/>
    </row>
    <row r="498" spans="3:40" x14ac:dyDescent="0.25">
      <c r="C498" s="11"/>
      <c r="D498" s="11"/>
      <c r="E498" s="939">
        <v>2</v>
      </c>
      <c r="F498" s="1245" t="s">
        <v>4383</v>
      </c>
      <c r="G498" s="1245"/>
      <c r="H498" s="1245"/>
      <c r="I498" s="1245"/>
      <c r="J498" s="1245"/>
      <c r="K498" s="931"/>
      <c r="L498" s="932"/>
      <c r="M498" s="931"/>
      <c r="N498" s="931"/>
      <c r="O498" s="931"/>
      <c r="P498" s="931"/>
      <c r="Q498" s="931"/>
      <c r="R498" s="931"/>
      <c r="S498" s="931"/>
      <c r="T498" s="931"/>
      <c r="U498" s="931"/>
      <c r="V498" s="931"/>
      <c r="W498" s="931"/>
      <c r="X498" s="931"/>
      <c r="Y498" s="2"/>
      <c r="Z498" s="2"/>
      <c r="AA498" s="2"/>
      <c r="AB498" s="2"/>
      <c r="AC498" s="2"/>
      <c r="AD498" s="2"/>
      <c r="AE498" s="2"/>
      <c r="AF498" s="2"/>
      <c r="AG498" s="2"/>
      <c r="AH498" s="2"/>
      <c r="AI498" s="2"/>
      <c r="AJ498" s="2"/>
      <c r="AK498" s="2"/>
      <c r="AL498" s="2"/>
      <c r="AM498" s="2"/>
      <c r="AN498" s="2"/>
    </row>
    <row r="499" spans="3:40" ht="75" x14ac:dyDescent="0.25">
      <c r="C499" s="11"/>
      <c r="D499" s="11"/>
      <c r="E499" s="41"/>
      <c r="F499" s="11">
        <v>3</v>
      </c>
      <c r="G499" s="11"/>
      <c r="H499" s="11"/>
      <c r="I499" s="11"/>
      <c r="J499" s="6" t="s">
        <v>4384</v>
      </c>
      <c r="K499" s="6" t="s">
        <v>4385</v>
      </c>
      <c r="L499" s="8" t="s">
        <v>4386</v>
      </c>
      <c r="M499" s="11"/>
      <c r="N499" s="11"/>
      <c r="O499" s="11"/>
      <c r="P499" s="6" t="s">
        <v>4387</v>
      </c>
      <c r="Q499" s="6" t="s">
        <v>4388</v>
      </c>
      <c r="R499" s="11"/>
      <c r="S499" s="11"/>
      <c r="T499" s="11"/>
      <c r="U499" s="11"/>
      <c r="V499" s="11"/>
      <c r="W499" s="11"/>
      <c r="X499" s="11"/>
      <c r="Y499" s="2"/>
      <c r="Z499" s="2"/>
      <c r="AA499" s="2"/>
      <c r="AB499" s="2"/>
      <c r="AC499" s="2"/>
      <c r="AD499" s="2"/>
      <c r="AE499" s="2"/>
      <c r="AF499" s="2"/>
      <c r="AG499" s="2"/>
      <c r="AH499" s="2"/>
      <c r="AI499" s="2"/>
      <c r="AJ499" s="2"/>
      <c r="AK499" s="2"/>
      <c r="AL499" s="2"/>
      <c r="AM499" s="2"/>
      <c r="AN499" s="2"/>
    </row>
    <row r="500" spans="3:40" ht="75" x14ac:dyDescent="0.25">
      <c r="C500" s="11"/>
      <c r="D500" s="11"/>
      <c r="E500" s="41"/>
      <c r="F500" s="11">
        <v>3</v>
      </c>
      <c r="G500" s="11"/>
      <c r="H500" s="11"/>
      <c r="I500" s="11"/>
      <c r="J500" s="6" t="s">
        <v>4389</v>
      </c>
      <c r="K500" s="6" t="s">
        <v>4390</v>
      </c>
      <c r="L500" s="8" t="s">
        <v>4386</v>
      </c>
      <c r="M500" s="11"/>
      <c r="N500" s="11"/>
      <c r="O500" s="11"/>
      <c r="P500" s="10" t="s">
        <v>4391</v>
      </c>
      <c r="Q500" s="6" t="s">
        <v>4388</v>
      </c>
      <c r="R500" s="11"/>
      <c r="S500" s="11"/>
      <c r="T500" s="11"/>
      <c r="U500" s="11"/>
      <c r="V500" s="11"/>
      <c r="W500" s="11"/>
      <c r="X500" s="11"/>
      <c r="Y500" s="2"/>
      <c r="Z500" s="2"/>
      <c r="AA500" s="2"/>
      <c r="AB500" s="2"/>
      <c r="AC500" s="2"/>
      <c r="AD500" s="2"/>
      <c r="AE500" s="2"/>
      <c r="AF500" s="2"/>
      <c r="AG500" s="2"/>
      <c r="AH500" s="2"/>
      <c r="AI500" s="2"/>
      <c r="AJ500" s="2"/>
      <c r="AK500" s="2"/>
      <c r="AL500" s="2"/>
      <c r="AM500" s="2"/>
      <c r="AN500" s="2"/>
    </row>
    <row r="501" spans="3:40" x14ac:dyDescent="0.25">
      <c r="C501" s="11"/>
      <c r="D501" s="11"/>
      <c r="E501" s="41"/>
      <c r="F501" s="11">
        <v>3</v>
      </c>
      <c r="G501" s="11"/>
      <c r="H501" s="11"/>
      <c r="I501" s="11"/>
      <c r="J501" s="10" t="s">
        <v>4392</v>
      </c>
      <c r="K501" s="6" t="s">
        <v>4393</v>
      </c>
      <c r="L501" s="8" t="s">
        <v>3605</v>
      </c>
      <c r="M501" s="11"/>
      <c r="N501" s="11"/>
      <c r="O501" s="11"/>
      <c r="P501" s="11"/>
      <c r="Q501" s="11"/>
      <c r="R501" s="11"/>
      <c r="S501" s="11"/>
      <c r="T501" s="11"/>
      <c r="U501" s="11"/>
      <c r="V501" s="11"/>
      <c r="W501" s="11"/>
      <c r="X501" s="11"/>
      <c r="Y501" s="2"/>
      <c r="Z501" s="2"/>
      <c r="AA501" s="2"/>
      <c r="AB501" s="2"/>
      <c r="AC501" s="2"/>
      <c r="AD501" s="2"/>
      <c r="AE501" s="2"/>
      <c r="AF501" s="2"/>
      <c r="AG501" s="2"/>
      <c r="AH501" s="2"/>
      <c r="AI501" s="2"/>
      <c r="AJ501" s="2"/>
      <c r="AK501" s="2"/>
      <c r="AL501" s="2"/>
      <c r="AM501" s="2"/>
      <c r="AN501" s="2"/>
    </row>
    <row r="502" spans="3:40" x14ac:dyDescent="0.25">
      <c r="C502" s="11"/>
      <c r="D502" s="11"/>
      <c r="E502" s="939">
        <v>2</v>
      </c>
      <c r="F502" s="1245" t="s">
        <v>4394</v>
      </c>
      <c r="G502" s="1245"/>
      <c r="H502" s="1245"/>
      <c r="I502" s="1245"/>
      <c r="J502" s="1245"/>
      <c r="K502" s="931"/>
      <c r="L502" s="932"/>
      <c r="M502" s="931"/>
      <c r="N502" s="931"/>
      <c r="O502" s="931"/>
      <c r="P502" s="931"/>
      <c r="Q502" s="931"/>
      <c r="R502" s="931"/>
      <c r="S502" s="931"/>
      <c r="T502" s="931"/>
      <c r="U502" s="931"/>
      <c r="V502" s="931"/>
      <c r="W502" s="931"/>
      <c r="X502" s="931"/>
      <c r="Y502" s="2"/>
      <c r="Z502" s="2"/>
      <c r="AA502" s="2"/>
      <c r="AB502" s="2"/>
      <c r="AC502" s="2"/>
      <c r="AD502" s="2"/>
      <c r="AE502" s="2"/>
      <c r="AF502" s="2"/>
      <c r="AG502" s="2"/>
      <c r="AH502" s="2"/>
      <c r="AI502" s="2"/>
      <c r="AJ502" s="2"/>
      <c r="AK502" s="2"/>
      <c r="AL502" s="2"/>
      <c r="AM502" s="2"/>
      <c r="AN502" s="2"/>
    </row>
    <row r="503" spans="3:40" x14ac:dyDescent="0.25">
      <c r="C503" s="11"/>
      <c r="D503" s="11"/>
      <c r="E503" s="41"/>
      <c r="F503" s="11">
        <v>3</v>
      </c>
      <c r="G503" s="11"/>
      <c r="H503" s="11"/>
      <c r="I503" s="11"/>
      <c r="J503" s="11" t="s">
        <v>4395</v>
      </c>
      <c r="K503" s="6"/>
      <c r="L503" s="8"/>
      <c r="M503" s="11"/>
      <c r="N503" s="11"/>
      <c r="O503" s="11"/>
      <c r="P503" s="6"/>
      <c r="Q503" s="6"/>
      <c r="R503" s="11"/>
      <c r="S503" s="11"/>
      <c r="T503" s="11"/>
      <c r="U503" s="11"/>
      <c r="V503" s="11"/>
      <c r="W503" s="11"/>
      <c r="X503" s="11"/>
      <c r="Y503" s="2"/>
      <c r="Z503" s="2"/>
      <c r="AA503" s="2"/>
      <c r="AB503" s="2"/>
      <c r="AC503" s="2"/>
      <c r="AD503" s="2"/>
      <c r="AE503" s="2"/>
      <c r="AF503" s="2"/>
      <c r="AG503" s="2"/>
      <c r="AH503" s="2"/>
      <c r="AI503" s="2"/>
      <c r="AJ503" s="2"/>
      <c r="AK503" s="2"/>
      <c r="AL503" s="2"/>
      <c r="AM503" s="2"/>
      <c r="AN503" s="2"/>
    </row>
    <row r="504" spans="3:40" ht="60" x14ac:dyDescent="0.25">
      <c r="C504" s="11"/>
      <c r="D504" s="11"/>
      <c r="E504" s="41"/>
      <c r="F504" s="11"/>
      <c r="G504" s="10">
        <v>4</v>
      </c>
      <c r="H504" s="11"/>
      <c r="I504" s="11"/>
      <c r="J504" s="10" t="s">
        <v>3717</v>
      </c>
      <c r="K504" s="6" t="s">
        <v>4396</v>
      </c>
      <c r="L504" s="8" t="s">
        <v>4397</v>
      </c>
      <c r="M504" s="11"/>
      <c r="N504" s="11"/>
      <c r="O504" s="11"/>
      <c r="P504" s="6" t="s">
        <v>4398</v>
      </c>
      <c r="Q504" s="6" t="s">
        <v>4399</v>
      </c>
      <c r="R504" s="11"/>
      <c r="S504" s="11"/>
      <c r="T504" s="11"/>
      <c r="U504" s="11"/>
      <c r="V504" s="11"/>
      <c r="W504" s="11"/>
      <c r="X504" s="11"/>
      <c r="Y504" s="2"/>
      <c r="Z504" s="2"/>
      <c r="AA504" s="2"/>
      <c r="AB504" s="2"/>
      <c r="AC504" s="2"/>
      <c r="AD504" s="2"/>
      <c r="AE504" s="2"/>
      <c r="AF504" s="2"/>
      <c r="AG504" s="2"/>
      <c r="AH504" s="2"/>
      <c r="AI504" s="2"/>
      <c r="AJ504" s="2"/>
      <c r="AK504" s="2"/>
      <c r="AL504" s="2"/>
      <c r="AM504" s="2"/>
      <c r="AN504" s="2"/>
    </row>
    <row r="505" spans="3:40" ht="60" x14ac:dyDescent="0.25">
      <c r="C505" s="11"/>
      <c r="D505" s="11"/>
      <c r="E505" s="41"/>
      <c r="F505" s="11"/>
      <c r="G505" s="10">
        <v>4</v>
      </c>
      <c r="H505" s="11"/>
      <c r="I505" s="11"/>
      <c r="J505" s="10" t="s">
        <v>3905</v>
      </c>
      <c r="K505" s="6" t="s">
        <v>4400</v>
      </c>
      <c r="L505" s="8" t="s">
        <v>4401</v>
      </c>
      <c r="M505" s="11"/>
      <c r="N505" s="11"/>
      <c r="O505" s="11"/>
      <c r="P505" s="10" t="s">
        <v>4402</v>
      </c>
      <c r="Q505" s="10" t="s">
        <v>4403</v>
      </c>
      <c r="R505" s="11"/>
      <c r="S505" s="11"/>
      <c r="T505" s="11"/>
      <c r="U505" s="11"/>
      <c r="V505" s="11"/>
      <c r="W505" s="11"/>
      <c r="X505" s="11"/>
      <c r="Y505" s="2"/>
      <c r="Z505" s="2"/>
      <c r="AA505" s="2"/>
      <c r="AB505" s="2"/>
      <c r="AC505" s="2"/>
      <c r="AD505" s="2"/>
      <c r="AE505" s="2"/>
      <c r="AF505" s="2"/>
      <c r="AG505" s="2"/>
      <c r="AH505" s="2"/>
      <c r="AI505" s="2"/>
      <c r="AJ505" s="2"/>
      <c r="AK505" s="2"/>
      <c r="AL505" s="2"/>
      <c r="AM505" s="2"/>
      <c r="AN505" s="2"/>
    </row>
    <row r="506" spans="3:40" ht="45" x14ac:dyDescent="0.25">
      <c r="C506" s="11"/>
      <c r="D506" s="11"/>
      <c r="E506" s="41"/>
      <c r="F506" s="11"/>
      <c r="G506" s="10">
        <v>4</v>
      </c>
      <c r="H506" s="11"/>
      <c r="I506" s="11"/>
      <c r="J506" s="24" t="s">
        <v>2992</v>
      </c>
      <c r="K506" s="24" t="s">
        <v>4404</v>
      </c>
      <c r="L506" s="8" t="s">
        <v>945</v>
      </c>
      <c r="M506" s="11"/>
      <c r="N506" s="11"/>
      <c r="O506" s="11"/>
      <c r="P506" s="10" t="s">
        <v>4402</v>
      </c>
      <c r="Q506" s="6" t="s">
        <v>4405</v>
      </c>
      <c r="R506" s="11"/>
      <c r="S506" s="11"/>
      <c r="T506" s="11"/>
      <c r="U506" s="11"/>
      <c r="V506" s="11"/>
      <c r="W506" s="11"/>
      <c r="X506" s="11"/>
      <c r="Y506" s="2"/>
      <c r="Z506" s="2"/>
      <c r="AA506" s="2"/>
      <c r="AB506" s="2"/>
      <c r="AC506" s="2"/>
      <c r="AD506" s="2"/>
      <c r="AE506" s="2"/>
      <c r="AF506" s="2"/>
      <c r="AG506" s="2"/>
      <c r="AH506" s="2"/>
      <c r="AI506" s="2"/>
      <c r="AJ506" s="2"/>
      <c r="AK506" s="2"/>
      <c r="AL506" s="2"/>
      <c r="AM506" s="2"/>
      <c r="AN506" s="2"/>
    </row>
    <row r="507" spans="3:40" ht="45" x14ac:dyDescent="0.25">
      <c r="C507" s="11"/>
      <c r="D507" s="11"/>
      <c r="E507" s="41"/>
      <c r="F507" s="11"/>
      <c r="G507" s="10">
        <v>4</v>
      </c>
      <c r="H507" s="11"/>
      <c r="I507" s="11"/>
      <c r="J507" s="10" t="s">
        <v>3978</v>
      </c>
      <c r="K507" s="6" t="s">
        <v>4406</v>
      </c>
      <c r="L507" s="8" t="s">
        <v>4407</v>
      </c>
      <c r="M507" s="11"/>
      <c r="N507" s="11"/>
      <c r="O507" s="11"/>
      <c r="P507" s="10" t="s">
        <v>4402</v>
      </c>
      <c r="Q507" s="6" t="s">
        <v>4408</v>
      </c>
      <c r="R507" s="11"/>
      <c r="S507" s="11"/>
      <c r="T507" s="11"/>
      <c r="U507" s="11"/>
      <c r="V507" s="11"/>
      <c r="W507" s="11"/>
      <c r="X507" s="11"/>
      <c r="Y507" s="2"/>
      <c r="Z507" s="2"/>
      <c r="AA507" s="2"/>
      <c r="AB507" s="2"/>
      <c r="AC507" s="2"/>
      <c r="AD507" s="2"/>
      <c r="AE507" s="2"/>
      <c r="AF507" s="2"/>
      <c r="AG507" s="2"/>
      <c r="AH507" s="2"/>
      <c r="AI507" s="2"/>
      <c r="AJ507" s="2"/>
      <c r="AK507" s="2"/>
      <c r="AL507" s="2"/>
      <c r="AM507" s="2"/>
      <c r="AN507" s="2"/>
    </row>
    <row r="508" spans="3:40" ht="60" x14ac:dyDescent="0.25">
      <c r="C508" s="11"/>
      <c r="D508" s="11"/>
      <c r="E508" s="41"/>
      <c r="F508" s="11"/>
      <c r="G508" s="10">
        <v>4</v>
      </c>
      <c r="H508" s="11"/>
      <c r="I508" s="11"/>
      <c r="J508" s="10" t="s">
        <v>4409</v>
      </c>
      <c r="K508" s="6" t="s">
        <v>4410</v>
      </c>
      <c r="L508" s="8" t="s">
        <v>4397</v>
      </c>
      <c r="M508" s="11"/>
      <c r="N508" s="11"/>
      <c r="O508" s="11"/>
      <c r="P508" s="6" t="s">
        <v>4411</v>
      </c>
      <c r="Q508" s="6" t="s">
        <v>4412</v>
      </c>
      <c r="R508" s="11"/>
      <c r="S508" s="11"/>
      <c r="T508" s="11"/>
      <c r="U508" s="11"/>
      <c r="V508" s="11"/>
      <c r="W508" s="11"/>
      <c r="X508" s="11"/>
      <c r="Y508" s="2"/>
      <c r="Z508" s="2"/>
      <c r="AA508" s="2"/>
      <c r="AB508" s="2"/>
      <c r="AC508" s="2"/>
      <c r="AD508" s="2"/>
      <c r="AE508" s="2"/>
      <c r="AF508" s="2"/>
      <c r="AG508" s="2"/>
      <c r="AH508" s="2"/>
      <c r="AI508" s="2"/>
      <c r="AJ508" s="2"/>
      <c r="AK508" s="2"/>
      <c r="AL508" s="2"/>
      <c r="AM508" s="2"/>
      <c r="AN508" s="2"/>
    </row>
    <row r="509" spans="3:40" x14ac:dyDescent="0.25">
      <c r="C509" s="11"/>
      <c r="D509" s="11"/>
      <c r="E509" s="41"/>
      <c r="F509" s="11">
        <v>3</v>
      </c>
      <c r="G509" s="11"/>
      <c r="H509" s="11"/>
      <c r="I509" s="11"/>
      <c r="J509" s="11" t="s">
        <v>4413</v>
      </c>
      <c r="K509" s="290"/>
      <c r="L509" s="8"/>
      <c r="M509" s="11"/>
      <c r="N509" s="11"/>
      <c r="O509" s="11"/>
      <c r="P509" s="10"/>
      <c r="Q509" s="11"/>
      <c r="R509" s="11"/>
      <c r="S509" s="11"/>
      <c r="T509" s="11"/>
      <c r="U509" s="11"/>
      <c r="V509" s="11"/>
      <c r="W509" s="11"/>
      <c r="X509" s="11"/>
      <c r="Y509" s="2"/>
      <c r="Z509" s="2"/>
      <c r="AA509" s="2"/>
      <c r="AB509" s="2"/>
      <c r="AC509" s="2"/>
      <c r="AD509" s="2"/>
      <c r="AE509" s="2"/>
      <c r="AF509" s="2"/>
      <c r="AG509" s="2"/>
      <c r="AH509" s="2"/>
      <c r="AI509" s="2"/>
      <c r="AJ509" s="2"/>
      <c r="AK509" s="2"/>
      <c r="AL509" s="2"/>
      <c r="AM509" s="2"/>
      <c r="AN509" s="2"/>
    </row>
    <row r="510" spans="3:40" ht="45" x14ac:dyDescent="0.25">
      <c r="C510" s="11"/>
      <c r="D510" s="11"/>
      <c r="E510" s="41"/>
      <c r="F510" s="11"/>
      <c r="G510" s="10">
        <v>4</v>
      </c>
      <c r="H510" s="11"/>
      <c r="I510" s="11"/>
      <c r="J510" s="10" t="s">
        <v>4414</v>
      </c>
      <c r="K510" s="6" t="s">
        <v>4415</v>
      </c>
      <c r="L510" s="8" t="s">
        <v>4416</v>
      </c>
      <c r="M510" s="11"/>
      <c r="N510" s="11"/>
      <c r="O510" s="11"/>
      <c r="P510" s="10"/>
      <c r="Q510" s="11"/>
      <c r="R510" s="11"/>
      <c r="S510" s="11"/>
      <c r="T510" s="11"/>
      <c r="U510" s="11"/>
      <c r="V510" s="11"/>
      <c r="W510" s="11"/>
      <c r="X510" s="11"/>
      <c r="Y510" s="2"/>
      <c r="Z510" s="2"/>
      <c r="AA510" s="2"/>
      <c r="AB510" s="2"/>
      <c r="AC510" s="2"/>
      <c r="AD510" s="2"/>
      <c r="AE510" s="2"/>
      <c r="AF510" s="2"/>
      <c r="AG510" s="2"/>
      <c r="AH510" s="2"/>
      <c r="AI510" s="2"/>
      <c r="AJ510" s="2"/>
      <c r="AK510" s="2"/>
      <c r="AL510" s="2"/>
      <c r="AM510" s="2"/>
      <c r="AN510" s="2"/>
    </row>
    <row r="511" spans="3:40" ht="26.25" x14ac:dyDescent="0.25">
      <c r="C511" s="11"/>
      <c r="D511" s="11"/>
      <c r="E511" s="41"/>
      <c r="F511" s="11"/>
      <c r="G511" s="10">
        <v>4</v>
      </c>
      <c r="H511" s="11"/>
      <c r="I511" s="11"/>
      <c r="J511" s="10" t="s">
        <v>4417</v>
      </c>
      <c r="K511" s="24" t="s">
        <v>4418</v>
      </c>
      <c r="L511" s="8" t="s">
        <v>3605</v>
      </c>
      <c r="M511" s="11"/>
      <c r="N511" s="11"/>
      <c r="O511" s="11"/>
      <c r="P511" s="10"/>
      <c r="Q511" s="11"/>
      <c r="R511" s="11"/>
      <c r="S511" s="11"/>
      <c r="T511" s="11"/>
      <c r="U511" s="11"/>
      <c r="V511" s="11"/>
      <c r="W511" s="11"/>
      <c r="X511" s="11"/>
      <c r="Y511" s="2"/>
      <c r="Z511" s="2"/>
      <c r="AA511" s="2"/>
      <c r="AB511" s="2"/>
      <c r="AC511" s="2"/>
      <c r="AD511" s="2"/>
      <c r="AE511" s="2"/>
      <c r="AF511" s="2"/>
      <c r="AG511" s="2"/>
      <c r="AH511" s="2"/>
      <c r="AI511" s="2"/>
      <c r="AJ511" s="2"/>
      <c r="AK511" s="2"/>
      <c r="AL511" s="2"/>
      <c r="AM511" s="2"/>
      <c r="AN511" s="2"/>
    </row>
    <row r="512" spans="3:40" ht="26.25" x14ac:dyDescent="0.25">
      <c r="C512" s="11"/>
      <c r="D512" s="11"/>
      <c r="E512" s="41"/>
      <c r="F512" s="11"/>
      <c r="G512" s="10">
        <v>4</v>
      </c>
      <c r="H512" s="11"/>
      <c r="I512" s="11"/>
      <c r="J512" s="10" t="s">
        <v>4419</v>
      </c>
      <c r="K512" s="24" t="s">
        <v>4420</v>
      </c>
      <c r="L512" s="8" t="s">
        <v>4421</v>
      </c>
      <c r="M512" s="11"/>
      <c r="N512" s="11"/>
      <c r="O512" s="11"/>
      <c r="P512" s="10"/>
      <c r="Q512" s="11"/>
      <c r="R512" s="11"/>
      <c r="S512" s="11"/>
      <c r="T512" s="11"/>
      <c r="U512" s="11"/>
      <c r="V512" s="11"/>
      <c r="W512" s="11"/>
      <c r="X512" s="11"/>
      <c r="Y512" s="2"/>
      <c r="Z512" s="2"/>
      <c r="AA512" s="2"/>
      <c r="AB512" s="2"/>
      <c r="AC512" s="2"/>
      <c r="AD512" s="2"/>
      <c r="AE512" s="2"/>
      <c r="AF512" s="2"/>
      <c r="AG512" s="2"/>
      <c r="AH512" s="2"/>
      <c r="AI512" s="2"/>
      <c r="AJ512" s="2"/>
      <c r="AK512" s="2"/>
      <c r="AL512" s="2"/>
      <c r="AM512" s="2"/>
      <c r="AN512" s="2"/>
    </row>
    <row r="513" spans="3:40" ht="39" x14ac:dyDescent="0.25">
      <c r="C513" s="11"/>
      <c r="D513" s="11"/>
      <c r="E513" s="41"/>
      <c r="F513" s="11"/>
      <c r="G513" s="10">
        <v>4</v>
      </c>
      <c r="H513" s="11"/>
      <c r="I513" s="11"/>
      <c r="J513" s="10" t="s">
        <v>3785</v>
      </c>
      <c r="K513" s="24" t="s">
        <v>4422</v>
      </c>
      <c r="L513" s="8" t="s">
        <v>4423</v>
      </c>
      <c r="M513" s="11"/>
      <c r="N513" s="11"/>
      <c r="O513" s="11"/>
      <c r="P513" s="10"/>
      <c r="Q513" s="11"/>
      <c r="R513" s="11"/>
      <c r="S513" s="11"/>
      <c r="T513" s="11"/>
      <c r="U513" s="11"/>
      <c r="V513" s="11"/>
      <c r="W513" s="11"/>
      <c r="X513" s="11"/>
      <c r="Y513" s="2"/>
      <c r="Z513" s="2"/>
      <c r="AA513" s="2"/>
      <c r="AB513" s="2"/>
      <c r="AC513" s="2"/>
      <c r="AD513" s="2"/>
      <c r="AE513" s="2"/>
      <c r="AF513" s="2"/>
      <c r="AG513" s="2"/>
      <c r="AH513" s="2"/>
      <c r="AI513" s="2"/>
      <c r="AJ513" s="2"/>
      <c r="AK513" s="2"/>
      <c r="AL513" s="2"/>
      <c r="AM513" s="2"/>
      <c r="AN513" s="2"/>
    </row>
    <row r="514" spans="3:40" ht="26.25" x14ac:dyDescent="0.25">
      <c r="C514" s="11"/>
      <c r="D514" s="11"/>
      <c r="E514" s="41"/>
      <c r="F514" s="11"/>
      <c r="G514" s="10">
        <v>4</v>
      </c>
      <c r="H514" s="11"/>
      <c r="I514" s="11"/>
      <c r="J514" s="10" t="s">
        <v>3717</v>
      </c>
      <c r="K514" s="24" t="s">
        <v>4424</v>
      </c>
      <c r="L514" s="8" t="s">
        <v>3720</v>
      </c>
      <c r="M514" s="11"/>
      <c r="N514" s="11"/>
      <c r="O514" s="11"/>
      <c r="P514" s="10"/>
      <c r="Q514" s="11"/>
      <c r="R514" s="11"/>
      <c r="S514" s="11"/>
      <c r="T514" s="11"/>
      <c r="U514" s="11"/>
      <c r="V514" s="11"/>
      <c r="W514" s="11"/>
      <c r="X514" s="11"/>
      <c r="Y514" s="2"/>
      <c r="Z514" s="2"/>
      <c r="AA514" s="2"/>
      <c r="AB514" s="2"/>
      <c r="AC514" s="2"/>
      <c r="AD514" s="2"/>
      <c r="AE514" s="2"/>
      <c r="AF514" s="2"/>
      <c r="AG514" s="2"/>
      <c r="AH514" s="2"/>
      <c r="AI514" s="2"/>
      <c r="AJ514" s="2"/>
      <c r="AK514" s="2"/>
      <c r="AL514" s="2"/>
      <c r="AM514" s="2"/>
      <c r="AN514" s="2"/>
    </row>
    <row r="515" spans="3:40" ht="26.25" x14ac:dyDescent="0.25">
      <c r="C515" s="11"/>
      <c r="D515" s="11"/>
      <c r="E515" s="41"/>
      <c r="F515" s="11"/>
      <c r="G515" s="10">
        <v>4</v>
      </c>
      <c r="H515" s="11"/>
      <c r="I515" s="11"/>
      <c r="J515" s="24" t="s">
        <v>2992</v>
      </c>
      <c r="K515" s="24" t="s">
        <v>4425</v>
      </c>
      <c r="L515" s="8" t="s">
        <v>945</v>
      </c>
      <c r="M515" s="11"/>
      <c r="N515" s="11"/>
      <c r="O515" s="11"/>
      <c r="P515" s="10"/>
      <c r="Q515" s="11"/>
      <c r="R515" s="11"/>
      <c r="S515" s="11"/>
      <c r="T515" s="11"/>
      <c r="U515" s="11"/>
      <c r="V515" s="11"/>
      <c r="W515" s="11"/>
      <c r="X515" s="11"/>
      <c r="Y515" s="2"/>
      <c r="Z515" s="2"/>
      <c r="AA515" s="2"/>
      <c r="AB515" s="2"/>
      <c r="AC515" s="2"/>
      <c r="AD515" s="2"/>
      <c r="AE515" s="2"/>
      <c r="AF515" s="2"/>
      <c r="AG515" s="2"/>
      <c r="AH515" s="2"/>
      <c r="AI515" s="2"/>
      <c r="AJ515" s="2"/>
      <c r="AK515" s="2"/>
      <c r="AL515" s="2"/>
      <c r="AM515" s="2"/>
      <c r="AN515" s="2"/>
    </row>
    <row r="516" spans="3:40" x14ac:dyDescent="0.25">
      <c r="C516" s="11"/>
      <c r="D516" s="11"/>
      <c r="E516" s="939">
        <v>2</v>
      </c>
      <c r="F516" s="1245" t="s">
        <v>4426</v>
      </c>
      <c r="G516" s="1245"/>
      <c r="H516" s="1245"/>
      <c r="I516" s="1245"/>
      <c r="J516" s="1245"/>
      <c r="K516" s="931"/>
      <c r="L516" s="932"/>
      <c r="M516" s="931"/>
      <c r="N516" s="931"/>
      <c r="O516" s="931"/>
      <c r="P516" s="931"/>
      <c r="Q516" s="931"/>
      <c r="R516" s="931"/>
      <c r="S516" s="931"/>
      <c r="T516" s="931"/>
      <c r="U516" s="931"/>
      <c r="V516" s="931"/>
      <c r="W516" s="931"/>
      <c r="X516" s="931"/>
      <c r="Y516" s="2"/>
      <c r="Z516" s="2"/>
      <c r="AA516" s="2"/>
      <c r="AB516" s="2"/>
      <c r="AC516" s="2"/>
      <c r="AD516" s="2"/>
      <c r="AE516" s="2"/>
      <c r="AF516" s="2"/>
      <c r="AG516" s="2"/>
      <c r="AH516" s="2"/>
      <c r="AI516" s="2"/>
      <c r="AJ516" s="2"/>
      <c r="AK516" s="2"/>
      <c r="AL516" s="2"/>
      <c r="AM516" s="2"/>
      <c r="AN516" s="2"/>
    </row>
    <row r="517" spans="3:40" x14ac:dyDescent="0.25">
      <c r="C517" s="11"/>
      <c r="D517" s="11"/>
      <c r="E517" s="41"/>
      <c r="F517" s="11">
        <v>3</v>
      </c>
      <c r="G517" s="11"/>
      <c r="H517" s="11"/>
      <c r="I517" s="11"/>
      <c r="J517" s="10" t="s">
        <v>4427</v>
      </c>
      <c r="K517" s="10" t="s">
        <v>4428</v>
      </c>
      <c r="L517" s="8" t="s">
        <v>3605</v>
      </c>
      <c r="M517" s="11"/>
      <c r="N517" s="11"/>
      <c r="O517" s="11"/>
      <c r="P517" s="11"/>
      <c r="Q517" s="11"/>
      <c r="R517" s="11"/>
      <c r="S517" s="11"/>
      <c r="T517" s="11"/>
      <c r="U517" s="11"/>
      <c r="V517" s="11"/>
      <c r="W517" s="11"/>
      <c r="X517" s="11"/>
      <c r="Y517" s="2"/>
      <c r="Z517" s="2"/>
      <c r="AA517" s="2"/>
      <c r="AB517" s="2"/>
      <c r="AC517" s="2"/>
      <c r="AD517" s="2"/>
      <c r="AE517" s="2"/>
      <c r="AF517" s="2"/>
      <c r="AG517" s="2"/>
      <c r="AH517" s="2"/>
      <c r="AI517" s="2"/>
      <c r="AJ517" s="2"/>
      <c r="AK517" s="2"/>
      <c r="AL517" s="2"/>
      <c r="AM517" s="2"/>
      <c r="AN517" s="2"/>
    </row>
    <row r="518" spans="3:40" ht="30" x14ac:dyDescent="0.25">
      <c r="C518" s="11"/>
      <c r="D518" s="11"/>
      <c r="E518" s="41"/>
      <c r="F518" s="11">
        <v>3</v>
      </c>
      <c r="G518" s="11"/>
      <c r="H518" s="11"/>
      <c r="I518" s="11"/>
      <c r="J518" s="10" t="s">
        <v>4429</v>
      </c>
      <c r="K518" s="6" t="s">
        <v>4430</v>
      </c>
      <c r="L518" s="8" t="s">
        <v>3605</v>
      </c>
      <c r="M518" s="11"/>
      <c r="N518" s="11"/>
      <c r="O518" s="11"/>
      <c r="P518" s="11"/>
      <c r="Q518" s="11"/>
      <c r="R518" s="11"/>
      <c r="S518" s="11"/>
      <c r="T518" s="11"/>
      <c r="U518" s="11"/>
      <c r="V518" s="11"/>
      <c r="W518" s="11"/>
      <c r="X518" s="11"/>
      <c r="Y518" s="2"/>
      <c r="Z518" s="2"/>
      <c r="AA518" s="2"/>
      <c r="AB518" s="2"/>
      <c r="AC518" s="2"/>
      <c r="AD518" s="2"/>
      <c r="AE518" s="2"/>
      <c r="AF518" s="2"/>
      <c r="AG518" s="2"/>
      <c r="AH518" s="2"/>
      <c r="AI518" s="2"/>
      <c r="AJ518" s="2"/>
      <c r="AK518" s="2"/>
      <c r="AL518" s="2"/>
      <c r="AM518" s="2"/>
      <c r="AN518" s="2"/>
    </row>
    <row r="519" spans="3:40" x14ac:dyDescent="0.25">
      <c r="C519" s="11"/>
      <c r="D519" s="11"/>
      <c r="E519" s="939">
        <v>2</v>
      </c>
      <c r="F519" s="1245" t="s">
        <v>4431</v>
      </c>
      <c r="G519" s="1245"/>
      <c r="H519" s="1245"/>
      <c r="I519" s="1245"/>
      <c r="J519" s="1245"/>
      <c r="K519" s="931"/>
      <c r="L519" s="932"/>
      <c r="M519" s="931"/>
      <c r="N519" s="931"/>
      <c r="O519" s="931"/>
      <c r="P519" s="931"/>
      <c r="Q519" s="931"/>
      <c r="R519" s="931"/>
      <c r="S519" s="931"/>
      <c r="T519" s="931"/>
      <c r="U519" s="931"/>
      <c r="V519" s="931"/>
      <c r="W519" s="931"/>
      <c r="X519" s="931"/>
      <c r="Y519" s="2"/>
      <c r="Z519" s="2"/>
      <c r="AA519" s="2"/>
      <c r="AB519" s="2"/>
      <c r="AC519" s="2"/>
      <c r="AD519" s="2"/>
      <c r="AE519" s="2"/>
      <c r="AF519" s="2"/>
      <c r="AG519" s="2"/>
      <c r="AH519" s="2"/>
      <c r="AI519" s="2"/>
      <c r="AJ519" s="2"/>
      <c r="AK519" s="2"/>
      <c r="AL519" s="2"/>
      <c r="AM519" s="2"/>
      <c r="AN519" s="2"/>
    </row>
    <row r="520" spans="3:40" x14ac:dyDescent="0.25">
      <c r="C520" s="11"/>
      <c r="D520" s="11"/>
      <c r="E520" s="41"/>
      <c r="F520" s="11">
        <v>3</v>
      </c>
      <c r="G520" s="11"/>
      <c r="H520" s="11"/>
      <c r="I520" s="11"/>
      <c r="J520" s="10" t="s">
        <v>4429</v>
      </c>
      <c r="K520" s="10" t="s">
        <v>4428</v>
      </c>
      <c r="L520" s="8" t="s">
        <v>3605</v>
      </c>
      <c r="M520" s="11"/>
      <c r="N520" s="11"/>
      <c r="O520" s="11"/>
      <c r="P520" s="11"/>
      <c r="Q520" s="11"/>
      <c r="R520" s="11"/>
      <c r="S520" s="11"/>
      <c r="T520" s="11"/>
      <c r="U520" s="11"/>
      <c r="V520" s="11"/>
      <c r="W520" s="11"/>
      <c r="X520" s="11"/>
      <c r="Y520" s="2"/>
      <c r="Z520" s="2"/>
      <c r="AA520" s="2"/>
      <c r="AB520" s="2"/>
      <c r="AC520" s="2"/>
      <c r="AD520" s="2"/>
      <c r="AE520" s="2"/>
      <c r="AF520" s="2"/>
      <c r="AG520" s="2"/>
      <c r="AH520" s="2"/>
      <c r="AI520" s="2"/>
      <c r="AJ520" s="2"/>
      <c r="AK520" s="2"/>
      <c r="AL520" s="2"/>
      <c r="AM520" s="2"/>
      <c r="AN520" s="2"/>
    </row>
    <row r="521" spans="3:40" ht="20.25" customHeight="1" x14ac:dyDescent="0.25">
      <c r="C521" s="93"/>
      <c r="D521" s="93">
        <v>1</v>
      </c>
      <c r="E521" s="1247" t="s">
        <v>4432</v>
      </c>
      <c r="F521" s="1247"/>
      <c r="G521" s="1247"/>
      <c r="H521" s="1247"/>
      <c r="I521" s="1247"/>
      <c r="J521" s="1247"/>
      <c r="K521" s="93"/>
      <c r="L521" s="772"/>
      <c r="M521" s="93"/>
      <c r="N521" s="93"/>
      <c r="O521" s="93"/>
      <c r="P521" s="93"/>
      <c r="Q521" s="93"/>
      <c r="R521" s="93"/>
      <c r="S521" s="93"/>
      <c r="T521" s="93"/>
      <c r="U521" s="93"/>
      <c r="V521" s="93"/>
      <c r="W521" s="93"/>
      <c r="X521" s="93"/>
      <c r="Y521" s="2"/>
      <c r="Z521" s="2"/>
      <c r="AA521" s="2"/>
      <c r="AB521" s="2"/>
      <c r="AC521" s="2"/>
      <c r="AD521" s="2"/>
      <c r="AE521" s="2"/>
      <c r="AF521" s="2"/>
      <c r="AG521" s="2"/>
      <c r="AH521" s="2"/>
      <c r="AI521" s="2"/>
      <c r="AJ521" s="2"/>
      <c r="AK521" s="2"/>
      <c r="AL521" s="2"/>
      <c r="AM521" s="2"/>
      <c r="AN521" s="2"/>
    </row>
    <row r="522" spans="3:40" x14ac:dyDescent="0.25">
      <c r="C522" s="11"/>
      <c r="D522" s="11"/>
      <c r="E522" s="939">
        <v>2</v>
      </c>
      <c r="F522" s="1245" t="s">
        <v>4433</v>
      </c>
      <c r="G522" s="1245"/>
      <c r="H522" s="1245"/>
      <c r="I522" s="1245"/>
      <c r="J522" s="1245"/>
      <c r="K522" s="931"/>
      <c r="L522" s="932"/>
      <c r="M522" s="931"/>
      <c r="N522" s="931"/>
      <c r="O522" s="931"/>
      <c r="P522" s="931"/>
      <c r="Q522" s="931"/>
      <c r="R522" s="931"/>
      <c r="S522" s="931"/>
      <c r="T522" s="931"/>
      <c r="U522" s="931"/>
      <c r="V522" s="931"/>
      <c r="W522" s="931"/>
      <c r="X522" s="931"/>
      <c r="Y522" s="2"/>
      <c r="Z522" s="2"/>
      <c r="AA522" s="2"/>
      <c r="AB522" s="2"/>
      <c r="AC522" s="2"/>
      <c r="AD522" s="2"/>
      <c r="AE522" s="2"/>
      <c r="AF522" s="2"/>
      <c r="AG522" s="2"/>
      <c r="AH522" s="2"/>
      <c r="AI522" s="2"/>
      <c r="AJ522" s="2"/>
      <c r="AK522" s="2"/>
      <c r="AL522" s="2"/>
      <c r="AM522" s="2"/>
      <c r="AN522" s="2"/>
    </row>
    <row r="523" spans="3:40" ht="24.75" customHeight="1" x14ac:dyDescent="0.25">
      <c r="C523" s="11"/>
      <c r="D523" s="11"/>
      <c r="E523" s="41"/>
      <c r="F523" s="11">
        <v>3</v>
      </c>
      <c r="G523" s="11"/>
      <c r="H523" s="11"/>
      <c r="I523" s="11"/>
      <c r="J523" s="10" t="s">
        <v>3069</v>
      </c>
      <c r="K523" s="6" t="s">
        <v>4434</v>
      </c>
      <c r="L523" s="8" t="s">
        <v>4366</v>
      </c>
      <c r="M523" s="11"/>
      <c r="N523" s="11"/>
      <c r="O523" s="11"/>
      <c r="P523" s="6" t="s">
        <v>4435</v>
      </c>
      <c r="Q523" s="11"/>
      <c r="R523" s="11"/>
      <c r="S523" s="11"/>
      <c r="T523" s="11"/>
      <c r="U523" s="11"/>
      <c r="V523" s="11"/>
      <c r="W523" s="11"/>
      <c r="X523" s="11"/>
      <c r="Y523" s="2"/>
      <c r="Z523" s="2"/>
      <c r="AA523" s="2"/>
      <c r="AB523" s="2"/>
      <c r="AC523" s="2"/>
      <c r="AD523" s="2"/>
      <c r="AE523" s="2"/>
      <c r="AF523" s="2"/>
      <c r="AG523" s="2"/>
      <c r="AH523" s="2"/>
      <c r="AI523" s="2"/>
      <c r="AJ523" s="2"/>
      <c r="AK523" s="2"/>
      <c r="AL523" s="2"/>
      <c r="AM523" s="2"/>
      <c r="AN523" s="2"/>
    </row>
    <row r="524" spans="3:40" ht="24.75" customHeight="1" x14ac:dyDescent="0.25">
      <c r="C524" s="11"/>
      <c r="D524" s="11"/>
      <c r="E524" s="41"/>
      <c r="F524" s="11">
        <v>3</v>
      </c>
      <c r="G524" s="11"/>
      <c r="H524" s="11"/>
      <c r="I524" s="11"/>
      <c r="J524" s="10" t="s">
        <v>4436</v>
      </c>
      <c r="K524" s="6" t="s">
        <v>4437</v>
      </c>
      <c r="L524" s="8" t="s">
        <v>4366</v>
      </c>
      <c r="M524" s="11"/>
      <c r="N524" s="11"/>
      <c r="O524" s="11"/>
      <c r="P524" s="6" t="s">
        <v>4438</v>
      </c>
      <c r="Q524" s="11"/>
      <c r="R524" s="11"/>
      <c r="S524" s="11"/>
      <c r="T524" s="11"/>
      <c r="U524" s="11"/>
      <c r="V524" s="11"/>
      <c r="W524" s="11"/>
      <c r="X524" s="11"/>
      <c r="Y524" s="2"/>
      <c r="Z524" s="2"/>
      <c r="AA524" s="2"/>
      <c r="AB524" s="2"/>
      <c r="AC524" s="2"/>
      <c r="AD524" s="2"/>
      <c r="AE524" s="2"/>
      <c r="AF524" s="2"/>
      <c r="AG524" s="2"/>
      <c r="AH524" s="2"/>
      <c r="AI524" s="2"/>
      <c r="AJ524" s="2"/>
      <c r="AK524" s="2"/>
      <c r="AL524" s="2"/>
      <c r="AM524" s="2"/>
      <c r="AN524" s="2"/>
    </row>
    <row r="525" spans="3:40" ht="24.75" customHeight="1" x14ac:dyDescent="0.25">
      <c r="C525" s="11"/>
      <c r="D525" s="11"/>
      <c r="E525" s="41"/>
      <c r="F525" s="11">
        <v>3</v>
      </c>
      <c r="G525" s="11"/>
      <c r="H525" s="11"/>
      <c r="I525" s="11"/>
      <c r="J525" s="10" t="s">
        <v>4083</v>
      </c>
      <c r="K525" s="6"/>
      <c r="L525" s="8" t="s">
        <v>3953</v>
      </c>
      <c r="M525" s="11"/>
      <c r="N525" s="11"/>
      <c r="O525" s="11"/>
      <c r="P525" s="6"/>
      <c r="Q525" s="11"/>
      <c r="R525" s="11"/>
      <c r="S525" s="11"/>
      <c r="T525" s="11"/>
      <c r="U525" s="11"/>
      <c r="V525" s="11"/>
      <c r="W525" s="11"/>
      <c r="X525" s="11"/>
      <c r="Y525" s="2"/>
      <c r="Z525" s="2"/>
      <c r="AA525" s="2"/>
      <c r="AB525" s="2"/>
      <c r="AC525" s="2"/>
      <c r="AD525" s="2"/>
      <c r="AE525" s="2"/>
      <c r="AF525" s="2"/>
      <c r="AG525" s="2"/>
      <c r="AH525" s="2"/>
      <c r="AI525" s="2"/>
      <c r="AJ525" s="2"/>
      <c r="AK525" s="2"/>
      <c r="AL525" s="2"/>
      <c r="AM525" s="2"/>
      <c r="AN525" s="2"/>
    </row>
    <row r="526" spans="3:40" ht="24.75" customHeight="1" x14ac:dyDescent="0.25">
      <c r="C526" s="11"/>
      <c r="D526" s="11"/>
      <c r="E526" s="41"/>
      <c r="F526" s="11"/>
      <c r="G526" s="11">
        <v>4</v>
      </c>
      <c r="H526" s="11"/>
      <c r="I526" s="11"/>
      <c r="J526" s="6" t="s">
        <v>4439</v>
      </c>
      <c r="K526" s="6" t="s">
        <v>4440</v>
      </c>
      <c r="L526" s="8" t="s">
        <v>4366</v>
      </c>
      <c r="M526" s="11"/>
      <c r="N526" s="11"/>
      <c r="O526" s="11"/>
      <c r="P526" s="10"/>
      <c r="Q526" s="10" t="s">
        <v>4441</v>
      </c>
      <c r="R526" s="11"/>
      <c r="S526" s="11"/>
      <c r="T526" s="11"/>
      <c r="U526" s="11"/>
      <c r="V526" s="11"/>
      <c r="W526" s="11"/>
      <c r="X526" s="11"/>
      <c r="Y526" s="2"/>
      <c r="Z526" s="2"/>
      <c r="AA526" s="2"/>
      <c r="AB526" s="2"/>
      <c r="AC526" s="2"/>
      <c r="AD526" s="2"/>
      <c r="AE526" s="2"/>
      <c r="AF526" s="2"/>
      <c r="AG526" s="2"/>
      <c r="AH526" s="2"/>
      <c r="AI526" s="2"/>
      <c r="AJ526" s="2"/>
      <c r="AK526" s="2"/>
      <c r="AL526" s="2"/>
      <c r="AM526" s="2"/>
      <c r="AN526" s="2"/>
    </row>
    <row r="527" spans="3:40" ht="24.75" customHeight="1" x14ac:dyDescent="0.25">
      <c r="C527" s="11"/>
      <c r="D527" s="11"/>
      <c r="E527" s="41"/>
      <c r="F527" s="11"/>
      <c r="G527" s="11">
        <v>4</v>
      </c>
      <c r="H527" s="11"/>
      <c r="I527" s="11"/>
      <c r="J527" s="10" t="s">
        <v>4442</v>
      </c>
      <c r="K527" s="6" t="s">
        <v>4443</v>
      </c>
      <c r="L527" s="8" t="s">
        <v>4366</v>
      </c>
      <c r="M527" s="11"/>
      <c r="N527" s="716" t="str">
        <f>HYPERLINK("http://wiki.academyofsports.online/tiki-index.php?page=E-Mail-Signaturen-hinzuf%C3%BCgen", "Signatur")</f>
        <v>Signatur</v>
      </c>
      <c r="O527" s="11"/>
      <c r="P527" s="10"/>
      <c r="Q527" s="10" t="s">
        <v>4444</v>
      </c>
      <c r="R527" s="11"/>
      <c r="S527" s="11"/>
      <c r="T527" s="11"/>
      <c r="U527" s="11"/>
      <c r="V527" s="11"/>
      <c r="W527" s="11"/>
      <c r="X527" s="11"/>
      <c r="Y527" s="2"/>
      <c r="Z527" s="2"/>
      <c r="AA527" s="2"/>
      <c r="AB527" s="2"/>
      <c r="AC527" s="2"/>
      <c r="AD527" s="2"/>
      <c r="AE527" s="2"/>
      <c r="AF527" s="2"/>
      <c r="AG527" s="2"/>
      <c r="AH527" s="2"/>
      <c r="AI527" s="2"/>
      <c r="AJ527" s="2"/>
      <c r="AK527" s="2"/>
      <c r="AL527" s="2"/>
      <c r="AM527" s="2"/>
      <c r="AN527" s="2"/>
    </row>
    <row r="528" spans="3:40" ht="24.75" customHeight="1" x14ac:dyDescent="0.25">
      <c r="C528" s="11"/>
      <c r="D528" s="11"/>
      <c r="E528" s="41"/>
      <c r="F528" s="11"/>
      <c r="G528" s="11">
        <v>4</v>
      </c>
      <c r="H528" s="11"/>
      <c r="I528" s="11"/>
      <c r="J528" s="10" t="s">
        <v>4445</v>
      </c>
      <c r="K528" s="6" t="s">
        <v>4446</v>
      </c>
      <c r="L528" s="8" t="s">
        <v>3650</v>
      </c>
      <c r="M528" s="11"/>
      <c r="N528" s="11"/>
      <c r="O528" s="11"/>
      <c r="P528" s="10"/>
      <c r="Q528" s="10" t="s">
        <v>4447</v>
      </c>
      <c r="R528" s="11"/>
      <c r="S528" s="11"/>
      <c r="T528" s="11"/>
      <c r="U528" s="11"/>
      <c r="V528" s="11"/>
      <c r="W528" s="11"/>
      <c r="X528" s="11"/>
      <c r="Y528" s="2"/>
      <c r="Z528" s="2"/>
      <c r="AA528" s="2"/>
      <c r="AB528" s="2"/>
      <c r="AC528" s="2"/>
      <c r="AD528" s="2"/>
      <c r="AE528" s="2"/>
      <c r="AF528" s="2"/>
      <c r="AG528" s="2"/>
      <c r="AH528" s="2"/>
      <c r="AI528" s="2"/>
      <c r="AJ528" s="2"/>
      <c r="AK528" s="2"/>
      <c r="AL528" s="2"/>
      <c r="AM528" s="2"/>
      <c r="AN528" s="2"/>
    </row>
    <row r="529" spans="3:40" ht="24.75" customHeight="1" x14ac:dyDescent="0.25">
      <c r="C529" s="11"/>
      <c r="D529" s="11"/>
      <c r="E529" s="41"/>
      <c r="F529" s="11"/>
      <c r="G529" s="11">
        <v>4</v>
      </c>
      <c r="H529" s="11"/>
      <c r="I529" s="11"/>
      <c r="J529" s="10" t="s">
        <v>4448</v>
      </c>
      <c r="K529" s="6" t="s">
        <v>4449</v>
      </c>
      <c r="L529" s="8" t="s">
        <v>3953</v>
      </c>
      <c r="M529" s="11"/>
      <c r="N529" s="11"/>
      <c r="O529" s="11"/>
      <c r="P529" s="11"/>
      <c r="Q529" s="11"/>
      <c r="R529" s="11"/>
      <c r="S529" s="11"/>
      <c r="T529" s="11"/>
      <c r="U529" s="11"/>
      <c r="V529" s="11"/>
      <c r="W529" s="11"/>
      <c r="X529" s="11"/>
      <c r="Y529" s="2"/>
      <c r="Z529" s="2"/>
      <c r="AA529" s="2"/>
      <c r="AB529" s="2"/>
      <c r="AC529" s="2"/>
      <c r="AD529" s="2"/>
      <c r="AE529" s="2"/>
      <c r="AF529" s="2"/>
      <c r="AG529" s="2"/>
      <c r="AH529" s="2"/>
      <c r="AI529" s="2"/>
      <c r="AJ529" s="2"/>
      <c r="AK529" s="2"/>
      <c r="AL529" s="2"/>
      <c r="AM529" s="2"/>
      <c r="AN529" s="2"/>
    </row>
    <row r="530" spans="3:40" x14ac:dyDescent="0.25">
      <c r="C530" s="11"/>
      <c r="D530" s="11"/>
      <c r="E530" s="939">
        <v>2</v>
      </c>
      <c r="F530" s="1245" t="s">
        <v>4450</v>
      </c>
      <c r="G530" s="1245"/>
      <c r="H530" s="1245"/>
      <c r="I530" s="1245"/>
      <c r="J530" s="1245"/>
      <c r="K530" s="931"/>
      <c r="L530" s="932"/>
      <c r="M530" s="931"/>
      <c r="N530" s="931"/>
      <c r="O530" s="931"/>
      <c r="P530" s="931"/>
      <c r="Q530" s="931"/>
      <c r="R530" s="931"/>
      <c r="S530" s="931"/>
      <c r="T530" s="931"/>
      <c r="U530" s="931"/>
      <c r="V530" s="931"/>
      <c r="W530" s="931"/>
      <c r="X530" s="931"/>
      <c r="Y530" s="2"/>
      <c r="Z530" s="2"/>
      <c r="AA530" s="2"/>
      <c r="AB530" s="2"/>
      <c r="AC530" s="2"/>
      <c r="AD530" s="2"/>
      <c r="AE530" s="2"/>
      <c r="AF530" s="2"/>
      <c r="AG530" s="2"/>
      <c r="AH530" s="2"/>
      <c r="AI530" s="2"/>
      <c r="AJ530" s="2"/>
      <c r="AK530" s="2"/>
      <c r="AL530" s="2"/>
      <c r="AM530" s="2"/>
      <c r="AN530" s="2"/>
    </row>
    <row r="531" spans="3:40" ht="75" x14ac:dyDescent="0.25">
      <c r="C531" s="11"/>
      <c r="D531" s="11"/>
      <c r="E531" s="41"/>
      <c r="F531" s="11">
        <v>3</v>
      </c>
      <c r="G531" s="11"/>
      <c r="H531" s="11"/>
      <c r="I531" s="11"/>
      <c r="J531" s="10" t="s">
        <v>4451</v>
      </c>
      <c r="K531" s="6" t="s">
        <v>4452</v>
      </c>
      <c r="L531" s="8" t="s">
        <v>4366</v>
      </c>
      <c r="M531" s="11"/>
      <c r="N531" s="11"/>
      <c r="O531" s="11"/>
      <c r="P531" s="6" t="s">
        <v>4453</v>
      </c>
      <c r="Q531" s="6" t="s">
        <v>4454</v>
      </c>
      <c r="R531" s="11"/>
      <c r="S531" s="11"/>
      <c r="T531" s="11"/>
      <c r="U531" s="11"/>
      <c r="V531" s="11"/>
      <c r="W531" s="11"/>
      <c r="X531" s="11"/>
      <c r="Y531" s="2"/>
      <c r="Z531" s="2"/>
      <c r="AA531" s="2"/>
      <c r="AB531" s="2"/>
      <c r="AC531" s="2"/>
      <c r="AD531" s="2"/>
      <c r="AE531" s="2"/>
      <c r="AF531" s="2"/>
      <c r="AG531" s="2"/>
      <c r="AH531" s="2"/>
      <c r="AI531" s="2"/>
      <c r="AJ531" s="2"/>
      <c r="AK531" s="2"/>
      <c r="AL531" s="2"/>
      <c r="AM531" s="2"/>
      <c r="AN531" s="2"/>
    </row>
    <row r="532" spans="3:40" x14ac:dyDescent="0.25">
      <c r="C532" s="11"/>
      <c r="D532" s="11"/>
      <c r="E532" s="41"/>
      <c r="F532" s="11">
        <v>3</v>
      </c>
      <c r="G532" s="11"/>
      <c r="H532" s="11"/>
      <c r="I532" s="11"/>
      <c r="J532" s="24" t="s">
        <v>4083</v>
      </c>
      <c r="K532" s="24" t="s">
        <v>4455</v>
      </c>
      <c r="L532" s="8" t="s">
        <v>4366</v>
      </c>
      <c r="M532" s="11"/>
      <c r="N532" s="11"/>
      <c r="O532" s="11"/>
      <c r="P532" s="6"/>
      <c r="Q532" s="6"/>
      <c r="R532" s="11"/>
      <c r="S532" s="11"/>
      <c r="T532" s="11"/>
      <c r="U532" s="11"/>
      <c r="V532" s="11"/>
      <c r="W532" s="11"/>
      <c r="X532" s="11"/>
      <c r="Y532" s="2"/>
      <c r="Z532" s="2"/>
      <c r="AA532" s="2"/>
      <c r="AB532" s="2"/>
      <c r="AC532" s="2"/>
      <c r="AD532" s="2"/>
      <c r="AE532" s="2"/>
      <c r="AF532" s="2"/>
      <c r="AG532" s="2"/>
      <c r="AH532" s="2"/>
      <c r="AI532" s="2"/>
      <c r="AJ532" s="2"/>
      <c r="AK532" s="2"/>
      <c r="AL532" s="2"/>
      <c r="AM532" s="2"/>
      <c r="AN532" s="2"/>
    </row>
    <row r="533" spans="3:40" ht="20.25" customHeight="1" x14ac:dyDescent="0.25">
      <c r="C533" s="93"/>
      <c r="D533" s="93">
        <v>1</v>
      </c>
      <c r="E533" s="1247" t="s">
        <v>4456</v>
      </c>
      <c r="F533" s="1247"/>
      <c r="G533" s="1247"/>
      <c r="H533" s="1247"/>
      <c r="I533" s="1247"/>
      <c r="J533" s="1247"/>
      <c r="K533" s="93"/>
      <c r="L533" s="772"/>
      <c r="M533" s="93"/>
      <c r="N533" s="936" t="str">
        <f>HYPERLINK("http://wiki.academyofsports.online/tiki-index.php?page=Sitemap-einreichen", "Sitemap")</f>
        <v>Sitemap</v>
      </c>
      <c r="O533" s="93"/>
      <c r="P533" s="93"/>
      <c r="Q533" s="93"/>
      <c r="R533" s="93"/>
      <c r="S533" s="93"/>
      <c r="T533" s="93"/>
      <c r="U533" s="93"/>
      <c r="V533" s="93"/>
      <c r="W533" s="93"/>
      <c r="X533" s="93"/>
      <c r="Y533" s="2"/>
      <c r="Z533" s="2"/>
      <c r="AA533" s="2"/>
      <c r="AB533" s="2"/>
      <c r="AC533" s="2"/>
      <c r="AD533" s="2"/>
      <c r="AE533" s="2"/>
      <c r="AF533" s="2"/>
      <c r="AG533" s="2"/>
      <c r="AH533" s="2"/>
      <c r="AI533" s="2"/>
      <c r="AJ533" s="2"/>
      <c r="AK533" s="2"/>
      <c r="AL533" s="2"/>
      <c r="AM533" s="2"/>
      <c r="AN533" s="2"/>
    </row>
    <row r="534" spans="3:40" x14ac:dyDescent="0.25">
      <c r="C534" s="11"/>
      <c r="D534" s="11"/>
      <c r="E534" s="939">
        <v>2</v>
      </c>
      <c r="F534" s="1245" t="s">
        <v>4457</v>
      </c>
      <c r="G534" s="1245"/>
      <c r="H534" s="1245"/>
      <c r="I534" s="1245"/>
      <c r="J534" s="1245"/>
      <c r="K534" s="931"/>
      <c r="L534" s="932"/>
      <c r="M534" s="931"/>
      <c r="N534" s="931"/>
      <c r="O534" s="931"/>
      <c r="P534" s="931"/>
      <c r="Q534" s="931"/>
      <c r="R534" s="931"/>
      <c r="S534" s="931"/>
      <c r="T534" s="931"/>
      <c r="U534" s="931"/>
      <c r="V534" s="931"/>
      <c r="W534" s="931"/>
      <c r="X534" s="931"/>
      <c r="Y534" s="2"/>
      <c r="Z534" s="2"/>
      <c r="AA534" s="2"/>
      <c r="AB534" s="2"/>
      <c r="AC534" s="2"/>
      <c r="AD534" s="2"/>
      <c r="AE534" s="2"/>
      <c r="AF534" s="2"/>
      <c r="AG534" s="2"/>
      <c r="AH534" s="2"/>
      <c r="AI534" s="2"/>
      <c r="AJ534" s="2"/>
      <c r="AK534" s="2"/>
      <c r="AL534" s="2"/>
      <c r="AM534" s="2"/>
      <c r="AN534" s="2"/>
    </row>
    <row r="535" spans="3:40" ht="24.75" customHeight="1" x14ac:dyDescent="0.25">
      <c r="C535" s="11"/>
      <c r="D535" s="11"/>
      <c r="E535" s="41"/>
      <c r="F535" s="11">
        <v>3</v>
      </c>
      <c r="G535" s="11"/>
      <c r="H535" s="11"/>
      <c r="I535" s="11"/>
      <c r="J535" s="6" t="s">
        <v>4458</v>
      </c>
      <c r="K535" s="6" t="s">
        <v>4459</v>
      </c>
      <c r="L535" s="8" t="s">
        <v>3605</v>
      </c>
      <c r="M535" s="11"/>
      <c r="N535" s="11"/>
      <c r="O535" s="11"/>
      <c r="P535" s="6" t="s">
        <v>4460</v>
      </c>
      <c r="Q535" s="10" t="s">
        <v>4461</v>
      </c>
      <c r="R535" s="11"/>
      <c r="S535" s="11"/>
      <c r="T535" s="11"/>
      <c r="U535" s="11"/>
      <c r="V535" s="11"/>
      <c r="W535" s="11"/>
      <c r="X535" s="11"/>
      <c r="Y535" s="2"/>
      <c r="Z535" s="2"/>
      <c r="AA535" s="2"/>
      <c r="AB535" s="2"/>
      <c r="AC535" s="2"/>
      <c r="AD535" s="2"/>
      <c r="AE535" s="2"/>
      <c r="AF535" s="2"/>
      <c r="AG535" s="2"/>
      <c r="AH535" s="2"/>
      <c r="AI535" s="2"/>
      <c r="AJ535" s="2"/>
      <c r="AK535" s="2"/>
      <c r="AL535" s="2"/>
      <c r="AM535" s="2"/>
      <c r="AN535" s="2"/>
    </row>
    <row r="536" spans="3:40" ht="24.75" customHeight="1" x14ac:dyDescent="0.25">
      <c r="C536" s="11"/>
      <c r="D536" s="11"/>
      <c r="E536" s="41"/>
      <c r="F536" s="11">
        <v>3</v>
      </c>
      <c r="G536" s="11"/>
      <c r="H536" s="11"/>
      <c r="I536" s="11"/>
      <c r="J536" s="10" t="s">
        <v>4462</v>
      </c>
      <c r="K536" s="6" t="s">
        <v>4463</v>
      </c>
      <c r="L536" s="8" t="s">
        <v>3605</v>
      </c>
      <c r="M536" s="11"/>
      <c r="N536" s="11"/>
      <c r="O536" s="11"/>
      <c r="P536" s="6"/>
      <c r="Q536" s="11"/>
      <c r="R536" s="11"/>
      <c r="S536" s="11"/>
      <c r="T536" s="11"/>
      <c r="U536" s="11"/>
      <c r="V536" s="11"/>
      <c r="W536" s="11"/>
      <c r="X536" s="11"/>
      <c r="Y536" s="2"/>
      <c r="Z536" s="2"/>
      <c r="AA536" s="2"/>
      <c r="AB536" s="2"/>
      <c r="AC536" s="2"/>
      <c r="AD536" s="2"/>
      <c r="AE536" s="2"/>
      <c r="AF536" s="2"/>
      <c r="AG536" s="2"/>
      <c r="AH536" s="2"/>
      <c r="AI536" s="2"/>
      <c r="AJ536" s="2"/>
      <c r="AK536" s="2"/>
      <c r="AL536" s="2"/>
      <c r="AM536" s="2"/>
      <c r="AN536" s="2"/>
    </row>
    <row r="537" spans="3:40" ht="24.75" customHeight="1" x14ac:dyDescent="0.25">
      <c r="C537" s="11"/>
      <c r="D537" s="11"/>
      <c r="E537" s="41"/>
      <c r="F537" s="11">
        <v>3</v>
      </c>
      <c r="G537" s="11"/>
      <c r="H537" s="11"/>
      <c r="I537" s="11"/>
      <c r="J537" s="10" t="s">
        <v>4464</v>
      </c>
      <c r="K537" s="6" t="s">
        <v>4459</v>
      </c>
      <c r="L537" s="8" t="s">
        <v>3605</v>
      </c>
      <c r="M537" s="11"/>
      <c r="N537" s="11"/>
      <c r="O537" s="11"/>
      <c r="P537" s="6" t="s">
        <v>4465</v>
      </c>
      <c r="Q537" s="10" t="s">
        <v>4461</v>
      </c>
      <c r="R537" s="11"/>
      <c r="S537" s="11"/>
      <c r="T537" s="11"/>
      <c r="U537" s="11"/>
      <c r="V537" s="11"/>
      <c r="W537" s="11"/>
      <c r="X537" s="11"/>
      <c r="Y537" s="2"/>
      <c r="Z537" s="2"/>
      <c r="AA537" s="2"/>
      <c r="AB537" s="2"/>
      <c r="AC537" s="2"/>
      <c r="AD537" s="2"/>
      <c r="AE537" s="2"/>
      <c r="AF537" s="2"/>
      <c r="AG537" s="2"/>
      <c r="AH537" s="2"/>
      <c r="AI537" s="2"/>
      <c r="AJ537" s="2"/>
      <c r="AK537" s="2"/>
      <c r="AL537" s="2"/>
      <c r="AM537" s="2"/>
      <c r="AN537" s="2"/>
    </row>
    <row r="538" spans="3:40" x14ac:dyDescent="0.25">
      <c r="C538" s="11"/>
      <c r="D538" s="11"/>
      <c r="E538" s="939">
        <v>2</v>
      </c>
      <c r="F538" s="1245" t="s">
        <v>4466</v>
      </c>
      <c r="G538" s="1245"/>
      <c r="H538" s="1245"/>
      <c r="I538" s="1245"/>
      <c r="J538" s="1245"/>
      <c r="K538" s="931"/>
      <c r="L538" s="932"/>
      <c r="M538" s="931"/>
      <c r="N538" s="931"/>
      <c r="O538" s="931"/>
      <c r="P538" s="931"/>
      <c r="Q538" s="931"/>
      <c r="R538" s="931"/>
      <c r="S538" s="931"/>
      <c r="T538" s="931"/>
      <c r="U538" s="931"/>
      <c r="V538" s="931"/>
      <c r="W538" s="931"/>
      <c r="X538" s="931"/>
      <c r="Y538" s="2"/>
      <c r="Z538" s="2"/>
      <c r="AA538" s="2"/>
      <c r="AB538" s="2"/>
      <c r="AC538" s="2"/>
      <c r="AD538" s="2"/>
      <c r="AE538" s="2"/>
      <c r="AF538" s="2"/>
      <c r="AG538" s="2"/>
      <c r="AH538" s="2"/>
      <c r="AI538" s="2"/>
      <c r="AJ538" s="2"/>
      <c r="AK538" s="2"/>
      <c r="AL538" s="2"/>
      <c r="AM538" s="2"/>
      <c r="AN538" s="2"/>
    </row>
    <row r="539" spans="3:40" ht="37.5" customHeight="1" x14ac:dyDescent="0.25">
      <c r="C539" s="11"/>
      <c r="D539" s="11"/>
      <c r="E539" s="41"/>
      <c r="F539" s="11">
        <v>3</v>
      </c>
      <c r="G539" s="11"/>
      <c r="H539" s="11"/>
      <c r="I539" s="11"/>
      <c r="J539" s="10" t="s">
        <v>3932</v>
      </c>
      <c r="K539" s="6" t="s">
        <v>4467</v>
      </c>
      <c r="L539" s="8" t="s">
        <v>3605</v>
      </c>
      <c r="M539" s="11"/>
      <c r="N539" s="11"/>
      <c r="O539" s="11"/>
      <c r="P539" s="6" t="s">
        <v>4190</v>
      </c>
      <c r="Q539" s="10" t="s">
        <v>4468</v>
      </c>
      <c r="R539" s="11"/>
      <c r="S539" s="11"/>
      <c r="T539" s="11"/>
      <c r="U539" s="11"/>
      <c r="V539" s="11"/>
      <c r="W539" s="11"/>
      <c r="X539" s="11"/>
      <c r="Y539" s="2"/>
      <c r="Z539" s="2"/>
      <c r="AA539" s="2"/>
      <c r="AB539" s="2"/>
      <c r="AC539" s="2"/>
      <c r="AD539" s="2"/>
      <c r="AE539" s="2"/>
      <c r="AF539" s="2"/>
      <c r="AG539" s="2"/>
      <c r="AH539" s="2"/>
      <c r="AI539" s="2"/>
      <c r="AJ539" s="2"/>
      <c r="AK539" s="2"/>
      <c r="AL539" s="2"/>
      <c r="AM539" s="2"/>
      <c r="AN539" s="2"/>
    </row>
    <row r="540" spans="3:40" ht="24.75" customHeight="1" x14ac:dyDescent="0.25">
      <c r="C540" s="11"/>
      <c r="D540" s="11"/>
      <c r="E540" s="41"/>
      <c r="F540" s="11">
        <v>3</v>
      </c>
      <c r="G540" s="11"/>
      <c r="H540" s="11"/>
      <c r="I540" s="11"/>
      <c r="J540" s="10" t="s">
        <v>4469</v>
      </c>
      <c r="K540" s="6" t="s">
        <v>4470</v>
      </c>
      <c r="L540" s="8" t="s">
        <v>3605</v>
      </c>
      <c r="M540" s="11"/>
      <c r="N540" s="11"/>
      <c r="O540" s="11"/>
      <c r="P540" s="6"/>
      <c r="Q540" s="10" t="s">
        <v>4471</v>
      </c>
      <c r="R540" s="11"/>
      <c r="S540" s="11"/>
      <c r="T540" s="11"/>
      <c r="U540" s="11"/>
      <c r="V540" s="11"/>
      <c r="W540" s="11"/>
      <c r="X540" s="11"/>
      <c r="Y540" s="2"/>
      <c r="Z540" s="2"/>
      <c r="AA540" s="2"/>
      <c r="AB540" s="2"/>
      <c r="AC540" s="2"/>
      <c r="AD540" s="2"/>
      <c r="AE540" s="2"/>
      <c r="AF540" s="2"/>
      <c r="AG540" s="2"/>
      <c r="AH540" s="2"/>
      <c r="AI540" s="2"/>
      <c r="AJ540" s="2"/>
      <c r="AK540" s="2"/>
      <c r="AL540" s="2"/>
      <c r="AM540" s="2"/>
      <c r="AN540" s="2"/>
    </row>
    <row r="541" spans="3:40" ht="20.25" customHeight="1" x14ac:dyDescent="0.25">
      <c r="C541" s="93"/>
      <c r="D541" s="93">
        <v>1</v>
      </c>
      <c r="E541" s="1247" t="s">
        <v>4472</v>
      </c>
      <c r="F541" s="1247"/>
      <c r="G541" s="1247"/>
      <c r="H541" s="1247"/>
      <c r="I541" s="1247"/>
      <c r="J541" s="1247"/>
      <c r="K541" s="93"/>
      <c r="L541" s="772"/>
      <c r="M541" s="93"/>
      <c r="N541" s="93"/>
      <c r="O541" s="93"/>
      <c r="P541" s="93"/>
      <c r="Q541" s="93"/>
      <c r="R541" s="93"/>
      <c r="S541" s="93"/>
      <c r="T541" s="93"/>
      <c r="U541" s="93"/>
      <c r="V541" s="93"/>
      <c r="W541" s="93"/>
      <c r="X541" s="93"/>
      <c r="Y541" s="2"/>
      <c r="Z541" s="2"/>
      <c r="AA541" s="2"/>
      <c r="AB541" s="2"/>
      <c r="AC541" s="2"/>
      <c r="AD541" s="2"/>
      <c r="AE541" s="2"/>
      <c r="AF541" s="2"/>
      <c r="AG541" s="2"/>
      <c r="AH541" s="2"/>
      <c r="AI541" s="2"/>
      <c r="AJ541" s="2"/>
      <c r="AK541" s="2"/>
      <c r="AL541" s="2"/>
      <c r="AM541" s="2"/>
      <c r="AN541" s="2"/>
    </row>
    <row r="542" spans="3:40" x14ac:dyDescent="0.25">
      <c r="C542" s="11"/>
      <c r="D542" s="11"/>
      <c r="E542" s="939">
        <v>2</v>
      </c>
      <c r="F542" s="1245" t="s">
        <v>4473</v>
      </c>
      <c r="G542" s="1245"/>
      <c r="H542" s="1245"/>
      <c r="I542" s="1245"/>
      <c r="J542" s="1245"/>
      <c r="K542" s="931"/>
      <c r="L542" s="932"/>
      <c r="M542" s="931"/>
      <c r="N542" s="931"/>
      <c r="O542" s="931"/>
      <c r="P542" s="931"/>
      <c r="Q542" s="931"/>
      <c r="R542" s="931"/>
      <c r="S542" s="931"/>
      <c r="T542" s="931"/>
      <c r="U542" s="931"/>
      <c r="V542" s="931"/>
      <c r="W542" s="931"/>
      <c r="X542" s="931"/>
      <c r="Y542" s="2"/>
      <c r="Z542" s="2"/>
      <c r="AA542" s="2"/>
      <c r="AB542" s="2"/>
      <c r="AC542" s="2"/>
      <c r="AD542" s="2"/>
      <c r="AE542" s="2"/>
      <c r="AF542" s="2"/>
      <c r="AG542" s="2"/>
      <c r="AH542" s="2"/>
      <c r="AI542" s="2"/>
      <c r="AJ542" s="2"/>
      <c r="AK542" s="2"/>
      <c r="AL542" s="2"/>
      <c r="AM542" s="2"/>
      <c r="AN542" s="2"/>
    </row>
    <row r="543" spans="3:40" ht="24.75" customHeight="1" x14ac:dyDescent="0.25">
      <c r="C543" s="11"/>
      <c r="D543" s="11"/>
      <c r="E543" s="41"/>
      <c r="F543" s="11">
        <v>3</v>
      </c>
      <c r="G543" s="11"/>
      <c r="H543" s="11"/>
      <c r="I543" s="11"/>
      <c r="J543" s="6" t="s">
        <v>4474</v>
      </c>
      <c r="K543" s="6" t="s">
        <v>4475</v>
      </c>
      <c r="L543" s="8" t="s">
        <v>3650</v>
      </c>
      <c r="M543" s="11"/>
      <c r="N543" s="10" t="s">
        <v>4476</v>
      </c>
      <c r="O543" s="10"/>
      <c r="P543" s="10" t="s">
        <v>4363</v>
      </c>
      <c r="Q543" s="6" t="s">
        <v>4477</v>
      </c>
      <c r="R543" s="11"/>
      <c r="S543" s="11"/>
      <c r="T543" s="11"/>
      <c r="U543" s="11"/>
      <c r="V543" s="11"/>
      <c r="W543" s="11"/>
      <c r="X543" s="11"/>
      <c r="Y543" s="2"/>
      <c r="Z543" s="2"/>
      <c r="AA543" s="2"/>
      <c r="AB543" s="2"/>
      <c r="AC543" s="2"/>
      <c r="AD543" s="2"/>
      <c r="AE543" s="2"/>
      <c r="AF543" s="2"/>
      <c r="AG543" s="2"/>
      <c r="AH543" s="2"/>
      <c r="AI543" s="2"/>
      <c r="AJ543" s="2"/>
      <c r="AK543" s="2"/>
      <c r="AL543" s="2"/>
      <c r="AM543" s="2"/>
      <c r="AN543" s="2"/>
    </row>
    <row r="544" spans="3:40" x14ac:dyDescent="0.25">
      <c r="C544" s="11"/>
      <c r="D544" s="11"/>
      <c r="E544" s="939">
        <v>2</v>
      </c>
      <c r="F544" s="1245" t="s">
        <v>3643</v>
      </c>
      <c r="G544" s="1245"/>
      <c r="H544" s="1245"/>
      <c r="I544" s="1245"/>
      <c r="J544" s="1245"/>
      <c r="K544" s="931"/>
      <c r="L544" s="932"/>
      <c r="M544" s="931"/>
      <c r="N544" s="931"/>
      <c r="O544" s="931"/>
      <c r="P544" s="931"/>
      <c r="Q544" s="931"/>
      <c r="R544" s="931"/>
      <c r="S544" s="931"/>
      <c r="T544" s="931"/>
      <c r="U544" s="931"/>
      <c r="V544" s="931"/>
      <c r="W544" s="931"/>
      <c r="X544" s="931"/>
      <c r="Y544" s="2"/>
      <c r="Z544" s="2"/>
      <c r="AA544" s="2"/>
      <c r="AB544" s="2"/>
      <c r="AC544" s="2"/>
      <c r="AD544" s="2"/>
      <c r="AE544" s="2"/>
      <c r="AF544" s="2"/>
      <c r="AG544" s="2"/>
      <c r="AH544" s="2"/>
      <c r="AI544" s="2"/>
      <c r="AJ544" s="2"/>
      <c r="AK544" s="2"/>
      <c r="AL544" s="2"/>
      <c r="AM544" s="2"/>
      <c r="AN544" s="2"/>
    </row>
    <row r="545" spans="3:40" ht="24.75" customHeight="1" x14ac:dyDescent="0.25">
      <c r="C545" s="11"/>
      <c r="D545" s="11"/>
      <c r="E545" s="41"/>
      <c r="F545" s="11">
        <v>3</v>
      </c>
      <c r="G545" s="11"/>
      <c r="H545" s="11"/>
      <c r="I545" s="11"/>
      <c r="J545" s="10" t="s">
        <v>3698</v>
      </c>
      <c r="K545" s="6" t="s">
        <v>4478</v>
      </c>
      <c r="L545" s="8" t="s">
        <v>3650</v>
      </c>
      <c r="M545" s="11"/>
      <c r="N545" s="11"/>
      <c r="O545" s="11"/>
      <c r="P545" s="10" t="s">
        <v>4363</v>
      </c>
      <c r="Q545" s="6" t="s">
        <v>4477</v>
      </c>
      <c r="R545" s="11"/>
      <c r="S545" s="11"/>
      <c r="T545" s="11"/>
      <c r="U545" s="11"/>
      <c r="V545" s="11"/>
      <c r="W545" s="11"/>
      <c r="X545" s="11"/>
      <c r="Y545" s="2"/>
      <c r="Z545" s="2"/>
      <c r="AA545" s="2"/>
      <c r="AB545" s="2"/>
      <c r="AC545" s="2"/>
      <c r="AD545" s="2"/>
      <c r="AE545" s="2"/>
      <c r="AF545" s="2"/>
      <c r="AG545" s="2"/>
      <c r="AH545" s="2"/>
      <c r="AI545" s="2"/>
      <c r="AJ545" s="2"/>
      <c r="AK545" s="2"/>
      <c r="AL545" s="2"/>
      <c r="AM545" s="2"/>
      <c r="AN545" s="2"/>
    </row>
    <row r="546" spans="3:40" ht="24.75" customHeight="1" x14ac:dyDescent="0.25">
      <c r="C546" s="11"/>
      <c r="D546" s="11"/>
      <c r="E546" s="41"/>
      <c r="F546" s="11">
        <v>3</v>
      </c>
      <c r="G546" s="11"/>
      <c r="H546" s="11"/>
      <c r="I546" s="11"/>
      <c r="J546" s="10" t="s">
        <v>4479</v>
      </c>
      <c r="K546" s="6" t="s">
        <v>4478</v>
      </c>
      <c r="L546" s="8" t="s">
        <v>3650</v>
      </c>
      <c r="M546" s="11"/>
      <c r="N546" s="11"/>
      <c r="O546" s="11"/>
      <c r="P546" s="10" t="s">
        <v>4363</v>
      </c>
      <c r="Q546" s="6" t="s">
        <v>4477</v>
      </c>
      <c r="R546" s="11"/>
      <c r="S546" s="11"/>
      <c r="T546" s="11"/>
      <c r="U546" s="11"/>
      <c r="V546" s="11"/>
      <c r="W546" s="11"/>
      <c r="X546" s="11"/>
      <c r="Y546" s="2"/>
      <c r="Z546" s="2"/>
      <c r="AA546" s="2"/>
      <c r="AB546" s="2"/>
      <c r="AC546" s="2"/>
      <c r="AD546" s="2"/>
      <c r="AE546" s="2"/>
      <c r="AF546" s="2"/>
      <c r="AG546" s="2"/>
      <c r="AH546" s="2"/>
      <c r="AI546" s="2"/>
      <c r="AJ546" s="2"/>
      <c r="AK546" s="2"/>
      <c r="AL546" s="2"/>
      <c r="AM546" s="2"/>
      <c r="AN546" s="2"/>
    </row>
    <row r="547" spans="3:40" ht="24.75" customHeight="1" x14ac:dyDescent="0.25">
      <c r="C547" s="11"/>
      <c r="D547" s="11"/>
      <c r="E547" s="41"/>
      <c r="F547" s="11">
        <v>3</v>
      </c>
      <c r="G547" s="11"/>
      <c r="H547" s="11"/>
      <c r="I547" s="11"/>
      <c r="J547" s="10" t="s">
        <v>4480</v>
      </c>
      <c r="K547" s="6" t="s">
        <v>4481</v>
      </c>
      <c r="L547" s="8" t="s">
        <v>3953</v>
      </c>
      <c r="M547" s="11"/>
      <c r="N547" s="11" t="s">
        <v>4482</v>
      </c>
      <c r="O547" s="11"/>
      <c r="P547" s="10"/>
      <c r="Q547" s="6"/>
      <c r="R547" s="11"/>
      <c r="S547" s="11"/>
      <c r="T547" s="11"/>
      <c r="U547" s="11"/>
      <c r="V547" s="11"/>
      <c r="W547" s="11"/>
      <c r="X547" s="11"/>
      <c r="Y547" s="2"/>
      <c r="Z547" s="2"/>
      <c r="AA547" s="2"/>
      <c r="AB547" s="2"/>
      <c r="AC547" s="2"/>
      <c r="AD547" s="2"/>
      <c r="AE547" s="2"/>
      <c r="AF547" s="2"/>
      <c r="AG547" s="2"/>
      <c r="AH547" s="2"/>
      <c r="AI547" s="2"/>
      <c r="AJ547" s="2"/>
      <c r="AK547" s="2"/>
      <c r="AL547" s="2"/>
      <c r="AM547" s="2"/>
      <c r="AN547" s="2"/>
    </row>
    <row r="548" spans="3:40" ht="24.75" customHeight="1" x14ac:dyDescent="0.25">
      <c r="C548" s="11"/>
      <c r="D548" s="11"/>
      <c r="E548" s="41"/>
      <c r="F548" s="11">
        <v>3</v>
      </c>
      <c r="G548" s="11"/>
      <c r="H548" s="11"/>
      <c r="I548" s="11"/>
      <c r="J548" s="10" t="s">
        <v>4483</v>
      </c>
      <c r="K548" s="6" t="s">
        <v>4484</v>
      </c>
      <c r="L548" s="8" t="s">
        <v>3953</v>
      </c>
      <c r="M548" s="11"/>
      <c r="N548" s="11" t="s">
        <v>4482</v>
      </c>
      <c r="O548" s="11"/>
      <c r="P548" s="10"/>
      <c r="Q548" s="6"/>
      <c r="R548" s="11"/>
      <c r="S548" s="11"/>
      <c r="T548" s="11"/>
      <c r="U548" s="11"/>
      <c r="V548" s="11"/>
      <c r="W548" s="11"/>
      <c r="X548" s="11"/>
      <c r="Y548" s="2"/>
      <c r="Z548" s="2"/>
      <c r="AA548" s="2"/>
      <c r="AB548" s="2"/>
      <c r="AC548" s="2"/>
      <c r="AD548" s="2"/>
      <c r="AE548" s="2"/>
      <c r="AF548" s="2"/>
      <c r="AG548" s="2"/>
      <c r="AH548" s="2"/>
      <c r="AI548" s="2"/>
      <c r="AJ548" s="2"/>
      <c r="AK548" s="2"/>
      <c r="AL548" s="2"/>
      <c r="AM548" s="2"/>
      <c r="AN548" s="2"/>
    </row>
    <row r="549" spans="3:40" x14ac:dyDescent="0.25">
      <c r="C549" s="11"/>
      <c r="D549" s="11"/>
      <c r="E549" s="939">
        <v>2</v>
      </c>
      <c r="F549" s="1245" t="s">
        <v>4485</v>
      </c>
      <c r="G549" s="1245"/>
      <c r="H549" s="1245"/>
      <c r="I549" s="1245"/>
      <c r="J549" s="1245"/>
      <c r="K549" s="931"/>
      <c r="L549" s="932"/>
      <c r="M549" s="931"/>
      <c r="N549" s="931"/>
      <c r="O549" s="931"/>
      <c r="P549" s="931"/>
      <c r="Q549" s="931"/>
      <c r="R549" s="931"/>
      <c r="S549" s="931"/>
      <c r="T549" s="931"/>
      <c r="U549" s="931"/>
      <c r="V549" s="931"/>
      <c r="W549" s="931"/>
      <c r="X549" s="931"/>
      <c r="Y549" s="2"/>
      <c r="Z549" s="2"/>
      <c r="AA549" s="2"/>
      <c r="AB549" s="2"/>
      <c r="AC549" s="2"/>
      <c r="AD549" s="2"/>
      <c r="AE549" s="2"/>
      <c r="AF549" s="2"/>
      <c r="AG549" s="2"/>
      <c r="AH549" s="2"/>
      <c r="AI549" s="2"/>
      <c r="AJ549" s="2"/>
      <c r="AK549" s="2"/>
      <c r="AL549" s="2"/>
      <c r="AM549" s="2"/>
      <c r="AN549" s="2"/>
    </row>
    <row r="550" spans="3:40" ht="24.75" customHeight="1" x14ac:dyDescent="0.25">
      <c r="C550" s="11"/>
      <c r="D550" s="11"/>
      <c r="E550" s="41"/>
      <c r="F550" s="11">
        <v>3</v>
      </c>
      <c r="G550" s="11"/>
      <c r="H550" s="11"/>
      <c r="I550" s="11"/>
      <c r="J550" s="10" t="s">
        <v>4486</v>
      </c>
      <c r="K550" s="6" t="s">
        <v>4478</v>
      </c>
      <c r="L550" s="8" t="s">
        <v>3650</v>
      </c>
      <c r="M550" s="11"/>
      <c r="N550" s="11"/>
      <c r="O550" s="11"/>
      <c r="P550" s="10" t="s">
        <v>4363</v>
      </c>
      <c r="Q550" s="6" t="s">
        <v>4477</v>
      </c>
      <c r="R550" s="11"/>
      <c r="S550" s="11"/>
      <c r="T550" s="11"/>
      <c r="U550" s="11"/>
      <c r="V550" s="11"/>
      <c r="W550" s="11"/>
      <c r="X550" s="11"/>
      <c r="Y550" s="2"/>
      <c r="Z550" s="2"/>
      <c r="AA550" s="2"/>
      <c r="AB550" s="2"/>
      <c r="AC550" s="2"/>
      <c r="AD550" s="2"/>
      <c r="AE550" s="2"/>
      <c r="AF550" s="2"/>
      <c r="AG550" s="2"/>
      <c r="AH550" s="2"/>
      <c r="AI550" s="2"/>
      <c r="AJ550" s="2"/>
      <c r="AK550" s="2"/>
      <c r="AL550" s="2"/>
      <c r="AM550" s="2"/>
      <c r="AN550" s="2"/>
    </row>
    <row r="551" spans="3:40" ht="24.75" customHeight="1" x14ac:dyDescent="0.25">
      <c r="C551" s="11"/>
      <c r="D551" s="11"/>
      <c r="E551" s="41"/>
      <c r="F551" s="11">
        <v>3</v>
      </c>
      <c r="G551" s="11"/>
      <c r="H551" s="11"/>
      <c r="I551" s="11"/>
      <c r="J551" s="10" t="s">
        <v>3862</v>
      </c>
      <c r="K551" s="6" t="s">
        <v>4478</v>
      </c>
      <c r="L551" s="8" t="s">
        <v>3650</v>
      </c>
      <c r="M551" s="11"/>
      <c r="N551" s="11"/>
      <c r="O551" s="11"/>
      <c r="P551" s="10" t="s">
        <v>4363</v>
      </c>
      <c r="Q551" s="6" t="s">
        <v>4477</v>
      </c>
      <c r="R551" s="11"/>
      <c r="S551" s="11"/>
      <c r="T551" s="11"/>
      <c r="U551" s="11"/>
      <c r="V551" s="11"/>
      <c r="W551" s="11"/>
      <c r="X551" s="11"/>
      <c r="Y551" s="2"/>
      <c r="Z551" s="2"/>
      <c r="AA551" s="2"/>
      <c r="AB551" s="2"/>
      <c r="AC551" s="2"/>
      <c r="AD551" s="2"/>
      <c r="AE551" s="2"/>
      <c r="AF551" s="2"/>
      <c r="AG551" s="2"/>
      <c r="AH551" s="2"/>
      <c r="AI551" s="2"/>
      <c r="AJ551" s="2"/>
      <c r="AK551" s="2"/>
      <c r="AL551" s="2"/>
      <c r="AM551" s="2"/>
      <c r="AN551" s="2"/>
    </row>
    <row r="552" spans="3:40" ht="24.75" customHeight="1" x14ac:dyDescent="0.25">
      <c r="C552" s="11"/>
      <c r="D552" s="11"/>
      <c r="E552" s="41"/>
      <c r="F552" s="11">
        <v>3</v>
      </c>
      <c r="G552" s="11"/>
      <c r="H552" s="11"/>
      <c r="I552" s="11"/>
      <c r="J552" s="10" t="s">
        <v>3785</v>
      </c>
      <c r="K552" s="6" t="s">
        <v>4487</v>
      </c>
      <c r="L552" s="8" t="s">
        <v>4085</v>
      </c>
      <c r="M552" s="11"/>
      <c r="N552" s="11"/>
      <c r="O552" s="11"/>
      <c r="P552" s="6"/>
      <c r="Q552" s="11"/>
      <c r="R552" s="11"/>
      <c r="S552" s="11"/>
      <c r="T552" s="11"/>
      <c r="U552" s="11"/>
      <c r="V552" s="11"/>
      <c r="W552" s="11"/>
      <c r="X552" s="11"/>
      <c r="Y552" s="2"/>
      <c r="Z552" s="2"/>
      <c r="AA552" s="2"/>
      <c r="AB552" s="2"/>
      <c r="AC552" s="2"/>
      <c r="AD552" s="2"/>
      <c r="AE552" s="2"/>
      <c r="AF552" s="2"/>
      <c r="AG552" s="2"/>
      <c r="AH552" s="2"/>
      <c r="AI552" s="2"/>
      <c r="AJ552" s="2"/>
      <c r="AK552" s="2"/>
      <c r="AL552" s="2"/>
      <c r="AM552" s="2"/>
      <c r="AN552" s="2"/>
    </row>
    <row r="553" spans="3:40" ht="24.75" customHeight="1" x14ac:dyDescent="0.25">
      <c r="C553" s="11"/>
      <c r="D553" s="11"/>
      <c r="E553" s="41"/>
      <c r="F553" s="11">
        <v>3</v>
      </c>
      <c r="G553" s="11"/>
      <c r="H553" s="11"/>
      <c r="I553" s="11"/>
      <c r="J553" s="24" t="s">
        <v>2992</v>
      </c>
      <c r="K553" s="6" t="s">
        <v>4488</v>
      </c>
      <c r="L553" s="8" t="s">
        <v>3966</v>
      </c>
      <c r="M553" s="11"/>
      <c r="N553" s="11"/>
      <c r="O553" s="11"/>
      <c r="P553" s="6"/>
      <c r="Q553" s="11"/>
      <c r="R553" s="11"/>
      <c r="S553" s="11"/>
      <c r="T553" s="11"/>
      <c r="U553" s="11"/>
      <c r="V553" s="11"/>
      <c r="W553" s="11"/>
      <c r="X553" s="11"/>
      <c r="Y553" s="2"/>
      <c r="Z553" s="2"/>
      <c r="AA553" s="2"/>
      <c r="AB553" s="2"/>
      <c r="AC553" s="2"/>
      <c r="AD553" s="2"/>
      <c r="AE553" s="2"/>
      <c r="AF553" s="2"/>
      <c r="AG553" s="2"/>
      <c r="AH553" s="2"/>
      <c r="AI553" s="2"/>
      <c r="AJ553" s="2"/>
      <c r="AK553" s="2"/>
      <c r="AL553" s="2"/>
      <c r="AM553" s="2"/>
      <c r="AN553" s="2"/>
    </row>
    <row r="554" spans="3:40" ht="20.25" customHeight="1" x14ac:dyDescent="0.25">
      <c r="C554" s="93"/>
      <c r="D554" s="93">
        <v>1</v>
      </c>
      <c r="E554" s="1247" t="s">
        <v>4489</v>
      </c>
      <c r="F554" s="1247"/>
      <c r="G554" s="1247"/>
      <c r="H554" s="1247"/>
      <c r="I554" s="1247"/>
      <c r="J554" s="1247"/>
      <c r="K554" s="93"/>
      <c r="L554" s="772"/>
      <c r="M554" s="93"/>
      <c r="N554" s="93"/>
      <c r="O554" s="93"/>
      <c r="P554" s="93"/>
      <c r="Q554" s="93"/>
      <c r="R554" s="93"/>
      <c r="S554" s="93"/>
      <c r="T554" s="93"/>
      <c r="U554" s="93"/>
      <c r="V554" s="93"/>
      <c r="W554" s="93"/>
      <c r="X554" s="93"/>
      <c r="Y554" s="2"/>
      <c r="Z554" s="2"/>
      <c r="AA554" s="2"/>
      <c r="AB554" s="2"/>
      <c r="AC554" s="2"/>
      <c r="AD554" s="2"/>
      <c r="AE554" s="2"/>
      <c r="AF554" s="2"/>
      <c r="AG554" s="2"/>
      <c r="AH554" s="2"/>
      <c r="AI554" s="2"/>
      <c r="AJ554" s="2"/>
      <c r="AK554" s="2"/>
      <c r="AL554" s="2"/>
      <c r="AM554" s="2"/>
      <c r="AN554" s="2"/>
    </row>
    <row r="555" spans="3:40" x14ac:dyDescent="0.25">
      <c r="C555" s="11"/>
      <c r="D555" s="11"/>
      <c r="E555" s="939">
        <v>2</v>
      </c>
      <c r="F555" s="1245"/>
      <c r="G555" s="1245"/>
      <c r="H555" s="1245"/>
      <c r="I555" s="1245"/>
      <c r="J555" s="1245"/>
      <c r="K555" s="931"/>
      <c r="L555" s="932"/>
      <c r="M555" s="931"/>
      <c r="N555" s="931"/>
      <c r="O555" s="931"/>
      <c r="P555" s="931"/>
      <c r="Q555" s="931"/>
      <c r="R555" s="931"/>
      <c r="S555" s="931"/>
      <c r="T555" s="931"/>
      <c r="U555" s="931"/>
      <c r="V555" s="931"/>
      <c r="W555" s="931"/>
      <c r="X555" s="931"/>
      <c r="Y555" s="2"/>
      <c r="Z555" s="2"/>
      <c r="AA555" s="2"/>
      <c r="AB555" s="2"/>
      <c r="AC555" s="2"/>
      <c r="AD555" s="2"/>
      <c r="AE555" s="2"/>
      <c r="AF555" s="2"/>
      <c r="AG555" s="2"/>
      <c r="AH555" s="2"/>
      <c r="AI555" s="2"/>
      <c r="AJ555" s="2"/>
      <c r="AK555" s="2"/>
      <c r="AL555" s="2"/>
      <c r="AM555" s="2"/>
      <c r="AN555" s="2"/>
    </row>
    <row r="556" spans="3:40" ht="45" x14ac:dyDescent="0.25">
      <c r="C556" s="11"/>
      <c r="D556" s="11"/>
      <c r="E556" s="41"/>
      <c r="F556" s="11">
        <v>3</v>
      </c>
      <c r="G556" s="11"/>
      <c r="H556" s="11"/>
      <c r="I556" s="11"/>
      <c r="J556" s="6" t="s">
        <v>4144</v>
      </c>
      <c r="K556" s="6" t="s">
        <v>4490</v>
      </c>
      <c r="L556" s="8" t="s">
        <v>4491</v>
      </c>
      <c r="M556" s="11"/>
      <c r="N556" s="716" t="str">
        <f>HYPERLINK("https://indd.adobe.com/view/ba300e2b-2668-4dcf-a1ca-4b2d6e9eefb4", "CD Delst")</f>
        <v>CD Delst</v>
      </c>
      <c r="O556" s="11"/>
      <c r="P556" s="6"/>
      <c r="Q556" s="6" t="s">
        <v>4492</v>
      </c>
      <c r="R556" s="11"/>
      <c r="S556" s="11"/>
      <c r="T556" s="11"/>
      <c r="U556" s="11"/>
      <c r="V556" s="11"/>
      <c r="W556" s="11"/>
      <c r="X556" s="11"/>
      <c r="Y556" s="2"/>
      <c r="Z556" s="2"/>
      <c r="AA556" s="2"/>
      <c r="AB556" s="2"/>
      <c r="AC556" s="2"/>
      <c r="AD556" s="2"/>
      <c r="AE556" s="2"/>
      <c r="AF556" s="2"/>
      <c r="AG556" s="2"/>
      <c r="AH556" s="2"/>
      <c r="AI556" s="2"/>
      <c r="AJ556" s="2"/>
      <c r="AK556" s="2"/>
      <c r="AL556" s="2"/>
      <c r="AM556" s="2"/>
      <c r="AN556" s="2"/>
    </row>
    <row r="557" spans="3:40" ht="24.75" customHeight="1" x14ac:dyDescent="0.25">
      <c r="C557" s="11"/>
      <c r="D557" s="11"/>
      <c r="E557" s="41"/>
      <c r="F557" s="11">
        <v>3</v>
      </c>
      <c r="G557" s="11"/>
      <c r="H557" s="11"/>
      <c r="I557" s="11"/>
      <c r="J557" s="10" t="s">
        <v>4149</v>
      </c>
      <c r="K557" s="6" t="s">
        <v>4493</v>
      </c>
      <c r="L557" s="8" t="s">
        <v>3953</v>
      </c>
      <c r="M557" s="11"/>
      <c r="N557" s="11"/>
      <c r="O557" s="11"/>
      <c r="P557" s="6"/>
      <c r="Q557" s="11"/>
      <c r="R557" s="11"/>
      <c r="S557" s="11"/>
      <c r="T557" s="11"/>
      <c r="U557" s="11"/>
      <c r="V557" s="11"/>
      <c r="W557" s="11"/>
      <c r="X557" s="11"/>
      <c r="Y557" s="2"/>
      <c r="Z557" s="2"/>
      <c r="AA557" s="2"/>
      <c r="AB557" s="2"/>
      <c r="AC557" s="2"/>
      <c r="AD557" s="2"/>
      <c r="AE557" s="2"/>
      <c r="AF557" s="2"/>
      <c r="AG557" s="2"/>
      <c r="AH557" s="2"/>
      <c r="AI557" s="2"/>
      <c r="AJ557" s="2"/>
      <c r="AK557" s="2"/>
      <c r="AL557" s="2"/>
      <c r="AM557" s="2"/>
      <c r="AN557" s="2"/>
    </row>
    <row r="558" spans="3:40" x14ac:dyDescent="0.25">
      <c r="C558" s="11"/>
      <c r="D558" s="11"/>
      <c r="E558" s="939">
        <v>2</v>
      </c>
      <c r="F558" s="1245" t="s">
        <v>4494</v>
      </c>
      <c r="G558" s="1245"/>
      <c r="H558" s="1245"/>
      <c r="I558" s="1245"/>
      <c r="J558" s="1245"/>
      <c r="K558" s="931"/>
      <c r="L558" s="932"/>
      <c r="M558" s="931"/>
      <c r="N558" s="931"/>
      <c r="O558" s="931"/>
      <c r="P558" s="931"/>
      <c r="Q558" s="931"/>
      <c r="R558" s="931"/>
      <c r="S558" s="931"/>
      <c r="T558" s="931"/>
      <c r="U558" s="931"/>
      <c r="V558" s="931"/>
      <c r="W558" s="931"/>
      <c r="X558" s="931"/>
      <c r="Y558" s="2"/>
      <c r="Z558" s="2"/>
      <c r="AA558" s="2"/>
      <c r="AB558" s="2"/>
      <c r="AC558" s="2"/>
      <c r="AD558" s="2"/>
      <c r="AE558" s="2"/>
      <c r="AF558" s="2"/>
      <c r="AG558" s="2"/>
      <c r="AH558" s="2"/>
      <c r="AI558" s="2"/>
      <c r="AJ558" s="2"/>
      <c r="AK558" s="2"/>
      <c r="AL558" s="2"/>
      <c r="AM558" s="2"/>
      <c r="AN558" s="2"/>
    </row>
    <row r="559" spans="3:40" ht="45" x14ac:dyDescent="0.25">
      <c r="C559" s="11"/>
      <c r="D559" s="11"/>
      <c r="E559" s="41"/>
      <c r="F559" s="11">
        <v>3</v>
      </c>
      <c r="G559" s="11"/>
      <c r="H559" s="11"/>
      <c r="I559" s="11"/>
      <c r="J559" s="6" t="s">
        <v>4144</v>
      </c>
      <c r="K559" s="6" t="s">
        <v>4495</v>
      </c>
      <c r="L559" s="8" t="s">
        <v>3953</v>
      </c>
      <c r="M559" s="11"/>
      <c r="N559" s="11"/>
      <c r="O559" s="11"/>
      <c r="P559" s="6"/>
      <c r="Q559" s="6" t="s">
        <v>4492</v>
      </c>
      <c r="R559" s="11"/>
      <c r="S559" s="11"/>
      <c r="T559" s="11"/>
      <c r="U559" s="11"/>
      <c r="V559" s="11"/>
      <c r="W559" s="11"/>
      <c r="X559" s="11"/>
      <c r="Y559" s="2"/>
      <c r="Z559" s="2"/>
      <c r="AA559" s="2"/>
      <c r="AB559" s="2"/>
      <c r="AC559" s="2"/>
      <c r="AD559" s="2"/>
      <c r="AE559" s="2"/>
      <c r="AF559" s="2"/>
      <c r="AG559" s="2"/>
      <c r="AH559" s="2"/>
      <c r="AI559" s="2"/>
      <c r="AJ559" s="2"/>
      <c r="AK559" s="2"/>
      <c r="AL559" s="2"/>
      <c r="AM559" s="2"/>
      <c r="AN559" s="2"/>
    </row>
    <row r="560" spans="3:40" ht="24.75" customHeight="1" x14ac:dyDescent="0.25">
      <c r="C560" s="11"/>
      <c r="D560" s="11"/>
      <c r="E560" s="41"/>
      <c r="F560" s="11">
        <v>3</v>
      </c>
      <c r="G560" s="11"/>
      <c r="H560" s="11"/>
      <c r="I560" s="11"/>
      <c r="J560" s="10" t="s">
        <v>4149</v>
      </c>
      <c r="K560" s="6" t="s">
        <v>4496</v>
      </c>
      <c r="L560" s="8" t="s">
        <v>3953</v>
      </c>
      <c r="M560" s="11"/>
      <c r="N560" s="11"/>
      <c r="O560" s="11"/>
      <c r="P560" s="6"/>
      <c r="Q560" s="11"/>
      <c r="R560" s="11"/>
      <c r="S560" s="11"/>
      <c r="T560" s="11"/>
      <c r="U560" s="11"/>
      <c r="V560" s="11"/>
      <c r="W560" s="11"/>
      <c r="X560" s="11"/>
      <c r="Y560" s="2"/>
      <c r="Z560" s="2"/>
      <c r="AA560" s="2"/>
      <c r="AB560" s="2"/>
      <c r="AC560" s="2"/>
      <c r="AD560" s="2"/>
      <c r="AE560" s="2"/>
      <c r="AF560" s="2"/>
      <c r="AG560" s="2"/>
      <c r="AH560" s="2"/>
      <c r="AI560" s="2"/>
      <c r="AJ560" s="2"/>
      <c r="AK560" s="2"/>
      <c r="AL560" s="2"/>
      <c r="AM560" s="2"/>
      <c r="AN560" s="2"/>
    </row>
    <row r="561" spans="3:40" ht="20.25" customHeight="1" x14ac:dyDescent="0.25">
      <c r="C561" s="93"/>
      <c r="D561" s="93">
        <v>1</v>
      </c>
      <c r="E561" s="1247" t="s">
        <v>4497</v>
      </c>
      <c r="F561" s="1247"/>
      <c r="G561" s="1247"/>
      <c r="H561" s="1247"/>
      <c r="I561" s="1247"/>
      <c r="J561" s="1247"/>
      <c r="K561" s="93"/>
      <c r="L561" s="772"/>
      <c r="M561" s="93"/>
      <c r="N561" s="936" t="str">
        <f>HYPERLINK("http://wiki.academyofsports.online/tiki-index.php?page=E-Mail-Signaturen-hinzuf%C3%BCgen", "Signatur")</f>
        <v>Signatur</v>
      </c>
      <c r="O561" s="93"/>
      <c r="P561" s="93"/>
      <c r="Q561" s="93"/>
      <c r="R561" s="93"/>
      <c r="S561" s="93"/>
      <c r="T561" s="93"/>
      <c r="U561" s="93"/>
      <c r="V561" s="93"/>
      <c r="W561" s="93"/>
      <c r="X561" s="93"/>
      <c r="Y561" s="2"/>
      <c r="Z561" s="2"/>
      <c r="AA561" s="2"/>
      <c r="AB561" s="2"/>
      <c r="AC561" s="2"/>
      <c r="AD561" s="2"/>
      <c r="AE561" s="2"/>
      <c r="AF561" s="2"/>
      <c r="AG561" s="2"/>
      <c r="AH561" s="2"/>
      <c r="AI561" s="2"/>
      <c r="AJ561" s="2"/>
      <c r="AK561" s="2"/>
      <c r="AL561" s="2"/>
      <c r="AM561" s="2"/>
      <c r="AN561" s="2"/>
    </row>
    <row r="562" spans="3:40" x14ac:dyDescent="0.25">
      <c r="C562" s="11"/>
      <c r="D562" s="11"/>
      <c r="E562" s="939">
        <v>2</v>
      </c>
      <c r="F562" s="1245" t="s">
        <v>4498</v>
      </c>
      <c r="G562" s="1245"/>
      <c r="H562" s="1245"/>
      <c r="I562" s="1245"/>
      <c r="J562" s="1245"/>
      <c r="K562" s="931"/>
      <c r="L562" s="932"/>
      <c r="M562" s="931"/>
      <c r="N562" s="931"/>
      <c r="O562" s="931"/>
      <c r="P562" s="931"/>
      <c r="Q562" s="931"/>
      <c r="R562" s="931"/>
      <c r="S562" s="931"/>
      <c r="T562" s="931"/>
      <c r="U562" s="931"/>
      <c r="V562" s="931"/>
      <c r="W562" s="931"/>
      <c r="X562" s="931"/>
      <c r="Y562" s="2"/>
      <c r="Z562" s="2"/>
      <c r="AA562" s="2"/>
      <c r="AB562" s="2"/>
      <c r="AC562" s="2"/>
      <c r="AD562" s="2"/>
      <c r="AE562" s="2"/>
      <c r="AF562" s="2"/>
      <c r="AG562" s="2"/>
      <c r="AH562" s="2"/>
      <c r="AI562" s="2"/>
      <c r="AJ562" s="2"/>
      <c r="AK562" s="2"/>
      <c r="AL562" s="2"/>
      <c r="AM562" s="2"/>
      <c r="AN562" s="2"/>
    </row>
    <row r="563" spans="3:40" ht="30" x14ac:dyDescent="0.25">
      <c r="C563" s="11"/>
      <c r="D563" s="11"/>
      <c r="E563" s="41"/>
      <c r="F563" s="11">
        <v>3</v>
      </c>
      <c r="G563" s="11"/>
      <c r="H563" s="11"/>
      <c r="I563" s="11"/>
      <c r="J563" s="10" t="s">
        <v>4499</v>
      </c>
      <c r="K563" s="6" t="s">
        <v>4500</v>
      </c>
      <c r="L563" s="8" t="s">
        <v>4366</v>
      </c>
      <c r="M563" s="11"/>
      <c r="N563" s="11"/>
      <c r="O563" s="11"/>
      <c r="P563" s="6" t="s">
        <v>4501</v>
      </c>
      <c r="Q563" s="10" t="s">
        <v>4502</v>
      </c>
      <c r="R563" s="11"/>
      <c r="S563" s="11"/>
      <c r="T563" s="11"/>
      <c r="U563" s="11"/>
      <c r="V563" s="11"/>
      <c r="W563" s="11"/>
      <c r="X563" s="11"/>
      <c r="Y563" s="2"/>
      <c r="Z563" s="2"/>
      <c r="AA563" s="2"/>
      <c r="AB563" s="2"/>
      <c r="AC563" s="2"/>
      <c r="AD563" s="2"/>
      <c r="AE563" s="2"/>
      <c r="AF563" s="2"/>
      <c r="AG563" s="2"/>
      <c r="AH563" s="2"/>
      <c r="AI563" s="2"/>
      <c r="AJ563" s="2"/>
      <c r="AK563" s="2"/>
      <c r="AL563" s="2"/>
      <c r="AM563" s="2"/>
      <c r="AN563" s="2"/>
    </row>
    <row r="564" spans="3:40" x14ac:dyDescent="0.25">
      <c r="C564" s="11"/>
      <c r="D564" s="11"/>
      <c r="E564" s="939">
        <v>2</v>
      </c>
      <c r="F564" s="1245" t="s">
        <v>4503</v>
      </c>
      <c r="G564" s="1245"/>
      <c r="H564" s="1245"/>
      <c r="I564" s="1245"/>
      <c r="J564" s="1245"/>
      <c r="K564" s="931"/>
      <c r="L564" s="932"/>
      <c r="M564" s="931"/>
      <c r="N564" s="931"/>
      <c r="O564" s="931"/>
      <c r="P564" s="931"/>
      <c r="Q564" s="931"/>
      <c r="R564" s="931"/>
      <c r="S564" s="931"/>
      <c r="T564" s="931"/>
      <c r="U564" s="931"/>
      <c r="V564" s="931"/>
      <c r="W564" s="931"/>
      <c r="X564" s="931"/>
      <c r="Y564" s="2"/>
      <c r="Z564" s="2"/>
      <c r="AA564" s="2"/>
      <c r="AB564" s="2"/>
      <c r="AC564" s="2"/>
      <c r="AD564" s="2"/>
      <c r="AE564" s="2"/>
      <c r="AF564" s="2"/>
      <c r="AG564" s="2"/>
      <c r="AH564" s="2"/>
      <c r="AI564" s="2"/>
      <c r="AJ564" s="2"/>
      <c r="AK564" s="2"/>
      <c r="AL564" s="2"/>
      <c r="AM564" s="2"/>
      <c r="AN564" s="2"/>
    </row>
    <row r="565" spans="3:40" ht="39" x14ac:dyDescent="0.25">
      <c r="C565" s="11"/>
      <c r="D565" s="11"/>
      <c r="E565" s="41"/>
      <c r="F565" s="11">
        <v>3</v>
      </c>
      <c r="G565" s="11"/>
      <c r="H565" s="11"/>
      <c r="I565" s="11"/>
      <c r="J565" s="10" t="s">
        <v>4504</v>
      </c>
      <c r="K565" s="10" t="s">
        <v>4505</v>
      </c>
      <c r="L565" s="8" t="s">
        <v>3953</v>
      </c>
      <c r="M565" s="11"/>
      <c r="N565" s="11"/>
      <c r="O565" s="11"/>
      <c r="P565" s="11"/>
      <c r="Q565" s="10" t="s">
        <v>4506</v>
      </c>
      <c r="R565" s="11"/>
      <c r="S565" s="11"/>
      <c r="T565" s="11"/>
      <c r="U565" s="11"/>
      <c r="V565" s="11"/>
      <c r="W565" s="11"/>
      <c r="X565" s="11"/>
      <c r="Y565" s="2"/>
      <c r="Z565" s="2"/>
      <c r="AA565" s="2"/>
      <c r="AB565" s="2"/>
      <c r="AC565" s="2"/>
      <c r="AD565" s="2"/>
      <c r="AE565" s="2"/>
      <c r="AF565" s="2"/>
      <c r="AG565" s="2"/>
      <c r="AH565" s="2"/>
      <c r="AI565" s="2"/>
      <c r="AJ565" s="2"/>
      <c r="AK565" s="2"/>
      <c r="AL565" s="2"/>
      <c r="AM565" s="2"/>
      <c r="AN565" s="2"/>
    </row>
    <row r="566" spans="3:40" ht="20.25" customHeight="1" x14ac:dyDescent="0.25">
      <c r="C566" s="93"/>
      <c r="D566" s="93">
        <v>1</v>
      </c>
      <c r="E566" s="1247" t="s">
        <v>4507</v>
      </c>
      <c r="F566" s="1247"/>
      <c r="G566" s="1247"/>
      <c r="H566" s="1247"/>
      <c r="I566" s="1247"/>
      <c r="J566" s="1247"/>
      <c r="K566" s="93"/>
      <c r="L566" s="772"/>
      <c r="M566" s="93"/>
      <c r="N566" s="93"/>
      <c r="O566" s="93"/>
      <c r="P566" s="93"/>
      <c r="Q566" s="93"/>
      <c r="R566" s="93"/>
      <c r="S566" s="93"/>
      <c r="T566" s="93"/>
      <c r="U566" s="93"/>
      <c r="V566" s="93"/>
      <c r="W566" s="93"/>
      <c r="X566" s="93"/>
      <c r="Y566" s="2"/>
      <c r="Z566" s="2"/>
      <c r="AA566" s="2"/>
      <c r="AB566" s="2"/>
      <c r="AC566" s="2"/>
      <c r="AD566" s="2"/>
      <c r="AE566" s="2"/>
      <c r="AF566" s="2"/>
      <c r="AG566" s="2"/>
      <c r="AH566" s="2"/>
      <c r="AI566" s="2"/>
      <c r="AJ566" s="2"/>
      <c r="AK566" s="2"/>
      <c r="AL566" s="2"/>
      <c r="AM566" s="2"/>
      <c r="AN566" s="2"/>
    </row>
    <row r="567" spans="3:40" ht="15.75" customHeight="1" x14ac:dyDescent="0.25">
      <c r="C567" s="11"/>
      <c r="D567" s="11"/>
      <c r="E567" s="939">
        <v>2</v>
      </c>
      <c r="F567" s="1245" t="s">
        <v>4508</v>
      </c>
      <c r="G567" s="1245"/>
      <c r="H567" s="1245"/>
      <c r="I567" s="1245"/>
      <c r="J567" s="1245"/>
      <c r="K567" s="931"/>
      <c r="L567" s="932"/>
      <c r="M567" s="931"/>
      <c r="N567" s="931"/>
      <c r="O567" s="931"/>
      <c r="P567" s="931"/>
      <c r="Q567" s="931"/>
      <c r="R567" s="931"/>
      <c r="S567" s="931"/>
      <c r="T567" s="931"/>
      <c r="U567" s="931"/>
      <c r="V567" s="931"/>
      <c r="W567" s="931"/>
      <c r="X567" s="931"/>
      <c r="Y567" s="2"/>
      <c r="Z567" s="2"/>
      <c r="AA567" s="2"/>
      <c r="AB567" s="2"/>
      <c r="AC567" s="2"/>
      <c r="AD567" s="2"/>
      <c r="AE567" s="2"/>
      <c r="AF567" s="2"/>
      <c r="AG567" s="2"/>
      <c r="AH567" s="2"/>
      <c r="AI567" s="2"/>
      <c r="AJ567" s="2"/>
      <c r="AK567" s="2"/>
      <c r="AL567" s="2"/>
      <c r="AM567" s="2"/>
      <c r="AN567" s="2"/>
    </row>
    <row r="568" spans="3:40" ht="45" x14ac:dyDescent="0.25">
      <c r="C568" s="11"/>
      <c r="D568" s="11"/>
      <c r="E568" s="41"/>
      <c r="F568" s="11">
        <v>3</v>
      </c>
      <c r="G568" s="11"/>
      <c r="H568" s="11"/>
      <c r="I568" s="11"/>
      <c r="J568" s="10" t="s">
        <v>4509</v>
      </c>
      <c r="K568" s="6" t="s">
        <v>4510</v>
      </c>
      <c r="L568" s="8" t="s">
        <v>4511</v>
      </c>
      <c r="M568" s="11"/>
      <c r="N568" s="716" t="str">
        <f>HYPERLINK("https://www.youtube.com/watch?v=X9lVHvYRb70&amp;list=PL9sdWyWxCKgxCTQ0O8a6uQYKDr12f1HIA", "Bsp. Schorsch")</f>
        <v>Bsp. Schorsch</v>
      </c>
      <c r="O568" s="11"/>
      <c r="P568" s="6" t="s">
        <v>4512</v>
      </c>
      <c r="Q568" s="10" t="s">
        <v>4513</v>
      </c>
      <c r="R568" s="11"/>
      <c r="S568" s="11"/>
      <c r="T568" s="11"/>
      <c r="U568" s="11"/>
      <c r="V568" s="11"/>
      <c r="W568" s="11"/>
      <c r="X568" s="11"/>
      <c r="Y568" s="2"/>
      <c r="Z568" s="2"/>
      <c r="AA568" s="2"/>
      <c r="AB568" s="2"/>
      <c r="AC568" s="2"/>
      <c r="AD568" s="2"/>
      <c r="AE568" s="2"/>
      <c r="AF568" s="2"/>
      <c r="AG568" s="2"/>
      <c r="AH568" s="2"/>
      <c r="AI568" s="2"/>
      <c r="AJ568" s="2"/>
      <c r="AK568" s="2"/>
      <c r="AL568" s="2"/>
      <c r="AM568" s="2"/>
      <c r="AN568" s="2"/>
    </row>
    <row r="569" spans="3:40" ht="15.75" customHeight="1" x14ac:dyDescent="0.25">
      <c r="C569" s="11"/>
      <c r="D569" s="11"/>
      <c r="E569" s="41"/>
      <c r="F569" s="11">
        <v>3</v>
      </c>
      <c r="G569" s="11"/>
      <c r="H569" s="11"/>
      <c r="I569" s="11"/>
      <c r="J569" s="10" t="s">
        <v>4514</v>
      </c>
      <c r="K569" s="10" t="s">
        <v>4515</v>
      </c>
      <c r="L569" s="8" t="s">
        <v>4516</v>
      </c>
      <c r="M569" s="11"/>
      <c r="N569" s="11"/>
      <c r="O569" s="11"/>
      <c r="P569" s="11"/>
      <c r="Q569" s="11"/>
      <c r="R569" s="11"/>
      <c r="S569" s="11"/>
      <c r="T569" s="11"/>
      <c r="U569" s="11"/>
      <c r="V569" s="11"/>
      <c r="W569" s="11"/>
      <c r="X569" s="11"/>
      <c r="Y569" s="2"/>
      <c r="Z569" s="2"/>
      <c r="AA569" s="2"/>
      <c r="AB569" s="2"/>
      <c r="AC569" s="2"/>
      <c r="AD569" s="2"/>
      <c r="AE569" s="2"/>
      <c r="AF569" s="2"/>
      <c r="AG569" s="2"/>
      <c r="AH569" s="2"/>
      <c r="AI569" s="2"/>
      <c r="AJ569" s="2"/>
      <c r="AK569" s="2"/>
      <c r="AL569" s="2"/>
      <c r="AM569" s="2"/>
      <c r="AN569" s="2"/>
    </row>
    <row r="570" spans="3:40" ht="75" x14ac:dyDescent="0.25">
      <c r="C570" s="11"/>
      <c r="D570" s="11"/>
      <c r="E570" s="41"/>
      <c r="F570" s="11">
        <v>3</v>
      </c>
      <c r="G570" s="11"/>
      <c r="H570" s="11"/>
      <c r="I570" s="11"/>
      <c r="J570" s="10" t="s">
        <v>4517</v>
      </c>
      <c r="K570" s="6" t="s">
        <v>4518</v>
      </c>
      <c r="L570" s="8" t="s">
        <v>4519</v>
      </c>
      <c r="M570" s="11"/>
      <c r="N570" s="11"/>
      <c r="O570" s="11"/>
      <c r="P570" s="11"/>
      <c r="Q570" s="6" t="s">
        <v>4520</v>
      </c>
      <c r="R570" s="11"/>
      <c r="S570" s="11"/>
      <c r="T570" s="11"/>
      <c r="U570" s="11"/>
      <c r="V570" s="11"/>
      <c r="W570" s="11"/>
      <c r="X570" s="11"/>
      <c r="Y570" s="2"/>
      <c r="Z570" s="2"/>
      <c r="AA570" s="2"/>
      <c r="AB570" s="2"/>
      <c r="AC570" s="2"/>
      <c r="AD570" s="2"/>
      <c r="AE570" s="2"/>
      <c r="AF570" s="2"/>
      <c r="AG570" s="2"/>
      <c r="AH570" s="2"/>
      <c r="AI570" s="2"/>
      <c r="AJ570" s="2"/>
      <c r="AK570" s="2"/>
      <c r="AL570" s="2"/>
      <c r="AM570" s="2"/>
      <c r="AN570" s="2"/>
    </row>
    <row r="571" spans="3:40" ht="15.75" customHeight="1" x14ac:dyDescent="0.25">
      <c r="C571" s="11"/>
      <c r="D571" s="11"/>
      <c r="E571" s="939">
        <v>2</v>
      </c>
      <c r="F571" s="1245" t="s">
        <v>4521</v>
      </c>
      <c r="G571" s="1245"/>
      <c r="H571" s="1245"/>
      <c r="I571" s="1245"/>
      <c r="J571" s="1245"/>
      <c r="K571" s="931"/>
      <c r="L571" s="932"/>
      <c r="M571" s="931"/>
      <c r="N571" s="931"/>
      <c r="O571" s="931"/>
      <c r="P571" s="931"/>
      <c r="Q571" s="931"/>
      <c r="R571" s="931"/>
      <c r="S571" s="931"/>
      <c r="T571" s="931"/>
      <c r="U571" s="931"/>
      <c r="V571" s="931"/>
      <c r="W571" s="931"/>
      <c r="X571" s="931"/>
      <c r="Y571" s="2"/>
      <c r="Z571" s="2"/>
      <c r="AA571" s="2"/>
      <c r="AB571" s="2"/>
      <c r="AC571" s="2"/>
      <c r="AD571" s="2"/>
      <c r="AE571" s="2"/>
      <c r="AF571" s="2"/>
      <c r="AG571" s="2"/>
      <c r="AH571" s="2"/>
      <c r="AI571" s="2"/>
      <c r="AJ571" s="2"/>
      <c r="AK571" s="2"/>
      <c r="AL571" s="2"/>
      <c r="AM571" s="2"/>
      <c r="AN571" s="2"/>
    </row>
    <row r="572" spans="3:40" ht="30" x14ac:dyDescent="0.25">
      <c r="C572" s="11"/>
      <c r="D572" s="11"/>
      <c r="E572" s="41"/>
      <c r="F572" s="11">
        <v>3</v>
      </c>
      <c r="G572" s="11"/>
      <c r="H572" s="11"/>
      <c r="I572" s="11"/>
      <c r="J572" s="10" t="s">
        <v>4144</v>
      </c>
      <c r="K572" s="6" t="s">
        <v>4522</v>
      </c>
      <c r="L572" s="8" t="s">
        <v>3650</v>
      </c>
      <c r="M572" s="11"/>
      <c r="N572" s="11"/>
      <c r="O572" s="11"/>
      <c r="P572" s="11"/>
      <c r="Q572" s="10" t="s">
        <v>4523</v>
      </c>
      <c r="R572" s="11"/>
      <c r="S572" s="11"/>
      <c r="T572" s="11"/>
      <c r="U572" s="11"/>
      <c r="V572" s="11"/>
      <c r="W572" s="11"/>
      <c r="X572" s="11"/>
      <c r="Y572" s="2"/>
      <c r="Z572" s="2"/>
      <c r="AA572" s="2"/>
      <c r="AB572" s="2"/>
      <c r="AC572" s="2"/>
      <c r="AD572" s="2"/>
      <c r="AE572" s="2"/>
      <c r="AF572" s="2"/>
      <c r="AG572" s="2"/>
      <c r="AH572" s="2"/>
      <c r="AI572" s="2"/>
      <c r="AJ572" s="2"/>
      <c r="AK572" s="2"/>
      <c r="AL572" s="2"/>
      <c r="AM572" s="2"/>
      <c r="AN572" s="2"/>
    </row>
    <row r="573" spans="3:40" ht="15.75" customHeight="1" x14ac:dyDescent="0.25">
      <c r="C573" s="11"/>
      <c r="D573" s="11"/>
      <c r="E573" s="939">
        <v>2</v>
      </c>
      <c r="F573" s="1245" t="s">
        <v>4524</v>
      </c>
      <c r="G573" s="1245"/>
      <c r="H573" s="1245"/>
      <c r="I573" s="1245"/>
      <c r="J573" s="1245"/>
      <c r="K573" s="931"/>
      <c r="L573" s="932"/>
      <c r="M573" s="931"/>
      <c r="N573" s="931"/>
      <c r="O573" s="931"/>
      <c r="P573" s="931"/>
      <c r="Q573" s="931"/>
      <c r="R573" s="931"/>
      <c r="S573" s="931"/>
      <c r="T573" s="931"/>
      <c r="U573" s="931"/>
      <c r="V573" s="931"/>
      <c r="W573" s="931"/>
      <c r="X573" s="931"/>
      <c r="Y573" s="2"/>
      <c r="Z573" s="2"/>
      <c r="AA573" s="2"/>
      <c r="AB573" s="2"/>
      <c r="AC573" s="2"/>
      <c r="AD573" s="2"/>
      <c r="AE573" s="2"/>
      <c r="AF573" s="2"/>
      <c r="AG573" s="2"/>
      <c r="AH573" s="2"/>
      <c r="AI573" s="2"/>
      <c r="AJ573" s="2"/>
      <c r="AK573" s="2"/>
      <c r="AL573" s="2"/>
      <c r="AM573" s="2"/>
      <c r="AN573" s="2"/>
    </row>
    <row r="574" spans="3:40" ht="30" x14ac:dyDescent="0.25">
      <c r="C574" s="11"/>
      <c r="D574" s="11"/>
      <c r="E574" s="41"/>
      <c r="F574" s="11">
        <v>3</v>
      </c>
      <c r="G574" s="11"/>
      <c r="H574" s="11"/>
      <c r="I574" s="11"/>
      <c r="J574" s="10" t="s">
        <v>4509</v>
      </c>
      <c r="K574" s="6" t="s">
        <v>4525</v>
      </c>
      <c r="L574" s="8" t="s">
        <v>4526</v>
      </c>
      <c r="M574" s="11"/>
      <c r="N574" s="716" t="str">
        <f>HYPERLINK("https://www.youtube.com/watch?v=AORjlMQX4pY", "Bsp. Crosstraining")</f>
        <v>Bsp. Crosstraining</v>
      </c>
      <c r="O574" s="11"/>
      <c r="P574" s="6" t="s">
        <v>4527</v>
      </c>
      <c r="Q574" s="6" t="s">
        <v>4528</v>
      </c>
      <c r="R574" s="11"/>
      <c r="S574" s="11"/>
      <c r="T574" s="11"/>
      <c r="U574" s="11"/>
      <c r="V574" s="11"/>
      <c r="W574" s="11"/>
      <c r="X574" s="11"/>
      <c r="Y574" s="2"/>
      <c r="Z574" s="2"/>
      <c r="AA574" s="2"/>
      <c r="AB574" s="2"/>
      <c r="AC574" s="2"/>
      <c r="AD574" s="2"/>
      <c r="AE574" s="2"/>
      <c r="AF574" s="2"/>
      <c r="AG574" s="2"/>
      <c r="AH574" s="2"/>
      <c r="AI574" s="2"/>
      <c r="AJ574" s="2"/>
      <c r="AK574" s="2"/>
      <c r="AL574" s="2"/>
      <c r="AM574" s="2"/>
      <c r="AN574" s="2"/>
    </row>
    <row r="575" spans="3:40" ht="15.75" customHeight="1" x14ac:dyDescent="0.25">
      <c r="C575" s="11"/>
      <c r="D575" s="11"/>
      <c r="E575" s="41"/>
      <c r="F575" s="11">
        <v>3</v>
      </c>
      <c r="G575" s="11"/>
      <c r="H575" s="11"/>
      <c r="I575" s="11"/>
      <c r="J575" s="10" t="s">
        <v>4514</v>
      </c>
      <c r="K575" s="6" t="s">
        <v>4529</v>
      </c>
      <c r="L575" s="8" t="s">
        <v>3953</v>
      </c>
      <c r="M575" s="11"/>
      <c r="N575" s="11"/>
      <c r="O575" s="11"/>
      <c r="P575" s="11"/>
      <c r="Q575" s="11"/>
      <c r="R575" s="11"/>
      <c r="S575" s="11"/>
      <c r="T575" s="11"/>
      <c r="U575" s="11"/>
      <c r="V575" s="11"/>
      <c r="W575" s="11"/>
      <c r="X575" s="11"/>
      <c r="Y575" s="2"/>
      <c r="Z575" s="2"/>
      <c r="AA575" s="2"/>
      <c r="AB575" s="2"/>
      <c r="AC575" s="2"/>
      <c r="AD575" s="2"/>
      <c r="AE575" s="2"/>
      <c r="AF575" s="2"/>
      <c r="AG575" s="2"/>
      <c r="AH575" s="2"/>
      <c r="AI575" s="2"/>
      <c r="AJ575" s="2"/>
      <c r="AK575" s="2"/>
      <c r="AL575" s="2"/>
      <c r="AM575" s="2"/>
      <c r="AN575" s="2"/>
    </row>
    <row r="576" spans="3:40" ht="45" x14ac:dyDescent="0.25">
      <c r="C576" s="11"/>
      <c r="D576" s="11"/>
      <c r="E576" s="41"/>
      <c r="F576" s="11">
        <v>3</v>
      </c>
      <c r="G576" s="11"/>
      <c r="H576" s="11"/>
      <c r="I576" s="11"/>
      <c r="J576" s="10" t="s">
        <v>4517</v>
      </c>
      <c r="K576" s="6" t="s">
        <v>4530</v>
      </c>
      <c r="L576" s="8" t="s">
        <v>4526</v>
      </c>
      <c r="M576" s="11"/>
      <c r="N576" s="11"/>
      <c r="O576" s="11"/>
      <c r="P576" s="11"/>
      <c r="Q576" s="6" t="s">
        <v>4531</v>
      </c>
      <c r="R576" s="11"/>
      <c r="S576" s="11"/>
      <c r="T576" s="11"/>
      <c r="U576" s="11"/>
      <c r="V576" s="11"/>
      <c r="W576" s="11"/>
      <c r="X576" s="11"/>
      <c r="Y576" s="2"/>
      <c r="Z576" s="2"/>
      <c r="AA576" s="2"/>
      <c r="AB576" s="2"/>
      <c r="AC576" s="2"/>
      <c r="AD576" s="2"/>
      <c r="AE576" s="2"/>
      <c r="AF576" s="2"/>
      <c r="AG576" s="2"/>
      <c r="AH576" s="2"/>
      <c r="AI576" s="2"/>
      <c r="AJ576" s="2"/>
      <c r="AK576" s="2"/>
      <c r="AL576" s="2"/>
      <c r="AM576" s="2"/>
      <c r="AN576" s="2"/>
    </row>
    <row r="577" spans="3:40" ht="15.75" customHeight="1" x14ac:dyDescent="0.25">
      <c r="C577" s="11"/>
      <c r="D577" s="11"/>
      <c r="E577" s="939">
        <v>2</v>
      </c>
      <c r="F577" s="1245" t="s">
        <v>4532</v>
      </c>
      <c r="G577" s="1245"/>
      <c r="H577" s="1245"/>
      <c r="I577" s="1245"/>
      <c r="J577" s="1245"/>
      <c r="K577" s="931"/>
      <c r="L577" s="932"/>
      <c r="M577" s="931"/>
      <c r="N577" s="931"/>
      <c r="O577" s="931"/>
      <c r="P577" s="931"/>
      <c r="Q577" s="931"/>
      <c r="R577" s="931"/>
      <c r="S577" s="931"/>
      <c r="T577" s="931"/>
      <c r="U577" s="931"/>
      <c r="V577" s="931"/>
      <c r="W577" s="931"/>
      <c r="X577" s="931"/>
      <c r="Y577" s="2"/>
      <c r="Z577" s="2"/>
      <c r="AA577" s="2"/>
      <c r="AB577" s="2"/>
      <c r="AC577" s="2"/>
      <c r="AD577" s="2"/>
      <c r="AE577" s="2"/>
      <c r="AF577" s="2"/>
      <c r="AG577" s="2"/>
      <c r="AH577" s="2"/>
      <c r="AI577" s="2"/>
      <c r="AJ577" s="2"/>
      <c r="AK577" s="2"/>
      <c r="AL577" s="2"/>
      <c r="AM577" s="2"/>
      <c r="AN577" s="2"/>
    </row>
    <row r="578" spans="3:40" ht="30" x14ac:dyDescent="0.25">
      <c r="C578" s="11"/>
      <c r="D578" s="11"/>
      <c r="E578" s="41"/>
      <c r="F578" s="11">
        <v>3</v>
      </c>
      <c r="G578" s="11"/>
      <c r="H578" s="11"/>
      <c r="I578" s="11"/>
      <c r="J578" s="10" t="s">
        <v>4509</v>
      </c>
      <c r="K578" s="6" t="s">
        <v>4525</v>
      </c>
      <c r="L578" s="8" t="s">
        <v>4526</v>
      </c>
      <c r="M578" s="11"/>
      <c r="N578" s="11"/>
      <c r="O578" s="11"/>
      <c r="P578" s="6" t="s">
        <v>4533</v>
      </c>
      <c r="Q578" s="10" t="s">
        <v>4513</v>
      </c>
      <c r="R578" s="11"/>
      <c r="S578" s="11"/>
      <c r="T578" s="11"/>
      <c r="U578" s="11"/>
      <c r="V578" s="11"/>
      <c r="W578" s="11"/>
      <c r="X578" s="11"/>
      <c r="Y578" s="2"/>
      <c r="Z578" s="2"/>
      <c r="AA578" s="2"/>
      <c r="AB578" s="2"/>
      <c r="AC578" s="2"/>
      <c r="AD578" s="2"/>
      <c r="AE578" s="2"/>
      <c r="AF578" s="2"/>
      <c r="AG578" s="2"/>
      <c r="AH578" s="2"/>
      <c r="AI578" s="2"/>
      <c r="AJ578" s="2"/>
      <c r="AK578" s="2"/>
      <c r="AL578" s="2"/>
      <c r="AM578" s="2"/>
      <c r="AN578" s="2"/>
    </row>
    <row r="579" spans="3:40" ht="15.75" customHeight="1" x14ac:dyDescent="0.25">
      <c r="C579" s="11"/>
      <c r="D579" s="11"/>
      <c r="E579" s="41"/>
      <c r="F579" s="11">
        <v>3</v>
      </c>
      <c r="G579" s="11"/>
      <c r="H579" s="11"/>
      <c r="I579" s="11"/>
      <c r="J579" s="10" t="s">
        <v>4514</v>
      </c>
      <c r="K579" s="6" t="s">
        <v>4529</v>
      </c>
      <c r="L579" s="8" t="s">
        <v>3953</v>
      </c>
      <c r="M579" s="11"/>
      <c r="N579" s="11"/>
      <c r="O579" s="11"/>
      <c r="P579" s="11"/>
      <c r="Q579" s="11"/>
      <c r="R579" s="11"/>
      <c r="S579" s="11"/>
      <c r="T579" s="11"/>
      <c r="U579" s="11"/>
      <c r="V579" s="11"/>
      <c r="W579" s="11"/>
      <c r="X579" s="11"/>
      <c r="Y579" s="2"/>
      <c r="Z579" s="2"/>
      <c r="AA579" s="2"/>
      <c r="AB579" s="2"/>
      <c r="AC579" s="2"/>
      <c r="AD579" s="2"/>
      <c r="AE579" s="2"/>
      <c r="AF579" s="2"/>
      <c r="AG579" s="2"/>
      <c r="AH579" s="2"/>
      <c r="AI579" s="2"/>
      <c r="AJ579" s="2"/>
      <c r="AK579" s="2"/>
      <c r="AL579" s="2"/>
      <c r="AM579" s="2"/>
      <c r="AN579" s="2"/>
    </row>
    <row r="580" spans="3:40" ht="45" x14ac:dyDescent="0.25">
      <c r="C580" s="11"/>
      <c r="D580" s="11"/>
      <c r="E580" s="41"/>
      <c r="F580" s="11">
        <v>3</v>
      </c>
      <c r="G580" s="11"/>
      <c r="H580" s="11"/>
      <c r="I580" s="11"/>
      <c r="J580" s="10" t="s">
        <v>4517</v>
      </c>
      <c r="K580" s="6" t="s">
        <v>4534</v>
      </c>
      <c r="L580" s="8" t="s">
        <v>4535</v>
      </c>
      <c r="M580" s="11"/>
      <c r="N580" s="11"/>
      <c r="O580" s="11"/>
      <c r="P580" s="11"/>
      <c r="Q580" s="6" t="s">
        <v>4531</v>
      </c>
      <c r="R580" s="11"/>
      <c r="S580" s="11"/>
      <c r="T580" s="11"/>
      <c r="U580" s="11"/>
      <c r="V580" s="11"/>
      <c r="W580" s="11"/>
      <c r="X580" s="11"/>
      <c r="Y580" s="2"/>
      <c r="Z580" s="2"/>
      <c r="AA580" s="2"/>
      <c r="AB580" s="2"/>
      <c r="AC580" s="2"/>
      <c r="AD580" s="2"/>
      <c r="AE580" s="2"/>
      <c r="AF580" s="2"/>
      <c r="AG580" s="2"/>
      <c r="AH580" s="2"/>
      <c r="AI580" s="2"/>
      <c r="AJ580" s="2"/>
      <c r="AK580" s="2"/>
      <c r="AL580" s="2"/>
      <c r="AM580" s="2"/>
      <c r="AN580" s="2"/>
    </row>
    <row r="581" spans="3:40" ht="15.75" customHeight="1" x14ac:dyDescent="0.25">
      <c r="C581" s="11"/>
      <c r="D581" s="11"/>
      <c r="E581" s="939">
        <v>2</v>
      </c>
      <c r="F581" s="1245" t="s">
        <v>4536</v>
      </c>
      <c r="G581" s="1245"/>
      <c r="H581" s="1245"/>
      <c r="I581" s="1245"/>
      <c r="J581" s="1245"/>
      <c r="K581" s="931"/>
      <c r="L581" s="932"/>
      <c r="M581" s="931"/>
      <c r="N581" s="931"/>
      <c r="O581" s="931"/>
      <c r="P581" s="931"/>
      <c r="Q581" s="931"/>
      <c r="R581" s="931"/>
      <c r="S581" s="931"/>
      <c r="T581" s="931"/>
      <c r="U581" s="931"/>
      <c r="V581" s="931"/>
      <c r="W581" s="931"/>
      <c r="X581" s="931"/>
      <c r="Y581" s="2"/>
      <c r="Z581" s="2"/>
      <c r="AA581" s="2"/>
      <c r="AB581" s="2"/>
      <c r="AC581" s="2"/>
      <c r="AD581" s="2"/>
      <c r="AE581" s="2"/>
      <c r="AF581" s="2"/>
      <c r="AG581" s="2"/>
      <c r="AH581" s="2"/>
      <c r="AI581" s="2"/>
      <c r="AJ581" s="2"/>
      <c r="AK581" s="2"/>
      <c r="AL581" s="2"/>
      <c r="AM581" s="2"/>
      <c r="AN581" s="2"/>
    </row>
    <row r="582" spans="3:40" ht="30" x14ac:dyDescent="0.25">
      <c r="C582" s="11"/>
      <c r="D582" s="11"/>
      <c r="E582" s="41"/>
      <c r="F582" s="11">
        <v>3</v>
      </c>
      <c r="G582" s="11"/>
      <c r="H582" s="11"/>
      <c r="I582" s="11"/>
      <c r="J582" s="10" t="s">
        <v>4509</v>
      </c>
      <c r="K582" s="6" t="s">
        <v>4537</v>
      </c>
      <c r="L582" s="8" t="s">
        <v>3639</v>
      </c>
      <c r="M582" s="11"/>
      <c r="N582" s="716" t="str">
        <f>HYPERLINK("https://www.youtube.com/watch?v=TYtEh7yEBtk&amp;list=PLWy_mJuljdrHIGk0Z0ZEo5bhVKl-XjxsY", "Bsp. Videos Marcel Produkte Delst")</f>
        <v>Bsp. Videos Marcel Produkte Delst</v>
      </c>
      <c r="O582" s="11"/>
      <c r="P582" s="6" t="s">
        <v>4538</v>
      </c>
      <c r="Q582" s="11"/>
      <c r="R582" s="11"/>
      <c r="S582" s="11"/>
      <c r="T582" s="11"/>
      <c r="U582" s="11"/>
      <c r="V582" s="11"/>
      <c r="W582" s="11"/>
      <c r="X582" s="11"/>
      <c r="Y582" s="2"/>
      <c r="Z582" s="2"/>
      <c r="AA582" s="2"/>
      <c r="AB582" s="2"/>
      <c r="AC582" s="2"/>
      <c r="AD582" s="2"/>
      <c r="AE582" s="2"/>
      <c r="AF582" s="2"/>
      <c r="AG582" s="2"/>
      <c r="AH582" s="2"/>
      <c r="AI582" s="2"/>
      <c r="AJ582" s="2"/>
      <c r="AK582" s="2"/>
      <c r="AL582" s="2"/>
      <c r="AM582" s="2"/>
      <c r="AN582" s="2"/>
    </row>
    <row r="583" spans="3:40" ht="15.75" customHeight="1" x14ac:dyDescent="0.25">
      <c r="C583" s="11"/>
      <c r="D583" s="11"/>
      <c r="E583" s="41"/>
      <c r="F583" s="11">
        <v>3</v>
      </c>
      <c r="G583" s="11"/>
      <c r="H583" s="11"/>
      <c r="I583" s="11"/>
      <c r="J583" s="10" t="s">
        <v>4514</v>
      </c>
      <c r="K583" s="6" t="s">
        <v>4529</v>
      </c>
      <c r="L583" s="8" t="s">
        <v>3953</v>
      </c>
      <c r="M583" s="11"/>
      <c r="N583" s="11"/>
      <c r="O583" s="11"/>
      <c r="P583" s="11"/>
      <c r="Q583" s="11"/>
      <c r="R583" s="11"/>
      <c r="S583" s="11"/>
      <c r="T583" s="11"/>
      <c r="U583" s="11"/>
      <c r="V583" s="11"/>
      <c r="W583" s="11"/>
      <c r="X583" s="11"/>
      <c r="Y583" s="2"/>
      <c r="Z583" s="2"/>
      <c r="AA583" s="2"/>
      <c r="AB583" s="2"/>
      <c r="AC583" s="2"/>
      <c r="AD583" s="2"/>
      <c r="AE583" s="2"/>
      <c r="AF583" s="2"/>
      <c r="AG583" s="2"/>
      <c r="AH583" s="2"/>
      <c r="AI583" s="2"/>
      <c r="AJ583" s="2"/>
      <c r="AK583" s="2"/>
      <c r="AL583" s="2"/>
      <c r="AM583" s="2"/>
      <c r="AN583" s="2"/>
    </row>
    <row r="584" spans="3:40" ht="45" x14ac:dyDescent="0.25">
      <c r="C584" s="11"/>
      <c r="D584" s="11"/>
      <c r="E584" s="41"/>
      <c r="F584" s="11">
        <v>3</v>
      </c>
      <c r="G584" s="11"/>
      <c r="H584" s="11"/>
      <c r="I584" s="11"/>
      <c r="J584" s="10" t="s">
        <v>4517</v>
      </c>
      <c r="K584" s="6" t="s">
        <v>4530</v>
      </c>
      <c r="L584" s="8" t="s">
        <v>4519</v>
      </c>
      <c r="M584" s="11"/>
      <c r="N584" s="11"/>
      <c r="O584" s="11"/>
      <c r="P584" s="11"/>
      <c r="Q584" s="6" t="s">
        <v>4539</v>
      </c>
      <c r="R584" s="11"/>
      <c r="S584" s="11"/>
      <c r="T584" s="11"/>
      <c r="U584" s="11"/>
      <c r="V584" s="11"/>
      <c r="W584" s="11"/>
      <c r="X584" s="11"/>
      <c r="Y584" s="2"/>
      <c r="Z584" s="2"/>
      <c r="AA584" s="2"/>
      <c r="AB584" s="2"/>
      <c r="AC584" s="2"/>
      <c r="AD584" s="2"/>
      <c r="AE584" s="2"/>
      <c r="AF584" s="2"/>
      <c r="AG584" s="2"/>
      <c r="AH584" s="2"/>
      <c r="AI584" s="2"/>
      <c r="AJ584" s="2"/>
      <c r="AK584" s="2"/>
      <c r="AL584" s="2"/>
      <c r="AM584" s="2"/>
      <c r="AN584" s="2"/>
    </row>
    <row r="585" spans="3:40" ht="15.75" customHeight="1" x14ac:dyDescent="0.25">
      <c r="C585" s="11"/>
      <c r="D585" s="11"/>
      <c r="E585" s="939">
        <v>2</v>
      </c>
      <c r="F585" s="1245" t="s">
        <v>4540</v>
      </c>
      <c r="G585" s="1245"/>
      <c r="H585" s="1245"/>
      <c r="I585" s="1245"/>
      <c r="J585" s="1245"/>
      <c r="K585" s="931"/>
      <c r="L585" s="932"/>
      <c r="M585" s="931"/>
      <c r="N585" s="931"/>
      <c r="O585" s="931"/>
      <c r="P585" s="931"/>
      <c r="Q585" s="931"/>
      <c r="R585" s="931"/>
      <c r="S585" s="931"/>
      <c r="T585" s="931"/>
      <c r="U585" s="931"/>
      <c r="V585" s="931"/>
      <c r="W585" s="931"/>
      <c r="X585" s="931"/>
      <c r="Y585" s="2"/>
      <c r="Z585" s="2"/>
      <c r="AA585" s="2"/>
      <c r="AB585" s="2"/>
      <c r="AC585" s="2"/>
      <c r="AD585" s="2"/>
      <c r="AE585" s="2"/>
      <c r="AF585" s="2"/>
      <c r="AG585" s="2"/>
      <c r="AH585" s="2"/>
      <c r="AI585" s="2"/>
      <c r="AJ585" s="2"/>
      <c r="AK585" s="2"/>
      <c r="AL585" s="2"/>
      <c r="AM585" s="2"/>
      <c r="AN585" s="2"/>
    </row>
    <row r="586" spans="3:40" ht="30" x14ac:dyDescent="0.25">
      <c r="C586" s="11"/>
      <c r="D586" s="11"/>
      <c r="E586" s="41"/>
      <c r="F586" s="11">
        <v>3</v>
      </c>
      <c r="G586" s="11"/>
      <c r="H586" s="11"/>
      <c r="I586" s="11"/>
      <c r="J586" s="10" t="s">
        <v>4509</v>
      </c>
      <c r="K586" s="6" t="s">
        <v>4541</v>
      </c>
      <c r="L586" s="8" t="s">
        <v>4542</v>
      </c>
      <c r="M586" s="11"/>
      <c r="N586" s="11"/>
      <c r="O586" s="11"/>
      <c r="P586" s="6" t="s">
        <v>4543</v>
      </c>
      <c r="Q586" s="11"/>
      <c r="R586" s="11"/>
      <c r="S586" s="11"/>
      <c r="T586" s="11"/>
      <c r="U586" s="11"/>
      <c r="V586" s="11"/>
      <c r="W586" s="11"/>
      <c r="X586" s="11"/>
      <c r="Y586" s="2"/>
      <c r="Z586" s="2"/>
      <c r="AA586" s="2"/>
      <c r="AB586" s="2"/>
      <c r="AC586" s="2"/>
      <c r="AD586" s="2"/>
      <c r="AE586" s="2"/>
      <c r="AF586" s="2"/>
      <c r="AG586" s="2"/>
      <c r="AH586" s="2"/>
      <c r="AI586" s="2"/>
      <c r="AJ586" s="2"/>
      <c r="AK586" s="2"/>
      <c r="AL586" s="2"/>
      <c r="AM586" s="2"/>
      <c r="AN586" s="2"/>
    </row>
    <row r="587" spans="3:40" ht="15.75" customHeight="1" x14ac:dyDescent="0.25">
      <c r="C587" s="11"/>
      <c r="D587" s="11"/>
      <c r="E587" s="41"/>
      <c r="F587" s="11">
        <v>3</v>
      </c>
      <c r="G587" s="11"/>
      <c r="H587" s="11"/>
      <c r="I587" s="11"/>
      <c r="J587" s="10" t="s">
        <v>4514</v>
      </c>
      <c r="K587" s="6" t="s">
        <v>4544</v>
      </c>
      <c r="L587" s="8" t="s">
        <v>3953</v>
      </c>
      <c r="M587" s="11"/>
      <c r="N587" s="11"/>
      <c r="O587" s="11"/>
      <c r="P587" s="11"/>
      <c r="Q587" s="11"/>
      <c r="R587" s="11"/>
      <c r="S587" s="11"/>
      <c r="T587" s="11"/>
      <c r="U587" s="11"/>
      <c r="V587" s="11"/>
      <c r="W587" s="11"/>
      <c r="X587" s="11"/>
      <c r="Y587" s="2"/>
      <c r="Z587" s="2"/>
      <c r="AA587" s="2"/>
      <c r="AB587" s="2"/>
      <c r="AC587" s="2"/>
      <c r="AD587" s="2"/>
      <c r="AE587" s="2"/>
      <c r="AF587" s="2"/>
      <c r="AG587" s="2"/>
      <c r="AH587" s="2"/>
      <c r="AI587" s="2"/>
      <c r="AJ587" s="2"/>
      <c r="AK587" s="2"/>
      <c r="AL587" s="2"/>
      <c r="AM587" s="2"/>
      <c r="AN587" s="2"/>
    </row>
    <row r="588" spans="3:40" ht="45" x14ac:dyDescent="0.25">
      <c r="C588" s="11"/>
      <c r="D588" s="11"/>
      <c r="E588" s="41"/>
      <c r="F588" s="11">
        <v>3</v>
      </c>
      <c r="G588" s="11"/>
      <c r="H588" s="11"/>
      <c r="I588" s="11"/>
      <c r="J588" s="10" t="s">
        <v>4517</v>
      </c>
      <c r="K588" s="6" t="s">
        <v>4530</v>
      </c>
      <c r="L588" s="8" t="s">
        <v>4519</v>
      </c>
      <c r="M588" s="11"/>
      <c r="N588" s="11"/>
      <c r="O588" s="11"/>
      <c r="P588" s="11"/>
      <c r="Q588" s="6" t="s">
        <v>4539</v>
      </c>
      <c r="R588" s="11"/>
      <c r="S588" s="11"/>
      <c r="T588" s="11"/>
      <c r="U588" s="11"/>
      <c r="V588" s="11"/>
      <c r="W588" s="11"/>
      <c r="X588" s="11"/>
      <c r="Y588" s="2"/>
      <c r="Z588" s="2"/>
      <c r="AA588" s="2"/>
      <c r="AB588" s="2"/>
      <c r="AC588" s="2"/>
      <c r="AD588" s="2"/>
      <c r="AE588" s="2"/>
      <c r="AF588" s="2"/>
      <c r="AG588" s="2"/>
      <c r="AH588" s="2"/>
      <c r="AI588" s="2"/>
      <c r="AJ588" s="2"/>
      <c r="AK588" s="2"/>
      <c r="AL588" s="2"/>
      <c r="AM588" s="2"/>
      <c r="AN588" s="2"/>
    </row>
    <row r="589" spans="3:40" ht="15.75" customHeight="1" x14ac:dyDescent="0.25">
      <c r="C589" s="11"/>
      <c r="D589" s="11"/>
      <c r="E589" s="939">
        <v>2</v>
      </c>
      <c r="F589" s="1245" t="s">
        <v>3964</v>
      </c>
      <c r="G589" s="1245"/>
      <c r="H589" s="1245"/>
      <c r="I589" s="1245"/>
      <c r="J589" s="1245"/>
      <c r="K589" s="931"/>
      <c r="L589" s="932"/>
      <c r="M589" s="931"/>
      <c r="N589" s="931"/>
      <c r="O589" s="931"/>
      <c r="P589" s="315"/>
      <c r="Q589" s="931"/>
      <c r="R589" s="931"/>
      <c r="S589" s="931"/>
      <c r="T589" s="931"/>
      <c r="U589" s="931"/>
      <c r="V589" s="931"/>
      <c r="W589" s="931"/>
      <c r="X589" s="931"/>
      <c r="Y589" s="2"/>
      <c r="Z589" s="2"/>
      <c r="AA589" s="2"/>
      <c r="AB589" s="2"/>
      <c r="AC589" s="2"/>
      <c r="AD589" s="2"/>
      <c r="AE589" s="2"/>
      <c r="AF589" s="2"/>
      <c r="AG589" s="2"/>
      <c r="AH589" s="2"/>
      <c r="AI589" s="2"/>
      <c r="AJ589" s="2"/>
      <c r="AK589" s="2"/>
      <c r="AL589" s="2"/>
      <c r="AM589" s="2"/>
      <c r="AN589" s="2"/>
    </row>
    <row r="590" spans="3:40" ht="39" x14ac:dyDescent="0.25">
      <c r="C590" s="11"/>
      <c r="D590" s="11"/>
      <c r="E590" s="41"/>
      <c r="F590" s="11">
        <v>3</v>
      </c>
      <c r="G590" s="11"/>
      <c r="H590" s="11"/>
      <c r="I590" s="11"/>
      <c r="J590" s="10" t="s">
        <v>4545</v>
      </c>
      <c r="K590" s="6" t="s">
        <v>4530</v>
      </c>
      <c r="L590" s="8" t="s">
        <v>4366</v>
      </c>
      <c r="M590" s="11"/>
      <c r="N590" s="11"/>
      <c r="O590" s="11"/>
      <c r="P590" s="855" t="s">
        <v>4546</v>
      </c>
      <c r="Q590" s="10" t="s">
        <v>4547</v>
      </c>
      <c r="R590" s="11"/>
      <c r="S590" s="11"/>
      <c r="T590" s="11"/>
      <c r="U590" s="11"/>
      <c r="V590" s="11"/>
      <c r="W590" s="11"/>
      <c r="X590" s="11"/>
      <c r="Y590" s="2"/>
      <c r="Z590" s="2"/>
      <c r="AA590" s="2"/>
      <c r="AB590" s="2"/>
      <c r="AC590" s="2"/>
      <c r="AD590" s="2"/>
      <c r="AE590" s="2"/>
      <c r="AF590" s="2"/>
      <c r="AG590" s="2"/>
      <c r="AH590" s="2"/>
      <c r="AI590" s="2"/>
      <c r="AJ590" s="2"/>
      <c r="AK590" s="2"/>
      <c r="AL590" s="2"/>
      <c r="AM590" s="2"/>
      <c r="AN590" s="2"/>
    </row>
    <row r="591" spans="3:40" ht="15.75" customHeight="1" x14ac:dyDescent="0.25">
      <c r="C591" s="11"/>
      <c r="D591" s="11"/>
      <c r="E591" s="939">
        <v>2</v>
      </c>
      <c r="F591" s="1245" t="s">
        <v>3717</v>
      </c>
      <c r="G591" s="1245"/>
      <c r="H591" s="1245"/>
      <c r="I591" s="1245"/>
      <c r="J591" s="1245"/>
      <c r="K591" s="931"/>
      <c r="L591" s="932"/>
      <c r="M591" s="931"/>
      <c r="N591" s="931"/>
      <c r="O591" s="931"/>
      <c r="P591" s="315"/>
      <c r="Q591" s="931"/>
      <c r="R591" s="931"/>
      <c r="S591" s="931"/>
      <c r="T591" s="931"/>
      <c r="U591" s="931"/>
      <c r="V591" s="931"/>
      <c r="W591" s="931"/>
      <c r="X591" s="931"/>
      <c r="Y591" s="2"/>
      <c r="Z591" s="2"/>
      <c r="AA591" s="2"/>
      <c r="AB591" s="2"/>
      <c r="AC591" s="2"/>
      <c r="AD591" s="2"/>
      <c r="AE591" s="2"/>
      <c r="AF591" s="2"/>
      <c r="AG591" s="2"/>
      <c r="AH591" s="2"/>
      <c r="AI591" s="2"/>
      <c r="AJ591" s="2"/>
      <c r="AK591" s="2"/>
      <c r="AL591" s="2"/>
      <c r="AM591" s="2"/>
      <c r="AN591" s="2"/>
    </row>
    <row r="592" spans="3:40" ht="45" x14ac:dyDescent="0.25">
      <c r="C592" s="11"/>
      <c r="D592" s="11"/>
      <c r="E592" s="41"/>
      <c r="F592" s="11">
        <v>3</v>
      </c>
      <c r="G592" s="11"/>
      <c r="H592" s="11"/>
      <c r="I592" s="11"/>
      <c r="J592" s="6" t="s">
        <v>4548</v>
      </c>
      <c r="K592" s="6" t="s">
        <v>4549</v>
      </c>
      <c r="L592" s="8" t="s">
        <v>3972</v>
      </c>
      <c r="M592" s="11"/>
      <c r="N592" s="11"/>
      <c r="O592" s="11"/>
      <c r="P592" s="833"/>
      <c r="Q592" s="6" t="s">
        <v>4550</v>
      </c>
      <c r="R592" s="11"/>
      <c r="S592" s="11"/>
      <c r="T592" s="11"/>
      <c r="U592" s="11"/>
      <c r="V592" s="11"/>
      <c r="W592" s="11"/>
      <c r="X592" s="11"/>
      <c r="Y592" s="2"/>
      <c r="Z592" s="2"/>
      <c r="AA592" s="2"/>
      <c r="AB592" s="2"/>
      <c r="AC592" s="2"/>
      <c r="AD592" s="2"/>
      <c r="AE592" s="2"/>
      <c r="AF592" s="2"/>
      <c r="AG592" s="2"/>
      <c r="AH592" s="2"/>
      <c r="AI592" s="2"/>
      <c r="AJ592" s="2"/>
      <c r="AK592" s="2"/>
      <c r="AL592" s="2"/>
      <c r="AM592" s="2"/>
      <c r="AN592" s="2"/>
    </row>
    <row r="593" spans="1:40" x14ac:dyDescent="0.25">
      <c r="A593" s="48"/>
      <c r="B593" s="48"/>
      <c r="C593" s="136"/>
      <c r="D593" s="136"/>
      <c r="E593" s="316">
        <v>2</v>
      </c>
      <c r="F593" s="1249" t="s">
        <v>4551</v>
      </c>
      <c r="G593" s="1264"/>
      <c r="H593" s="1264"/>
      <c r="I593" s="1264"/>
      <c r="J593" s="1264"/>
      <c r="K593" s="317"/>
      <c r="L593" s="318"/>
      <c r="M593" s="317"/>
      <c r="N593" s="317"/>
      <c r="O593" s="317"/>
      <c r="P593" s="315"/>
      <c r="Q593" s="317"/>
      <c r="R593" s="317"/>
      <c r="S593" s="317"/>
      <c r="T593" s="317"/>
      <c r="U593" s="317"/>
      <c r="V593" s="317"/>
      <c r="W593" s="317"/>
      <c r="X593" s="317"/>
      <c r="Y593" s="2"/>
      <c r="Z593" s="2"/>
      <c r="AA593" s="2"/>
      <c r="AB593" s="2"/>
      <c r="AC593" s="2"/>
      <c r="AD593" s="2"/>
      <c r="AE593" s="2"/>
      <c r="AF593" s="2"/>
      <c r="AG593" s="2"/>
      <c r="AH593" s="2"/>
      <c r="AI593" s="2"/>
      <c r="AJ593" s="2"/>
      <c r="AK593" s="2"/>
      <c r="AL593" s="2"/>
      <c r="AM593" s="2"/>
      <c r="AN593" s="2"/>
    </row>
    <row r="594" spans="1:40" x14ac:dyDescent="0.25">
      <c r="A594" s="48"/>
      <c r="B594" s="48"/>
      <c r="C594" s="136"/>
      <c r="D594" s="136"/>
      <c r="E594" s="136"/>
      <c r="F594" s="301"/>
      <c r="G594" s="11"/>
      <c r="H594" s="11"/>
      <c r="I594" s="11"/>
      <c r="J594" s="6" t="s">
        <v>4552</v>
      </c>
      <c r="K594" s="6" t="s">
        <v>4553</v>
      </c>
      <c r="L594" s="8" t="s">
        <v>4554</v>
      </c>
      <c r="M594" s="11"/>
      <c r="N594" s="11"/>
      <c r="O594" s="11"/>
      <c r="P594" s="6"/>
      <c r="Q594" s="322"/>
      <c r="R594" s="136"/>
      <c r="S594" s="136"/>
      <c r="T594" s="136"/>
      <c r="U594" s="136"/>
      <c r="V594" s="136"/>
      <c r="W594" s="136"/>
      <c r="X594" s="136"/>
      <c r="Y594" s="2"/>
      <c r="Z594" s="2"/>
      <c r="AA594" s="2"/>
      <c r="AB594" s="2"/>
      <c r="AC594" s="2"/>
      <c r="AD594" s="2"/>
      <c r="AE594" s="2"/>
      <c r="AF594" s="2"/>
      <c r="AG594" s="2"/>
      <c r="AH594" s="2"/>
      <c r="AI594" s="2"/>
      <c r="AJ594" s="2"/>
      <c r="AK594" s="2"/>
      <c r="AL594" s="2"/>
      <c r="AM594" s="2"/>
      <c r="AN594" s="2"/>
    </row>
    <row r="595" spans="1:40" ht="20.25" customHeight="1" x14ac:dyDescent="0.25">
      <c r="C595" s="93"/>
      <c r="D595" s="93">
        <v>1</v>
      </c>
      <c r="E595" s="1247" t="s">
        <v>4555</v>
      </c>
      <c r="F595" s="1247"/>
      <c r="G595" s="1247"/>
      <c r="H595" s="1247"/>
      <c r="I595" s="1247"/>
      <c r="J595" s="1247"/>
      <c r="K595" s="93"/>
      <c r="L595" s="772"/>
      <c r="M595" s="93"/>
      <c r="N595" s="93"/>
      <c r="O595" s="93"/>
      <c r="P595" s="93"/>
      <c r="Q595" s="93"/>
      <c r="R595" s="93"/>
      <c r="S595" s="93"/>
      <c r="T595" s="93"/>
      <c r="U595" s="93"/>
      <c r="V595" s="93"/>
      <c r="W595" s="93"/>
      <c r="X595" s="93"/>
      <c r="Y595" s="2"/>
      <c r="Z595" s="2"/>
      <c r="AA595" s="2"/>
      <c r="AB595" s="2"/>
      <c r="AC595" s="2"/>
      <c r="AD595" s="2"/>
      <c r="AE595" s="2"/>
      <c r="AF595" s="2"/>
      <c r="AG595" s="2"/>
      <c r="AH595" s="2"/>
      <c r="AI595" s="2"/>
      <c r="AJ595" s="2"/>
      <c r="AK595" s="2"/>
      <c r="AL595" s="2"/>
      <c r="AM595" s="2"/>
      <c r="AN595" s="2"/>
    </row>
    <row r="596" spans="1:40" x14ac:dyDescent="0.25">
      <c r="C596" s="11"/>
      <c r="D596" s="11"/>
      <c r="E596" s="939">
        <v>2</v>
      </c>
      <c r="F596" s="1245" t="s">
        <v>4556</v>
      </c>
      <c r="G596" s="1245"/>
      <c r="H596" s="1245"/>
      <c r="I596" s="1245"/>
      <c r="J596" s="1245"/>
      <c r="K596" s="931"/>
      <c r="L596" s="932"/>
      <c r="M596" s="931"/>
      <c r="N596" s="931"/>
      <c r="O596" s="931"/>
      <c r="P596" s="931"/>
      <c r="Q596" s="931"/>
      <c r="R596" s="931"/>
      <c r="S596" s="931"/>
      <c r="T596" s="931"/>
      <c r="U596" s="931"/>
      <c r="V596" s="931"/>
      <c r="W596" s="931"/>
      <c r="X596" s="931"/>
      <c r="Y596" s="2"/>
      <c r="Z596" s="2"/>
      <c r="AA596" s="2"/>
      <c r="AB596" s="2"/>
      <c r="AC596" s="2"/>
      <c r="AD596" s="2"/>
      <c r="AE596" s="2"/>
      <c r="AF596" s="2"/>
      <c r="AG596" s="2"/>
      <c r="AH596" s="2"/>
      <c r="AI596" s="2"/>
      <c r="AJ596" s="2"/>
      <c r="AK596" s="2"/>
      <c r="AL596" s="2"/>
      <c r="AM596" s="2"/>
      <c r="AN596" s="2"/>
    </row>
    <row r="597" spans="1:40" ht="60" x14ac:dyDescent="0.25">
      <c r="C597" s="11"/>
      <c r="D597" s="11"/>
      <c r="E597" s="41"/>
      <c r="F597" s="11">
        <v>3</v>
      </c>
      <c r="G597" s="11"/>
      <c r="H597" s="11"/>
      <c r="I597" s="11"/>
      <c r="J597" s="10" t="s">
        <v>4557</v>
      </c>
      <c r="K597" s="6" t="s">
        <v>4558</v>
      </c>
      <c r="L597" s="8" t="s">
        <v>3953</v>
      </c>
      <c r="M597" s="11"/>
      <c r="N597" s="11"/>
      <c r="O597" s="11"/>
      <c r="P597" s="10" t="s">
        <v>4559</v>
      </c>
      <c r="Q597" s="6" t="s">
        <v>4560</v>
      </c>
      <c r="R597" s="11"/>
      <c r="S597" s="11"/>
      <c r="T597" s="11"/>
      <c r="U597" s="11"/>
      <c r="V597" s="11"/>
      <c r="W597" s="11"/>
      <c r="X597" s="11"/>
      <c r="Y597" s="2"/>
      <c r="Z597" s="2"/>
      <c r="AA597" s="2"/>
      <c r="AB597" s="2"/>
      <c r="AC597" s="2"/>
      <c r="AD597" s="2"/>
      <c r="AE597" s="2"/>
      <c r="AF597" s="2"/>
      <c r="AG597" s="2"/>
      <c r="AH597" s="2"/>
      <c r="AI597" s="2"/>
      <c r="AJ597" s="2"/>
      <c r="AK597" s="2"/>
      <c r="AL597" s="2"/>
      <c r="AM597" s="2"/>
      <c r="AN597" s="2"/>
    </row>
    <row r="598" spans="1:40" x14ac:dyDescent="0.25">
      <c r="C598" s="11"/>
      <c r="D598" s="11"/>
      <c r="E598" s="939">
        <v>2</v>
      </c>
      <c r="F598" s="1245" t="s">
        <v>4561</v>
      </c>
      <c r="G598" s="1245"/>
      <c r="H598" s="1245"/>
      <c r="I598" s="1245"/>
      <c r="J598" s="1245"/>
      <c r="K598" s="931"/>
      <c r="L598" s="932"/>
      <c r="M598" s="931"/>
      <c r="N598" s="931"/>
      <c r="O598" s="931"/>
      <c r="P598" s="931"/>
      <c r="Q598" s="931"/>
      <c r="R598" s="931"/>
      <c r="S598" s="931"/>
      <c r="T598" s="931"/>
      <c r="U598" s="931"/>
      <c r="V598" s="931"/>
      <c r="W598" s="931"/>
      <c r="X598" s="931"/>
      <c r="Y598" s="2"/>
      <c r="Z598" s="2"/>
      <c r="AA598" s="2"/>
      <c r="AB598" s="2"/>
      <c r="AC598" s="2"/>
      <c r="AD598" s="2"/>
      <c r="AE598" s="2"/>
      <c r="AF598" s="2"/>
      <c r="AG598" s="2"/>
      <c r="AH598" s="2"/>
      <c r="AI598" s="2"/>
      <c r="AJ598" s="2"/>
      <c r="AK598" s="2"/>
      <c r="AL598" s="2"/>
      <c r="AM598" s="2"/>
      <c r="AN598" s="2"/>
    </row>
    <row r="599" spans="1:40" ht="60" x14ac:dyDescent="0.25">
      <c r="C599" s="11"/>
      <c r="D599" s="11"/>
      <c r="E599" s="41"/>
      <c r="F599" s="11">
        <v>3</v>
      </c>
      <c r="G599" s="11"/>
      <c r="H599" s="11"/>
      <c r="I599" s="11"/>
      <c r="J599" s="10" t="s">
        <v>4557</v>
      </c>
      <c r="K599" s="6" t="s">
        <v>4558</v>
      </c>
      <c r="L599" s="8" t="s">
        <v>3953</v>
      </c>
      <c r="M599" s="11"/>
      <c r="N599" s="11"/>
      <c r="O599" s="11"/>
      <c r="P599" s="10" t="s">
        <v>4559</v>
      </c>
      <c r="Q599" s="6" t="s">
        <v>4560</v>
      </c>
      <c r="R599" s="11"/>
      <c r="S599" s="11"/>
      <c r="T599" s="11"/>
      <c r="U599" s="11"/>
      <c r="V599" s="11"/>
      <c r="W599" s="11"/>
      <c r="X599" s="11"/>
      <c r="Y599" s="2"/>
      <c r="Z599" s="2"/>
      <c r="AA599" s="2"/>
      <c r="AB599" s="2"/>
      <c r="AC599" s="2"/>
      <c r="AD599" s="2"/>
      <c r="AE599" s="2"/>
      <c r="AF599" s="2"/>
      <c r="AG599" s="2"/>
      <c r="AH599" s="2"/>
      <c r="AI599" s="2"/>
      <c r="AJ599" s="2"/>
      <c r="AK599" s="2"/>
      <c r="AL599" s="2"/>
      <c r="AM599" s="2"/>
      <c r="AN599" s="2"/>
    </row>
    <row r="600" spans="1:40" x14ac:dyDescent="0.25">
      <c r="C600" s="11"/>
      <c r="D600" s="11"/>
      <c r="E600" s="939">
        <v>2</v>
      </c>
      <c r="F600" s="1245" t="s">
        <v>4562</v>
      </c>
      <c r="G600" s="1245"/>
      <c r="H600" s="1245"/>
      <c r="I600" s="1245"/>
      <c r="J600" s="1245"/>
      <c r="K600" s="931"/>
      <c r="L600" s="932"/>
      <c r="M600" s="931"/>
      <c r="N600" s="931"/>
      <c r="O600" s="931"/>
      <c r="P600" s="931"/>
      <c r="Q600" s="931"/>
      <c r="R600" s="931"/>
      <c r="S600" s="931"/>
      <c r="T600" s="931"/>
      <c r="U600" s="931"/>
      <c r="V600" s="931"/>
      <c r="W600" s="931"/>
      <c r="X600" s="931"/>
      <c r="Y600" s="2"/>
      <c r="Z600" s="2"/>
      <c r="AA600" s="2"/>
      <c r="AB600" s="2"/>
      <c r="AC600" s="2"/>
      <c r="AD600" s="2"/>
      <c r="AE600" s="2"/>
      <c r="AF600" s="2"/>
      <c r="AG600" s="2"/>
      <c r="AH600" s="2"/>
      <c r="AI600" s="2"/>
      <c r="AJ600" s="2"/>
      <c r="AK600" s="2"/>
      <c r="AL600" s="2"/>
      <c r="AM600" s="2"/>
      <c r="AN600" s="2"/>
    </row>
    <row r="601" spans="1:40" ht="60" x14ac:dyDescent="0.25">
      <c r="C601" s="11"/>
      <c r="D601" s="11"/>
      <c r="E601" s="41"/>
      <c r="F601" s="11">
        <v>3</v>
      </c>
      <c r="G601" s="11"/>
      <c r="H601" s="11"/>
      <c r="I601" s="11"/>
      <c r="J601" s="10" t="s">
        <v>4557</v>
      </c>
      <c r="K601" s="6" t="s">
        <v>4558</v>
      </c>
      <c r="L601" s="8" t="s">
        <v>3953</v>
      </c>
      <c r="M601" s="11"/>
      <c r="N601" s="10"/>
      <c r="O601" s="11"/>
      <c r="P601" s="10" t="s">
        <v>4559</v>
      </c>
      <c r="Q601" s="6" t="s">
        <v>4560</v>
      </c>
      <c r="R601" s="11"/>
      <c r="S601" s="11"/>
      <c r="T601" s="11"/>
      <c r="U601" s="11"/>
      <c r="V601" s="11"/>
      <c r="W601" s="11"/>
      <c r="X601" s="11"/>
      <c r="Y601" s="2"/>
      <c r="Z601" s="2"/>
      <c r="AA601" s="2"/>
      <c r="AB601" s="2"/>
      <c r="AC601" s="2"/>
      <c r="AD601" s="2"/>
      <c r="AE601" s="2"/>
      <c r="AF601" s="2"/>
      <c r="AG601" s="2"/>
      <c r="AH601" s="2"/>
      <c r="AI601" s="2"/>
      <c r="AJ601" s="2"/>
      <c r="AK601" s="2"/>
      <c r="AL601" s="2"/>
      <c r="AM601" s="2"/>
      <c r="AN601" s="2"/>
    </row>
    <row r="602" spans="1:40" x14ac:dyDescent="0.25">
      <c r="C602" s="11"/>
      <c r="D602" s="11"/>
      <c r="E602" s="939">
        <v>2</v>
      </c>
      <c r="F602" s="1245" t="s">
        <v>4563</v>
      </c>
      <c r="G602" s="1245"/>
      <c r="H602" s="1245"/>
      <c r="I602" s="1245"/>
      <c r="J602" s="1245"/>
      <c r="K602" s="931"/>
      <c r="L602" s="932"/>
      <c r="M602" s="931"/>
      <c r="N602" s="931"/>
      <c r="O602" s="931"/>
      <c r="P602" s="931"/>
      <c r="Q602" s="931"/>
      <c r="R602" s="931"/>
      <c r="S602" s="931"/>
      <c r="T602" s="931"/>
      <c r="U602" s="931"/>
      <c r="V602" s="931"/>
      <c r="W602" s="931"/>
      <c r="X602" s="931"/>
      <c r="Y602" s="2"/>
      <c r="Z602" s="2"/>
      <c r="AA602" s="2"/>
      <c r="AB602" s="2"/>
      <c r="AC602" s="2"/>
      <c r="AD602" s="2"/>
      <c r="AE602" s="2"/>
      <c r="AF602" s="2"/>
      <c r="AG602" s="2"/>
      <c r="AH602" s="2"/>
      <c r="AI602" s="2"/>
      <c r="AJ602" s="2"/>
      <c r="AK602" s="2"/>
      <c r="AL602" s="2"/>
      <c r="AM602" s="2"/>
      <c r="AN602" s="2"/>
    </row>
    <row r="603" spans="1:40" ht="60" x14ac:dyDescent="0.25">
      <c r="C603" s="11"/>
      <c r="D603" s="11"/>
      <c r="E603" s="41"/>
      <c r="F603" s="11">
        <v>3</v>
      </c>
      <c r="G603" s="11"/>
      <c r="H603" s="11"/>
      <c r="I603" s="11"/>
      <c r="J603" s="10" t="s">
        <v>4557</v>
      </c>
      <c r="K603" s="6" t="s">
        <v>4558</v>
      </c>
      <c r="L603" s="8" t="s">
        <v>3953</v>
      </c>
      <c r="M603" s="11"/>
      <c r="N603" s="11"/>
      <c r="O603" s="11"/>
      <c r="P603" s="10" t="s">
        <v>4559</v>
      </c>
      <c r="Q603" s="6" t="s">
        <v>4560</v>
      </c>
      <c r="R603" s="11"/>
      <c r="S603" s="11"/>
      <c r="T603" s="11"/>
      <c r="U603" s="11"/>
      <c r="V603" s="11"/>
      <c r="W603" s="11"/>
      <c r="X603" s="11"/>
      <c r="Y603" s="2"/>
      <c r="Z603" s="2"/>
      <c r="AA603" s="2"/>
      <c r="AB603" s="2"/>
      <c r="AC603" s="2"/>
      <c r="AD603" s="2"/>
      <c r="AE603" s="2"/>
      <c r="AF603" s="2"/>
      <c r="AG603" s="2"/>
      <c r="AH603" s="2"/>
      <c r="AI603" s="2"/>
      <c r="AJ603" s="2"/>
      <c r="AK603" s="2"/>
      <c r="AL603" s="2"/>
      <c r="AM603" s="2"/>
      <c r="AN603" s="2"/>
    </row>
    <row r="604" spans="1:40" x14ac:dyDescent="0.25">
      <c r="C604" s="11"/>
      <c r="D604" s="11"/>
      <c r="E604" s="939">
        <v>2</v>
      </c>
      <c r="F604" s="1245" t="s">
        <v>4564</v>
      </c>
      <c r="G604" s="1245"/>
      <c r="H604" s="1245"/>
      <c r="I604" s="1245"/>
      <c r="J604" s="1245"/>
      <c r="K604" s="931"/>
      <c r="L604" s="932"/>
      <c r="M604" s="931"/>
      <c r="N604" s="931"/>
      <c r="O604" s="931"/>
      <c r="P604" s="931"/>
      <c r="Q604" s="931"/>
      <c r="R604" s="931"/>
      <c r="S604" s="931"/>
      <c r="T604" s="931"/>
      <c r="U604" s="931"/>
      <c r="V604" s="931"/>
      <c r="W604" s="931"/>
      <c r="X604" s="931"/>
      <c r="Y604" s="2"/>
      <c r="Z604" s="2"/>
      <c r="AA604" s="2"/>
      <c r="AB604" s="2"/>
      <c r="AC604" s="2"/>
      <c r="AD604" s="2"/>
      <c r="AE604" s="2"/>
      <c r="AF604" s="2"/>
      <c r="AG604" s="2"/>
      <c r="AH604" s="2"/>
      <c r="AI604" s="2"/>
      <c r="AJ604" s="2"/>
      <c r="AK604" s="2"/>
      <c r="AL604" s="2"/>
      <c r="AM604" s="2"/>
      <c r="AN604" s="2"/>
    </row>
    <row r="605" spans="1:40" ht="60" x14ac:dyDescent="0.25">
      <c r="C605" s="11"/>
      <c r="D605" s="11"/>
      <c r="E605" s="41"/>
      <c r="F605" s="11">
        <v>3</v>
      </c>
      <c r="G605" s="11"/>
      <c r="H605" s="11"/>
      <c r="I605" s="11"/>
      <c r="J605" s="10" t="s">
        <v>4557</v>
      </c>
      <c r="K605" s="6" t="s">
        <v>4558</v>
      </c>
      <c r="L605" s="8" t="s">
        <v>3953</v>
      </c>
      <c r="M605" s="11"/>
      <c r="N605" s="11"/>
      <c r="O605" s="11"/>
      <c r="P605" s="10" t="s">
        <v>4559</v>
      </c>
      <c r="Q605" s="6" t="s">
        <v>4560</v>
      </c>
      <c r="R605" s="11"/>
      <c r="S605" s="11"/>
      <c r="T605" s="11"/>
      <c r="U605" s="11"/>
      <c r="V605" s="11"/>
      <c r="W605" s="11"/>
      <c r="X605" s="11"/>
      <c r="Y605" s="2"/>
      <c r="Z605" s="2"/>
      <c r="AA605" s="2"/>
      <c r="AB605" s="2"/>
      <c r="AC605" s="2"/>
      <c r="AD605" s="2"/>
      <c r="AE605" s="2"/>
      <c r="AF605" s="2"/>
      <c r="AG605" s="2"/>
      <c r="AH605" s="2"/>
      <c r="AI605" s="2"/>
      <c r="AJ605" s="2"/>
      <c r="AK605" s="2"/>
      <c r="AL605" s="2"/>
      <c r="AM605" s="2"/>
      <c r="AN605" s="2"/>
    </row>
    <row r="606" spans="1:40" x14ac:dyDescent="0.25">
      <c r="C606" s="11"/>
      <c r="D606" s="11"/>
      <c r="E606" s="939">
        <v>2</v>
      </c>
      <c r="F606" s="1245" t="s">
        <v>4565</v>
      </c>
      <c r="G606" s="1245"/>
      <c r="H606" s="1245"/>
      <c r="I606" s="1245"/>
      <c r="J606" s="1245"/>
      <c r="K606" s="931"/>
      <c r="L606" s="932"/>
      <c r="M606" s="931"/>
      <c r="N606" s="931"/>
      <c r="O606" s="931"/>
      <c r="P606" s="931"/>
      <c r="Q606" s="931"/>
      <c r="R606" s="931"/>
      <c r="S606" s="931"/>
      <c r="T606" s="931"/>
      <c r="U606" s="931"/>
      <c r="V606" s="931"/>
      <c r="W606" s="931"/>
      <c r="X606" s="931"/>
      <c r="Y606" s="2"/>
      <c r="Z606" s="2"/>
      <c r="AA606" s="2"/>
      <c r="AB606" s="2"/>
      <c r="AC606" s="2"/>
      <c r="AD606" s="2"/>
      <c r="AE606" s="2"/>
      <c r="AF606" s="2"/>
      <c r="AG606" s="2"/>
      <c r="AH606" s="2"/>
      <c r="AI606" s="2"/>
      <c r="AJ606" s="2"/>
      <c r="AK606" s="2"/>
      <c r="AL606" s="2"/>
      <c r="AM606" s="2"/>
      <c r="AN606" s="2"/>
    </row>
    <row r="607" spans="1:40" ht="60" x14ac:dyDescent="0.25">
      <c r="C607" s="11"/>
      <c r="D607" s="11"/>
      <c r="E607" s="41"/>
      <c r="F607" s="11">
        <v>3</v>
      </c>
      <c r="G607" s="11"/>
      <c r="H607" s="11"/>
      <c r="I607" s="11"/>
      <c r="J607" s="10" t="s">
        <v>4557</v>
      </c>
      <c r="K607" s="6" t="s">
        <v>4558</v>
      </c>
      <c r="L607" s="8" t="s">
        <v>3953</v>
      </c>
      <c r="M607" s="11"/>
      <c r="N607" s="11"/>
      <c r="O607" s="11"/>
      <c r="P607" s="10" t="s">
        <v>4559</v>
      </c>
      <c r="Q607" s="6" t="s">
        <v>4560</v>
      </c>
      <c r="R607" s="11"/>
      <c r="S607" s="11"/>
      <c r="T607" s="11"/>
      <c r="U607" s="11"/>
      <c r="V607" s="11"/>
      <c r="W607" s="11"/>
      <c r="X607" s="11"/>
      <c r="Y607" s="2"/>
      <c r="Z607" s="2"/>
      <c r="AA607" s="2"/>
      <c r="AB607" s="2"/>
      <c r="AC607" s="2"/>
      <c r="AD607" s="2"/>
      <c r="AE607" s="2"/>
      <c r="AF607" s="2"/>
      <c r="AG607" s="2"/>
      <c r="AH607" s="2"/>
      <c r="AI607" s="2"/>
      <c r="AJ607" s="2"/>
      <c r="AK607" s="2"/>
      <c r="AL607" s="2"/>
      <c r="AM607" s="2"/>
      <c r="AN607" s="2"/>
    </row>
    <row r="608" spans="1:40" x14ac:dyDescent="0.25">
      <c r="C608" s="11"/>
      <c r="D608" s="11"/>
      <c r="E608" s="939">
        <v>2</v>
      </c>
      <c r="F608" s="1245" t="s">
        <v>4479</v>
      </c>
      <c r="G608" s="1245"/>
      <c r="H608" s="1245"/>
      <c r="I608" s="1245"/>
      <c r="J608" s="1245"/>
      <c r="K608" s="931"/>
      <c r="L608" s="932"/>
      <c r="M608" s="931"/>
      <c r="N608" s="931"/>
      <c r="O608" s="931"/>
      <c r="P608" s="931"/>
      <c r="Q608" s="931"/>
      <c r="R608" s="931"/>
      <c r="S608" s="931"/>
      <c r="T608" s="931"/>
      <c r="U608" s="931"/>
      <c r="V608" s="931"/>
      <c r="W608" s="931"/>
      <c r="X608" s="931"/>
      <c r="Y608" s="2"/>
      <c r="Z608" s="2"/>
      <c r="AA608" s="2"/>
      <c r="AB608" s="2"/>
      <c r="AC608" s="2"/>
      <c r="AD608" s="2"/>
      <c r="AE608" s="2"/>
      <c r="AF608" s="2"/>
      <c r="AG608" s="2"/>
      <c r="AH608" s="2"/>
      <c r="AI608" s="2"/>
      <c r="AJ608" s="2"/>
      <c r="AK608" s="2"/>
      <c r="AL608" s="2"/>
      <c r="AM608" s="2"/>
      <c r="AN608" s="2"/>
    </row>
    <row r="609" spans="3:40" ht="60" x14ac:dyDescent="0.25">
      <c r="C609" s="11"/>
      <c r="D609" s="11"/>
      <c r="E609" s="41"/>
      <c r="F609" s="11">
        <v>3</v>
      </c>
      <c r="G609" s="11"/>
      <c r="H609" s="11"/>
      <c r="I609" s="11"/>
      <c r="J609" s="10" t="s">
        <v>4149</v>
      </c>
      <c r="K609" s="6" t="s">
        <v>4566</v>
      </c>
      <c r="L609" s="8" t="s">
        <v>3953</v>
      </c>
      <c r="M609" s="11"/>
      <c r="N609" s="11"/>
      <c r="O609" s="11"/>
      <c r="P609" s="6" t="s">
        <v>4567</v>
      </c>
      <c r="Q609" s="6" t="s">
        <v>4568</v>
      </c>
      <c r="R609" s="11"/>
      <c r="S609" s="11"/>
      <c r="T609" s="11"/>
      <c r="U609" s="11"/>
      <c r="V609" s="11"/>
      <c r="W609" s="11"/>
      <c r="X609" s="11"/>
      <c r="Y609" s="2"/>
      <c r="Z609" s="2"/>
      <c r="AA609" s="2"/>
      <c r="AB609" s="2"/>
      <c r="AC609" s="2"/>
      <c r="AD609" s="2"/>
      <c r="AE609" s="2"/>
      <c r="AF609" s="2"/>
      <c r="AG609" s="2"/>
      <c r="AH609" s="2"/>
      <c r="AI609" s="2"/>
      <c r="AJ609" s="2"/>
      <c r="AK609" s="2"/>
      <c r="AL609" s="2"/>
      <c r="AM609" s="2"/>
      <c r="AN609" s="2"/>
    </row>
    <row r="610" spans="3:40" x14ac:dyDescent="0.25">
      <c r="C610" s="11"/>
      <c r="D610" s="11"/>
      <c r="E610" s="939">
        <v>2</v>
      </c>
      <c r="F610" s="1245" t="s">
        <v>4569</v>
      </c>
      <c r="G610" s="1245"/>
      <c r="H610" s="1245"/>
      <c r="I610" s="1245"/>
      <c r="J610" s="1245"/>
      <c r="K610" s="931"/>
      <c r="L610" s="932"/>
      <c r="M610" s="931"/>
      <c r="N610" s="931"/>
      <c r="O610" s="931"/>
      <c r="P610" s="931"/>
      <c r="Q610" s="931"/>
      <c r="R610" s="931"/>
      <c r="S610" s="931"/>
      <c r="T610" s="931"/>
      <c r="U610" s="931"/>
      <c r="V610" s="931"/>
      <c r="W610" s="931"/>
      <c r="X610" s="931"/>
      <c r="Y610" s="2"/>
      <c r="Z610" s="2"/>
      <c r="AA610" s="2"/>
      <c r="AB610" s="2"/>
      <c r="AC610" s="2"/>
      <c r="AD610" s="2"/>
      <c r="AE610" s="2"/>
      <c r="AF610" s="2"/>
      <c r="AG610" s="2"/>
      <c r="AH610" s="2"/>
      <c r="AI610" s="2"/>
      <c r="AJ610" s="2"/>
      <c r="AK610" s="2"/>
      <c r="AL610" s="2"/>
      <c r="AM610" s="2"/>
      <c r="AN610" s="2"/>
    </row>
    <row r="611" spans="3:40" ht="60" x14ac:dyDescent="0.25">
      <c r="C611" s="11"/>
      <c r="D611" s="11"/>
      <c r="E611" s="41"/>
      <c r="F611" s="11">
        <v>3</v>
      </c>
      <c r="G611" s="11"/>
      <c r="H611" s="11"/>
      <c r="I611" s="11"/>
      <c r="J611" s="10" t="s">
        <v>4149</v>
      </c>
      <c r="K611" s="6" t="s">
        <v>4566</v>
      </c>
      <c r="L611" s="8" t="s">
        <v>3953</v>
      </c>
      <c r="M611" s="11"/>
      <c r="N611" s="716"/>
      <c r="O611" s="11"/>
      <c r="P611" s="6" t="s">
        <v>4567</v>
      </c>
      <c r="Q611" s="6" t="s">
        <v>4568</v>
      </c>
      <c r="R611" s="11"/>
      <c r="S611" s="11"/>
      <c r="T611" s="11"/>
      <c r="U611" s="11"/>
      <c r="V611" s="11"/>
      <c r="W611" s="11"/>
      <c r="X611" s="11"/>
      <c r="Y611" s="2"/>
      <c r="Z611" s="2"/>
      <c r="AA611" s="2"/>
      <c r="AB611" s="2"/>
      <c r="AC611" s="2"/>
      <c r="AD611" s="2"/>
      <c r="AE611" s="2"/>
      <c r="AF611" s="2"/>
      <c r="AG611" s="2"/>
      <c r="AH611" s="2"/>
      <c r="AI611" s="2"/>
      <c r="AJ611" s="2"/>
      <c r="AK611" s="2"/>
      <c r="AL611" s="2"/>
      <c r="AM611" s="2"/>
      <c r="AN611" s="2"/>
    </row>
    <row r="612" spans="3:40" ht="20.25" customHeight="1" x14ac:dyDescent="0.25">
      <c r="C612" s="93"/>
      <c r="D612" s="93">
        <v>1</v>
      </c>
      <c r="E612" s="1247" t="s">
        <v>4570</v>
      </c>
      <c r="F612" s="1247"/>
      <c r="G612" s="1247"/>
      <c r="H612" s="1247"/>
      <c r="I612" s="1247"/>
      <c r="J612" s="1247"/>
      <c r="K612" s="93"/>
      <c r="L612" s="772"/>
      <c r="M612" s="93"/>
      <c r="N612" s="93"/>
      <c r="O612" s="93"/>
      <c r="P612" s="93"/>
      <c r="Q612" s="93"/>
      <c r="R612" s="93"/>
      <c r="S612" s="93"/>
      <c r="T612" s="93"/>
      <c r="U612" s="93"/>
      <c r="V612" s="93"/>
      <c r="W612" s="93"/>
      <c r="X612" s="93"/>
      <c r="Y612" s="2"/>
      <c r="Z612" s="2"/>
      <c r="AA612" s="2"/>
      <c r="AB612" s="2"/>
      <c r="AC612" s="2"/>
      <c r="AD612" s="2"/>
      <c r="AE612" s="2"/>
      <c r="AF612" s="2"/>
      <c r="AG612" s="2"/>
      <c r="AH612" s="2"/>
      <c r="AI612" s="2"/>
      <c r="AJ612" s="2"/>
      <c r="AK612" s="2"/>
      <c r="AL612" s="2"/>
      <c r="AM612" s="2"/>
      <c r="AN612" s="2"/>
    </row>
    <row r="613" spans="3:40" x14ac:dyDescent="0.25">
      <c r="C613" s="11"/>
      <c r="D613" s="11"/>
      <c r="E613" s="939">
        <v>2</v>
      </c>
      <c r="F613" s="1245" t="s">
        <v>4571</v>
      </c>
      <c r="G613" s="1245"/>
      <c r="H613" s="1245"/>
      <c r="I613" s="1245"/>
      <c r="J613" s="1245"/>
      <c r="K613" s="931"/>
      <c r="L613" s="932"/>
      <c r="M613" s="931"/>
      <c r="N613" s="931"/>
      <c r="O613" s="931"/>
      <c r="P613" s="931"/>
      <c r="Q613" s="931"/>
      <c r="R613" s="931"/>
      <c r="S613" s="931"/>
      <c r="T613" s="931"/>
      <c r="U613" s="931"/>
      <c r="V613" s="931"/>
      <c r="W613" s="931"/>
      <c r="X613" s="931"/>
      <c r="Y613" s="2"/>
      <c r="Z613" s="2"/>
      <c r="AA613" s="2"/>
      <c r="AB613" s="2"/>
      <c r="AC613" s="2"/>
      <c r="AD613" s="2"/>
      <c r="AE613" s="2"/>
      <c r="AF613" s="2"/>
      <c r="AG613" s="2"/>
      <c r="AH613" s="2"/>
      <c r="AI613" s="2"/>
      <c r="AJ613" s="2"/>
      <c r="AK613" s="2"/>
      <c r="AL613" s="2"/>
      <c r="AM613" s="2"/>
      <c r="AN613" s="2"/>
    </row>
    <row r="614" spans="3:40" ht="60" x14ac:dyDescent="0.25">
      <c r="C614" s="11"/>
      <c r="D614" s="11"/>
      <c r="E614" s="41"/>
      <c r="F614" s="11">
        <v>3</v>
      </c>
      <c r="G614" s="11"/>
      <c r="H614" s="11"/>
      <c r="I614" s="11"/>
      <c r="J614" s="10" t="s">
        <v>4557</v>
      </c>
      <c r="K614" s="6" t="s">
        <v>4558</v>
      </c>
      <c r="L614" s="8" t="s">
        <v>3953</v>
      </c>
      <c r="M614" s="11"/>
      <c r="N614" s="11"/>
      <c r="O614" s="11"/>
      <c r="P614" s="10" t="s">
        <v>4559</v>
      </c>
      <c r="Q614" s="6" t="s">
        <v>4560</v>
      </c>
      <c r="R614" s="11"/>
      <c r="S614" s="11"/>
      <c r="T614" s="11"/>
      <c r="U614" s="11"/>
      <c r="V614" s="11"/>
      <c r="W614" s="11"/>
      <c r="X614" s="11"/>
      <c r="Y614" s="2"/>
      <c r="Z614" s="2"/>
      <c r="AA614" s="2"/>
      <c r="AB614" s="2"/>
      <c r="AC614" s="2"/>
      <c r="AD614" s="2"/>
      <c r="AE614" s="2"/>
      <c r="AF614" s="2"/>
      <c r="AG614" s="2"/>
      <c r="AH614" s="2"/>
      <c r="AI614" s="2"/>
      <c r="AJ614" s="2"/>
      <c r="AK614" s="2"/>
      <c r="AL614" s="2"/>
      <c r="AM614" s="2"/>
      <c r="AN614" s="2"/>
    </row>
    <row r="615" spans="3:40" x14ac:dyDescent="0.25">
      <c r="C615" s="11"/>
      <c r="D615" s="11"/>
      <c r="E615" s="939">
        <v>2</v>
      </c>
      <c r="F615" s="1245" t="s">
        <v>4572</v>
      </c>
      <c r="G615" s="1245"/>
      <c r="H615" s="1245"/>
      <c r="I615" s="1245"/>
      <c r="J615" s="1245"/>
      <c r="K615" s="931"/>
      <c r="L615" s="932"/>
      <c r="M615" s="931"/>
      <c r="N615" s="931"/>
      <c r="O615" s="931"/>
      <c r="P615" s="931"/>
      <c r="Q615" s="931"/>
      <c r="R615" s="931"/>
      <c r="S615" s="931"/>
      <c r="T615" s="931"/>
      <c r="U615" s="931"/>
      <c r="V615" s="931"/>
      <c r="W615" s="931"/>
      <c r="X615" s="931"/>
      <c r="Y615" s="2"/>
      <c r="Z615" s="2"/>
      <c r="AA615" s="2"/>
      <c r="AB615" s="2"/>
      <c r="AC615" s="2"/>
      <c r="AD615" s="2"/>
      <c r="AE615" s="2"/>
      <c r="AF615" s="2"/>
      <c r="AG615" s="2"/>
      <c r="AH615" s="2"/>
      <c r="AI615" s="2"/>
      <c r="AJ615" s="2"/>
      <c r="AK615" s="2"/>
      <c r="AL615" s="2"/>
      <c r="AM615" s="2"/>
      <c r="AN615" s="2"/>
    </row>
    <row r="616" spans="3:40" ht="39" x14ac:dyDescent="0.25">
      <c r="C616" s="11"/>
      <c r="D616" s="11"/>
      <c r="E616" s="41"/>
      <c r="F616" s="11">
        <v>3</v>
      </c>
      <c r="G616" s="11"/>
      <c r="H616" s="11"/>
      <c r="I616" s="11"/>
      <c r="J616" s="6" t="s">
        <v>4573</v>
      </c>
      <c r="K616" s="6" t="s">
        <v>4574</v>
      </c>
      <c r="L616" s="8" t="s">
        <v>3639</v>
      </c>
      <c r="M616" s="10"/>
      <c r="N616" s="716"/>
      <c r="O616" s="11"/>
      <c r="P616" s="10" t="s">
        <v>4575</v>
      </c>
      <c r="Q616" s="10" t="s">
        <v>4576</v>
      </c>
      <c r="R616" s="11"/>
      <c r="S616" s="11"/>
      <c r="T616" s="11"/>
      <c r="U616" s="11"/>
      <c r="V616" s="11"/>
      <c r="W616" s="11"/>
      <c r="X616" s="11"/>
      <c r="Y616" s="2"/>
      <c r="Z616" s="2"/>
      <c r="AA616" s="2"/>
      <c r="AB616" s="2"/>
      <c r="AC616" s="2"/>
      <c r="AD616" s="2"/>
      <c r="AE616" s="2"/>
      <c r="AF616" s="2"/>
      <c r="AG616" s="2"/>
      <c r="AH616" s="2"/>
      <c r="AI616" s="2"/>
      <c r="AJ616" s="2"/>
      <c r="AK616" s="2"/>
      <c r="AL616" s="2"/>
      <c r="AM616" s="2"/>
      <c r="AN616" s="2"/>
    </row>
    <row r="617" spans="3:40" ht="39" x14ac:dyDescent="0.25">
      <c r="C617" s="11"/>
      <c r="D617" s="11"/>
      <c r="E617" s="41"/>
      <c r="F617" s="11">
        <v>3</v>
      </c>
      <c r="G617" s="11"/>
      <c r="H617" s="11"/>
      <c r="I617" s="11"/>
      <c r="J617" s="10" t="s">
        <v>4577</v>
      </c>
      <c r="K617" s="6" t="s">
        <v>4578</v>
      </c>
      <c r="L617" s="8" t="s">
        <v>3639</v>
      </c>
      <c r="M617" s="11"/>
      <c r="N617" s="10" t="s">
        <v>4579</v>
      </c>
      <c r="O617" s="11"/>
      <c r="P617" s="10" t="s">
        <v>4575</v>
      </c>
      <c r="Q617" s="10" t="s">
        <v>4576</v>
      </c>
      <c r="R617" s="11"/>
      <c r="S617" s="11"/>
      <c r="T617" s="11"/>
      <c r="U617" s="11"/>
      <c r="V617" s="11"/>
      <c r="W617" s="11"/>
      <c r="X617" s="11"/>
      <c r="Y617" s="2"/>
      <c r="Z617" s="2"/>
      <c r="AA617" s="2"/>
      <c r="AB617" s="2"/>
      <c r="AC617" s="2"/>
      <c r="AD617" s="2"/>
      <c r="AE617" s="2"/>
      <c r="AF617" s="2"/>
      <c r="AG617" s="2"/>
      <c r="AH617" s="2"/>
      <c r="AI617" s="2"/>
      <c r="AJ617" s="2"/>
      <c r="AK617" s="2"/>
      <c r="AL617" s="2"/>
      <c r="AM617" s="2"/>
      <c r="AN617" s="2"/>
    </row>
    <row r="618" spans="3:40" x14ac:dyDescent="0.25">
      <c r="C618" s="11"/>
      <c r="D618" s="11"/>
      <c r="E618" s="939">
        <v>2</v>
      </c>
      <c r="F618" s="1245" t="s">
        <v>4580</v>
      </c>
      <c r="G618" s="1245"/>
      <c r="H618" s="1245"/>
      <c r="I618" s="1245"/>
      <c r="J618" s="1245"/>
      <c r="K618" s="931"/>
      <c r="L618" s="932"/>
      <c r="M618" s="931"/>
      <c r="N618" s="931"/>
      <c r="O618" s="931"/>
      <c r="P618" s="931"/>
      <c r="Q618" s="931"/>
      <c r="R618" s="931"/>
      <c r="S618" s="931"/>
      <c r="T618" s="931"/>
      <c r="U618" s="931"/>
      <c r="V618" s="931"/>
      <c r="W618" s="931"/>
      <c r="X618" s="931"/>
      <c r="Y618" s="2"/>
      <c r="Z618" s="2"/>
      <c r="AA618" s="2"/>
      <c r="AB618" s="2"/>
      <c r="AC618" s="2"/>
      <c r="AD618" s="2"/>
      <c r="AE618" s="2"/>
      <c r="AF618" s="2"/>
      <c r="AG618" s="2"/>
      <c r="AH618" s="2"/>
      <c r="AI618" s="2"/>
      <c r="AJ618" s="2"/>
      <c r="AK618" s="2"/>
      <c r="AL618" s="2"/>
      <c r="AM618" s="2"/>
      <c r="AN618" s="2"/>
    </row>
    <row r="619" spans="3:40" ht="39" x14ac:dyDescent="0.25">
      <c r="C619" s="11"/>
      <c r="D619" s="11"/>
      <c r="E619" s="41"/>
      <c r="F619" s="11">
        <v>3</v>
      </c>
      <c r="G619" s="11"/>
      <c r="H619" s="11"/>
      <c r="I619" s="11"/>
      <c r="J619" s="6" t="s">
        <v>4581</v>
      </c>
      <c r="K619" s="6" t="s">
        <v>4582</v>
      </c>
      <c r="L619" s="8" t="s">
        <v>3639</v>
      </c>
      <c r="M619" s="10"/>
      <c r="N619" s="716"/>
      <c r="O619" s="11"/>
      <c r="P619" s="6" t="s">
        <v>4583</v>
      </c>
      <c r="Q619" s="10" t="s">
        <v>4576</v>
      </c>
      <c r="R619" s="11"/>
      <c r="S619" s="11"/>
      <c r="T619" s="11"/>
      <c r="U619" s="11"/>
      <c r="V619" s="11"/>
      <c r="W619" s="11"/>
      <c r="X619" s="11"/>
      <c r="Y619" s="2"/>
      <c r="Z619" s="2"/>
      <c r="AA619" s="2"/>
      <c r="AB619" s="2"/>
      <c r="AC619" s="2"/>
      <c r="AD619" s="2"/>
      <c r="AE619" s="2"/>
      <c r="AF619" s="2"/>
      <c r="AG619" s="2"/>
      <c r="AH619" s="2"/>
      <c r="AI619" s="2"/>
      <c r="AJ619" s="2"/>
      <c r="AK619" s="2"/>
      <c r="AL619" s="2"/>
      <c r="AM619" s="2"/>
      <c r="AN619" s="2"/>
    </row>
    <row r="620" spans="3:40" ht="39" x14ac:dyDescent="0.25">
      <c r="C620" s="11"/>
      <c r="D620" s="11"/>
      <c r="E620" s="41"/>
      <c r="F620" s="11">
        <v>3</v>
      </c>
      <c r="G620" s="11"/>
      <c r="H620" s="11"/>
      <c r="I620" s="11"/>
      <c r="J620" s="6" t="s">
        <v>4584</v>
      </c>
      <c r="K620" s="6" t="s">
        <v>4582</v>
      </c>
      <c r="L620" s="8" t="s">
        <v>3639</v>
      </c>
      <c r="M620" s="11"/>
      <c r="N620" s="11"/>
      <c r="O620" s="11"/>
      <c r="P620" s="6" t="s">
        <v>4583</v>
      </c>
      <c r="Q620" s="10" t="s">
        <v>4576</v>
      </c>
      <c r="R620" s="11"/>
      <c r="S620" s="11"/>
      <c r="T620" s="11"/>
      <c r="U620" s="11"/>
      <c r="V620" s="11"/>
      <c r="W620" s="11"/>
      <c r="X620" s="11"/>
      <c r="Y620" s="2"/>
      <c r="Z620" s="2"/>
      <c r="AA620" s="2"/>
      <c r="AB620" s="2"/>
      <c r="AC620" s="2"/>
      <c r="AD620" s="2"/>
      <c r="AE620" s="2"/>
      <c r="AF620" s="2"/>
      <c r="AG620" s="2"/>
      <c r="AH620" s="2"/>
      <c r="AI620" s="2"/>
      <c r="AJ620" s="2"/>
      <c r="AK620" s="2"/>
      <c r="AL620" s="2"/>
      <c r="AM620" s="2"/>
      <c r="AN620" s="2"/>
    </row>
    <row r="621" spans="3:40" x14ac:dyDescent="0.25">
      <c r="C621" s="11"/>
      <c r="D621" s="11"/>
      <c r="E621" s="939">
        <v>2</v>
      </c>
      <c r="F621" s="1245" t="s">
        <v>4585</v>
      </c>
      <c r="G621" s="1245"/>
      <c r="H621" s="1245"/>
      <c r="I621" s="1245"/>
      <c r="J621" s="1245"/>
      <c r="K621" s="931"/>
      <c r="L621" s="932"/>
      <c r="M621" s="931"/>
      <c r="N621" s="931"/>
      <c r="O621" s="931"/>
      <c r="P621" s="931"/>
      <c r="Q621" s="931"/>
      <c r="R621" s="931"/>
      <c r="S621" s="931"/>
      <c r="T621" s="931"/>
      <c r="U621" s="931"/>
      <c r="V621" s="931"/>
      <c r="W621" s="931"/>
      <c r="X621" s="931"/>
      <c r="Y621" s="2"/>
      <c r="Z621" s="2"/>
      <c r="AA621" s="2"/>
      <c r="AB621" s="2"/>
      <c r="AC621" s="2"/>
      <c r="AD621" s="2"/>
      <c r="AE621" s="2"/>
      <c r="AF621" s="2"/>
      <c r="AG621" s="2"/>
      <c r="AH621" s="2"/>
      <c r="AI621" s="2"/>
      <c r="AJ621" s="2"/>
      <c r="AK621" s="2"/>
      <c r="AL621" s="2"/>
      <c r="AM621" s="2"/>
      <c r="AN621" s="2"/>
    </row>
    <row r="622" spans="3:40" ht="45" x14ac:dyDescent="0.25">
      <c r="C622" s="11"/>
      <c r="D622" s="11"/>
      <c r="E622" s="41"/>
      <c r="F622" s="11">
        <v>3</v>
      </c>
      <c r="G622" s="11"/>
      <c r="H622" s="11"/>
      <c r="I622" s="11"/>
      <c r="J622" s="10" t="s">
        <v>4557</v>
      </c>
      <c r="K622" s="6" t="s">
        <v>4558</v>
      </c>
      <c r="L622" s="8" t="s">
        <v>4491</v>
      </c>
      <c r="M622" s="11"/>
      <c r="N622" s="11"/>
      <c r="O622" s="11"/>
      <c r="P622" s="10" t="s">
        <v>4586</v>
      </c>
      <c r="Q622" s="10" t="s">
        <v>4587</v>
      </c>
      <c r="R622" s="11"/>
      <c r="S622" s="11"/>
      <c r="T622" s="11"/>
      <c r="U622" s="11"/>
      <c r="V622" s="11"/>
      <c r="W622" s="11"/>
      <c r="X622" s="11"/>
      <c r="Y622" s="2"/>
      <c r="Z622" s="2"/>
      <c r="AA622" s="2"/>
      <c r="AB622" s="2"/>
      <c r="AC622" s="2"/>
      <c r="AD622" s="2"/>
      <c r="AE622" s="2"/>
      <c r="AF622" s="2"/>
      <c r="AG622" s="2"/>
      <c r="AH622" s="2"/>
      <c r="AI622" s="2"/>
      <c r="AJ622" s="2"/>
      <c r="AK622" s="2"/>
      <c r="AL622" s="2"/>
      <c r="AM622" s="2"/>
      <c r="AN622" s="2"/>
    </row>
    <row r="623" spans="3:40" x14ac:dyDescent="0.25">
      <c r="C623" s="11"/>
      <c r="D623" s="11"/>
      <c r="E623" s="939">
        <v>2</v>
      </c>
      <c r="F623" s="1245" t="s">
        <v>4588</v>
      </c>
      <c r="G623" s="1245"/>
      <c r="H623" s="1245"/>
      <c r="I623" s="1245"/>
      <c r="J623" s="1245"/>
      <c r="K623" s="931"/>
      <c r="L623" s="932"/>
      <c r="M623" s="931"/>
      <c r="N623" s="931"/>
      <c r="O623" s="931"/>
      <c r="P623" s="931"/>
      <c r="Q623" s="931"/>
      <c r="R623" s="931"/>
      <c r="S623" s="931"/>
      <c r="T623" s="931"/>
      <c r="U623" s="931"/>
      <c r="V623" s="931"/>
      <c r="W623" s="931"/>
      <c r="X623" s="931"/>
      <c r="Y623" s="2"/>
      <c r="Z623" s="2"/>
      <c r="AA623" s="2"/>
      <c r="AB623" s="2"/>
      <c r="AC623" s="2"/>
      <c r="AD623" s="2"/>
      <c r="AE623" s="2"/>
      <c r="AF623" s="2"/>
      <c r="AG623" s="2"/>
      <c r="AH623" s="2"/>
      <c r="AI623" s="2"/>
      <c r="AJ623" s="2"/>
      <c r="AK623" s="2"/>
      <c r="AL623" s="2"/>
      <c r="AM623" s="2"/>
      <c r="AN623" s="2"/>
    </row>
    <row r="624" spans="3:40" ht="45" x14ac:dyDescent="0.25">
      <c r="C624" s="11"/>
      <c r="D624" s="11"/>
      <c r="E624" s="41"/>
      <c r="F624" s="11">
        <v>3</v>
      </c>
      <c r="G624" s="11"/>
      <c r="H624" s="11"/>
      <c r="I624" s="11"/>
      <c r="J624" s="10" t="s">
        <v>4557</v>
      </c>
      <c r="K624" s="6" t="s">
        <v>4558</v>
      </c>
      <c r="L624" s="8" t="s">
        <v>4526</v>
      </c>
      <c r="M624" s="11"/>
      <c r="N624" s="11"/>
      <c r="O624" s="11"/>
      <c r="P624" s="6" t="s">
        <v>4589</v>
      </c>
      <c r="Q624" s="324" t="s">
        <v>4590</v>
      </c>
      <c r="R624" s="11"/>
      <c r="S624" s="11"/>
      <c r="T624" s="11"/>
      <c r="U624" s="11"/>
      <c r="V624" s="11"/>
      <c r="W624" s="11"/>
      <c r="X624" s="11"/>
      <c r="Y624" s="2"/>
      <c r="Z624" s="2"/>
      <c r="AA624" s="2"/>
      <c r="AB624" s="2"/>
      <c r="AC624" s="2"/>
      <c r="AD624" s="2"/>
      <c r="AE624" s="2"/>
      <c r="AF624" s="2"/>
      <c r="AG624" s="2"/>
      <c r="AH624" s="2"/>
      <c r="AI624" s="2"/>
      <c r="AJ624" s="2"/>
      <c r="AK624" s="2"/>
      <c r="AL624" s="2"/>
      <c r="AM624" s="2"/>
      <c r="AN624" s="2"/>
    </row>
    <row r="625" spans="1:40" x14ac:dyDescent="0.25">
      <c r="C625" s="11"/>
      <c r="D625" s="11"/>
      <c r="E625" s="939">
        <v>2</v>
      </c>
      <c r="F625" s="1245" t="s">
        <v>4591</v>
      </c>
      <c r="G625" s="1245"/>
      <c r="H625" s="1245"/>
      <c r="I625" s="1245"/>
      <c r="J625" s="1245"/>
      <c r="K625" s="931"/>
      <c r="L625" s="932"/>
      <c r="M625" s="931"/>
      <c r="N625" s="931"/>
      <c r="O625" s="931"/>
      <c r="P625" s="931"/>
      <c r="Q625" s="931"/>
      <c r="R625" s="931"/>
      <c r="S625" s="931"/>
      <c r="T625" s="931"/>
      <c r="U625" s="931"/>
      <c r="V625" s="931"/>
      <c r="W625" s="931"/>
      <c r="X625" s="931"/>
      <c r="Y625" s="2"/>
      <c r="Z625" s="2"/>
      <c r="AA625" s="2"/>
      <c r="AB625" s="2"/>
      <c r="AC625" s="2"/>
      <c r="AD625" s="2"/>
      <c r="AE625" s="2"/>
      <c r="AF625" s="2"/>
      <c r="AG625" s="2"/>
      <c r="AH625" s="2"/>
      <c r="AI625" s="2"/>
      <c r="AJ625" s="2"/>
      <c r="AK625" s="2"/>
      <c r="AL625" s="2"/>
      <c r="AM625" s="2"/>
      <c r="AN625" s="2"/>
    </row>
    <row r="626" spans="1:40" ht="24.75" customHeight="1" x14ac:dyDescent="0.25">
      <c r="C626" s="11"/>
      <c r="D626" s="11"/>
      <c r="E626" s="41"/>
      <c r="F626" s="11">
        <v>3</v>
      </c>
      <c r="G626" s="11"/>
      <c r="H626" s="11"/>
      <c r="I626" s="11"/>
      <c r="J626" s="6" t="s">
        <v>4592</v>
      </c>
      <c r="K626" s="6" t="s">
        <v>4593</v>
      </c>
      <c r="L626" s="8" t="s">
        <v>4146</v>
      </c>
      <c r="M626" s="11"/>
      <c r="N626" s="11"/>
      <c r="O626" s="11"/>
      <c r="P626" s="6"/>
      <c r="Q626" s="11"/>
      <c r="R626" s="11"/>
      <c r="S626" s="11"/>
      <c r="T626" s="11"/>
      <c r="U626" s="11"/>
      <c r="V626" s="11"/>
      <c r="W626" s="11"/>
      <c r="X626" s="11"/>
      <c r="Y626" s="2"/>
      <c r="Z626" s="2"/>
      <c r="AA626" s="2"/>
      <c r="AB626" s="2"/>
      <c r="AC626" s="2"/>
      <c r="AD626" s="2"/>
      <c r="AE626" s="2"/>
      <c r="AF626" s="2"/>
      <c r="AG626" s="2"/>
      <c r="AH626" s="2"/>
      <c r="AI626" s="2"/>
      <c r="AJ626" s="2"/>
      <c r="AK626" s="2"/>
      <c r="AL626" s="2"/>
      <c r="AM626" s="2"/>
      <c r="AN626" s="2"/>
    </row>
    <row r="627" spans="1:40" ht="24.75" customHeight="1" x14ac:dyDescent="0.25">
      <c r="C627" s="11"/>
      <c r="D627" s="11"/>
      <c r="E627" s="41"/>
      <c r="F627" s="11">
        <v>3</v>
      </c>
      <c r="G627" s="11"/>
      <c r="H627" s="11"/>
      <c r="I627" s="11"/>
      <c r="J627" s="10" t="s">
        <v>93</v>
      </c>
      <c r="K627" s="6" t="s">
        <v>4593</v>
      </c>
      <c r="L627" s="8" t="s">
        <v>4146</v>
      </c>
      <c r="M627" s="11"/>
      <c r="N627" s="11"/>
      <c r="O627" s="11"/>
      <c r="P627" s="6"/>
      <c r="Q627" s="11"/>
      <c r="R627" s="11"/>
      <c r="S627" s="11"/>
      <c r="T627" s="11"/>
      <c r="U627" s="11"/>
      <c r="V627" s="11"/>
      <c r="W627" s="11"/>
      <c r="X627" s="11"/>
      <c r="Y627" s="2"/>
      <c r="Z627" s="2"/>
      <c r="AA627" s="2"/>
      <c r="AB627" s="2"/>
      <c r="AC627" s="2"/>
      <c r="AD627" s="2"/>
      <c r="AE627" s="2"/>
      <c r="AF627" s="2"/>
      <c r="AG627" s="2"/>
      <c r="AH627" s="2"/>
      <c r="AI627" s="2"/>
      <c r="AJ627" s="2"/>
      <c r="AK627" s="2"/>
      <c r="AL627" s="2"/>
      <c r="AM627" s="2"/>
      <c r="AN627" s="2"/>
    </row>
    <row r="628" spans="1:40" ht="15.75" customHeight="1" x14ac:dyDescent="0.25">
      <c r="C628" s="11"/>
      <c r="D628" s="11"/>
      <c r="E628" s="939">
        <v>2</v>
      </c>
      <c r="F628" s="1245" t="s">
        <v>4594</v>
      </c>
      <c r="G628" s="1245"/>
      <c r="H628" s="1245"/>
      <c r="I628" s="1245"/>
      <c r="J628" s="1245"/>
      <c r="K628" s="931"/>
      <c r="L628" s="932"/>
      <c r="M628" s="931"/>
      <c r="N628" s="931"/>
      <c r="O628" s="931"/>
      <c r="P628" s="931"/>
      <c r="Q628" s="931"/>
      <c r="R628" s="931"/>
      <c r="S628" s="931"/>
      <c r="T628" s="931"/>
      <c r="U628" s="931"/>
      <c r="V628" s="931"/>
      <c r="W628" s="931"/>
      <c r="X628" s="931"/>
      <c r="Y628" s="2"/>
      <c r="Z628" s="2"/>
      <c r="AA628" s="2"/>
      <c r="AB628" s="2"/>
      <c r="AC628" s="2"/>
      <c r="AD628" s="2"/>
      <c r="AE628" s="2"/>
      <c r="AF628" s="2"/>
      <c r="AG628" s="2"/>
      <c r="AH628" s="2"/>
      <c r="AI628" s="2"/>
      <c r="AJ628" s="2"/>
      <c r="AK628" s="2"/>
      <c r="AL628" s="2"/>
      <c r="AM628" s="2"/>
      <c r="AN628" s="2"/>
    </row>
    <row r="629" spans="1:40" ht="75" x14ac:dyDescent="0.25">
      <c r="C629" s="11"/>
      <c r="D629" s="11"/>
      <c r="E629" s="41"/>
      <c r="F629" s="11">
        <v>3</v>
      </c>
      <c r="G629" s="11"/>
      <c r="H629" s="11"/>
      <c r="I629" s="11"/>
      <c r="J629" s="6" t="s">
        <v>522</v>
      </c>
      <c r="K629" s="6" t="s">
        <v>4558</v>
      </c>
      <c r="L629" s="8" t="s">
        <v>3639</v>
      </c>
      <c r="M629" s="11"/>
      <c r="N629" s="716"/>
      <c r="O629" s="11"/>
      <c r="P629" s="6" t="s">
        <v>4583</v>
      </c>
      <c r="Q629" s="6" t="s">
        <v>4595</v>
      </c>
      <c r="R629" s="11"/>
      <c r="S629" s="11"/>
      <c r="T629" s="11"/>
      <c r="U629" s="11"/>
      <c r="V629" s="11"/>
      <c r="W629" s="11"/>
      <c r="X629" s="11"/>
      <c r="Y629" s="2"/>
      <c r="Z629" s="2"/>
      <c r="AA629" s="2"/>
      <c r="AB629" s="2"/>
      <c r="AC629" s="2"/>
      <c r="AD629" s="2"/>
      <c r="AE629" s="2"/>
      <c r="AF629" s="2"/>
      <c r="AG629" s="2"/>
      <c r="AH629" s="2"/>
      <c r="AI629" s="2"/>
      <c r="AJ629" s="2"/>
      <c r="AK629" s="2"/>
      <c r="AL629" s="2"/>
      <c r="AM629" s="2"/>
      <c r="AN629" s="2"/>
    </row>
    <row r="630" spans="1:40" ht="75" x14ac:dyDescent="0.25">
      <c r="C630" s="11"/>
      <c r="D630" s="11"/>
      <c r="E630" s="41"/>
      <c r="F630" s="11">
        <v>3</v>
      </c>
      <c r="G630" s="11"/>
      <c r="H630" s="11"/>
      <c r="I630" s="11"/>
      <c r="J630" s="6" t="s">
        <v>4596</v>
      </c>
      <c r="K630" s="6" t="s">
        <v>4558</v>
      </c>
      <c r="L630" s="8" t="s">
        <v>3639</v>
      </c>
      <c r="M630" s="11"/>
      <c r="N630" s="716"/>
      <c r="O630" s="11"/>
      <c r="P630" s="6" t="s">
        <v>4583</v>
      </c>
      <c r="Q630" s="6" t="s">
        <v>4595</v>
      </c>
      <c r="R630" s="11"/>
      <c r="S630" s="11"/>
      <c r="T630" s="11"/>
      <c r="U630" s="11"/>
      <c r="V630" s="11"/>
      <c r="W630" s="11"/>
      <c r="X630" s="11"/>
      <c r="Y630" s="2"/>
      <c r="Z630" s="2"/>
      <c r="AA630" s="2"/>
      <c r="AB630" s="2"/>
      <c r="AC630" s="2"/>
      <c r="AD630" s="2"/>
      <c r="AE630" s="2"/>
      <c r="AF630" s="2"/>
      <c r="AG630" s="2"/>
      <c r="AH630" s="2"/>
      <c r="AI630" s="2"/>
      <c r="AJ630" s="2"/>
      <c r="AK630" s="2"/>
      <c r="AL630" s="2"/>
      <c r="AM630" s="2"/>
      <c r="AN630" s="2"/>
    </row>
    <row r="631" spans="1:40" ht="15.75" customHeight="1" x14ac:dyDescent="0.25">
      <c r="C631" s="11"/>
      <c r="D631" s="11"/>
      <c r="E631" s="939">
        <v>2</v>
      </c>
      <c r="F631" s="1245" t="s">
        <v>4597</v>
      </c>
      <c r="G631" s="1245"/>
      <c r="H631" s="1245"/>
      <c r="I631" s="1245"/>
      <c r="J631" s="1245"/>
      <c r="K631" s="931"/>
      <c r="L631" s="932"/>
      <c r="M631" s="931"/>
      <c r="N631" s="931"/>
      <c r="O631" s="931"/>
      <c r="P631" s="931"/>
      <c r="Q631" s="931"/>
      <c r="R631" s="931"/>
      <c r="S631" s="931"/>
      <c r="T631" s="931"/>
      <c r="U631" s="931"/>
      <c r="V631" s="931"/>
      <c r="W631" s="931"/>
      <c r="X631" s="931"/>
      <c r="Y631" s="2"/>
      <c r="Z631" s="2"/>
      <c r="AA631" s="2"/>
      <c r="AB631" s="2"/>
      <c r="AC631" s="2"/>
      <c r="AD631" s="2"/>
      <c r="AE631" s="2"/>
      <c r="AF631" s="2"/>
      <c r="AG631" s="2"/>
      <c r="AH631" s="2"/>
      <c r="AI631" s="2"/>
      <c r="AJ631" s="2"/>
      <c r="AK631" s="2"/>
      <c r="AL631" s="2"/>
      <c r="AM631" s="2"/>
      <c r="AN631" s="2"/>
    </row>
    <row r="632" spans="1:40" ht="51.75" x14ac:dyDescent="0.25">
      <c r="C632" s="11"/>
      <c r="D632" s="11"/>
      <c r="E632" s="41"/>
      <c r="F632" s="11">
        <v>3</v>
      </c>
      <c r="G632" s="11"/>
      <c r="H632" s="11"/>
      <c r="I632" s="11"/>
      <c r="J632" s="6" t="s">
        <v>4149</v>
      </c>
      <c r="K632" s="6" t="s">
        <v>4598</v>
      </c>
      <c r="L632" s="8" t="s">
        <v>3639</v>
      </c>
      <c r="M632" s="11"/>
      <c r="N632" s="716"/>
      <c r="O632" s="11"/>
      <c r="P632" s="6" t="s">
        <v>4583</v>
      </c>
      <c r="Q632" s="24" t="s">
        <v>4599</v>
      </c>
      <c r="R632" s="11"/>
      <c r="S632" s="11"/>
      <c r="T632" s="11"/>
      <c r="U632" s="11"/>
      <c r="V632" s="11"/>
      <c r="W632" s="11"/>
      <c r="X632" s="11"/>
      <c r="Y632" s="2"/>
      <c r="Z632" s="2"/>
      <c r="AA632" s="2"/>
      <c r="AB632" s="2"/>
      <c r="AC632" s="2"/>
      <c r="AD632" s="2"/>
      <c r="AE632" s="2"/>
      <c r="AF632" s="2"/>
      <c r="AG632" s="2"/>
      <c r="AH632" s="2"/>
      <c r="AI632" s="2"/>
      <c r="AJ632" s="2"/>
      <c r="AK632" s="2"/>
      <c r="AL632" s="2"/>
      <c r="AM632" s="2"/>
      <c r="AN632" s="2"/>
    </row>
    <row r="633" spans="1:40" ht="20.25" customHeight="1" x14ac:dyDescent="0.25">
      <c r="C633" s="93"/>
      <c r="D633" s="93">
        <v>1</v>
      </c>
      <c r="E633" s="1247" t="s">
        <v>4600</v>
      </c>
      <c r="F633" s="1247"/>
      <c r="G633" s="1247"/>
      <c r="H633" s="1247"/>
      <c r="I633" s="1247"/>
      <c r="J633" s="1247"/>
      <c r="K633" s="93"/>
      <c r="L633" s="772"/>
      <c r="M633" s="93"/>
      <c r="N633" s="93"/>
      <c r="O633" s="93"/>
      <c r="P633" s="93"/>
      <c r="Q633" s="93"/>
      <c r="R633" s="93"/>
      <c r="S633" s="93"/>
      <c r="T633" s="93"/>
      <c r="U633" s="93"/>
      <c r="V633" s="93"/>
      <c r="W633" s="93"/>
      <c r="X633" s="93"/>
      <c r="Y633" s="2"/>
      <c r="Z633" s="2"/>
      <c r="AA633" s="2"/>
      <c r="AB633" s="2"/>
      <c r="AC633" s="2"/>
      <c r="AD633" s="2"/>
      <c r="AE633" s="2"/>
      <c r="AF633" s="2"/>
      <c r="AG633" s="2"/>
      <c r="AH633" s="2"/>
      <c r="AI633" s="2"/>
      <c r="AJ633" s="2"/>
      <c r="AK633" s="2"/>
      <c r="AL633" s="2"/>
      <c r="AM633" s="2"/>
      <c r="AN633" s="2"/>
    </row>
    <row r="634" spans="1:40" x14ac:dyDescent="0.25">
      <c r="C634" s="11"/>
      <c r="D634" s="11"/>
      <c r="E634" s="939">
        <v>2</v>
      </c>
      <c r="F634" s="1245"/>
      <c r="G634" s="1245"/>
      <c r="H634" s="1245"/>
      <c r="I634" s="1245"/>
      <c r="J634" s="1245"/>
      <c r="K634" s="931"/>
      <c r="L634" s="932"/>
      <c r="M634" s="931"/>
      <c r="N634" s="931"/>
      <c r="O634" s="931"/>
      <c r="P634" s="931"/>
      <c r="Q634" s="931"/>
      <c r="R634" s="931"/>
      <c r="S634" s="931"/>
      <c r="T634" s="931"/>
      <c r="U634" s="931"/>
      <c r="V634" s="931"/>
      <c r="W634" s="931"/>
      <c r="X634" s="931"/>
      <c r="Y634" s="2"/>
      <c r="Z634" s="2"/>
      <c r="AA634" s="2"/>
      <c r="AB634" s="2"/>
      <c r="AC634" s="2"/>
      <c r="AD634" s="2"/>
      <c r="AE634" s="2"/>
      <c r="AF634" s="2"/>
      <c r="AG634" s="2"/>
      <c r="AH634" s="2"/>
      <c r="AI634" s="2"/>
      <c r="AJ634" s="2"/>
      <c r="AK634" s="2"/>
      <c r="AL634" s="2"/>
      <c r="AM634" s="2"/>
      <c r="AN634" s="2"/>
    </row>
    <row r="635" spans="1:40" ht="51.75" x14ac:dyDescent="0.25">
      <c r="C635" s="11"/>
      <c r="D635" s="11"/>
      <c r="E635" s="41"/>
      <c r="F635" s="11">
        <v>3</v>
      </c>
      <c r="G635" s="11"/>
      <c r="H635" s="11"/>
      <c r="I635" s="11"/>
      <c r="J635" s="6" t="s">
        <v>4144</v>
      </c>
      <c r="K635" s="6" t="s">
        <v>4601</v>
      </c>
      <c r="L635" s="8" t="s">
        <v>3720</v>
      </c>
      <c r="M635" s="11"/>
      <c r="N635" s="11"/>
      <c r="O635" s="11"/>
      <c r="P635" s="10" t="s">
        <v>4602</v>
      </c>
      <c r="Q635" s="10" t="s">
        <v>4603</v>
      </c>
      <c r="R635" s="11"/>
      <c r="S635" s="11"/>
      <c r="T635" s="11"/>
      <c r="U635" s="11"/>
      <c r="V635" s="11"/>
      <c r="W635" s="11"/>
      <c r="X635" s="11"/>
      <c r="Y635" s="2"/>
      <c r="Z635" s="2"/>
      <c r="AA635" s="2"/>
      <c r="AB635" s="2"/>
      <c r="AC635" s="2"/>
      <c r="AD635" s="2"/>
      <c r="AE635" s="2"/>
      <c r="AF635" s="2"/>
      <c r="AG635" s="2"/>
      <c r="AH635" s="2"/>
      <c r="AI635" s="2"/>
      <c r="AJ635" s="2"/>
      <c r="AK635" s="2"/>
      <c r="AL635" s="2"/>
      <c r="AM635" s="2"/>
      <c r="AN635" s="2"/>
    </row>
    <row r="636" spans="1:40" ht="20.25" customHeight="1" x14ac:dyDescent="0.25">
      <c r="C636" s="93"/>
      <c r="D636" s="93">
        <v>1</v>
      </c>
      <c r="E636" s="1247" t="s">
        <v>4604</v>
      </c>
      <c r="F636" s="1247"/>
      <c r="G636" s="1247"/>
      <c r="H636" s="1247"/>
      <c r="I636" s="1247"/>
      <c r="J636" s="1247"/>
      <c r="K636" s="93"/>
      <c r="L636" s="772"/>
      <c r="M636" s="93"/>
      <c r="N636" s="936" t="str">
        <f>HYPERLINK("http://wiki.academyofsports.online/tiki-index.php?page=Influencer-Marketing", "Influencer")</f>
        <v>Influencer</v>
      </c>
      <c r="O636" s="93"/>
      <c r="P636" s="93"/>
      <c r="Q636" s="93"/>
      <c r="R636" s="93"/>
      <c r="S636" s="93"/>
      <c r="T636" s="93"/>
      <c r="U636" s="93"/>
      <c r="V636" s="93"/>
      <c r="W636" s="93"/>
      <c r="X636" s="93"/>
      <c r="Y636" s="2"/>
      <c r="Z636" s="2"/>
      <c r="AA636" s="2"/>
      <c r="AB636" s="2"/>
      <c r="AC636" s="2"/>
      <c r="AD636" s="2"/>
      <c r="AE636" s="2"/>
      <c r="AF636" s="2"/>
      <c r="AG636" s="2"/>
      <c r="AH636" s="2"/>
      <c r="AI636" s="2"/>
      <c r="AJ636" s="2"/>
      <c r="AK636" s="2"/>
      <c r="AL636" s="2"/>
      <c r="AM636" s="2"/>
      <c r="AN636" s="2"/>
    </row>
    <row r="637" spans="1:40" x14ac:dyDescent="0.25">
      <c r="C637" s="11"/>
      <c r="D637" s="11"/>
      <c r="E637" s="939">
        <v>2</v>
      </c>
      <c r="F637" s="1245"/>
      <c r="G637" s="1245"/>
      <c r="H637" s="1245"/>
      <c r="I637" s="1245"/>
      <c r="J637" s="1245"/>
      <c r="K637" s="931"/>
      <c r="L637" s="932"/>
      <c r="M637" s="931"/>
      <c r="N637" s="931"/>
      <c r="O637" s="931"/>
      <c r="P637" s="931"/>
      <c r="Q637" s="931"/>
      <c r="R637" s="931"/>
      <c r="S637" s="931"/>
      <c r="T637" s="931"/>
      <c r="U637" s="931"/>
      <c r="V637" s="931"/>
      <c r="W637" s="931"/>
      <c r="X637" s="931"/>
      <c r="Y637" s="2"/>
      <c r="Z637" s="2"/>
      <c r="AA637" s="2"/>
      <c r="AB637" s="2"/>
      <c r="AC637" s="2"/>
      <c r="AD637" s="2"/>
      <c r="AE637" s="2"/>
      <c r="AF637" s="2"/>
      <c r="AG637" s="2"/>
      <c r="AH637" s="2"/>
      <c r="AI637" s="2"/>
      <c r="AJ637" s="2"/>
      <c r="AK637" s="2"/>
      <c r="AL637" s="2"/>
      <c r="AM637" s="2"/>
      <c r="AN637" s="2"/>
    </row>
    <row r="638" spans="1:40" x14ac:dyDescent="0.25">
      <c r="C638" s="11"/>
      <c r="D638" s="11"/>
      <c r="E638" s="41"/>
      <c r="F638" s="11">
        <v>3</v>
      </c>
      <c r="G638" s="11"/>
      <c r="H638" s="11"/>
      <c r="I638" s="11"/>
      <c r="J638" s="290" t="s">
        <v>4605</v>
      </c>
      <c r="K638" s="290" t="s">
        <v>4606</v>
      </c>
      <c r="L638" s="8" t="s">
        <v>945</v>
      </c>
      <c r="M638" s="11"/>
      <c r="N638" s="716" t="str">
        <f>HYPERLINK("https://synology.bildungscampus-backnang.de:50823/oo/r/m0FU8pA4jrHGS0RvWtBScNtFwyirqK7g", "Influencer Strategie")</f>
        <v>Influencer Strategie</v>
      </c>
      <c r="O638" s="11"/>
      <c r="P638" s="10"/>
      <c r="Q638" s="10"/>
      <c r="R638" s="11"/>
      <c r="S638" s="11"/>
      <c r="T638" s="11"/>
      <c r="U638" s="11"/>
      <c r="V638" s="11"/>
      <c r="W638" s="11"/>
      <c r="X638" s="11"/>
      <c r="Y638" s="2"/>
      <c r="Z638" s="2"/>
      <c r="AA638" s="2"/>
      <c r="AB638" s="2"/>
      <c r="AC638" s="2"/>
      <c r="AD638" s="2"/>
      <c r="AE638" s="2"/>
      <c r="AF638" s="2"/>
      <c r="AG638" s="2"/>
      <c r="AH638" s="2"/>
      <c r="AI638" s="2"/>
      <c r="AJ638" s="2"/>
      <c r="AK638" s="2"/>
      <c r="AL638" s="2"/>
      <c r="AM638" s="2"/>
      <c r="AN638" s="2"/>
    </row>
    <row r="639" spans="1:40" ht="20.25" customHeight="1" x14ac:dyDescent="0.25">
      <c r="C639" s="93"/>
      <c r="D639" s="93">
        <v>1</v>
      </c>
      <c r="E639" s="1247" t="s">
        <v>4607</v>
      </c>
      <c r="F639" s="1247"/>
      <c r="G639" s="1247"/>
      <c r="H639" s="1247"/>
      <c r="I639" s="1247"/>
      <c r="J639" s="1247"/>
      <c r="K639" s="93"/>
      <c r="L639" s="772"/>
      <c r="M639" s="93"/>
      <c r="N639" s="950" t="str">
        <f>HYPERLINK("http://wiki.academyofsports.online/tiki-index.php?page=Social-Media-Marketing---Content", "Content")</f>
        <v>Content</v>
      </c>
      <c r="O639" s="93"/>
      <c r="P639" s="93"/>
      <c r="Q639" s="93"/>
      <c r="R639" s="93"/>
      <c r="S639" s="93"/>
      <c r="T639" s="93"/>
      <c r="U639" s="93"/>
      <c r="V639" s="93"/>
      <c r="W639" s="93"/>
      <c r="X639" s="93"/>
      <c r="Y639" s="2"/>
      <c r="Z639" s="2"/>
      <c r="AA639" s="2"/>
      <c r="AB639" s="2"/>
      <c r="AC639" s="2"/>
      <c r="AD639" s="2"/>
      <c r="AE639" s="2"/>
      <c r="AF639" s="2"/>
      <c r="AG639" s="2"/>
      <c r="AH639" s="2"/>
      <c r="AI639" s="2"/>
      <c r="AJ639" s="2"/>
      <c r="AK639" s="2"/>
      <c r="AL639" s="2"/>
      <c r="AM639" s="2"/>
      <c r="AN639" s="2"/>
    </row>
    <row r="640" spans="1:40" s="29" customFormat="1" x14ac:dyDescent="0.25">
      <c r="A640" s="48"/>
      <c r="B640" s="48"/>
      <c r="C640" s="135"/>
      <c r="D640" s="135"/>
      <c r="E640" s="316">
        <v>2</v>
      </c>
      <c r="F640" s="1252" t="s">
        <v>4608</v>
      </c>
      <c r="G640" s="1203"/>
      <c r="H640" s="1203"/>
      <c r="I640" s="1203"/>
      <c r="J640" s="1204"/>
      <c r="K640" s="317"/>
      <c r="L640" s="318"/>
      <c r="M640" s="317"/>
      <c r="N640" s="317"/>
      <c r="O640" s="317"/>
      <c r="P640" s="317"/>
      <c r="Q640" s="317"/>
      <c r="R640" s="317"/>
      <c r="S640" s="317"/>
      <c r="T640" s="317"/>
      <c r="U640" s="317"/>
      <c r="V640" s="317"/>
      <c r="W640" s="317"/>
      <c r="X640" s="317"/>
      <c r="Y640" s="2"/>
      <c r="Z640" s="2"/>
      <c r="AA640" s="2"/>
      <c r="AB640" s="2"/>
      <c r="AC640" s="2"/>
      <c r="AD640" s="2"/>
      <c r="AE640" s="2"/>
      <c r="AF640" s="2"/>
      <c r="AG640" s="2"/>
      <c r="AH640" s="2"/>
      <c r="AI640" s="2"/>
      <c r="AJ640" s="2"/>
      <c r="AK640" s="2"/>
      <c r="AL640" s="2"/>
      <c r="AM640" s="2"/>
      <c r="AN640" s="2"/>
    </row>
    <row r="641" spans="1:40" s="29" customFormat="1" ht="26.25" x14ac:dyDescent="0.25">
      <c r="A641" s="48"/>
      <c r="B641" s="48"/>
      <c r="C641" s="136"/>
      <c r="D641" s="136"/>
      <c r="E641" s="136"/>
      <c r="F641" s="286">
        <v>3</v>
      </c>
      <c r="G641" s="136"/>
      <c r="H641" s="136"/>
      <c r="I641" s="136"/>
      <c r="J641" s="147" t="s">
        <v>4609</v>
      </c>
      <c r="K641" s="147" t="s">
        <v>4610</v>
      </c>
      <c r="L641" s="200" t="s">
        <v>945</v>
      </c>
      <c r="M641" s="136"/>
      <c r="N641" s="136"/>
      <c r="O641" s="136"/>
      <c r="P641" s="131"/>
      <c r="Q641" s="131"/>
      <c r="R641" s="136"/>
      <c r="S641" s="136"/>
      <c r="T641" s="136"/>
      <c r="U641" s="136"/>
      <c r="V641" s="136"/>
      <c r="W641" s="136"/>
      <c r="X641" s="136"/>
      <c r="Y641" s="2"/>
      <c r="Z641" s="2"/>
      <c r="AA641" s="2"/>
      <c r="AB641" s="2"/>
      <c r="AC641" s="2"/>
      <c r="AD641" s="2"/>
      <c r="AE641" s="2"/>
      <c r="AF641" s="2"/>
      <c r="AG641" s="2"/>
      <c r="AH641" s="2"/>
      <c r="AI641" s="2"/>
      <c r="AJ641" s="2"/>
      <c r="AK641" s="2"/>
      <c r="AL641" s="2"/>
      <c r="AM641" s="2"/>
      <c r="AN641" s="2"/>
    </row>
    <row r="642" spans="1:40" s="29" customFormat="1" x14ac:dyDescent="0.25">
      <c r="A642" s="48"/>
      <c r="B642" s="48"/>
      <c r="C642" s="136"/>
      <c r="D642" s="136"/>
      <c r="E642" s="136"/>
      <c r="F642" s="286">
        <v>3</v>
      </c>
      <c r="G642" s="136"/>
      <c r="H642" s="136"/>
      <c r="I642" s="136"/>
      <c r="J642" s="147" t="s">
        <v>4611</v>
      </c>
      <c r="K642" s="147" t="s">
        <v>3715</v>
      </c>
      <c r="L642" s="200" t="s">
        <v>945</v>
      </c>
      <c r="M642" s="136"/>
      <c r="N642" s="136"/>
      <c r="O642" s="136"/>
      <c r="P642" s="131"/>
      <c r="Q642" s="131"/>
      <c r="R642" s="136"/>
      <c r="S642" s="136"/>
      <c r="T642" s="136"/>
      <c r="U642" s="136"/>
      <c r="V642" s="136"/>
      <c r="W642" s="136"/>
      <c r="X642" s="136"/>
      <c r="Y642" s="2"/>
      <c r="Z642" s="2"/>
      <c r="AA642" s="2"/>
      <c r="AB642" s="2"/>
      <c r="AC642" s="2"/>
      <c r="AD642" s="2"/>
      <c r="AE642" s="2"/>
      <c r="AF642" s="2"/>
      <c r="AG642" s="2"/>
      <c r="AH642" s="2"/>
      <c r="AI642" s="2"/>
      <c r="AJ642" s="2"/>
      <c r="AK642" s="2"/>
      <c r="AL642" s="2"/>
      <c r="AM642" s="2"/>
      <c r="AN642" s="2"/>
    </row>
    <row r="643" spans="1:40" s="29" customFormat="1" ht="26.25" x14ac:dyDescent="0.25">
      <c r="A643" s="48"/>
      <c r="B643" s="48"/>
      <c r="C643" s="136"/>
      <c r="D643" s="136"/>
      <c r="E643" s="136"/>
      <c r="F643" s="286">
        <v>3</v>
      </c>
      <c r="G643" s="136"/>
      <c r="H643" s="136"/>
      <c r="I643" s="136"/>
      <c r="J643" s="147" t="s">
        <v>4612</v>
      </c>
      <c r="K643" s="147" t="s">
        <v>4613</v>
      </c>
      <c r="L643" s="200" t="s">
        <v>945</v>
      </c>
      <c r="M643" s="136"/>
      <c r="N643" s="136"/>
      <c r="O643" s="136"/>
      <c r="P643" s="131"/>
      <c r="Q643" s="131"/>
      <c r="R643" s="136"/>
      <c r="S643" s="136"/>
      <c r="T643" s="136"/>
      <c r="U643" s="136"/>
      <c r="V643" s="136"/>
      <c r="W643" s="136"/>
      <c r="X643" s="136"/>
      <c r="Y643" s="2"/>
      <c r="Z643" s="2"/>
      <c r="AA643" s="2"/>
      <c r="AB643" s="2"/>
      <c r="AC643" s="2"/>
      <c r="AD643" s="2"/>
      <c r="AE643" s="2"/>
      <c r="AF643" s="2"/>
      <c r="AG643" s="2"/>
      <c r="AH643" s="2"/>
      <c r="AI643" s="2"/>
      <c r="AJ643" s="2"/>
      <c r="AK643" s="2"/>
      <c r="AL643" s="2"/>
      <c r="AM643" s="2"/>
      <c r="AN643" s="2"/>
    </row>
    <row r="644" spans="1:40" s="29" customFormat="1" ht="39" x14ac:dyDescent="0.25">
      <c r="A644" s="48"/>
      <c r="B644" s="48"/>
      <c r="C644" s="136"/>
      <c r="D644" s="136"/>
      <c r="E644" s="136"/>
      <c r="F644" s="286">
        <v>3</v>
      </c>
      <c r="G644" s="136"/>
      <c r="H644" s="136"/>
      <c r="I644" s="136"/>
      <c r="J644" s="147" t="s">
        <v>4614</v>
      </c>
      <c r="K644" s="147" t="s">
        <v>4615</v>
      </c>
      <c r="L644" s="200" t="s">
        <v>945</v>
      </c>
      <c r="M644" s="136"/>
      <c r="N644" s="136"/>
      <c r="O644" s="136"/>
      <c r="P644" s="131"/>
      <c r="Q644" s="131"/>
      <c r="R644" s="136"/>
      <c r="S644" s="136"/>
      <c r="T644" s="136"/>
      <c r="U644" s="136"/>
      <c r="V644" s="136"/>
      <c r="W644" s="136"/>
      <c r="X644" s="136"/>
      <c r="Y644" s="2"/>
      <c r="Z644" s="2"/>
      <c r="AA644" s="2"/>
      <c r="AB644" s="2"/>
      <c r="AC644" s="2"/>
      <c r="AD644" s="2"/>
      <c r="AE644" s="2"/>
      <c r="AF644" s="2"/>
      <c r="AG644" s="2"/>
      <c r="AH644" s="2"/>
      <c r="AI644" s="2"/>
      <c r="AJ644" s="2"/>
      <c r="AK644" s="2"/>
      <c r="AL644" s="2"/>
      <c r="AM644" s="2"/>
      <c r="AN644" s="2"/>
    </row>
    <row r="645" spans="1:40" s="29" customFormat="1" x14ac:dyDescent="0.25">
      <c r="A645" s="48"/>
      <c r="B645" s="48"/>
      <c r="C645" s="136"/>
      <c r="D645" s="136"/>
      <c r="E645" s="136"/>
      <c r="F645" s="286">
        <v>3</v>
      </c>
      <c r="G645" s="136"/>
      <c r="H645" s="136"/>
      <c r="I645" s="136"/>
      <c r="J645" s="147" t="s">
        <v>4616</v>
      </c>
      <c r="K645" s="147" t="s">
        <v>4617</v>
      </c>
      <c r="L645" s="200" t="s">
        <v>945</v>
      </c>
      <c r="M645" s="136"/>
      <c r="N645" s="136"/>
      <c r="O645" s="136"/>
      <c r="P645" s="131"/>
      <c r="Q645" s="131"/>
      <c r="R645" s="136"/>
      <c r="S645" s="136"/>
      <c r="T645" s="136"/>
      <c r="U645" s="136"/>
      <c r="V645" s="136"/>
      <c r="W645" s="136"/>
      <c r="X645" s="136"/>
      <c r="Y645" s="2"/>
      <c r="Z645" s="2"/>
      <c r="AA645" s="2"/>
      <c r="AB645" s="2"/>
      <c r="AC645" s="2"/>
      <c r="AD645" s="2"/>
      <c r="AE645" s="2"/>
      <c r="AF645" s="2"/>
      <c r="AG645" s="2"/>
      <c r="AH645" s="2"/>
      <c r="AI645" s="2"/>
      <c r="AJ645" s="2"/>
      <c r="AK645" s="2"/>
      <c r="AL645" s="2"/>
      <c r="AM645" s="2"/>
      <c r="AN645" s="2"/>
    </row>
    <row r="646" spans="1:40" x14ac:dyDescent="0.25">
      <c r="C646" s="11"/>
      <c r="D646" s="11"/>
      <c r="E646" s="939">
        <v>2</v>
      </c>
      <c r="F646" s="1245" t="s">
        <v>4618</v>
      </c>
      <c r="G646" s="1245"/>
      <c r="H646" s="1245"/>
      <c r="I646" s="1245"/>
      <c r="J646" s="1245"/>
      <c r="K646" s="931"/>
      <c r="L646" s="932"/>
      <c r="M646" s="931"/>
      <c r="N646" s="931"/>
      <c r="O646" s="931"/>
      <c r="P646" s="931"/>
      <c r="Q646" s="931"/>
      <c r="R646" s="931"/>
      <c r="S646" s="931"/>
      <c r="T646" s="931"/>
      <c r="U646" s="931"/>
      <c r="V646" s="931"/>
      <c r="W646" s="931"/>
      <c r="X646" s="931"/>
      <c r="Y646" s="2"/>
      <c r="Z646" s="2"/>
      <c r="AA646" s="2"/>
      <c r="AB646" s="2"/>
      <c r="AC646" s="2"/>
      <c r="AD646" s="2"/>
      <c r="AE646" s="2"/>
      <c r="AF646" s="2"/>
      <c r="AG646" s="2"/>
      <c r="AH646" s="2"/>
      <c r="AI646" s="2"/>
      <c r="AJ646" s="2"/>
      <c r="AK646" s="2"/>
      <c r="AL646" s="2"/>
      <c r="AM646" s="2"/>
      <c r="AN646" s="2"/>
    </row>
    <row r="647" spans="1:40" ht="39" x14ac:dyDescent="0.25">
      <c r="C647" s="11"/>
      <c r="D647" s="11"/>
      <c r="E647" s="41"/>
      <c r="F647" s="11">
        <v>3</v>
      </c>
      <c r="G647" s="10"/>
      <c r="H647" s="11"/>
      <c r="I647" s="11"/>
      <c r="J647" s="6" t="s">
        <v>4619</v>
      </c>
      <c r="K647" s="24" t="s">
        <v>4620</v>
      </c>
      <c r="L647" s="8" t="s">
        <v>4621</v>
      </c>
      <c r="M647" s="11"/>
      <c r="N647" s="716" t="str">
        <f>HYPERLINK("https://synology.bildungscampus-backnang.de:50823/drive/oo/r/ppnGZjrcqAIGU3BmHyUvutfoIqjs8xdN", "Vorstellungsbogen")</f>
        <v>Vorstellungsbogen</v>
      </c>
      <c r="O647" s="11"/>
      <c r="P647" s="6" t="s">
        <v>4622</v>
      </c>
      <c r="Q647" s="10" t="s">
        <v>4623</v>
      </c>
      <c r="R647" s="10" t="s">
        <v>4624</v>
      </c>
      <c r="S647" s="11"/>
      <c r="T647" s="11"/>
      <c r="U647" s="11"/>
      <c r="V647" s="11"/>
      <c r="W647" s="11"/>
      <c r="X647" s="11"/>
      <c r="Y647" s="2"/>
      <c r="Z647" s="2"/>
      <c r="AA647" s="2"/>
      <c r="AB647" s="2"/>
      <c r="AC647" s="2"/>
      <c r="AD647" s="2"/>
      <c r="AE647" s="2"/>
      <c r="AF647" s="2"/>
      <c r="AG647" s="2"/>
      <c r="AH647" s="2"/>
      <c r="AI647" s="2"/>
      <c r="AJ647" s="2"/>
      <c r="AK647" s="2"/>
      <c r="AL647" s="2"/>
      <c r="AM647" s="2"/>
      <c r="AN647" s="2"/>
    </row>
    <row r="648" spans="1:40" ht="45" x14ac:dyDescent="0.25">
      <c r="C648" s="11"/>
      <c r="D648" s="11"/>
      <c r="E648" s="41"/>
      <c r="F648" s="11">
        <v>3</v>
      </c>
      <c r="G648" s="10"/>
      <c r="H648" s="11"/>
      <c r="I648" s="11"/>
      <c r="J648" s="6" t="s">
        <v>4625</v>
      </c>
      <c r="K648" s="24" t="s">
        <v>4626</v>
      </c>
      <c r="L648" s="8" t="s">
        <v>4621</v>
      </c>
      <c r="M648" s="11"/>
      <c r="N648" s="10"/>
      <c r="O648" s="11"/>
      <c r="P648" s="6" t="s">
        <v>4627</v>
      </c>
      <c r="Q648" s="10"/>
      <c r="R648" s="11"/>
      <c r="S648" s="11"/>
      <c r="T648" s="11"/>
      <c r="U648" s="11"/>
      <c r="V648" s="11"/>
      <c r="W648" s="11"/>
      <c r="X648" s="11"/>
      <c r="Y648" s="2"/>
      <c r="Z648" s="2"/>
      <c r="AA648" s="2"/>
      <c r="AB648" s="2"/>
      <c r="AC648" s="2"/>
      <c r="AD648" s="2"/>
      <c r="AE648" s="2"/>
      <c r="AF648" s="2"/>
      <c r="AG648" s="2"/>
      <c r="AH648" s="2"/>
      <c r="AI648" s="2"/>
      <c r="AJ648" s="2"/>
      <c r="AK648" s="2"/>
      <c r="AL648" s="2"/>
      <c r="AM648" s="2"/>
      <c r="AN648" s="2"/>
    </row>
    <row r="649" spans="1:40" ht="30" x14ac:dyDescent="0.25">
      <c r="C649" s="11"/>
      <c r="D649" s="11"/>
      <c r="E649" s="41"/>
      <c r="F649" s="11">
        <v>3</v>
      </c>
      <c r="G649" s="11"/>
      <c r="H649" s="11"/>
      <c r="I649" s="11"/>
      <c r="J649" s="6" t="s">
        <v>4628</v>
      </c>
      <c r="K649" s="24" t="s">
        <v>4629</v>
      </c>
      <c r="L649" s="8" t="s">
        <v>4554</v>
      </c>
      <c r="M649" s="11"/>
      <c r="N649" s="10"/>
      <c r="O649" s="11"/>
      <c r="P649" s="10"/>
      <c r="Q649" s="6" t="s">
        <v>4630</v>
      </c>
      <c r="R649" s="11"/>
      <c r="S649" s="11"/>
      <c r="T649" s="11"/>
      <c r="U649" s="11"/>
      <c r="V649" s="11"/>
      <c r="W649" s="11"/>
      <c r="X649" s="11"/>
      <c r="Y649" s="2"/>
      <c r="Z649" s="2"/>
      <c r="AA649" s="2"/>
      <c r="AB649" s="2"/>
      <c r="AC649" s="2"/>
      <c r="AD649" s="2"/>
      <c r="AE649" s="2"/>
      <c r="AF649" s="2"/>
      <c r="AG649" s="2"/>
      <c r="AH649" s="2"/>
      <c r="AI649" s="2"/>
      <c r="AJ649" s="2"/>
      <c r="AK649" s="2"/>
      <c r="AL649" s="2"/>
      <c r="AM649" s="2"/>
      <c r="AN649" s="2"/>
    </row>
    <row r="650" spans="1:40" x14ac:dyDescent="0.25">
      <c r="C650" s="11"/>
      <c r="D650" s="11"/>
      <c r="E650" s="41"/>
      <c r="F650" s="11">
        <v>3</v>
      </c>
      <c r="G650" s="11"/>
      <c r="H650" s="11"/>
      <c r="I650" s="11"/>
      <c r="J650" s="6" t="s">
        <v>4631</v>
      </c>
      <c r="K650" s="24" t="s">
        <v>4632</v>
      </c>
      <c r="L650" s="8" t="s">
        <v>945</v>
      </c>
      <c r="M650" s="11"/>
      <c r="N650" s="10"/>
      <c r="O650" s="11"/>
      <c r="P650" s="10"/>
      <c r="Q650" s="10"/>
      <c r="R650" s="11"/>
      <c r="S650" s="11"/>
      <c r="T650" s="11"/>
      <c r="U650" s="11"/>
      <c r="V650" s="11"/>
      <c r="W650" s="11"/>
      <c r="X650" s="11"/>
      <c r="Y650" s="2"/>
      <c r="Z650" s="2"/>
      <c r="AA650" s="2"/>
      <c r="AB650" s="2"/>
      <c r="AC650" s="2"/>
      <c r="AD650" s="2"/>
      <c r="AE650" s="2"/>
      <c r="AF650" s="2"/>
      <c r="AG650" s="2"/>
      <c r="AH650" s="2"/>
      <c r="AI650" s="2"/>
      <c r="AJ650" s="2"/>
      <c r="AK650" s="2"/>
      <c r="AL650" s="2"/>
      <c r="AM650" s="2"/>
      <c r="AN650" s="2"/>
    </row>
    <row r="651" spans="1:40" x14ac:dyDescent="0.25">
      <c r="C651" s="11"/>
      <c r="D651" s="11"/>
      <c r="E651" s="939">
        <v>2</v>
      </c>
      <c r="F651" s="1245" t="s">
        <v>4633</v>
      </c>
      <c r="G651" s="1245"/>
      <c r="H651" s="1245"/>
      <c r="I651" s="1245"/>
      <c r="J651" s="1245"/>
      <c r="K651" s="931"/>
      <c r="L651" s="932"/>
      <c r="M651" s="931"/>
      <c r="N651" s="931"/>
      <c r="O651" s="931"/>
      <c r="P651" s="931"/>
      <c r="Q651" s="931"/>
      <c r="R651" s="931"/>
      <c r="S651" s="931"/>
      <c r="T651" s="931"/>
      <c r="U651" s="931"/>
      <c r="V651" s="931"/>
      <c r="W651" s="931"/>
      <c r="X651" s="931"/>
      <c r="Y651" s="2"/>
      <c r="Z651" s="2"/>
      <c r="AA651" s="2"/>
      <c r="AB651" s="2"/>
      <c r="AC651" s="2"/>
      <c r="AD651" s="2"/>
      <c r="AE651" s="2"/>
      <c r="AF651" s="2"/>
      <c r="AG651" s="2"/>
      <c r="AH651" s="2"/>
      <c r="AI651" s="2"/>
      <c r="AJ651" s="2"/>
      <c r="AK651" s="2"/>
      <c r="AL651" s="2"/>
      <c r="AM651" s="2"/>
      <c r="AN651" s="2"/>
    </row>
    <row r="652" spans="1:40" ht="30" x14ac:dyDescent="0.25">
      <c r="C652" s="11"/>
      <c r="D652" s="11"/>
      <c r="E652" s="41"/>
      <c r="F652" s="11">
        <v>3</v>
      </c>
      <c r="G652" s="10"/>
      <c r="H652" s="11"/>
      <c r="I652" s="11"/>
      <c r="J652" s="6" t="s">
        <v>4619</v>
      </c>
      <c r="K652" s="6" t="s">
        <v>4634</v>
      </c>
      <c r="L652" s="8" t="s">
        <v>4635</v>
      </c>
      <c r="M652" s="11"/>
      <c r="N652" s="716" t="str">
        <f>HYPERLINK("https://synology.bildungscampus-backnang.de:50823/drive/oo/r/u4aCQvOjziwE2gpc6WswENnElkAjctjn", "Fragebogen")</f>
        <v>Fragebogen</v>
      </c>
      <c r="O652" s="11"/>
      <c r="P652" s="10"/>
      <c r="Q652" s="10" t="s">
        <v>4636</v>
      </c>
      <c r="R652" s="11"/>
      <c r="S652" s="11"/>
      <c r="T652" s="11"/>
      <c r="U652" s="11"/>
      <c r="V652" s="11"/>
      <c r="W652" s="11"/>
      <c r="X652" s="11"/>
      <c r="Y652" s="2"/>
      <c r="Z652" s="2"/>
      <c r="AA652" s="2"/>
      <c r="AB652" s="2"/>
      <c r="AC652" s="2"/>
      <c r="AD652" s="2"/>
      <c r="AE652" s="2"/>
      <c r="AF652" s="2"/>
      <c r="AG652" s="2"/>
      <c r="AH652" s="2"/>
      <c r="AI652" s="2"/>
      <c r="AJ652" s="2"/>
      <c r="AK652" s="2"/>
      <c r="AL652" s="2"/>
      <c r="AM652" s="2"/>
      <c r="AN652" s="2"/>
    </row>
    <row r="653" spans="1:40" ht="30" x14ac:dyDescent="0.25">
      <c r="C653" s="11"/>
      <c r="D653" s="11"/>
      <c r="E653" s="41"/>
      <c r="F653" s="11">
        <v>3</v>
      </c>
      <c r="G653" s="11"/>
      <c r="H653" s="11"/>
      <c r="I653" s="11"/>
      <c r="J653" s="6" t="s">
        <v>4628</v>
      </c>
      <c r="K653" s="24" t="s">
        <v>4629</v>
      </c>
      <c r="L653" s="8" t="s">
        <v>4554</v>
      </c>
      <c r="M653" s="11"/>
      <c r="N653" s="11"/>
      <c r="O653" s="11"/>
      <c r="P653" s="10" t="s">
        <v>4637</v>
      </c>
      <c r="Q653" s="6" t="s">
        <v>4630</v>
      </c>
      <c r="R653" s="11"/>
      <c r="S653" s="11"/>
      <c r="T653" s="11"/>
      <c r="U653" s="11"/>
      <c r="V653" s="11"/>
      <c r="W653" s="11"/>
      <c r="X653" s="11"/>
      <c r="Y653" s="2"/>
      <c r="Z653" s="2"/>
      <c r="AA653" s="2"/>
      <c r="AB653" s="2"/>
      <c r="AC653" s="2"/>
      <c r="AD653" s="2"/>
      <c r="AE653" s="2"/>
      <c r="AF653" s="2"/>
      <c r="AG653" s="2"/>
      <c r="AH653" s="2"/>
      <c r="AI653" s="2"/>
      <c r="AJ653" s="2"/>
      <c r="AK653" s="2"/>
      <c r="AL653" s="2"/>
      <c r="AM653" s="2"/>
      <c r="AN653" s="2"/>
    </row>
    <row r="654" spans="1:40" x14ac:dyDescent="0.25">
      <c r="C654" s="11"/>
      <c r="D654" s="11"/>
      <c r="E654" s="41"/>
      <c r="F654" s="11">
        <v>3</v>
      </c>
      <c r="G654" s="11"/>
      <c r="H654" s="11"/>
      <c r="I654" s="11"/>
      <c r="J654" s="6" t="s">
        <v>4631</v>
      </c>
      <c r="K654" s="24" t="s">
        <v>4632</v>
      </c>
      <c r="L654" s="8" t="s">
        <v>945</v>
      </c>
      <c r="M654" s="11"/>
      <c r="N654" s="11"/>
      <c r="O654" s="11"/>
      <c r="P654" s="10" t="s">
        <v>4638</v>
      </c>
      <c r="Q654" s="6"/>
      <c r="R654" s="11"/>
      <c r="S654" s="11"/>
      <c r="T654" s="11"/>
      <c r="U654" s="11"/>
      <c r="V654" s="11"/>
      <c r="W654" s="11"/>
      <c r="X654" s="11"/>
      <c r="Y654" s="2"/>
      <c r="Z654" s="2"/>
      <c r="AA654" s="2"/>
      <c r="AB654" s="2"/>
      <c r="AC654" s="2"/>
      <c r="AD654" s="2"/>
      <c r="AE654" s="2"/>
      <c r="AF654" s="2"/>
      <c r="AG654" s="2"/>
      <c r="AH654" s="2"/>
      <c r="AI654" s="2"/>
      <c r="AJ654" s="2"/>
      <c r="AK654" s="2"/>
      <c r="AL654" s="2"/>
      <c r="AM654" s="2"/>
      <c r="AN654" s="2"/>
    </row>
    <row r="655" spans="1:40" x14ac:dyDescent="0.25">
      <c r="C655" s="11"/>
      <c r="D655" s="11"/>
      <c r="E655" s="939">
        <v>2</v>
      </c>
      <c r="F655" s="1245" t="s">
        <v>4639</v>
      </c>
      <c r="G655" s="1245"/>
      <c r="H655" s="1245"/>
      <c r="I655" s="1245"/>
      <c r="J655" s="1245"/>
      <c r="K655" s="931"/>
      <c r="L655" s="932"/>
      <c r="M655" s="931"/>
      <c r="N655" s="931"/>
      <c r="O655" s="931"/>
      <c r="P655" s="931"/>
      <c r="Q655" s="931"/>
      <c r="R655" s="931"/>
      <c r="S655" s="931"/>
      <c r="T655" s="931"/>
      <c r="U655" s="931"/>
      <c r="V655" s="931"/>
      <c r="W655" s="931"/>
      <c r="X655" s="931"/>
      <c r="Y655" s="2"/>
      <c r="Z655" s="2"/>
      <c r="AA655" s="2"/>
      <c r="AB655" s="2"/>
      <c r="AC655" s="2"/>
      <c r="AD655" s="2"/>
      <c r="AE655" s="2"/>
      <c r="AF655" s="2"/>
      <c r="AG655" s="2"/>
      <c r="AH655" s="2"/>
      <c r="AI655" s="2"/>
      <c r="AJ655" s="2"/>
      <c r="AK655" s="2"/>
      <c r="AL655" s="2"/>
      <c r="AM655" s="2"/>
      <c r="AN655" s="2"/>
    </row>
    <row r="656" spans="1:40" x14ac:dyDescent="0.25">
      <c r="C656" s="11"/>
      <c r="D656" s="11"/>
      <c r="E656" s="41"/>
      <c r="F656" s="11">
        <v>3</v>
      </c>
      <c r="G656" s="11"/>
      <c r="H656" s="11"/>
      <c r="I656" s="11"/>
      <c r="J656" s="24" t="s">
        <v>4640</v>
      </c>
      <c r="K656" s="24" t="s">
        <v>4641</v>
      </c>
      <c r="L656" s="8" t="s">
        <v>3850</v>
      </c>
      <c r="M656" s="11"/>
      <c r="N656" s="11"/>
      <c r="O656" s="11"/>
      <c r="P656" s="10"/>
      <c r="Q656" s="10"/>
      <c r="R656" s="11"/>
      <c r="S656" s="11"/>
      <c r="T656" s="11"/>
      <c r="U656" s="11"/>
      <c r="V656" s="11"/>
      <c r="W656" s="11"/>
      <c r="X656" s="11"/>
      <c r="Y656" s="2"/>
      <c r="Z656" s="2"/>
      <c r="AA656" s="2"/>
      <c r="AB656" s="2"/>
      <c r="AC656" s="2"/>
      <c r="AD656" s="2"/>
      <c r="AE656" s="2"/>
      <c r="AF656" s="2"/>
      <c r="AG656" s="2"/>
      <c r="AH656" s="2"/>
      <c r="AI656" s="2"/>
      <c r="AJ656" s="2"/>
      <c r="AK656" s="2"/>
      <c r="AL656" s="2"/>
      <c r="AM656" s="2"/>
      <c r="AN656" s="2"/>
    </row>
    <row r="657" spans="3:40" ht="51.75" x14ac:dyDescent="0.25">
      <c r="C657" s="11"/>
      <c r="D657" s="11"/>
      <c r="E657" s="41"/>
      <c r="F657" s="11">
        <v>3</v>
      </c>
      <c r="G657" s="11"/>
      <c r="H657" s="11"/>
      <c r="I657" s="11"/>
      <c r="J657" s="24" t="s">
        <v>4642</v>
      </c>
      <c r="K657" s="24" t="s">
        <v>4643</v>
      </c>
      <c r="L657" s="8" t="s">
        <v>4644</v>
      </c>
      <c r="M657" s="11"/>
      <c r="N657" s="11"/>
      <c r="O657" s="11"/>
      <c r="P657" s="10"/>
      <c r="Q657" s="10" t="s">
        <v>4645</v>
      </c>
      <c r="R657" s="11"/>
      <c r="S657" s="11"/>
      <c r="T657" s="11"/>
      <c r="U657" s="11"/>
      <c r="V657" s="11"/>
      <c r="W657" s="11"/>
      <c r="X657" s="11"/>
      <c r="Y657" s="2"/>
      <c r="Z657" s="2"/>
      <c r="AA657" s="2"/>
      <c r="AB657" s="2"/>
      <c r="AC657" s="2"/>
      <c r="AD657" s="2"/>
      <c r="AE657" s="2"/>
      <c r="AF657" s="2"/>
      <c r="AG657" s="2"/>
      <c r="AH657" s="2"/>
      <c r="AI657" s="2"/>
      <c r="AJ657" s="2"/>
      <c r="AK657" s="2"/>
      <c r="AL657" s="2"/>
      <c r="AM657" s="2"/>
      <c r="AN657" s="2"/>
    </row>
    <row r="658" spans="3:40" ht="26.25" x14ac:dyDescent="0.25">
      <c r="C658" s="11"/>
      <c r="D658" s="11"/>
      <c r="E658" s="41"/>
      <c r="F658" s="11">
        <v>3</v>
      </c>
      <c r="G658" s="11"/>
      <c r="H658" s="11"/>
      <c r="I658" s="11"/>
      <c r="J658" s="24" t="s">
        <v>4646</v>
      </c>
      <c r="K658" s="24" t="s">
        <v>4647</v>
      </c>
      <c r="L658" s="8" t="s">
        <v>945</v>
      </c>
      <c r="M658" s="11"/>
      <c r="N658" s="11"/>
      <c r="O658" s="11"/>
      <c r="P658" s="10" t="s">
        <v>4648</v>
      </c>
      <c r="Q658" s="10"/>
      <c r="R658" s="11"/>
      <c r="S658" s="11"/>
      <c r="T658" s="11"/>
      <c r="U658" s="11"/>
      <c r="V658" s="11"/>
      <c r="W658" s="11"/>
      <c r="X658" s="11"/>
      <c r="Y658" s="2"/>
      <c r="Z658" s="2"/>
      <c r="AA658" s="2"/>
      <c r="AB658" s="2"/>
      <c r="AC658" s="2"/>
      <c r="AD658" s="2"/>
      <c r="AE658" s="2"/>
      <c r="AF658" s="2"/>
      <c r="AG658" s="2"/>
      <c r="AH658" s="2"/>
      <c r="AI658" s="2"/>
      <c r="AJ658" s="2"/>
      <c r="AK658" s="2"/>
      <c r="AL658" s="2"/>
      <c r="AM658" s="2"/>
      <c r="AN658" s="2"/>
    </row>
    <row r="659" spans="3:40" x14ac:dyDescent="0.25">
      <c r="C659" s="11"/>
      <c r="D659" s="11"/>
      <c r="E659" s="41"/>
      <c r="F659" s="11">
        <v>3</v>
      </c>
      <c r="G659" s="11"/>
      <c r="H659" s="11"/>
      <c r="I659" s="11"/>
      <c r="J659" s="24" t="s">
        <v>4649</v>
      </c>
      <c r="K659" s="290"/>
      <c r="L659" s="8" t="s">
        <v>945</v>
      </c>
      <c r="M659" s="11"/>
      <c r="N659" s="11"/>
      <c r="O659" s="11"/>
      <c r="P659" s="10"/>
      <c r="Q659" s="10"/>
      <c r="R659" s="11"/>
      <c r="S659" s="11"/>
      <c r="T659" s="11"/>
      <c r="U659" s="11"/>
      <c r="V659" s="11"/>
      <c r="W659" s="11"/>
      <c r="X659" s="11"/>
      <c r="Y659" s="2"/>
      <c r="Z659" s="2"/>
      <c r="AA659" s="2"/>
      <c r="AB659" s="2"/>
      <c r="AC659" s="2"/>
      <c r="AD659" s="2"/>
      <c r="AE659" s="2"/>
      <c r="AF659" s="2"/>
      <c r="AG659" s="2"/>
      <c r="AH659" s="2"/>
      <c r="AI659" s="2"/>
      <c r="AJ659" s="2"/>
      <c r="AK659" s="2"/>
      <c r="AL659" s="2"/>
      <c r="AM659" s="2"/>
      <c r="AN659" s="2"/>
    </row>
    <row r="660" spans="3:40" x14ac:dyDescent="0.25">
      <c r="C660" s="11"/>
      <c r="D660" s="11"/>
      <c r="E660" s="41"/>
      <c r="F660" s="11"/>
      <c r="G660" s="11">
        <v>4</v>
      </c>
      <c r="H660" s="11"/>
      <c r="I660" s="11"/>
      <c r="J660" s="24" t="s">
        <v>4650</v>
      </c>
      <c r="K660" s="24" t="s">
        <v>4651</v>
      </c>
      <c r="L660" s="8" t="s">
        <v>945</v>
      </c>
      <c r="M660" s="11"/>
      <c r="N660" s="716" t="str">
        <f>HYPERLINK("https://synology.bildungscampus-backnang.de:50823/drive/oo/r/t7kMvEVTwt0cznXAtRPofn7rl7okfPY8", "Infosheet")</f>
        <v>Infosheet</v>
      </c>
      <c r="O660" s="11"/>
      <c r="P660" s="10"/>
      <c r="Q660" s="10"/>
      <c r="R660" s="11"/>
      <c r="S660" s="11"/>
      <c r="T660" s="11"/>
      <c r="U660" s="11"/>
      <c r="V660" s="11"/>
      <c r="W660" s="11"/>
      <c r="X660" s="11"/>
      <c r="Y660" s="2"/>
      <c r="Z660" s="2"/>
      <c r="AA660" s="2"/>
      <c r="AB660" s="2"/>
      <c r="AC660" s="2"/>
      <c r="AD660" s="2"/>
      <c r="AE660" s="2"/>
      <c r="AF660" s="2"/>
      <c r="AG660" s="2"/>
      <c r="AH660" s="2"/>
      <c r="AI660" s="2"/>
      <c r="AJ660" s="2"/>
      <c r="AK660" s="2"/>
      <c r="AL660" s="2"/>
      <c r="AM660" s="2"/>
      <c r="AN660" s="2"/>
    </row>
    <row r="661" spans="3:40" ht="30" x14ac:dyDescent="0.25">
      <c r="C661" s="11"/>
      <c r="D661" s="11"/>
      <c r="E661" s="41"/>
      <c r="F661" s="11"/>
      <c r="G661" s="11">
        <v>4</v>
      </c>
      <c r="H661" s="11"/>
      <c r="I661" s="11"/>
      <c r="J661" s="6" t="s">
        <v>4552</v>
      </c>
      <c r="K661" s="24" t="s">
        <v>4652</v>
      </c>
      <c r="L661" s="8" t="s">
        <v>945</v>
      </c>
      <c r="M661" s="11"/>
      <c r="N661" s="11"/>
      <c r="O661" s="11"/>
      <c r="P661" s="6" t="s">
        <v>4653</v>
      </c>
      <c r="Q661" s="6" t="s">
        <v>4630</v>
      </c>
      <c r="R661" s="11"/>
      <c r="S661" s="11"/>
      <c r="T661" s="11"/>
      <c r="U661" s="11"/>
      <c r="V661" s="11"/>
      <c r="W661" s="11"/>
      <c r="X661" s="11"/>
      <c r="Y661" s="2"/>
      <c r="Z661" s="2"/>
      <c r="AA661" s="2"/>
      <c r="AB661" s="2"/>
      <c r="AC661" s="2"/>
      <c r="AD661" s="2"/>
      <c r="AE661" s="2"/>
      <c r="AF661" s="2"/>
      <c r="AG661" s="2"/>
      <c r="AH661" s="2"/>
      <c r="AI661" s="2"/>
      <c r="AJ661" s="2"/>
      <c r="AK661" s="2"/>
      <c r="AL661" s="2"/>
      <c r="AM661" s="2"/>
      <c r="AN661" s="2"/>
    </row>
    <row r="662" spans="3:40" ht="45" x14ac:dyDescent="0.25">
      <c r="C662" s="11"/>
      <c r="D662" s="11"/>
      <c r="E662" s="41"/>
      <c r="F662" s="11">
        <v>3</v>
      </c>
      <c r="G662" s="11"/>
      <c r="H662" s="11"/>
      <c r="I662" s="11"/>
      <c r="J662" s="24" t="s">
        <v>4631</v>
      </c>
      <c r="K662" s="6" t="s">
        <v>4654</v>
      </c>
      <c r="L662" s="8" t="s">
        <v>945</v>
      </c>
      <c r="M662" s="11"/>
      <c r="N662" s="11"/>
      <c r="O662" s="11"/>
      <c r="P662" s="10"/>
      <c r="Q662" s="6" t="s">
        <v>4655</v>
      </c>
      <c r="R662" s="11"/>
      <c r="S662" s="11"/>
      <c r="T662" s="11"/>
      <c r="U662" s="11"/>
      <c r="V662" s="11"/>
      <c r="W662" s="11"/>
      <c r="X662" s="11"/>
      <c r="Y662" s="2"/>
      <c r="Z662" s="2"/>
      <c r="AA662" s="2"/>
      <c r="AB662" s="2"/>
      <c r="AC662" s="2"/>
      <c r="AD662" s="2"/>
      <c r="AE662" s="2"/>
      <c r="AF662" s="2"/>
      <c r="AG662" s="2"/>
      <c r="AH662" s="2"/>
      <c r="AI662" s="2"/>
      <c r="AJ662" s="2"/>
      <c r="AK662" s="2"/>
      <c r="AL662" s="2"/>
      <c r="AM662" s="2"/>
      <c r="AN662" s="2"/>
    </row>
    <row r="663" spans="3:40" x14ac:dyDescent="0.25">
      <c r="C663" s="11"/>
      <c r="D663" s="11"/>
      <c r="E663" s="939">
        <v>2</v>
      </c>
      <c r="F663" s="1245" t="s">
        <v>4656</v>
      </c>
      <c r="G663" s="1245"/>
      <c r="H663" s="1245"/>
      <c r="I663" s="1245"/>
      <c r="J663" s="1245"/>
      <c r="K663" s="931"/>
      <c r="L663" s="932"/>
      <c r="M663" s="931"/>
      <c r="N663" s="931"/>
      <c r="O663" s="931"/>
      <c r="P663" s="931"/>
      <c r="Q663" s="931"/>
      <c r="R663" s="931"/>
      <c r="S663" s="931"/>
      <c r="T663" s="931"/>
      <c r="U663" s="931"/>
      <c r="V663" s="931"/>
      <c r="W663" s="931"/>
      <c r="X663" s="931"/>
      <c r="Y663" s="2"/>
      <c r="Z663" s="2"/>
      <c r="AA663" s="2"/>
      <c r="AB663" s="2"/>
      <c r="AC663" s="2"/>
      <c r="AD663" s="2"/>
      <c r="AE663" s="2"/>
      <c r="AF663" s="2"/>
      <c r="AG663" s="2"/>
      <c r="AH663" s="2"/>
      <c r="AI663" s="2"/>
      <c r="AJ663" s="2"/>
      <c r="AK663" s="2"/>
      <c r="AL663" s="2"/>
      <c r="AM663" s="2"/>
      <c r="AN663" s="2"/>
    </row>
    <row r="664" spans="3:40" ht="51.75" x14ac:dyDescent="0.25">
      <c r="C664" s="11"/>
      <c r="D664" s="11"/>
      <c r="E664" s="41"/>
      <c r="F664" s="11">
        <v>3</v>
      </c>
      <c r="G664" s="11"/>
      <c r="H664" s="11"/>
      <c r="I664" s="11"/>
      <c r="J664" s="24" t="s">
        <v>4015</v>
      </c>
      <c r="K664" s="24" t="s">
        <v>4657</v>
      </c>
      <c r="L664" s="8" t="s">
        <v>4621</v>
      </c>
      <c r="M664" s="11"/>
      <c r="N664" s="11"/>
      <c r="O664" s="11"/>
      <c r="P664" s="10" t="s">
        <v>4658</v>
      </c>
      <c r="Q664" s="10" t="s">
        <v>4659</v>
      </c>
      <c r="R664" s="11"/>
      <c r="S664" s="11"/>
      <c r="T664" s="11"/>
      <c r="U664" s="11"/>
      <c r="V664" s="11"/>
      <c r="W664" s="11"/>
      <c r="X664" s="11"/>
      <c r="Y664" s="2"/>
      <c r="Z664" s="2"/>
      <c r="AA664" s="2"/>
      <c r="AB664" s="2"/>
      <c r="AC664" s="2"/>
      <c r="AD664" s="2"/>
      <c r="AE664" s="2"/>
      <c r="AF664" s="2"/>
      <c r="AG664" s="2"/>
      <c r="AH664" s="2"/>
      <c r="AI664" s="2"/>
      <c r="AJ664" s="2"/>
      <c r="AK664" s="2"/>
      <c r="AL664" s="2"/>
      <c r="AM664" s="2"/>
      <c r="AN664" s="2"/>
    </row>
    <row r="665" spans="3:40" ht="51.75" x14ac:dyDescent="0.25">
      <c r="C665" s="11"/>
      <c r="D665" s="11"/>
      <c r="E665" s="41"/>
      <c r="F665" s="11">
        <v>3</v>
      </c>
      <c r="G665" s="11"/>
      <c r="H665" s="11"/>
      <c r="I665" s="11"/>
      <c r="J665" s="24" t="s">
        <v>4464</v>
      </c>
      <c r="K665" s="24" t="s">
        <v>4657</v>
      </c>
      <c r="L665" s="8" t="s">
        <v>4621</v>
      </c>
      <c r="M665" s="11"/>
      <c r="N665" s="11"/>
      <c r="O665" s="11"/>
      <c r="P665" s="10" t="s">
        <v>4658</v>
      </c>
      <c r="Q665" s="10" t="s">
        <v>4659</v>
      </c>
      <c r="R665" s="11"/>
      <c r="S665" s="11"/>
      <c r="T665" s="11"/>
      <c r="U665" s="11"/>
      <c r="V665" s="11"/>
      <c r="W665" s="11"/>
      <c r="X665" s="11"/>
      <c r="Y665" s="2"/>
      <c r="Z665" s="2"/>
      <c r="AA665" s="2"/>
      <c r="AB665" s="2"/>
      <c r="AC665" s="2"/>
      <c r="AD665" s="2"/>
      <c r="AE665" s="2"/>
      <c r="AF665" s="2"/>
      <c r="AG665" s="2"/>
      <c r="AH665" s="2"/>
      <c r="AI665" s="2"/>
      <c r="AJ665" s="2"/>
      <c r="AK665" s="2"/>
      <c r="AL665" s="2"/>
      <c r="AM665" s="2"/>
      <c r="AN665" s="2"/>
    </row>
    <row r="666" spans="3:40" ht="51.75" x14ac:dyDescent="0.25">
      <c r="C666" s="11"/>
      <c r="D666" s="11"/>
      <c r="E666" s="41"/>
      <c r="F666" s="11">
        <v>3</v>
      </c>
      <c r="G666" s="11"/>
      <c r="H666" s="11"/>
      <c r="I666" s="11"/>
      <c r="J666" s="24" t="s">
        <v>4660</v>
      </c>
      <c r="K666" s="24" t="s">
        <v>4657</v>
      </c>
      <c r="L666" s="8" t="s">
        <v>4621</v>
      </c>
      <c r="M666" s="11"/>
      <c r="N666" s="11"/>
      <c r="O666" s="11"/>
      <c r="P666" s="10" t="s">
        <v>4658</v>
      </c>
      <c r="Q666" s="10" t="s">
        <v>4659</v>
      </c>
      <c r="R666" s="11"/>
      <c r="S666" s="11"/>
      <c r="T666" s="11"/>
      <c r="U666" s="11"/>
      <c r="V666" s="11"/>
      <c r="W666" s="11"/>
      <c r="X666" s="11"/>
      <c r="Y666" s="2"/>
      <c r="Z666" s="2"/>
      <c r="AA666" s="2"/>
      <c r="AB666" s="2"/>
      <c r="AC666" s="2"/>
      <c r="AD666" s="2"/>
      <c r="AE666" s="2"/>
      <c r="AF666" s="2"/>
      <c r="AG666" s="2"/>
      <c r="AH666" s="2"/>
      <c r="AI666" s="2"/>
      <c r="AJ666" s="2"/>
      <c r="AK666" s="2"/>
      <c r="AL666" s="2"/>
      <c r="AM666" s="2"/>
      <c r="AN666" s="2"/>
    </row>
    <row r="667" spans="3:40" ht="51.75" x14ac:dyDescent="0.25">
      <c r="C667" s="11"/>
      <c r="D667" s="11"/>
      <c r="E667" s="41"/>
      <c r="F667" s="11">
        <v>3</v>
      </c>
      <c r="G667" s="11"/>
      <c r="H667" s="11"/>
      <c r="I667" s="11"/>
      <c r="J667" s="24" t="s">
        <v>4661</v>
      </c>
      <c r="K667" s="24" t="s">
        <v>4657</v>
      </c>
      <c r="L667" s="8" t="s">
        <v>4621</v>
      </c>
      <c r="M667" s="11"/>
      <c r="N667" s="11"/>
      <c r="O667" s="11"/>
      <c r="P667" s="10" t="s">
        <v>4658</v>
      </c>
      <c r="Q667" s="10" t="s">
        <v>4659</v>
      </c>
      <c r="R667" s="11"/>
      <c r="S667" s="11"/>
      <c r="T667" s="11"/>
      <c r="U667" s="11"/>
      <c r="V667" s="11"/>
      <c r="W667" s="11"/>
      <c r="X667" s="11"/>
      <c r="Y667" s="2"/>
      <c r="Z667" s="2"/>
      <c r="AA667" s="2"/>
      <c r="AB667" s="2"/>
      <c r="AC667" s="2"/>
      <c r="AD667" s="2"/>
      <c r="AE667" s="2"/>
      <c r="AF667" s="2"/>
      <c r="AG667" s="2"/>
      <c r="AH667" s="2"/>
      <c r="AI667" s="2"/>
      <c r="AJ667" s="2"/>
      <c r="AK667" s="2"/>
      <c r="AL667" s="2"/>
      <c r="AM667" s="2"/>
      <c r="AN667" s="2"/>
    </row>
    <row r="668" spans="3:40" ht="51.75" x14ac:dyDescent="0.25">
      <c r="C668" s="11"/>
      <c r="D668" s="11"/>
      <c r="E668" s="41"/>
      <c r="F668" s="11">
        <v>3</v>
      </c>
      <c r="G668" s="11"/>
      <c r="H668" s="11"/>
      <c r="I668" s="11"/>
      <c r="J668" s="24" t="s">
        <v>4662</v>
      </c>
      <c r="K668" s="24" t="s">
        <v>4657</v>
      </c>
      <c r="L668" s="8" t="s">
        <v>4621</v>
      </c>
      <c r="M668" s="11"/>
      <c r="N668" s="11"/>
      <c r="O668" s="11"/>
      <c r="P668" s="10" t="s">
        <v>4658</v>
      </c>
      <c r="Q668" s="10" t="s">
        <v>4659</v>
      </c>
      <c r="R668" s="11"/>
      <c r="S668" s="11"/>
      <c r="T668" s="11"/>
      <c r="U668" s="11"/>
      <c r="V668" s="11"/>
      <c r="W668" s="11"/>
      <c r="X668" s="11"/>
      <c r="Y668" s="2"/>
      <c r="Z668" s="2"/>
      <c r="AA668" s="2"/>
      <c r="AB668" s="2"/>
      <c r="AC668" s="2"/>
      <c r="AD668" s="2"/>
      <c r="AE668" s="2"/>
      <c r="AF668" s="2"/>
      <c r="AG668" s="2"/>
      <c r="AH668" s="2"/>
      <c r="AI668" s="2"/>
      <c r="AJ668" s="2"/>
      <c r="AK668" s="2"/>
      <c r="AL668" s="2"/>
      <c r="AM668" s="2"/>
      <c r="AN668" s="2"/>
    </row>
    <row r="669" spans="3:40" x14ac:dyDescent="0.25">
      <c r="C669" s="11"/>
      <c r="D669" s="11"/>
      <c r="E669" s="41"/>
      <c r="F669" s="11">
        <v>3</v>
      </c>
      <c r="G669" s="11"/>
      <c r="H669" s="11"/>
      <c r="I669" s="11"/>
      <c r="J669" s="24" t="s">
        <v>4663</v>
      </c>
      <c r="K669" s="290"/>
      <c r="L669" s="8" t="s">
        <v>945</v>
      </c>
      <c r="M669" s="11"/>
      <c r="N669" s="11"/>
      <c r="O669" s="11"/>
      <c r="P669" s="10"/>
      <c r="Q669" s="10"/>
      <c r="R669" s="11"/>
      <c r="S669" s="11"/>
      <c r="T669" s="11"/>
      <c r="U669" s="11"/>
      <c r="V669" s="11"/>
      <c r="W669" s="11"/>
      <c r="X669" s="11"/>
      <c r="Y669" s="2"/>
      <c r="Z669" s="2"/>
      <c r="AA669" s="2"/>
      <c r="AB669" s="2"/>
      <c r="AC669" s="2"/>
      <c r="AD669" s="2"/>
      <c r="AE669" s="2"/>
      <c r="AF669" s="2"/>
      <c r="AG669" s="2"/>
      <c r="AH669" s="2"/>
      <c r="AI669" s="2"/>
      <c r="AJ669" s="2"/>
      <c r="AK669" s="2"/>
      <c r="AL669" s="2"/>
      <c r="AM669" s="2"/>
      <c r="AN669" s="2"/>
    </row>
    <row r="670" spans="3:40" ht="51.75" x14ac:dyDescent="0.25">
      <c r="C670" s="11"/>
      <c r="D670" s="11"/>
      <c r="E670" s="41"/>
      <c r="F670" s="11"/>
      <c r="G670" s="10">
        <v>4</v>
      </c>
      <c r="H670" s="11"/>
      <c r="I670" s="11"/>
      <c r="J670" s="24" t="s">
        <v>4664</v>
      </c>
      <c r="K670" s="24" t="s">
        <v>4665</v>
      </c>
      <c r="L670" s="8" t="s">
        <v>4666</v>
      </c>
      <c r="M670" s="11"/>
      <c r="N670" s="11"/>
      <c r="O670" s="11"/>
      <c r="P670" s="10" t="s">
        <v>4667</v>
      </c>
      <c r="Q670" s="10" t="s">
        <v>4668</v>
      </c>
      <c r="R670" s="11"/>
      <c r="S670" s="11"/>
      <c r="T670" s="11"/>
      <c r="U670" s="11"/>
      <c r="V670" s="11"/>
      <c r="W670" s="11"/>
      <c r="X670" s="11"/>
      <c r="Y670" s="2"/>
      <c r="Z670" s="2"/>
      <c r="AA670" s="2"/>
      <c r="AB670" s="2"/>
      <c r="AC670" s="2"/>
      <c r="AD670" s="2"/>
      <c r="AE670" s="2"/>
      <c r="AF670" s="2"/>
      <c r="AG670" s="2"/>
      <c r="AH670" s="2"/>
      <c r="AI670" s="2"/>
      <c r="AJ670" s="2"/>
      <c r="AK670" s="2"/>
      <c r="AL670" s="2"/>
      <c r="AM670" s="2"/>
      <c r="AN670" s="2"/>
    </row>
    <row r="671" spans="3:40" ht="36.75" customHeight="1" x14ac:dyDescent="0.25">
      <c r="C671" s="11"/>
      <c r="D671" s="11"/>
      <c r="E671" s="41"/>
      <c r="F671" s="11"/>
      <c r="G671" s="10">
        <v>4</v>
      </c>
      <c r="H671" s="11"/>
      <c r="I671" s="11"/>
      <c r="J671" s="24" t="s">
        <v>4669</v>
      </c>
      <c r="K671" s="24" t="s">
        <v>4670</v>
      </c>
      <c r="L671" s="8" t="s">
        <v>945</v>
      </c>
      <c r="M671" s="11"/>
      <c r="N671" s="11"/>
      <c r="O671" s="11"/>
      <c r="P671" s="10" t="s">
        <v>4667</v>
      </c>
      <c r="Q671" s="10" t="s">
        <v>4668</v>
      </c>
      <c r="R671" s="11"/>
      <c r="S671" s="11"/>
      <c r="T671" s="11"/>
      <c r="U671" s="11"/>
      <c r="V671" s="11"/>
      <c r="W671" s="11"/>
      <c r="X671" s="11"/>
      <c r="Y671" s="2"/>
      <c r="Z671" s="2"/>
      <c r="AA671" s="2"/>
      <c r="AB671" s="2"/>
      <c r="AC671" s="2"/>
      <c r="AD671" s="2"/>
      <c r="AE671" s="2"/>
      <c r="AF671" s="2"/>
      <c r="AG671" s="2"/>
      <c r="AH671" s="2"/>
      <c r="AI671" s="2"/>
      <c r="AJ671" s="2"/>
      <c r="AK671" s="2"/>
      <c r="AL671" s="2"/>
      <c r="AM671" s="2"/>
      <c r="AN671" s="2"/>
    </row>
    <row r="672" spans="3:40" ht="36.75" customHeight="1" x14ac:dyDescent="0.25">
      <c r="C672" s="11"/>
      <c r="D672" s="11"/>
      <c r="E672" s="41"/>
      <c r="F672" s="11">
        <v>3</v>
      </c>
      <c r="G672" s="11"/>
      <c r="H672" s="11"/>
      <c r="I672" s="11"/>
      <c r="J672" s="24" t="s">
        <v>4671</v>
      </c>
      <c r="K672" s="6" t="s">
        <v>4672</v>
      </c>
      <c r="L672" s="8" t="s">
        <v>4621</v>
      </c>
      <c r="M672" s="11"/>
      <c r="N672" s="11"/>
      <c r="O672" s="11"/>
      <c r="P672" s="10" t="s">
        <v>4658</v>
      </c>
      <c r="Q672" s="10" t="s">
        <v>4659</v>
      </c>
      <c r="R672" s="11"/>
      <c r="S672" s="11"/>
      <c r="T672" s="11"/>
      <c r="U672" s="11"/>
      <c r="V672" s="11"/>
      <c r="W672" s="11"/>
      <c r="X672" s="11"/>
      <c r="Y672" s="2"/>
      <c r="Z672" s="2"/>
      <c r="AA672" s="2"/>
      <c r="AB672" s="2"/>
      <c r="AC672" s="2"/>
      <c r="AD672" s="2"/>
      <c r="AE672" s="2"/>
      <c r="AF672" s="2"/>
      <c r="AG672" s="2"/>
      <c r="AH672" s="2"/>
      <c r="AI672" s="2"/>
      <c r="AJ672" s="2"/>
      <c r="AK672" s="2"/>
      <c r="AL672" s="2"/>
      <c r="AM672" s="2"/>
      <c r="AN672" s="2"/>
    </row>
    <row r="673" spans="3:40" ht="36.75" customHeight="1" x14ac:dyDescent="0.25">
      <c r="C673" s="11"/>
      <c r="D673" s="11"/>
      <c r="E673" s="41"/>
      <c r="F673" s="11">
        <v>3</v>
      </c>
      <c r="G673" s="11"/>
      <c r="H673" s="11"/>
      <c r="I673" s="11"/>
      <c r="J673" s="24" t="s">
        <v>4673</v>
      </c>
      <c r="K673" s="24" t="s">
        <v>4657</v>
      </c>
      <c r="L673" s="8" t="s">
        <v>4621</v>
      </c>
      <c r="M673" s="11"/>
      <c r="N673" s="11"/>
      <c r="O673" s="11"/>
      <c r="P673" s="10" t="s">
        <v>4658</v>
      </c>
      <c r="Q673" s="10" t="s">
        <v>4659</v>
      </c>
      <c r="R673" s="11"/>
      <c r="S673" s="11"/>
      <c r="T673" s="11"/>
      <c r="U673" s="11"/>
      <c r="V673" s="11"/>
      <c r="W673" s="11"/>
      <c r="X673" s="11"/>
      <c r="Y673" s="2"/>
      <c r="Z673" s="2"/>
      <c r="AA673" s="2"/>
      <c r="AB673" s="2"/>
      <c r="AC673" s="2"/>
      <c r="AD673" s="2"/>
      <c r="AE673" s="2"/>
      <c r="AF673" s="2"/>
      <c r="AG673" s="2"/>
      <c r="AH673" s="2"/>
      <c r="AI673" s="2"/>
      <c r="AJ673" s="2"/>
      <c r="AK673" s="2"/>
      <c r="AL673" s="2"/>
      <c r="AM673" s="2"/>
      <c r="AN673" s="2"/>
    </row>
    <row r="674" spans="3:40" ht="20.25" customHeight="1" x14ac:dyDescent="0.25">
      <c r="C674" s="93"/>
      <c r="D674" s="93">
        <v>1</v>
      </c>
      <c r="E674" s="1247" t="s">
        <v>4674</v>
      </c>
      <c r="F674" s="1247"/>
      <c r="G674" s="1247"/>
      <c r="H674" s="1247"/>
      <c r="I674" s="1247"/>
      <c r="J674" s="1247"/>
      <c r="K674" s="93"/>
      <c r="L674" s="772"/>
      <c r="M674" s="93"/>
      <c r="N674" s="93"/>
      <c r="O674" s="93"/>
      <c r="P674" s="93"/>
      <c r="Q674" s="93"/>
      <c r="R674" s="93"/>
      <c r="S674" s="93"/>
      <c r="T674" s="93"/>
      <c r="U674" s="93"/>
      <c r="V674" s="93"/>
      <c r="W674" s="93"/>
      <c r="X674" s="93"/>
      <c r="Y674" s="2"/>
      <c r="Z674" s="2"/>
      <c r="AA674" s="2"/>
      <c r="AB674" s="2"/>
      <c r="AC674" s="2"/>
      <c r="AD674" s="2"/>
      <c r="AE674" s="2"/>
      <c r="AF674" s="2"/>
      <c r="AG674" s="2"/>
      <c r="AH674" s="2"/>
      <c r="AI674" s="2"/>
      <c r="AJ674" s="2"/>
      <c r="AK674" s="2"/>
      <c r="AL674" s="2"/>
      <c r="AM674" s="2"/>
      <c r="AN674" s="2"/>
    </row>
    <row r="675" spans="3:40" x14ac:dyDescent="0.25">
      <c r="C675" s="11"/>
      <c r="D675" s="11"/>
      <c r="E675" s="939">
        <v>2</v>
      </c>
      <c r="F675" s="1245" t="s">
        <v>4675</v>
      </c>
      <c r="G675" s="1245"/>
      <c r="H675" s="1245"/>
      <c r="I675" s="1245"/>
      <c r="J675" s="1245"/>
      <c r="K675" s="931"/>
      <c r="L675" s="932"/>
      <c r="M675" s="931"/>
      <c r="N675" s="931"/>
      <c r="O675" s="931"/>
      <c r="P675" s="931"/>
      <c r="Q675" s="931"/>
      <c r="R675" s="931"/>
      <c r="S675" s="931"/>
      <c r="T675" s="931"/>
      <c r="U675" s="931"/>
      <c r="V675" s="931"/>
      <c r="W675" s="931"/>
      <c r="X675" s="931"/>
      <c r="Y675" s="2"/>
      <c r="Z675" s="2"/>
      <c r="AA675" s="2"/>
      <c r="AB675" s="2"/>
      <c r="AC675" s="2"/>
      <c r="AD675" s="2"/>
      <c r="AE675" s="2"/>
      <c r="AF675" s="2"/>
      <c r="AG675" s="2"/>
      <c r="AH675" s="2"/>
      <c r="AI675" s="2"/>
      <c r="AJ675" s="2"/>
      <c r="AK675" s="2"/>
      <c r="AL675" s="2"/>
      <c r="AM675" s="2"/>
      <c r="AN675" s="2"/>
    </row>
    <row r="676" spans="3:40" ht="45" x14ac:dyDescent="0.25">
      <c r="C676" s="11"/>
      <c r="D676" s="11"/>
      <c r="E676" s="41"/>
      <c r="F676" s="28">
        <v>3</v>
      </c>
      <c r="G676" s="28"/>
      <c r="H676" s="28"/>
      <c r="I676" s="28"/>
      <c r="J676" s="24" t="s">
        <v>4144</v>
      </c>
      <c r="K676" s="6" t="s">
        <v>4676</v>
      </c>
      <c r="L676" s="8" t="s">
        <v>4677</v>
      </c>
      <c r="M676" s="11"/>
      <c r="N676" s="716" t="str">
        <f>HYPERLINK("https://rise.articulate.com/share/BBfE7VepfExEoHEvd1qcVPr-AgNH9De6#/", "Guideline Delst")</f>
        <v>Guideline Delst</v>
      </c>
      <c r="O676" s="11"/>
      <c r="P676" s="6"/>
      <c r="Q676" s="6"/>
      <c r="R676" s="11"/>
      <c r="S676" s="11"/>
      <c r="T676" s="11"/>
      <c r="U676" s="11"/>
      <c r="V676" s="11"/>
      <c r="W676" s="11"/>
      <c r="X676" s="11"/>
      <c r="Y676" s="2"/>
      <c r="Z676" s="2"/>
      <c r="AA676" s="2"/>
      <c r="AB676" s="2"/>
      <c r="AC676" s="2"/>
      <c r="AD676" s="2"/>
      <c r="AE676" s="2"/>
      <c r="AF676" s="2"/>
      <c r="AG676" s="2"/>
      <c r="AH676" s="2"/>
      <c r="AI676" s="2"/>
      <c r="AJ676" s="2"/>
      <c r="AK676" s="2"/>
      <c r="AL676" s="2"/>
      <c r="AM676" s="2"/>
      <c r="AN676" s="2"/>
    </row>
    <row r="677" spans="3:40" ht="24.75" customHeight="1" x14ac:dyDescent="0.25">
      <c r="C677" s="11"/>
      <c r="D677" s="11"/>
      <c r="E677" s="41"/>
      <c r="F677" s="28">
        <v>3</v>
      </c>
      <c r="G677" s="28"/>
      <c r="H677" s="28"/>
      <c r="I677" s="28"/>
      <c r="J677" s="24" t="s">
        <v>4149</v>
      </c>
      <c r="K677" s="6" t="s">
        <v>4678</v>
      </c>
      <c r="L677" s="8" t="s">
        <v>945</v>
      </c>
      <c r="M677" s="11"/>
      <c r="N677" s="716" t="str">
        <f>HYPERLINK("https://rise.articulate.com/share/8lq4AdsKf14Kxozx0U-jmyTnMlMLU4lF#/", "Guideline AoS")</f>
        <v>Guideline AoS</v>
      </c>
      <c r="O677" s="11"/>
      <c r="P677" s="6"/>
      <c r="Q677" s="11"/>
      <c r="R677" s="11"/>
      <c r="S677" s="11"/>
      <c r="T677" s="11"/>
      <c r="U677" s="11"/>
      <c r="V677" s="11"/>
      <c r="W677" s="11"/>
      <c r="X677" s="11"/>
      <c r="Y677" s="2"/>
      <c r="Z677" s="2"/>
      <c r="AA677" s="2"/>
      <c r="AB677" s="2"/>
      <c r="AC677" s="2"/>
      <c r="AD677" s="2"/>
      <c r="AE677" s="2"/>
      <c r="AF677" s="2"/>
      <c r="AG677" s="2"/>
      <c r="AH677" s="2"/>
      <c r="AI677" s="2"/>
      <c r="AJ677" s="2"/>
      <c r="AK677" s="2"/>
      <c r="AL677" s="2"/>
      <c r="AM677" s="2"/>
      <c r="AN677" s="2"/>
    </row>
    <row r="678" spans="3:40" ht="20.25" customHeight="1" x14ac:dyDescent="0.25">
      <c r="C678" s="93"/>
      <c r="D678" s="93">
        <v>1</v>
      </c>
      <c r="E678" s="1247" t="s">
        <v>4679</v>
      </c>
      <c r="F678" s="1247"/>
      <c r="G678" s="1247"/>
      <c r="H678" s="1247"/>
      <c r="I678" s="1247"/>
      <c r="J678" s="1247"/>
      <c r="K678" s="93"/>
      <c r="L678" s="772"/>
      <c r="M678" s="93"/>
      <c r="N678" s="936" t="str">
        <f>HYPERLINK("http://wiki.academyofsports.online/tiki-index.php?page=Social+Media+Marketing", "Strategie")</f>
        <v>Strategie</v>
      </c>
      <c r="O678" s="93"/>
      <c r="P678" s="93"/>
      <c r="Q678" s="93"/>
      <c r="R678" s="93"/>
      <c r="S678" s="93"/>
      <c r="T678" s="93"/>
      <c r="U678" s="93"/>
      <c r="V678" s="93"/>
      <c r="W678" s="93"/>
      <c r="X678" s="93"/>
      <c r="Y678" s="2"/>
      <c r="Z678" s="2"/>
      <c r="AA678" s="2"/>
      <c r="AB678" s="2"/>
      <c r="AC678" s="2"/>
      <c r="AD678" s="2"/>
      <c r="AE678" s="2"/>
      <c r="AF678" s="2"/>
      <c r="AG678" s="2"/>
      <c r="AH678" s="2"/>
      <c r="AI678" s="2"/>
      <c r="AJ678" s="2"/>
      <c r="AK678" s="2"/>
      <c r="AL678" s="2"/>
      <c r="AM678" s="2"/>
      <c r="AN678" s="2"/>
    </row>
    <row r="679" spans="3:40" x14ac:dyDescent="0.25">
      <c r="C679" s="11"/>
      <c r="D679" s="11"/>
      <c r="E679" s="939">
        <v>2</v>
      </c>
      <c r="F679" s="1245" t="s">
        <v>4680</v>
      </c>
      <c r="G679" s="1245"/>
      <c r="H679" s="1245"/>
      <c r="I679" s="1245"/>
      <c r="J679" s="1245"/>
      <c r="K679" s="931"/>
      <c r="L679" s="932"/>
      <c r="M679" s="931"/>
      <c r="N679" s="931"/>
      <c r="O679" s="931"/>
      <c r="P679" s="931"/>
      <c r="Q679" s="931"/>
      <c r="R679" s="931"/>
      <c r="S679" s="931"/>
      <c r="T679" s="931"/>
      <c r="U679" s="931"/>
      <c r="V679" s="931"/>
      <c r="W679" s="931"/>
      <c r="X679" s="931"/>
      <c r="Y679" s="2"/>
      <c r="Z679" s="2"/>
      <c r="AA679" s="2"/>
      <c r="AB679" s="2"/>
      <c r="AC679" s="2"/>
      <c r="AD679" s="2"/>
      <c r="AE679" s="2"/>
      <c r="AF679" s="2"/>
      <c r="AG679" s="2"/>
      <c r="AH679" s="2"/>
      <c r="AI679" s="2"/>
      <c r="AJ679" s="2"/>
      <c r="AK679" s="2"/>
      <c r="AL679" s="2"/>
      <c r="AM679" s="2"/>
      <c r="AN679" s="2"/>
    </row>
    <row r="680" spans="3:40" x14ac:dyDescent="0.25">
      <c r="C680" s="11"/>
      <c r="D680" s="11"/>
      <c r="E680" s="41"/>
      <c r="F680" s="28">
        <v>3</v>
      </c>
      <c r="G680" s="28"/>
      <c r="H680" s="28"/>
      <c r="I680" s="28"/>
      <c r="J680" s="290" t="s">
        <v>4681</v>
      </c>
      <c r="K680" s="6" t="s">
        <v>4682</v>
      </c>
      <c r="L680" s="8" t="s">
        <v>4621</v>
      </c>
      <c r="M680" s="11"/>
      <c r="N680" s="24"/>
      <c r="O680" s="11"/>
      <c r="P680" s="6"/>
      <c r="Q680" s="6"/>
      <c r="R680" s="11"/>
      <c r="S680" s="11"/>
      <c r="T680" s="11"/>
      <c r="U680" s="11"/>
      <c r="V680" s="11"/>
      <c r="W680" s="11"/>
      <c r="X680" s="11"/>
      <c r="Y680" s="2"/>
      <c r="Z680" s="2"/>
      <c r="AA680" s="2"/>
      <c r="AB680" s="2"/>
      <c r="AC680" s="2"/>
      <c r="AD680" s="2"/>
      <c r="AE680" s="2"/>
      <c r="AF680" s="2"/>
      <c r="AG680" s="2"/>
      <c r="AH680" s="2"/>
      <c r="AI680" s="2"/>
      <c r="AJ680" s="2"/>
      <c r="AK680" s="2"/>
      <c r="AL680" s="2"/>
      <c r="AM680" s="2"/>
      <c r="AN680" s="2"/>
    </row>
    <row r="681" spans="3:40" ht="20.25" customHeight="1" x14ac:dyDescent="0.25">
      <c r="C681" s="93"/>
      <c r="D681" s="93">
        <v>1</v>
      </c>
      <c r="E681" s="1247" t="s">
        <v>4683</v>
      </c>
      <c r="F681" s="1247"/>
      <c r="G681" s="1247"/>
      <c r="H681" s="1247"/>
      <c r="I681" s="1247"/>
      <c r="J681" s="1247"/>
      <c r="K681" s="93"/>
      <c r="L681" s="772"/>
      <c r="M681" s="93"/>
      <c r="N681" s="936" t="str">
        <f>HYPERLINK("http://wiki.academyofsports.online/tiki-index.php?page=Community-Management-(0304)", "Community")</f>
        <v>Community</v>
      </c>
      <c r="O681" s="93"/>
      <c r="P681" s="93"/>
      <c r="Q681" s="93"/>
      <c r="R681" s="93"/>
      <c r="S681" s="93"/>
      <c r="T681" s="93"/>
      <c r="U681" s="93"/>
      <c r="V681" s="93"/>
      <c r="W681" s="93"/>
      <c r="X681" s="93"/>
      <c r="Y681" s="2"/>
      <c r="Z681" s="2"/>
      <c r="AA681" s="2"/>
      <c r="AB681" s="2"/>
      <c r="AC681" s="2"/>
      <c r="AD681" s="2"/>
      <c r="AE681" s="2"/>
      <c r="AF681" s="2"/>
      <c r="AG681" s="2"/>
      <c r="AH681" s="2"/>
      <c r="AI681" s="2"/>
      <c r="AJ681" s="2"/>
      <c r="AK681" s="2"/>
      <c r="AL681" s="2"/>
      <c r="AM681" s="2"/>
      <c r="AN681" s="2"/>
    </row>
    <row r="682" spans="3:40" x14ac:dyDescent="0.25">
      <c r="C682" s="11"/>
      <c r="D682" s="11"/>
      <c r="E682" s="939">
        <v>2</v>
      </c>
      <c r="F682" s="1245" t="s">
        <v>4684</v>
      </c>
      <c r="G682" s="1245"/>
      <c r="H682" s="1245"/>
      <c r="I682" s="1245"/>
      <c r="J682" s="1245"/>
      <c r="K682" s="931"/>
      <c r="L682" s="932"/>
      <c r="M682" s="931"/>
      <c r="N682" s="931"/>
      <c r="O682" s="931"/>
      <c r="P682" s="931"/>
      <c r="Q682" s="931"/>
      <c r="R682" s="931"/>
      <c r="S682" s="931"/>
      <c r="T682" s="931"/>
      <c r="U682" s="931"/>
      <c r="V682" s="931"/>
      <c r="W682" s="931"/>
      <c r="X682" s="931"/>
      <c r="Y682" s="2"/>
      <c r="Z682" s="2"/>
      <c r="AA682" s="2"/>
      <c r="AB682" s="2"/>
      <c r="AC682" s="2"/>
      <c r="AD682" s="2"/>
      <c r="AE682" s="2"/>
      <c r="AF682" s="2"/>
      <c r="AG682" s="2"/>
      <c r="AH682" s="2"/>
      <c r="AI682" s="2"/>
      <c r="AJ682" s="2"/>
      <c r="AK682" s="2"/>
      <c r="AL682" s="2"/>
      <c r="AM682" s="2"/>
      <c r="AN682" s="2"/>
    </row>
    <row r="683" spans="3:40" ht="45" x14ac:dyDescent="0.25">
      <c r="C683" s="11"/>
      <c r="D683" s="11"/>
      <c r="E683" s="41"/>
      <c r="F683" s="28">
        <v>3</v>
      </c>
      <c r="G683" s="28"/>
      <c r="H683" s="28"/>
      <c r="I683" s="28"/>
      <c r="J683" s="24" t="s">
        <v>4685</v>
      </c>
      <c r="K683" s="6" t="s">
        <v>4686</v>
      </c>
      <c r="L683" s="8" t="s">
        <v>945</v>
      </c>
      <c r="M683" s="11"/>
      <c r="N683" s="24"/>
      <c r="O683" s="11"/>
      <c r="P683" s="6"/>
      <c r="Q683" s="6"/>
      <c r="R683" s="11"/>
      <c r="S683" s="11"/>
      <c r="T683" s="11"/>
      <c r="U683" s="11"/>
      <c r="V683" s="11"/>
      <c r="W683" s="11"/>
      <c r="X683" s="11"/>
      <c r="Y683" s="2"/>
      <c r="Z683" s="2"/>
      <c r="AA683" s="2"/>
      <c r="AB683" s="2"/>
      <c r="AC683" s="2"/>
      <c r="AD683" s="2"/>
      <c r="AE683" s="2"/>
      <c r="AF683" s="2"/>
      <c r="AG683" s="2"/>
      <c r="AH683" s="2"/>
      <c r="AI683" s="2"/>
      <c r="AJ683" s="2"/>
      <c r="AK683" s="2"/>
      <c r="AL683" s="2"/>
      <c r="AM683" s="2"/>
      <c r="AN683" s="2"/>
    </row>
    <row r="684" spans="3:40" x14ac:dyDescent="0.25">
      <c r="C684" s="11"/>
      <c r="D684" s="11"/>
      <c r="E684" s="939">
        <v>2</v>
      </c>
      <c r="F684" s="1245" t="s">
        <v>4687</v>
      </c>
      <c r="G684" s="1245"/>
      <c r="H684" s="1245"/>
      <c r="I684" s="1245"/>
      <c r="J684" s="1245"/>
      <c r="K684" s="931"/>
      <c r="L684" s="932"/>
      <c r="M684" s="931"/>
      <c r="N684" s="931"/>
      <c r="O684" s="931"/>
      <c r="P684" s="931"/>
      <c r="Q684" s="931"/>
      <c r="R684" s="931"/>
      <c r="S684" s="931"/>
      <c r="T684" s="931"/>
      <c r="U684" s="931"/>
      <c r="V684" s="931"/>
      <c r="W684" s="931"/>
      <c r="X684" s="931"/>
      <c r="Y684" s="2"/>
      <c r="Z684" s="2"/>
      <c r="AA684" s="2"/>
      <c r="AB684" s="2"/>
      <c r="AC684" s="2"/>
      <c r="AD684" s="2"/>
      <c r="AE684" s="2"/>
      <c r="AF684" s="2"/>
      <c r="AG684" s="2"/>
      <c r="AH684" s="2"/>
      <c r="AI684" s="2"/>
      <c r="AJ684" s="2"/>
      <c r="AK684" s="2"/>
      <c r="AL684" s="2"/>
      <c r="AM684" s="2"/>
      <c r="AN684" s="2"/>
    </row>
    <row r="685" spans="3:40" ht="30" x14ac:dyDescent="0.25">
      <c r="C685" s="11"/>
      <c r="D685" s="11"/>
      <c r="E685" s="41"/>
      <c r="F685" s="28">
        <v>3</v>
      </c>
      <c r="G685" s="28"/>
      <c r="H685" s="28"/>
      <c r="I685" s="28"/>
      <c r="J685" s="24" t="s">
        <v>4688</v>
      </c>
      <c r="K685" s="6" t="s">
        <v>4689</v>
      </c>
      <c r="L685" s="8" t="s">
        <v>945</v>
      </c>
      <c r="M685" s="11"/>
      <c r="N685" s="24"/>
      <c r="O685" s="11"/>
      <c r="P685" s="6"/>
      <c r="Q685" s="6"/>
      <c r="R685" s="11"/>
      <c r="S685" s="11"/>
      <c r="T685" s="11"/>
      <c r="U685" s="11"/>
      <c r="V685" s="11"/>
      <c r="W685" s="11"/>
      <c r="X685" s="11"/>
      <c r="Y685" s="2"/>
      <c r="Z685" s="2"/>
      <c r="AA685" s="2"/>
      <c r="AB685" s="2"/>
      <c r="AC685" s="2"/>
      <c r="AD685" s="2"/>
      <c r="AE685" s="2"/>
      <c r="AF685" s="2"/>
      <c r="AG685" s="2"/>
      <c r="AH685" s="2"/>
      <c r="AI685" s="2"/>
      <c r="AJ685" s="2"/>
      <c r="AK685" s="2"/>
      <c r="AL685" s="2"/>
      <c r="AM685" s="2"/>
      <c r="AN685" s="2"/>
    </row>
    <row r="686" spans="3:40" x14ac:dyDescent="0.25">
      <c r="C686" s="11"/>
      <c r="D686" s="11"/>
      <c r="E686" s="939">
        <v>2</v>
      </c>
      <c r="F686" s="1245" t="s">
        <v>4690</v>
      </c>
      <c r="G686" s="1245"/>
      <c r="H686" s="1245"/>
      <c r="I686" s="1245"/>
      <c r="J686" s="1245"/>
      <c r="K686" s="931"/>
      <c r="L686" s="932"/>
      <c r="M686" s="931"/>
      <c r="N686" s="931"/>
      <c r="O686" s="931"/>
      <c r="P686" s="931"/>
      <c r="Q686" s="931"/>
      <c r="R686" s="931"/>
      <c r="S686" s="931"/>
      <c r="T686" s="931"/>
      <c r="U686" s="931"/>
      <c r="V686" s="931"/>
      <c r="W686" s="931"/>
      <c r="X686" s="931"/>
      <c r="Y686" s="2"/>
      <c r="Z686" s="2"/>
      <c r="AA686" s="2"/>
      <c r="AB686" s="2"/>
      <c r="AC686" s="2"/>
      <c r="AD686" s="2"/>
      <c r="AE686" s="2"/>
      <c r="AF686" s="2"/>
      <c r="AG686" s="2"/>
      <c r="AH686" s="2"/>
      <c r="AI686" s="2"/>
      <c r="AJ686" s="2"/>
      <c r="AK686" s="2"/>
      <c r="AL686" s="2"/>
      <c r="AM686" s="2"/>
      <c r="AN686" s="2"/>
    </row>
    <row r="687" spans="3:40" ht="45" x14ac:dyDescent="0.25">
      <c r="C687" s="11"/>
      <c r="D687" s="11"/>
      <c r="E687" s="41"/>
      <c r="F687" s="28">
        <v>3</v>
      </c>
      <c r="G687" s="28"/>
      <c r="H687" s="28"/>
      <c r="I687" s="28"/>
      <c r="J687" s="24" t="s">
        <v>4691</v>
      </c>
      <c r="K687" s="6" t="s">
        <v>4692</v>
      </c>
      <c r="L687" s="8" t="s">
        <v>4635</v>
      </c>
      <c r="M687" s="11"/>
      <c r="N687" s="24"/>
      <c r="O687" s="11"/>
      <c r="P687" s="6" t="s">
        <v>4693</v>
      </c>
      <c r="Q687" s="6"/>
      <c r="R687" s="11"/>
      <c r="S687" s="11"/>
      <c r="T687" s="11"/>
      <c r="U687" s="11"/>
      <c r="V687" s="11"/>
      <c r="W687" s="11"/>
      <c r="X687" s="11"/>
      <c r="Y687" s="2"/>
      <c r="Z687" s="2"/>
      <c r="AA687" s="2"/>
      <c r="AB687" s="2"/>
      <c r="AC687" s="2"/>
      <c r="AD687" s="2"/>
      <c r="AE687" s="2"/>
      <c r="AF687" s="2"/>
      <c r="AG687" s="2"/>
      <c r="AH687" s="2"/>
      <c r="AI687" s="2"/>
      <c r="AJ687" s="2"/>
      <c r="AK687" s="2"/>
      <c r="AL687" s="2"/>
      <c r="AM687" s="2"/>
      <c r="AN687" s="2"/>
    </row>
    <row r="688" spans="3:40" x14ac:dyDescent="0.25">
      <c r="C688" s="11"/>
      <c r="D688" s="11"/>
      <c r="E688" s="939">
        <v>2</v>
      </c>
      <c r="F688" s="1245" t="s">
        <v>4694</v>
      </c>
      <c r="G688" s="1245"/>
      <c r="H688" s="1245"/>
      <c r="I688" s="1245"/>
      <c r="J688" s="1245"/>
      <c r="K688" s="931"/>
      <c r="L688" s="932"/>
      <c r="M688" s="931"/>
      <c r="N688" s="931"/>
      <c r="O688" s="931"/>
      <c r="P688" s="931"/>
      <c r="Q688" s="931"/>
      <c r="R688" s="931"/>
      <c r="S688" s="931"/>
      <c r="T688" s="931"/>
      <c r="U688" s="931"/>
      <c r="V688" s="931"/>
      <c r="W688" s="931"/>
      <c r="X688" s="931"/>
      <c r="Y688" s="2"/>
      <c r="Z688" s="2"/>
      <c r="AA688" s="2"/>
      <c r="AB688" s="2"/>
      <c r="AC688" s="2"/>
      <c r="AD688" s="2"/>
      <c r="AE688" s="2"/>
      <c r="AF688" s="2"/>
      <c r="AG688" s="2"/>
      <c r="AH688" s="2"/>
      <c r="AI688" s="2"/>
      <c r="AJ688" s="2"/>
      <c r="AK688" s="2"/>
      <c r="AL688" s="2"/>
      <c r="AM688" s="2"/>
      <c r="AN688" s="2"/>
    </row>
    <row r="689" spans="3:40" ht="26.25" x14ac:dyDescent="0.25">
      <c r="C689" s="11"/>
      <c r="D689" s="11"/>
      <c r="E689" s="41"/>
      <c r="F689" s="28">
        <v>3</v>
      </c>
      <c r="G689" s="28"/>
      <c r="H689" s="28"/>
      <c r="I689" s="28"/>
      <c r="J689" s="24" t="s">
        <v>4695</v>
      </c>
      <c r="K689" s="24" t="s">
        <v>4696</v>
      </c>
      <c r="L689" s="8" t="s">
        <v>4621</v>
      </c>
      <c r="M689" s="11"/>
      <c r="N689" s="716" t="str">
        <f>HYPERLINK("https://rise.articulate.com/share/BBfE7VepfExEoHEvd1qcVPr-AgNH9De6#/lessons/GBmoR8oAdcLM7Jw7CFJU2TZ5cEvZNpUm", "Guideline")</f>
        <v>Guideline</v>
      </c>
      <c r="O689" s="11"/>
      <c r="P689" s="6"/>
      <c r="Q689" s="6"/>
      <c r="R689" s="11"/>
      <c r="S689" s="11"/>
      <c r="T689" s="11"/>
      <c r="U689" s="11"/>
      <c r="V689" s="11"/>
      <c r="W689" s="11"/>
      <c r="X689" s="11"/>
      <c r="Y689" s="2"/>
      <c r="Z689" s="2"/>
      <c r="AA689" s="2"/>
      <c r="AB689" s="2"/>
      <c r="AC689" s="2"/>
      <c r="AD689" s="2"/>
      <c r="AE689" s="2"/>
      <c r="AF689" s="2"/>
      <c r="AG689" s="2"/>
      <c r="AH689" s="2"/>
      <c r="AI689" s="2"/>
      <c r="AJ689" s="2"/>
      <c r="AK689" s="2"/>
      <c r="AL689" s="2"/>
      <c r="AM689" s="2"/>
      <c r="AN689" s="2"/>
    </row>
  </sheetData>
  <mergeCells count="191">
    <mergeCell ref="F686:J686"/>
    <mergeCell ref="F688:J688"/>
    <mergeCell ref="F655:J655"/>
    <mergeCell ref="F663:J663"/>
    <mergeCell ref="E674:J674"/>
    <mergeCell ref="F675:J675"/>
    <mergeCell ref="E678:J678"/>
    <mergeCell ref="F679:J679"/>
    <mergeCell ref="E681:J681"/>
    <mergeCell ref="F682:J682"/>
    <mergeCell ref="F684:J684"/>
    <mergeCell ref="F631:J631"/>
    <mergeCell ref="E633:J633"/>
    <mergeCell ref="F634:J634"/>
    <mergeCell ref="E636:J636"/>
    <mergeCell ref="F637:J637"/>
    <mergeCell ref="E639:J639"/>
    <mergeCell ref="F640:J640"/>
    <mergeCell ref="F646:J646"/>
    <mergeCell ref="F651:J651"/>
    <mergeCell ref="F610:J610"/>
    <mergeCell ref="E612:J612"/>
    <mergeCell ref="F613:J613"/>
    <mergeCell ref="F615:J615"/>
    <mergeCell ref="F618:J618"/>
    <mergeCell ref="F621:J621"/>
    <mergeCell ref="F623:J623"/>
    <mergeCell ref="F625:J625"/>
    <mergeCell ref="F628:J628"/>
    <mergeCell ref="F593:J593"/>
    <mergeCell ref="E595:J595"/>
    <mergeCell ref="F596:J596"/>
    <mergeCell ref="F598:J598"/>
    <mergeCell ref="F600:J600"/>
    <mergeCell ref="F602:J602"/>
    <mergeCell ref="F604:J604"/>
    <mergeCell ref="F606:J606"/>
    <mergeCell ref="F608:J608"/>
    <mergeCell ref="E566:J566"/>
    <mergeCell ref="F567:J567"/>
    <mergeCell ref="F571:J571"/>
    <mergeCell ref="F573:J573"/>
    <mergeCell ref="F577:J577"/>
    <mergeCell ref="F581:J581"/>
    <mergeCell ref="F585:J585"/>
    <mergeCell ref="F589:J589"/>
    <mergeCell ref="F591:J591"/>
    <mergeCell ref="F542:J542"/>
    <mergeCell ref="F544:J544"/>
    <mergeCell ref="F549:J549"/>
    <mergeCell ref="E554:J554"/>
    <mergeCell ref="F555:J555"/>
    <mergeCell ref="F558:J558"/>
    <mergeCell ref="E561:J561"/>
    <mergeCell ref="F562:J562"/>
    <mergeCell ref="F564:J564"/>
    <mergeCell ref="F516:J516"/>
    <mergeCell ref="F519:J519"/>
    <mergeCell ref="E521:J521"/>
    <mergeCell ref="F522:J522"/>
    <mergeCell ref="F530:J530"/>
    <mergeCell ref="E533:J533"/>
    <mergeCell ref="F534:J534"/>
    <mergeCell ref="F538:J538"/>
    <mergeCell ref="E541:J541"/>
    <mergeCell ref="E480:J480"/>
    <mergeCell ref="F481:J481"/>
    <mergeCell ref="F485:J485"/>
    <mergeCell ref="F488:J488"/>
    <mergeCell ref="F490:J490"/>
    <mergeCell ref="E494:J494"/>
    <mergeCell ref="F495:J495"/>
    <mergeCell ref="F498:J498"/>
    <mergeCell ref="F502:J502"/>
    <mergeCell ref="F458:J458"/>
    <mergeCell ref="F460:J460"/>
    <mergeCell ref="F462:J462"/>
    <mergeCell ref="E464:J464"/>
    <mergeCell ref="F465:J465"/>
    <mergeCell ref="F472:J472"/>
    <mergeCell ref="E474:J474"/>
    <mergeCell ref="F475:J475"/>
    <mergeCell ref="F478:J478"/>
    <mergeCell ref="F430:J430"/>
    <mergeCell ref="F437:J437"/>
    <mergeCell ref="F439:J439"/>
    <mergeCell ref="F441:J441"/>
    <mergeCell ref="E443:K443"/>
    <mergeCell ref="F444:J444"/>
    <mergeCell ref="F447:J447"/>
    <mergeCell ref="F449:J449"/>
    <mergeCell ref="F451:J451"/>
    <mergeCell ref="E413:J413"/>
    <mergeCell ref="F414:J414"/>
    <mergeCell ref="F416:J416"/>
    <mergeCell ref="F418:J418"/>
    <mergeCell ref="F420:J420"/>
    <mergeCell ref="E422:K422"/>
    <mergeCell ref="F423:J423"/>
    <mergeCell ref="F426:J426"/>
    <mergeCell ref="F428:J428"/>
    <mergeCell ref="F393:J393"/>
    <mergeCell ref="F397:J397"/>
    <mergeCell ref="F399:J399"/>
    <mergeCell ref="F401:J401"/>
    <mergeCell ref="F403:J403"/>
    <mergeCell ref="F405:J405"/>
    <mergeCell ref="F407:J407"/>
    <mergeCell ref="F409:J409"/>
    <mergeCell ref="F411:J411"/>
    <mergeCell ref="F350:J350"/>
    <mergeCell ref="F355:J355"/>
    <mergeCell ref="F361:J361"/>
    <mergeCell ref="F366:J366"/>
    <mergeCell ref="F370:J370"/>
    <mergeCell ref="F375:J375"/>
    <mergeCell ref="F379:J379"/>
    <mergeCell ref="F384:J384"/>
    <mergeCell ref="F389:J389"/>
    <mergeCell ref="F310:J310"/>
    <mergeCell ref="F316:J316"/>
    <mergeCell ref="F320:J320"/>
    <mergeCell ref="F324:J324"/>
    <mergeCell ref="F329:J329"/>
    <mergeCell ref="F333:J333"/>
    <mergeCell ref="F338:J338"/>
    <mergeCell ref="F342:J342"/>
    <mergeCell ref="F346:J346"/>
    <mergeCell ref="F280:X280"/>
    <mergeCell ref="F283:X283"/>
    <mergeCell ref="F287:X287"/>
    <mergeCell ref="E289:X289"/>
    <mergeCell ref="F290:J290"/>
    <mergeCell ref="F293:X293"/>
    <mergeCell ref="E296:J296"/>
    <mergeCell ref="F297:J297"/>
    <mergeCell ref="F303:J303"/>
    <mergeCell ref="F242:X242"/>
    <mergeCell ref="F248:X248"/>
    <mergeCell ref="E254:K254"/>
    <mergeCell ref="F255:J255"/>
    <mergeCell ref="F261:X261"/>
    <mergeCell ref="E265:X265"/>
    <mergeCell ref="F266:J266"/>
    <mergeCell ref="F268:J268"/>
    <mergeCell ref="F272:X272"/>
    <mergeCell ref="E215:K215"/>
    <mergeCell ref="F216:J216"/>
    <mergeCell ref="F219:J219"/>
    <mergeCell ref="F222:X222"/>
    <mergeCell ref="F227:X227"/>
    <mergeCell ref="F232:X232"/>
    <mergeCell ref="E235:J235"/>
    <mergeCell ref="F236:J236"/>
    <mergeCell ref="F239:J239"/>
    <mergeCell ref="F160:X160"/>
    <mergeCell ref="E166:J166"/>
    <mergeCell ref="F167:J167"/>
    <mergeCell ref="F171:J171"/>
    <mergeCell ref="F190:X190"/>
    <mergeCell ref="F197:X197"/>
    <mergeCell ref="F201:J201"/>
    <mergeCell ref="F205:X205"/>
    <mergeCell ref="F209:X209"/>
    <mergeCell ref="E115:J115"/>
    <mergeCell ref="F116:J116"/>
    <mergeCell ref="F118:J118"/>
    <mergeCell ref="F120:X120"/>
    <mergeCell ref="F130:X130"/>
    <mergeCell ref="F138:X138"/>
    <mergeCell ref="F146:X146"/>
    <mergeCell ref="E154:J154"/>
    <mergeCell ref="F155:J155"/>
    <mergeCell ref="F51:J51"/>
    <mergeCell ref="F62:X62"/>
    <mergeCell ref="F66:X66"/>
    <mergeCell ref="F73:X73"/>
    <mergeCell ref="F82:J82"/>
    <mergeCell ref="E93:X93"/>
    <mergeCell ref="F94:X94"/>
    <mergeCell ref="F100:X100"/>
    <mergeCell ref="F106:J106"/>
    <mergeCell ref="D8:I8"/>
    <mergeCell ref="E10:X10"/>
    <mergeCell ref="F11:X11"/>
    <mergeCell ref="E13:X13"/>
    <mergeCell ref="F28:J28"/>
    <mergeCell ref="F30:J30"/>
    <mergeCell ref="F33:J33"/>
    <mergeCell ref="F40:J40"/>
    <mergeCell ref="E50:K50"/>
  </mergeCells>
  <conditionalFormatting sqref="U1:X8 S9:X468 S470:X689 T690:X723">
    <cfRule type="containsText" dxfId="9" priority="1" operator="containsText" text="ja">
      <formula>NOT(ISERROR(SEARCH(("ja"),(U1))))</formula>
    </cfRule>
    <cfRule type="containsText" dxfId="8" priority="2" operator="containsText" text="nein">
      <formula>NOT(ISERROR(SEARCH(("nein"),(U1))))</formula>
    </cfRule>
  </conditionalFormatting>
  <dataValidations count="4">
    <dataValidation type="list" errorStyle="warning" showErrorMessage="1" sqref="A12:A14 A16:A186" xr:uid="{00000000-0002-0000-1100-000000000000}">
      <formula1>"ja,nein"</formula1>
    </dataValidation>
    <dataValidation type="list" errorStyle="warning" showErrorMessage="1" sqref="X12 X34:X39 X41 X95:X99 X101:X105" xr:uid="{00000000-0002-0000-1100-000001000000}">
      <formula1>",Ready, CICD"</formula1>
    </dataValidation>
    <dataValidation type="list" errorStyle="warning" showErrorMessage="1" sqref="T12:U12 T34:U39 T41:U49 T52:U55 T57:U61 T63:U65 T67:U72 T74:U81 T119:U119 T228:U231 T240:U241 T161:U161 T191:U196 T206:U208 T262:U264 T269:U271 T95:U99 T101:U105 T107:U109 T111:U114 T294:U295" xr:uid="{00000000-0002-0000-1100-000002000000}">
      <formula1>"unbestimmt, ja, nein"</formula1>
    </dataValidation>
    <dataValidation type="list" errorStyle="warning" showErrorMessage="1" sqref="B12:B186" xr:uid="{00000000-0002-0000-1100-000003000000}">
      <formula1>"ELA,Meistertask,Cleverreach,Synology,Miro,Google,WhatsApp,Canva,Adobe,Contao,Wiki,ecoDMS,Wiki,Facebook,Instagram,TikTok,LinkedIn,Youtube,Xing,X,SalesForce,Lexware,Volksbank,Articulate,Outlook,easy2book,Domainfactory,1&amp;1"</formula1>
    </dataValidation>
  </dataValidations>
  <pageMargins left="0.75" right="0.75" top="1" bottom="1" header="0.5" footer="0.5"/>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C542"/>
  <sheetViews>
    <sheetView workbookViewId="0">
      <pane ySplit="9" topLeftCell="A10" activePane="bottomLeft" state="frozen"/>
      <selection pane="bottomLeft"/>
    </sheetView>
  </sheetViews>
  <sheetFormatPr baseColWidth="10" defaultColWidth="14.5703125" defaultRowHeight="15" x14ac:dyDescent="0.25"/>
  <cols>
    <col min="1" max="1" width="11.28515625" style="31" customWidth="1"/>
    <col min="2" max="2" width="14" style="31" customWidth="1"/>
    <col min="3" max="3" width="7.42578125" style="31" customWidth="1"/>
    <col min="4" max="5" width="3.42578125" style="31" customWidth="1"/>
    <col min="6" max="6" width="4" style="31" customWidth="1"/>
    <col min="7" max="10" width="3.42578125" style="31" customWidth="1"/>
    <col min="11" max="11" width="40.5703125" style="31" customWidth="1"/>
    <col min="12" max="12" width="59" style="475" customWidth="1"/>
    <col min="13" max="13" width="23.7109375" style="31" customWidth="1"/>
    <col min="14" max="14" width="22.85546875" style="31" customWidth="1"/>
    <col min="15" max="16" width="17" style="31" customWidth="1"/>
    <col min="17" max="17" width="22.7109375" style="31" customWidth="1"/>
    <col min="18" max="18" width="17" style="31" customWidth="1"/>
    <col min="19" max="19" width="23" style="31" customWidth="1"/>
    <col min="20" max="20" width="14.5703125" style="31" customWidth="1"/>
    <col min="21" max="21" width="14.42578125" style="31" customWidth="1"/>
    <col min="22" max="22" width="13.85546875" style="31" customWidth="1"/>
    <col min="23" max="23" width="22" style="31" customWidth="1"/>
    <col min="24" max="24" width="18.42578125" style="31" customWidth="1"/>
    <col min="25" max="25" width="14.42578125" style="31" customWidth="1"/>
    <col min="26" max="26" width="14.5703125" style="31" customWidth="1"/>
    <col min="27" max="16384" width="14.5703125" style="31"/>
  </cols>
  <sheetData>
    <row r="1" spans="1:29" x14ac:dyDescent="0.25">
      <c r="Z1" s="25"/>
      <c r="AA1" s="25"/>
      <c r="AB1" s="25"/>
      <c r="AC1" s="25"/>
    </row>
    <row r="2" spans="1:29" x14ac:dyDescent="0.25">
      <c r="J2" s="951"/>
      <c r="K2" s="31" t="s">
        <v>0</v>
      </c>
      <c r="Z2" s="25"/>
      <c r="AA2" s="25"/>
      <c r="AB2" s="25"/>
      <c r="AC2" s="25"/>
    </row>
    <row r="3" spans="1:29" x14ac:dyDescent="0.25">
      <c r="J3" s="663"/>
      <c r="K3" s="663" t="s">
        <v>1</v>
      </c>
      <c r="L3" s="664"/>
      <c r="M3" s="663"/>
      <c r="N3" s="663"/>
      <c r="Z3" s="25"/>
      <c r="AA3" s="25"/>
      <c r="AB3" s="25"/>
      <c r="AC3" s="25"/>
    </row>
    <row r="4" spans="1:29" x14ac:dyDescent="0.25">
      <c r="J4" s="481"/>
      <c r="K4" s="31" t="s">
        <v>2</v>
      </c>
      <c r="Z4" s="25"/>
      <c r="AA4" s="25"/>
      <c r="AB4" s="25"/>
      <c r="AC4" s="25"/>
    </row>
    <row r="5" spans="1:29" x14ac:dyDescent="0.25">
      <c r="J5" s="482"/>
      <c r="K5" s="31" t="s">
        <v>3</v>
      </c>
      <c r="Z5" s="25"/>
      <c r="AA5" s="25"/>
      <c r="AB5" s="25"/>
      <c r="AC5" s="25"/>
    </row>
    <row r="6" spans="1:29" x14ac:dyDescent="0.25">
      <c r="J6" s="483"/>
      <c r="K6" s="31" t="s">
        <v>4</v>
      </c>
      <c r="Z6" s="25"/>
      <c r="AA6" s="25"/>
      <c r="AB6" s="25"/>
      <c r="AC6" s="25"/>
    </row>
    <row r="7" spans="1:29" x14ac:dyDescent="0.25">
      <c r="Z7" s="25"/>
      <c r="AA7" s="25"/>
      <c r="AB7" s="25"/>
      <c r="AC7" s="25"/>
    </row>
    <row r="8" spans="1:29" x14ac:dyDescent="0.25">
      <c r="A8" s="122" t="s">
        <v>5</v>
      </c>
      <c r="B8" s="122" t="s">
        <v>6</v>
      </c>
      <c r="C8" s="122" t="s">
        <v>7</v>
      </c>
      <c r="D8" s="1077" t="s">
        <v>8</v>
      </c>
      <c r="E8" s="1077"/>
      <c r="F8" s="1077"/>
      <c r="G8" s="1077"/>
      <c r="H8" s="1077"/>
      <c r="I8" s="1077"/>
      <c r="J8" s="1077"/>
      <c r="K8" s="1077"/>
      <c r="L8" s="1265"/>
      <c r="M8" s="1079"/>
      <c r="N8" s="1080"/>
      <c r="O8" s="1080"/>
      <c r="P8" s="1080"/>
      <c r="Q8" s="1080"/>
      <c r="R8" s="1080"/>
      <c r="S8" s="1080"/>
      <c r="T8" s="1080"/>
      <c r="U8" s="1080"/>
      <c r="V8" s="1080"/>
      <c r="W8" s="1080"/>
      <c r="X8" s="1080"/>
      <c r="Y8" s="1079"/>
      <c r="Z8" s="25"/>
      <c r="AA8" s="25"/>
      <c r="AB8" s="25"/>
      <c r="AC8" s="25"/>
    </row>
    <row r="9" spans="1:29" ht="38.25" x14ac:dyDescent="0.25">
      <c r="A9" s="7"/>
      <c r="B9" s="7"/>
      <c r="C9" s="7"/>
      <c r="D9" s="414" t="s">
        <v>4697</v>
      </c>
      <c r="E9" s="414" t="s">
        <v>9</v>
      </c>
      <c r="F9" s="413" t="s">
        <v>10</v>
      </c>
      <c r="G9" s="413" t="s">
        <v>11</v>
      </c>
      <c r="H9" s="413" t="s">
        <v>12</v>
      </c>
      <c r="I9" s="413" t="s">
        <v>13</v>
      </c>
      <c r="J9" s="413" t="s">
        <v>14</v>
      </c>
      <c r="K9" s="952" t="s">
        <v>15</v>
      </c>
      <c r="L9" s="953" t="s">
        <v>16</v>
      </c>
      <c r="M9" s="954" t="s">
        <v>17</v>
      </c>
      <c r="N9" s="955" t="s">
        <v>18</v>
      </c>
      <c r="O9" s="955" t="s">
        <v>19</v>
      </c>
      <c r="P9" s="408" t="s">
        <v>20</v>
      </c>
      <c r="Q9" s="955" t="s">
        <v>21</v>
      </c>
      <c r="R9" s="955" t="s">
        <v>22</v>
      </c>
      <c r="S9" s="955" t="s">
        <v>23</v>
      </c>
      <c r="T9" s="956" t="s">
        <v>24</v>
      </c>
      <c r="U9" s="409" t="s">
        <v>25</v>
      </c>
      <c r="V9" s="409" t="s">
        <v>26</v>
      </c>
      <c r="W9" s="410" t="s">
        <v>27</v>
      </c>
      <c r="X9" s="409" t="s">
        <v>28</v>
      </c>
      <c r="Y9" s="409" t="s">
        <v>29</v>
      </c>
      <c r="Z9" s="25"/>
      <c r="AA9" s="25"/>
      <c r="AB9" s="25"/>
      <c r="AC9" s="25"/>
    </row>
    <row r="10" spans="1:29" s="484" customFormat="1" ht="18.75" x14ac:dyDescent="0.25">
      <c r="A10" s="742"/>
      <c r="B10" s="742"/>
      <c r="C10" s="411"/>
      <c r="D10" s="412" t="s">
        <v>91</v>
      </c>
      <c r="E10" s="1266" t="s">
        <v>4698</v>
      </c>
      <c r="F10" s="1267"/>
      <c r="G10" s="1267"/>
      <c r="H10" s="1267"/>
      <c r="I10" s="1267"/>
      <c r="J10" s="1267"/>
      <c r="K10" s="1267"/>
      <c r="L10" s="1268"/>
      <c r="M10" s="1267"/>
      <c r="N10" s="1267"/>
      <c r="O10" s="1267"/>
      <c r="P10" s="1267"/>
      <c r="Q10" s="1267"/>
      <c r="R10" s="1267"/>
      <c r="S10" s="1267"/>
      <c r="T10" s="1267"/>
      <c r="U10" s="1267"/>
      <c r="V10" s="1267"/>
      <c r="W10" s="1267"/>
      <c r="X10" s="1267"/>
      <c r="Y10" s="1269"/>
      <c r="Z10" s="485"/>
      <c r="AA10" s="485"/>
      <c r="AB10" s="485"/>
      <c r="AC10" s="485"/>
    </row>
    <row r="11" spans="1:29" ht="38.25" x14ac:dyDescent="0.2">
      <c r="A11" s="3" t="s">
        <v>1098</v>
      </c>
      <c r="B11" s="3" t="s">
        <v>37</v>
      </c>
      <c r="C11" s="342"/>
      <c r="D11" s="406"/>
      <c r="E11" s="406"/>
      <c r="F11" s="416"/>
      <c r="G11" s="425" t="s">
        <v>91</v>
      </c>
      <c r="H11" s="425"/>
      <c r="I11" s="425"/>
      <c r="J11" s="425"/>
      <c r="K11" s="400" t="s">
        <v>4699</v>
      </c>
      <c r="L11" s="957" t="s">
        <v>4700</v>
      </c>
      <c r="M11" s="397" t="s">
        <v>4701</v>
      </c>
      <c r="N11" s="400" t="s">
        <v>4702</v>
      </c>
      <c r="O11" s="486"/>
      <c r="P11" s="486"/>
      <c r="Q11" s="308" t="s">
        <v>4703</v>
      </c>
      <c r="R11" s="486"/>
      <c r="S11" s="486"/>
      <c r="T11" s="486"/>
      <c r="U11" s="486"/>
      <c r="V11" s="486"/>
      <c r="W11" s="486"/>
      <c r="X11" s="486"/>
      <c r="Y11" s="486"/>
      <c r="Z11" s="25"/>
      <c r="AA11" s="25"/>
      <c r="AB11" s="25"/>
      <c r="AC11" s="25"/>
    </row>
    <row r="12" spans="1:29" ht="15.75" x14ac:dyDescent="0.25">
      <c r="A12" s="7"/>
      <c r="B12" s="7"/>
      <c r="C12" s="7"/>
      <c r="D12" s="434"/>
      <c r="E12" s="437" t="s">
        <v>91</v>
      </c>
      <c r="F12" s="1270" t="s">
        <v>4704</v>
      </c>
      <c r="G12" s="1271"/>
      <c r="H12" s="1271"/>
      <c r="I12" s="1271"/>
      <c r="J12" s="1271"/>
      <c r="K12" s="1271"/>
      <c r="L12" s="1272"/>
      <c r="M12" s="1271"/>
      <c r="N12" s="1271"/>
      <c r="O12" s="1271"/>
      <c r="P12" s="1271"/>
      <c r="Q12" s="1271"/>
      <c r="R12" s="1271"/>
      <c r="S12" s="1271"/>
      <c r="T12" s="1271"/>
      <c r="U12" s="1271"/>
      <c r="V12" s="1271"/>
      <c r="W12" s="1271"/>
      <c r="X12" s="1271"/>
      <c r="Y12" s="1273"/>
      <c r="Z12" s="25"/>
      <c r="AA12" s="25"/>
      <c r="AB12" s="25"/>
      <c r="AC12" s="25"/>
    </row>
    <row r="13" spans="1:29" ht="15.75" x14ac:dyDescent="0.25">
      <c r="A13" s="89"/>
      <c r="B13" s="89"/>
      <c r="C13" s="89"/>
      <c r="D13" s="915"/>
      <c r="E13" s="915"/>
      <c r="F13" s="958" t="s">
        <v>91</v>
      </c>
      <c r="G13" s="1274" t="s">
        <v>4705</v>
      </c>
      <c r="H13" s="1274"/>
      <c r="I13" s="1274"/>
      <c r="J13" s="1274"/>
      <c r="K13" s="1274"/>
      <c r="L13" s="1275"/>
      <c r="M13" s="1274"/>
      <c r="N13" s="1274"/>
      <c r="O13" s="1274"/>
      <c r="P13" s="1274"/>
      <c r="Q13" s="1274"/>
      <c r="R13" s="1274"/>
      <c r="S13" s="1274"/>
      <c r="T13" s="1274"/>
      <c r="U13" s="1276"/>
      <c r="V13" s="1274"/>
      <c r="W13" s="1274"/>
      <c r="X13" s="1274"/>
      <c r="Y13" s="1274"/>
      <c r="Z13" s="25"/>
      <c r="AA13" s="25"/>
      <c r="AB13" s="25"/>
      <c r="AC13" s="25"/>
    </row>
    <row r="14" spans="1:29" ht="45" x14ac:dyDescent="0.2">
      <c r="A14" s="3" t="s">
        <v>1098</v>
      </c>
      <c r="B14" s="3" t="s">
        <v>33</v>
      </c>
      <c r="C14" s="342"/>
      <c r="D14" s="406"/>
      <c r="E14" s="406"/>
      <c r="F14" s="406"/>
      <c r="G14" s="342"/>
      <c r="H14" s="218"/>
      <c r="I14" s="406"/>
      <c r="J14" s="406"/>
      <c r="K14" s="307" t="s">
        <v>4706</v>
      </c>
      <c r="L14" s="307" t="s">
        <v>4707</v>
      </c>
      <c r="M14" s="72" t="s">
        <v>4701</v>
      </c>
      <c r="N14" s="12" t="s">
        <v>4708</v>
      </c>
      <c r="O14" s="69"/>
      <c r="P14" s="69"/>
      <c r="Q14" s="12" t="s">
        <v>4709</v>
      </c>
      <c r="R14" s="12"/>
      <c r="S14" s="69"/>
      <c r="T14" s="342"/>
      <c r="U14" s="441"/>
      <c r="V14" s="441"/>
      <c r="W14" s="342"/>
      <c r="X14" s="342"/>
      <c r="Y14" s="342"/>
      <c r="Z14" s="25"/>
      <c r="AA14" s="25"/>
      <c r="AB14" s="25"/>
      <c r="AC14" s="25"/>
    </row>
    <row r="15" spans="1:29" ht="60" x14ac:dyDescent="0.2">
      <c r="A15" s="3" t="s">
        <v>1098</v>
      </c>
      <c r="B15" s="3" t="s">
        <v>33</v>
      </c>
      <c r="C15" s="342"/>
      <c r="D15" s="406"/>
      <c r="E15" s="406"/>
      <c r="F15" s="406"/>
      <c r="G15" s="406"/>
      <c r="I15" s="406"/>
      <c r="J15" s="406"/>
      <c r="K15" s="140" t="s">
        <v>4710</v>
      </c>
      <c r="L15" s="140" t="s">
        <v>4711</v>
      </c>
      <c r="M15" s="72" t="s">
        <v>4712</v>
      </c>
      <c r="N15" s="12" t="s">
        <v>4713</v>
      </c>
      <c r="O15" s="69"/>
      <c r="P15" s="69"/>
      <c r="Q15" s="12" t="s">
        <v>4714</v>
      </c>
      <c r="R15" s="12"/>
      <c r="S15" s="69"/>
      <c r="T15" s="342"/>
      <c r="U15" s="441"/>
      <c r="V15" s="441"/>
      <c r="W15" s="342"/>
      <c r="X15" s="342"/>
      <c r="Y15" s="342"/>
      <c r="Z15" s="25"/>
      <c r="AA15" s="25"/>
      <c r="AB15" s="25"/>
      <c r="AC15" s="25"/>
    </row>
    <row r="16" spans="1:29" ht="45" x14ac:dyDescent="0.2">
      <c r="A16" s="3" t="s">
        <v>1098</v>
      </c>
      <c r="B16" s="3" t="s">
        <v>33</v>
      </c>
      <c r="C16" s="342"/>
      <c r="D16" s="406"/>
      <c r="E16" s="406"/>
      <c r="F16" s="406"/>
      <c r="H16" s="416"/>
      <c r="I16" s="416"/>
      <c r="J16" s="416"/>
      <c r="K16" s="417" t="s">
        <v>4715</v>
      </c>
      <c r="L16" s="307" t="s">
        <v>4716</v>
      </c>
      <c r="M16" s="72" t="s">
        <v>4712</v>
      </c>
      <c r="N16" s="12" t="s">
        <v>4717</v>
      </c>
      <c r="O16" s="69"/>
      <c r="P16" s="69"/>
      <c r="Q16" s="12" t="s">
        <v>4718</v>
      </c>
      <c r="R16" s="12"/>
      <c r="S16" s="69"/>
      <c r="T16" s="342"/>
      <c r="U16" s="441"/>
      <c r="V16" s="441"/>
      <c r="W16" s="342"/>
      <c r="X16" s="342"/>
      <c r="Y16" s="342"/>
      <c r="Z16" s="25"/>
      <c r="AA16" s="25"/>
      <c r="AB16" s="25"/>
      <c r="AC16" s="25"/>
    </row>
    <row r="17" spans="1:29" ht="15.75" x14ac:dyDescent="0.25">
      <c r="A17" s="342"/>
      <c r="B17" s="342"/>
      <c r="C17" s="342"/>
      <c r="D17" s="406"/>
      <c r="E17" s="406"/>
      <c r="F17" s="419"/>
      <c r="G17" s="1277" t="s">
        <v>4719</v>
      </c>
      <c r="H17" s="1278"/>
      <c r="I17" s="1278"/>
      <c r="J17" s="1278"/>
      <c r="K17" s="1279"/>
      <c r="L17" s="329"/>
      <c r="M17" s="72"/>
      <c r="N17" s="12"/>
      <c r="O17" s="12"/>
      <c r="P17" s="12"/>
      <c r="Q17" s="12"/>
      <c r="R17" s="12"/>
      <c r="S17" s="12"/>
      <c r="T17" s="218"/>
      <c r="U17" s="441"/>
      <c r="V17" s="441"/>
      <c r="W17" s="218"/>
      <c r="X17" s="218"/>
      <c r="Y17" s="218"/>
      <c r="Z17" s="25"/>
      <c r="AA17" s="25"/>
      <c r="AB17" s="25"/>
      <c r="AC17" s="25"/>
    </row>
    <row r="18" spans="1:29" ht="30" x14ac:dyDescent="0.2">
      <c r="A18" s="3" t="s">
        <v>1098</v>
      </c>
      <c r="B18" s="3" t="s">
        <v>33</v>
      </c>
      <c r="C18" s="342"/>
      <c r="D18" s="406"/>
      <c r="E18" s="406"/>
      <c r="G18" s="213"/>
      <c r="H18" s="406"/>
      <c r="I18" s="213"/>
      <c r="J18" s="213"/>
      <c r="K18" s="305" t="s">
        <v>4720</v>
      </c>
      <c r="L18" s="140" t="s">
        <v>4721</v>
      </c>
      <c r="M18" s="72" t="s">
        <v>4712</v>
      </c>
      <c r="N18" s="12" t="s">
        <v>4722</v>
      </c>
      <c r="O18" s="12"/>
      <c r="P18" s="12"/>
      <c r="Q18" s="12" t="s">
        <v>4723</v>
      </c>
      <c r="R18" s="12"/>
      <c r="S18" s="12"/>
      <c r="T18" s="218"/>
      <c r="U18" s="441"/>
      <c r="V18" s="441"/>
      <c r="W18" s="218"/>
      <c r="X18" s="218"/>
      <c r="Y18" s="218"/>
      <c r="Z18" s="25"/>
      <c r="AA18" s="25"/>
      <c r="AB18" s="25"/>
      <c r="AC18" s="25"/>
    </row>
    <row r="19" spans="1:29" ht="15.75" x14ac:dyDescent="0.25">
      <c r="A19" s="342"/>
      <c r="B19" s="342"/>
      <c r="C19" s="342"/>
      <c r="D19" s="406"/>
      <c r="E19" s="406"/>
      <c r="F19" s="419"/>
      <c r="G19" s="1277" t="s">
        <v>4724</v>
      </c>
      <c r="H19" s="1278"/>
      <c r="I19" s="1278"/>
      <c r="J19" s="1278"/>
      <c r="K19" s="1279"/>
      <c r="L19" s="329"/>
      <c r="M19" s="72"/>
      <c r="N19" s="12"/>
      <c r="O19" s="12"/>
      <c r="P19" s="12"/>
      <c r="Q19" s="12"/>
      <c r="R19" s="12"/>
      <c r="S19" s="12"/>
      <c r="T19" s="218"/>
      <c r="U19" s="441"/>
      <c r="V19" s="441"/>
      <c r="W19" s="218"/>
      <c r="X19" s="218"/>
      <c r="Y19" s="218"/>
      <c r="Z19" s="25"/>
      <c r="AA19" s="25"/>
      <c r="AB19" s="25"/>
      <c r="AC19" s="25"/>
    </row>
    <row r="20" spans="1:29" ht="30" x14ac:dyDescent="0.2">
      <c r="A20" s="3" t="s">
        <v>1098</v>
      </c>
      <c r="B20" s="3" t="s">
        <v>35</v>
      </c>
      <c r="C20" s="342"/>
      <c r="D20" s="406"/>
      <c r="E20" s="406"/>
      <c r="F20" s="218"/>
      <c r="G20" s="406"/>
      <c r="H20" s="218"/>
      <c r="I20" s="213"/>
      <c r="J20" s="213"/>
      <c r="K20" s="305" t="s">
        <v>4715</v>
      </c>
      <c r="L20" s="140" t="s">
        <v>4725</v>
      </c>
      <c r="M20" s="72" t="s">
        <v>4701</v>
      </c>
      <c r="N20" s="12" t="s">
        <v>4722</v>
      </c>
      <c r="O20" s="12"/>
      <c r="P20" s="12"/>
      <c r="Q20" s="12" t="s">
        <v>4723</v>
      </c>
      <c r="R20" s="12"/>
      <c r="S20" s="12"/>
      <c r="T20" s="218"/>
      <c r="U20" s="441"/>
      <c r="V20" s="441"/>
      <c r="W20" s="218"/>
      <c r="X20" s="218"/>
      <c r="Y20" s="218"/>
      <c r="Z20" s="25"/>
      <c r="AA20" s="25"/>
      <c r="AB20" s="25"/>
      <c r="AC20" s="25"/>
    </row>
    <row r="21" spans="1:29" ht="15.75" x14ac:dyDescent="0.25">
      <c r="A21" s="342"/>
      <c r="B21" s="342"/>
      <c r="C21" s="342"/>
      <c r="D21" s="406"/>
      <c r="E21" s="406"/>
      <c r="G21" s="213"/>
      <c r="H21" s="1280" t="s">
        <v>4726</v>
      </c>
      <c r="I21" s="1280"/>
      <c r="J21" s="1280"/>
      <c r="K21" s="1280"/>
      <c r="L21" s="1281"/>
      <c r="M21" s="1280"/>
      <c r="N21" s="1280"/>
      <c r="O21" s="1280"/>
      <c r="P21" s="1280"/>
      <c r="Q21" s="1280"/>
      <c r="R21" s="1280"/>
      <c r="S21" s="1280"/>
      <c r="T21" s="1280"/>
      <c r="U21" s="1280"/>
      <c r="V21" s="1282"/>
      <c r="W21" s="1280"/>
      <c r="X21" s="1280"/>
      <c r="Y21" s="1280"/>
      <c r="Z21" s="1280"/>
      <c r="AA21" s="25"/>
      <c r="AB21" s="25"/>
      <c r="AC21" s="25"/>
    </row>
    <row r="22" spans="1:29" ht="45" x14ac:dyDescent="0.2">
      <c r="A22" s="3" t="s">
        <v>1098</v>
      </c>
      <c r="B22" s="3" t="s">
        <v>35</v>
      </c>
      <c r="C22" s="342"/>
      <c r="D22" s="406"/>
      <c r="E22" s="406"/>
      <c r="F22" s="406"/>
      <c r="G22" s="406"/>
      <c r="H22" s="406"/>
      <c r="I22" s="406"/>
      <c r="J22" s="406"/>
      <c r="K22" s="12" t="s">
        <v>4727</v>
      </c>
      <c r="L22" s="140" t="s">
        <v>4728</v>
      </c>
      <c r="M22" s="72" t="s">
        <v>4729</v>
      </c>
      <c r="N22" s="12" t="s">
        <v>4730</v>
      </c>
      <c r="O22" s="218"/>
      <c r="P22" s="218"/>
      <c r="Q22" s="218" t="s">
        <v>4731</v>
      </c>
      <c r="R22" s="218"/>
      <c r="S22" s="218"/>
      <c r="T22" s="218"/>
      <c r="U22" s="441"/>
      <c r="V22" s="441"/>
      <c r="W22" s="218"/>
      <c r="X22" s="218"/>
      <c r="Y22" s="218"/>
      <c r="Z22" s="25"/>
      <c r="AA22" s="25"/>
      <c r="AB22" s="25"/>
      <c r="AC22" s="25"/>
    </row>
    <row r="23" spans="1:29" x14ac:dyDescent="0.25">
      <c r="A23" s="342"/>
      <c r="B23" s="342"/>
      <c r="C23" s="342"/>
      <c r="D23" s="406"/>
      <c r="E23" s="406"/>
      <c r="F23" s="406"/>
      <c r="G23" s="406"/>
      <c r="H23" s="406"/>
      <c r="I23" s="406"/>
      <c r="J23" s="406"/>
      <c r="K23" s="218"/>
      <c r="L23" s="468"/>
      <c r="M23" s="406"/>
      <c r="N23" s="218"/>
      <c r="O23" s="218"/>
      <c r="P23" s="218"/>
      <c r="Q23" s="218"/>
      <c r="R23" s="218"/>
      <c r="S23" s="218"/>
      <c r="T23" s="218"/>
      <c r="U23" s="441"/>
      <c r="V23" s="441"/>
      <c r="W23" s="218"/>
      <c r="X23" s="218"/>
      <c r="Y23" s="218"/>
      <c r="Z23" s="25"/>
      <c r="AA23" s="25"/>
      <c r="AB23" s="25"/>
      <c r="AC23" s="25"/>
    </row>
    <row r="24" spans="1:29" ht="15.75" x14ac:dyDescent="0.25">
      <c r="A24" s="89"/>
      <c r="B24" s="89"/>
      <c r="C24" s="89"/>
      <c r="D24" s="915"/>
      <c r="E24" s="915"/>
      <c r="F24" s="958" t="s">
        <v>91</v>
      </c>
      <c r="G24" s="1274" t="s">
        <v>4732</v>
      </c>
      <c r="H24" s="1274"/>
      <c r="I24" s="1274"/>
      <c r="J24" s="1274"/>
      <c r="K24" s="1274"/>
      <c r="L24" s="1275"/>
      <c r="M24" s="1274"/>
      <c r="N24" s="1274"/>
      <c r="O24" s="1274"/>
      <c r="P24" s="1274"/>
      <c r="Q24" s="1274"/>
      <c r="R24" s="1274"/>
      <c r="S24" s="1274"/>
      <c r="T24" s="1274"/>
      <c r="U24" s="1276"/>
      <c r="V24" s="1274"/>
      <c r="W24" s="1274"/>
      <c r="X24" s="1274"/>
      <c r="Y24" s="1274"/>
      <c r="Z24" s="25"/>
      <c r="AA24" s="25"/>
      <c r="AB24" s="25"/>
      <c r="AC24" s="25"/>
    </row>
    <row r="25" spans="1:29" x14ac:dyDescent="0.25">
      <c r="A25" s="218"/>
      <c r="B25" s="218"/>
      <c r="C25" s="218"/>
      <c r="D25" s="218"/>
      <c r="E25" s="218"/>
      <c r="F25" s="218"/>
      <c r="G25" s="218"/>
      <c r="H25" s="218"/>
      <c r="I25" s="218"/>
      <c r="J25" s="218"/>
      <c r="K25" s="218"/>
      <c r="L25" s="468"/>
      <c r="M25" s="406"/>
      <c r="N25" s="218"/>
      <c r="O25" s="218"/>
      <c r="P25" s="218"/>
      <c r="Q25" s="218"/>
      <c r="R25" s="218"/>
      <c r="S25" s="218"/>
      <c r="T25" s="218"/>
      <c r="U25" s="441"/>
      <c r="V25" s="441"/>
      <c r="W25" s="218"/>
      <c r="X25" s="218"/>
      <c r="Y25" s="218"/>
      <c r="Z25" s="25"/>
      <c r="AA25" s="25"/>
      <c r="AB25" s="25"/>
      <c r="AC25" s="25"/>
    </row>
    <row r="26" spans="1:29" ht="15.75" x14ac:dyDescent="0.25">
      <c r="A26" s="7"/>
      <c r="B26" s="7"/>
      <c r="C26" s="7"/>
      <c r="D26" s="434"/>
      <c r="E26" s="437" t="s">
        <v>91</v>
      </c>
      <c r="F26" s="1270" t="s">
        <v>4733</v>
      </c>
      <c r="G26" s="1271"/>
      <c r="H26" s="1271"/>
      <c r="I26" s="1271"/>
      <c r="J26" s="1271"/>
      <c r="K26" s="1271"/>
      <c r="L26" s="1272"/>
      <c r="M26" s="1271"/>
      <c r="N26" s="1271"/>
      <c r="O26" s="1271"/>
      <c r="P26" s="1271"/>
      <c r="Q26" s="1271"/>
      <c r="R26" s="1271"/>
      <c r="S26" s="1271"/>
      <c r="T26" s="1271"/>
      <c r="U26" s="1271"/>
      <c r="V26" s="1271"/>
      <c r="W26" s="1271"/>
      <c r="X26" s="1271"/>
      <c r="Y26" s="1273"/>
      <c r="Z26" s="25"/>
      <c r="AA26" s="25"/>
      <c r="AB26" s="25"/>
      <c r="AC26" s="25"/>
    </row>
    <row r="27" spans="1:29" ht="15.75" x14ac:dyDescent="0.25">
      <c r="A27" s="89"/>
      <c r="B27" s="89"/>
      <c r="C27" s="89"/>
      <c r="D27" s="915"/>
      <c r="E27" s="915"/>
      <c r="F27" s="958" t="s">
        <v>91</v>
      </c>
      <c r="G27" s="1274" t="s">
        <v>4734</v>
      </c>
      <c r="H27" s="1274"/>
      <c r="I27" s="1274"/>
      <c r="J27" s="1274"/>
      <c r="K27" s="1274"/>
      <c r="L27" s="1275"/>
      <c r="M27" s="1274"/>
      <c r="N27" s="1274"/>
      <c r="O27" s="1274"/>
      <c r="P27" s="1274"/>
      <c r="Q27" s="1274"/>
      <c r="R27" s="1274"/>
      <c r="S27" s="1274"/>
      <c r="T27" s="1274"/>
      <c r="U27" s="1276"/>
      <c r="V27" s="1274"/>
      <c r="W27" s="1274"/>
      <c r="X27" s="1274"/>
      <c r="Y27" s="1274"/>
      <c r="Z27" s="25"/>
      <c r="AA27" s="25"/>
      <c r="AB27" s="25"/>
      <c r="AC27" s="25"/>
    </row>
    <row r="28" spans="1:29" x14ac:dyDescent="0.25">
      <c r="A28" s="342"/>
      <c r="B28" s="342"/>
      <c r="C28" s="342"/>
      <c r="D28" s="406"/>
      <c r="E28" s="406"/>
      <c r="F28" s="406"/>
      <c r="G28" s="218" t="s">
        <v>4735</v>
      </c>
      <c r="H28" s="406"/>
      <c r="I28" s="406"/>
      <c r="J28" s="406"/>
      <c r="L28" s="140"/>
      <c r="M28" s="406"/>
      <c r="N28" s="12"/>
      <c r="O28" s="218"/>
      <c r="P28" s="218"/>
      <c r="Q28" s="218"/>
      <c r="R28" s="218"/>
      <c r="S28" s="218"/>
      <c r="T28" s="218"/>
      <c r="U28" s="441"/>
      <c r="V28" s="441"/>
      <c r="W28" s="218"/>
      <c r="X28" s="218"/>
      <c r="Y28" s="218"/>
      <c r="Z28" s="25"/>
      <c r="AA28" s="25"/>
      <c r="AB28" s="25"/>
      <c r="AC28" s="25"/>
    </row>
    <row r="29" spans="1:29" ht="60" x14ac:dyDescent="0.2">
      <c r="A29" s="3" t="s">
        <v>1098</v>
      </c>
      <c r="B29" s="3" t="s">
        <v>35</v>
      </c>
      <c r="C29" s="342"/>
      <c r="D29" s="406"/>
      <c r="E29" s="406"/>
      <c r="F29" s="406"/>
      <c r="G29" s="406"/>
      <c r="H29" s="406"/>
      <c r="I29" s="406"/>
      <c r="J29" s="406"/>
      <c r="K29" s="218" t="s">
        <v>4736</v>
      </c>
      <c r="L29" s="140" t="s">
        <v>4737</v>
      </c>
      <c r="M29" s="406" t="s">
        <v>4701</v>
      </c>
      <c r="N29" s="12" t="s">
        <v>4738</v>
      </c>
      <c r="O29" s="218"/>
      <c r="P29" s="218"/>
      <c r="Q29" s="12" t="s">
        <v>4739</v>
      </c>
      <c r="R29" s="218"/>
      <c r="S29" s="218"/>
      <c r="T29" s="218"/>
      <c r="U29" s="441"/>
      <c r="V29" s="441"/>
      <c r="W29" s="218"/>
      <c r="X29" s="218"/>
      <c r="Y29" s="218"/>
      <c r="Z29" s="25"/>
      <c r="AA29" s="25"/>
      <c r="AB29" s="25"/>
      <c r="AC29" s="25"/>
    </row>
    <row r="30" spans="1:29" ht="60" x14ac:dyDescent="0.2">
      <c r="A30" s="3" t="s">
        <v>1098</v>
      </c>
      <c r="B30" s="3" t="s">
        <v>35</v>
      </c>
      <c r="C30" s="342"/>
      <c r="D30" s="406"/>
      <c r="E30" s="406"/>
      <c r="F30" s="406"/>
      <c r="G30" s="406"/>
      <c r="H30" s="406"/>
      <c r="I30" s="406"/>
      <c r="J30" s="406"/>
      <c r="K30" s="218" t="s">
        <v>4740</v>
      </c>
      <c r="L30" s="140" t="s">
        <v>4741</v>
      </c>
      <c r="M30" s="406" t="s">
        <v>4701</v>
      </c>
      <c r="N30" s="12" t="s">
        <v>4742</v>
      </c>
      <c r="O30" s="218"/>
      <c r="P30" s="218"/>
      <c r="Q30" s="218"/>
      <c r="R30" s="218"/>
      <c r="S30" s="218"/>
      <c r="T30" s="218"/>
      <c r="U30" s="441"/>
      <c r="V30" s="441"/>
      <c r="W30" s="218"/>
      <c r="X30" s="218"/>
      <c r="Y30" s="218"/>
      <c r="Z30" s="25"/>
      <c r="AA30" s="25"/>
      <c r="AB30" s="25"/>
      <c r="AC30" s="25"/>
    </row>
    <row r="31" spans="1:29" x14ac:dyDescent="0.2">
      <c r="A31" s="3" t="s">
        <v>1098</v>
      </c>
      <c r="B31" s="3" t="s">
        <v>35</v>
      </c>
      <c r="C31" s="342"/>
      <c r="D31" s="406"/>
      <c r="E31" s="406"/>
      <c r="F31" s="406"/>
      <c r="G31" s="406"/>
      <c r="H31" s="406"/>
      <c r="I31" s="406"/>
      <c r="J31" s="406"/>
      <c r="K31" s="204" t="s">
        <v>4743</v>
      </c>
      <c r="L31" s="469"/>
      <c r="M31" s="406" t="s">
        <v>4701</v>
      </c>
      <c r="N31" s="12"/>
      <c r="O31" s="218"/>
      <c r="P31" s="218"/>
      <c r="Q31" s="218"/>
      <c r="R31" s="218"/>
      <c r="S31" s="218"/>
      <c r="T31" s="218"/>
      <c r="U31" s="441"/>
      <c r="V31" s="441"/>
      <c r="W31" s="218"/>
      <c r="X31" s="218"/>
      <c r="Y31" s="218"/>
      <c r="Z31" s="25"/>
      <c r="AA31" s="25"/>
      <c r="AB31" s="25"/>
      <c r="AC31" s="25"/>
    </row>
    <row r="32" spans="1:29" ht="30" x14ac:dyDescent="0.25">
      <c r="A32" s="342"/>
      <c r="B32" s="342"/>
      <c r="C32" s="342"/>
      <c r="D32" s="406"/>
      <c r="E32" s="406"/>
      <c r="F32" s="406"/>
      <c r="G32" s="218" t="s">
        <v>4744</v>
      </c>
      <c r="H32" s="406"/>
      <c r="I32" s="406"/>
      <c r="J32" s="406"/>
      <c r="L32" s="468"/>
      <c r="M32" s="406" t="s">
        <v>4745</v>
      </c>
      <c r="N32" s="12" t="s">
        <v>4746</v>
      </c>
      <c r="O32" s="218"/>
      <c r="P32" s="218"/>
      <c r="Q32" s="218"/>
      <c r="R32" s="218"/>
      <c r="S32" s="218"/>
      <c r="T32" s="218"/>
      <c r="U32" s="441"/>
      <c r="V32" s="441"/>
      <c r="W32" s="218"/>
      <c r="X32" s="218"/>
      <c r="Y32" s="218"/>
      <c r="Z32" s="25"/>
      <c r="AA32" s="25"/>
      <c r="AB32" s="25"/>
      <c r="AC32" s="25"/>
    </row>
    <row r="33" spans="1:29" x14ac:dyDescent="0.2">
      <c r="A33" s="3" t="s">
        <v>1098</v>
      </c>
      <c r="B33" s="3" t="s">
        <v>35</v>
      </c>
      <c r="C33" s="342"/>
      <c r="D33" s="406"/>
      <c r="E33" s="406"/>
      <c r="F33" s="406"/>
      <c r="G33" s="406"/>
      <c r="H33" s="406"/>
      <c r="I33" s="406"/>
      <c r="J33" s="406"/>
      <c r="K33" s="218" t="s">
        <v>4747</v>
      </c>
      <c r="L33" s="468"/>
      <c r="M33" s="406" t="s">
        <v>4701</v>
      </c>
      <c r="N33" s="218"/>
      <c r="O33" s="218"/>
      <c r="P33" s="218"/>
      <c r="Q33" s="218"/>
      <c r="R33" s="218"/>
      <c r="S33" s="218"/>
      <c r="T33" s="218"/>
      <c r="U33" s="441"/>
      <c r="V33" s="441"/>
      <c r="W33" s="218"/>
      <c r="X33" s="218"/>
      <c r="Y33" s="218"/>
      <c r="Z33" s="25"/>
      <c r="AA33" s="25"/>
      <c r="AB33" s="25"/>
      <c r="AC33" s="25"/>
    </row>
    <row r="34" spans="1:29" ht="30" x14ac:dyDescent="0.25">
      <c r="A34" s="342"/>
      <c r="B34" s="342"/>
      <c r="C34" s="342"/>
      <c r="D34" s="406"/>
      <c r="E34" s="406"/>
      <c r="F34" s="406"/>
      <c r="G34" s="218" t="s">
        <v>4748</v>
      </c>
      <c r="H34" s="406"/>
      <c r="I34" s="406"/>
      <c r="J34" s="406"/>
      <c r="L34" s="140"/>
      <c r="M34" s="406" t="s">
        <v>4745</v>
      </c>
      <c r="N34" s="12" t="s">
        <v>4746</v>
      </c>
      <c r="O34" s="218"/>
      <c r="P34" s="218"/>
      <c r="Q34" s="218"/>
      <c r="R34" s="218"/>
      <c r="S34" s="218"/>
      <c r="T34" s="218"/>
      <c r="U34" s="441"/>
      <c r="V34" s="441"/>
      <c r="W34" s="218"/>
      <c r="X34" s="218"/>
      <c r="Y34" s="218"/>
      <c r="Z34" s="25"/>
      <c r="AA34" s="25"/>
      <c r="AB34" s="25"/>
      <c r="AC34" s="25"/>
    </row>
    <row r="35" spans="1:29" x14ac:dyDescent="0.2">
      <c r="A35" s="3" t="s">
        <v>1098</v>
      </c>
      <c r="B35" s="3" t="s">
        <v>35</v>
      </c>
      <c r="C35" s="342"/>
      <c r="D35" s="406"/>
      <c r="E35" s="406"/>
      <c r="F35" s="406"/>
      <c r="G35" s="406"/>
      <c r="H35" s="406"/>
      <c r="I35" s="406"/>
      <c r="J35" s="406"/>
      <c r="K35" s="218" t="s">
        <v>4749</v>
      </c>
      <c r="L35" s="468"/>
      <c r="M35" s="72" t="s">
        <v>4750</v>
      </c>
      <c r="N35" s="218" t="s">
        <v>4751</v>
      </c>
      <c r="O35" s="218"/>
      <c r="P35" s="218"/>
      <c r="Q35" s="218"/>
      <c r="R35" s="218"/>
      <c r="S35" s="218"/>
      <c r="T35" s="218"/>
      <c r="U35" s="441"/>
      <c r="V35" s="441"/>
      <c r="W35" s="218"/>
      <c r="X35" s="218"/>
      <c r="Y35" s="218"/>
      <c r="Z35" s="25"/>
      <c r="AA35" s="25"/>
      <c r="AB35" s="25"/>
      <c r="AC35" s="25"/>
    </row>
    <row r="36" spans="1:29" ht="45" x14ac:dyDescent="0.2">
      <c r="A36" s="3"/>
      <c r="B36" s="3"/>
      <c r="C36" s="342"/>
      <c r="D36" s="406"/>
      <c r="E36" s="406"/>
      <c r="F36" s="406"/>
      <c r="H36" s="218" t="s">
        <v>4752</v>
      </c>
      <c r="I36" s="406"/>
      <c r="J36" s="406"/>
      <c r="L36" s="140"/>
      <c r="M36" s="72" t="s">
        <v>4750</v>
      </c>
      <c r="N36" s="12" t="s">
        <v>4753</v>
      </c>
      <c r="O36" s="218"/>
      <c r="P36" s="218"/>
      <c r="Q36" s="218"/>
      <c r="R36" s="218"/>
      <c r="S36" s="218"/>
      <c r="T36" s="218"/>
      <c r="U36" s="441"/>
      <c r="V36" s="441"/>
      <c r="W36" s="218"/>
      <c r="X36" s="218"/>
      <c r="Y36" s="218"/>
      <c r="Z36" s="25"/>
      <c r="AA36" s="25"/>
      <c r="AB36" s="25"/>
      <c r="AC36" s="25"/>
    </row>
    <row r="37" spans="1:29" x14ac:dyDescent="0.25">
      <c r="A37" s="342"/>
      <c r="B37" s="342"/>
      <c r="C37" s="342"/>
      <c r="D37" s="406"/>
      <c r="E37" s="406"/>
      <c r="F37" s="406"/>
      <c r="G37" s="406"/>
      <c r="H37" s="406"/>
      <c r="I37" s="406"/>
      <c r="J37" s="406"/>
      <c r="K37" s="204"/>
      <c r="L37" s="469"/>
      <c r="M37" s="406"/>
      <c r="N37" s="218"/>
      <c r="O37" s="218"/>
      <c r="P37" s="218"/>
      <c r="Q37" s="218"/>
      <c r="R37" s="218"/>
      <c r="S37" s="218"/>
      <c r="T37" s="218"/>
      <c r="U37" s="441"/>
      <c r="V37" s="441"/>
      <c r="W37" s="218"/>
      <c r="X37" s="218"/>
      <c r="Y37" s="218"/>
      <c r="Z37" s="25"/>
      <c r="AA37" s="25"/>
      <c r="AB37" s="25"/>
      <c r="AC37" s="25"/>
    </row>
    <row r="38" spans="1:29" ht="15.75" x14ac:dyDescent="0.25">
      <c r="A38" s="89"/>
      <c r="B38" s="89"/>
      <c r="C38" s="89"/>
      <c r="D38" s="915"/>
      <c r="E38" s="915"/>
      <c r="F38" s="958" t="s">
        <v>91</v>
      </c>
      <c r="G38" s="1274" t="s">
        <v>4754</v>
      </c>
      <c r="H38" s="1274"/>
      <c r="I38" s="1274"/>
      <c r="J38" s="1274"/>
      <c r="K38" s="1274"/>
      <c r="L38" s="1275"/>
      <c r="M38" s="1274"/>
      <c r="N38" s="1274"/>
      <c r="O38" s="1274"/>
      <c r="P38" s="1274"/>
      <c r="Q38" s="1274"/>
      <c r="R38" s="1274"/>
      <c r="S38" s="1274"/>
      <c r="T38" s="1274"/>
      <c r="U38" s="1276"/>
      <c r="V38" s="1274"/>
      <c r="W38" s="1274"/>
      <c r="X38" s="1274"/>
      <c r="Y38" s="1274"/>
      <c r="Z38" s="25"/>
      <c r="AA38" s="25"/>
      <c r="AB38" s="25"/>
      <c r="AC38" s="25"/>
    </row>
    <row r="39" spans="1:29" x14ac:dyDescent="0.25">
      <c r="A39" s="342"/>
      <c r="B39" s="342"/>
      <c r="C39" s="342"/>
      <c r="D39" s="406"/>
      <c r="E39" s="406"/>
      <c r="F39" s="406"/>
      <c r="G39" s="406"/>
      <c r="H39" s="406"/>
      <c r="I39" s="406"/>
      <c r="J39" s="406"/>
      <c r="K39" s="218"/>
      <c r="L39" s="468"/>
      <c r="M39" s="406"/>
      <c r="N39" s="218"/>
      <c r="O39" s="218"/>
      <c r="P39" s="218"/>
      <c r="Q39" s="218"/>
      <c r="R39" s="218"/>
      <c r="S39" s="218"/>
      <c r="T39" s="218"/>
      <c r="U39" s="441"/>
      <c r="V39" s="441"/>
      <c r="W39" s="218"/>
      <c r="X39" s="218"/>
      <c r="Y39" s="218"/>
      <c r="Z39" s="25"/>
      <c r="AA39" s="25"/>
      <c r="AB39" s="25"/>
      <c r="AC39" s="25"/>
    </row>
    <row r="40" spans="1:29" ht="15.75" x14ac:dyDescent="0.25">
      <c r="A40" s="7"/>
      <c r="B40" s="7"/>
      <c r="C40" s="7"/>
      <c r="D40" s="434"/>
      <c r="E40" s="437" t="s">
        <v>91</v>
      </c>
      <c r="F40" s="1270" t="s">
        <v>4755</v>
      </c>
      <c r="G40" s="1271"/>
      <c r="H40" s="1271"/>
      <c r="I40" s="1271"/>
      <c r="J40" s="1271"/>
      <c r="K40" s="1271"/>
      <c r="L40" s="1272"/>
      <c r="M40" s="1271"/>
      <c r="N40" s="1271"/>
      <c r="O40" s="1271"/>
      <c r="P40" s="1271"/>
      <c r="Q40" s="1271"/>
      <c r="R40" s="1271"/>
      <c r="S40" s="1271"/>
      <c r="T40" s="1271"/>
      <c r="U40" s="1271"/>
      <c r="V40" s="1271"/>
      <c r="W40" s="1271"/>
      <c r="X40" s="1271"/>
      <c r="Y40" s="1273"/>
      <c r="Z40" s="25"/>
      <c r="AA40" s="25"/>
      <c r="AB40" s="25"/>
      <c r="AC40" s="25"/>
    </row>
    <row r="41" spans="1:29" ht="15.75" x14ac:dyDescent="0.25">
      <c r="A41" s="89"/>
      <c r="B41" s="89"/>
      <c r="C41" s="89"/>
      <c r="D41" s="915"/>
      <c r="E41" s="915"/>
      <c r="F41" s="958" t="s">
        <v>91</v>
      </c>
      <c r="G41" s="1274" t="s">
        <v>4756</v>
      </c>
      <c r="H41" s="1274"/>
      <c r="I41" s="1274"/>
      <c r="J41" s="1274"/>
      <c r="K41" s="1274"/>
      <c r="L41" s="1275"/>
      <c r="M41" s="1274"/>
      <c r="N41" s="1274"/>
      <c r="O41" s="1274"/>
      <c r="P41" s="1274"/>
      <c r="Q41" s="1274"/>
      <c r="R41" s="1274"/>
      <c r="S41" s="1274"/>
      <c r="T41" s="1274"/>
      <c r="U41" s="1276"/>
      <c r="V41" s="1274"/>
      <c r="W41" s="1274"/>
      <c r="X41" s="1274"/>
      <c r="Y41" s="1274"/>
      <c r="Z41" s="25"/>
      <c r="AA41" s="25"/>
      <c r="AB41" s="25"/>
      <c r="AC41" s="25"/>
    </row>
    <row r="42" spans="1:29" s="663" customFormat="1" ht="15.75" customHeight="1" x14ac:dyDescent="0.25">
      <c r="A42" s="667"/>
      <c r="B42" s="667"/>
      <c r="C42" s="667"/>
      <c r="D42" s="668"/>
      <c r="E42" s="668"/>
      <c r="F42" s="668"/>
      <c r="G42" s="1283" t="s">
        <v>282</v>
      </c>
      <c r="H42" s="1284"/>
      <c r="I42" s="1284"/>
      <c r="J42" s="1284"/>
      <c r="K42" s="1285"/>
      <c r="L42" s="671"/>
      <c r="M42" s="668"/>
      <c r="N42" s="681"/>
      <c r="O42" s="681"/>
      <c r="P42" s="681"/>
      <c r="Q42" s="681"/>
      <c r="R42" s="681"/>
      <c r="S42" s="681"/>
      <c r="T42" s="681"/>
      <c r="U42" s="682"/>
      <c r="V42" s="682"/>
      <c r="W42" s="681"/>
      <c r="X42" s="681"/>
      <c r="Y42" s="681"/>
      <c r="Z42" s="673"/>
      <c r="AA42" s="673"/>
      <c r="AB42" s="673"/>
      <c r="AC42" s="673"/>
    </row>
    <row r="43" spans="1:29" s="663" customFormat="1" ht="45" x14ac:dyDescent="0.2">
      <c r="A43" s="665" t="s">
        <v>1106</v>
      </c>
      <c r="B43" s="666" t="s">
        <v>32</v>
      </c>
      <c r="C43" s="667"/>
      <c r="D43" s="668"/>
      <c r="E43" s="668"/>
      <c r="F43" s="669"/>
      <c r="G43" s="669"/>
      <c r="H43" s="669"/>
      <c r="I43" s="669"/>
      <c r="J43" s="669"/>
      <c r="K43" s="670" t="s">
        <v>4757</v>
      </c>
      <c r="L43" s="671" t="s">
        <v>4758</v>
      </c>
      <c r="M43" s="669" t="s">
        <v>4759</v>
      </c>
      <c r="N43" s="670" t="s">
        <v>4760</v>
      </c>
      <c r="O43" s="670"/>
      <c r="P43" s="670"/>
      <c r="Q43" s="670" t="s">
        <v>4761</v>
      </c>
      <c r="R43" s="670"/>
      <c r="S43" s="670"/>
      <c r="T43" s="670"/>
      <c r="U43" s="672"/>
      <c r="V43" s="672"/>
      <c r="W43" s="670"/>
      <c r="X43" s="670"/>
      <c r="Y43" s="670"/>
      <c r="Z43" s="673"/>
      <c r="AA43" s="673"/>
      <c r="AB43" s="673"/>
      <c r="AC43" s="673"/>
    </row>
    <row r="44" spans="1:29" s="663" customFormat="1" ht="30" x14ac:dyDescent="0.2">
      <c r="A44" s="665" t="s">
        <v>1106</v>
      </c>
      <c r="B44" s="666" t="s">
        <v>32</v>
      </c>
      <c r="C44" s="667"/>
      <c r="D44" s="668"/>
      <c r="E44" s="668"/>
      <c r="F44" s="669"/>
      <c r="G44" s="669"/>
      <c r="H44" s="669"/>
      <c r="I44" s="669"/>
      <c r="J44" s="669"/>
      <c r="K44" s="673" t="s">
        <v>4762</v>
      </c>
      <c r="L44" s="671" t="s">
        <v>4758</v>
      </c>
      <c r="M44" s="669" t="s">
        <v>4759</v>
      </c>
      <c r="N44" s="670" t="s">
        <v>4760</v>
      </c>
      <c r="O44" s="670"/>
      <c r="P44" s="670"/>
      <c r="Q44" s="670" t="s">
        <v>4763</v>
      </c>
      <c r="R44" s="670"/>
      <c r="S44" s="670"/>
      <c r="T44" s="670"/>
      <c r="U44" s="672"/>
      <c r="V44" s="672"/>
      <c r="W44" s="670"/>
      <c r="X44" s="670"/>
      <c r="Y44" s="670"/>
      <c r="Z44" s="673"/>
      <c r="AA44" s="673"/>
      <c r="AB44" s="673"/>
      <c r="AC44" s="673"/>
    </row>
    <row r="45" spans="1:29" s="663" customFormat="1" ht="45" x14ac:dyDescent="0.2">
      <c r="A45" s="665" t="s">
        <v>1106</v>
      </c>
      <c r="B45" s="666" t="s">
        <v>32</v>
      </c>
      <c r="C45" s="667"/>
      <c r="D45" s="668"/>
      <c r="E45" s="668"/>
      <c r="F45" s="669"/>
      <c r="G45" s="669"/>
      <c r="H45" s="669"/>
      <c r="I45" s="669"/>
      <c r="J45" s="669"/>
      <c r="K45" s="670" t="s">
        <v>4764</v>
      </c>
      <c r="L45" s="671" t="s">
        <v>4758</v>
      </c>
      <c r="M45" s="669" t="s">
        <v>4759</v>
      </c>
      <c r="N45" s="670" t="s">
        <v>4760</v>
      </c>
      <c r="O45" s="670"/>
      <c r="P45" s="670"/>
      <c r="Q45" s="670" t="s">
        <v>4765</v>
      </c>
      <c r="R45" s="670"/>
      <c r="S45" s="670"/>
      <c r="T45" s="670"/>
      <c r="U45" s="672"/>
      <c r="V45" s="672"/>
      <c r="W45" s="670"/>
      <c r="X45" s="670"/>
      <c r="Y45" s="670"/>
      <c r="Z45" s="673"/>
      <c r="AA45" s="673"/>
      <c r="AB45" s="673"/>
      <c r="AC45" s="673"/>
    </row>
    <row r="46" spans="1:29" s="663" customFormat="1" ht="30" x14ac:dyDescent="0.2">
      <c r="A46" s="665" t="s">
        <v>1106</v>
      </c>
      <c r="B46" s="666" t="s">
        <v>32</v>
      </c>
      <c r="C46" s="667"/>
      <c r="D46" s="668"/>
      <c r="E46" s="668"/>
      <c r="F46" s="669"/>
      <c r="G46" s="669"/>
      <c r="H46" s="669"/>
      <c r="I46" s="669"/>
      <c r="J46" s="669"/>
      <c r="K46" s="670" t="s">
        <v>4766</v>
      </c>
      <c r="L46" s="671" t="s">
        <v>4767</v>
      </c>
      <c r="M46" s="669" t="s">
        <v>4759</v>
      </c>
      <c r="N46" s="670" t="s">
        <v>4768</v>
      </c>
      <c r="O46" s="670"/>
      <c r="P46" s="670"/>
      <c r="Q46" s="670" t="s">
        <v>4769</v>
      </c>
      <c r="R46" s="670"/>
      <c r="S46" s="670"/>
      <c r="T46" s="670"/>
      <c r="U46" s="672"/>
      <c r="V46" s="672"/>
      <c r="W46" s="670"/>
      <c r="X46" s="670"/>
      <c r="Y46" s="670"/>
      <c r="Z46" s="673"/>
      <c r="AA46" s="673"/>
      <c r="AB46" s="673"/>
      <c r="AC46" s="673"/>
    </row>
    <row r="47" spans="1:29" s="663" customFormat="1" ht="60" x14ac:dyDescent="0.2">
      <c r="A47" s="665" t="s">
        <v>1106</v>
      </c>
      <c r="B47" s="666" t="s">
        <v>32</v>
      </c>
      <c r="C47" s="667"/>
      <c r="D47" s="668"/>
      <c r="E47" s="668"/>
      <c r="F47" s="669"/>
      <c r="G47" s="669"/>
      <c r="H47" s="669"/>
      <c r="I47" s="669"/>
      <c r="J47" s="669"/>
      <c r="K47" s="670" t="s">
        <v>4770</v>
      </c>
      <c r="L47" s="671" t="s">
        <v>4771</v>
      </c>
      <c r="M47" s="669" t="s">
        <v>4759</v>
      </c>
      <c r="N47" s="670" t="s">
        <v>4772</v>
      </c>
      <c r="O47" s="670"/>
      <c r="P47" s="670"/>
      <c r="Q47" s="670" t="s">
        <v>4773</v>
      </c>
      <c r="R47" s="670"/>
      <c r="S47" s="670"/>
      <c r="T47" s="670"/>
      <c r="U47" s="672"/>
      <c r="V47" s="672"/>
      <c r="W47" s="670"/>
      <c r="X47" s="670"/>
      <c r="Y47" s="670"/>
      <c r="Z47" s="673"/>
      <c r="AA47" s="673"/>
      <c r="AB47" s="673"/>
      <c r="AC47" s="673"/>
    </row>
    <row r="48" spans="1:29" ht="15.75" x14ac:dyDescent="0.25">
      <c r="A48" s="89"/>
      <c r="B48" s="89"/>
      <c r="C48" s="89"/>
      <c r="D48" s="915"/>
      <c r="E48" s="915"/>
      <c r="F48" s="959" t="s">
        <v>91</v>
      </c>
      <c r="G48" s="1286" t="s">
        <v>4774</v>
      </c>
      <c r="H48" s="1286"/>
      <c r="I48" s="1286"/>
      <c r="J48" s="1286"/>
      <c r="K48" s="1286"/>
      <c r="L48" s="1287"/>
      <c r="M48" s="1286"/>
      <c r="N48" s="1286"/>
      <c r="O48" s="1286"/>
      <c r="P48" s="1286"/>
      <c r="Q48" s="1286"/>
      <c r="R48" s="1286"/>
      <c r="S48" s="1286"/>
      <c r="T48" s="1286"/>
      <c r="U48" s="1288"/>
      <c r="V48" s="1286"/>
      <c r="W48" s="1286"/>
      <c r="X48" s="1286"/>
      <c r="Y48" s="1289"/>
      <c r="Z48" s="25"/>
      <c r="AA48" s="25"/>
      <c r="AB48" s="25"/>
      <c r="AC48" s="25"/>
    </row>
    <row r="49" spans="1:29" x14ac:dyDescent="0.25">
      <c r="A49" s="406"/>
      <c r="B49" s="406"/>
      <c r="C49" s="406"/>
      <c r="D49" s="406"/>
      <c r="E49" s="406"/>
      <c r="F49" s="72"/>
      <c r="G49" s="72"/>
      <c r="H49" s="72"/>
      <c r="I49" s="72"/>
      <c r="J49" s="72"/>
      <c r="K49" s="12"/>
      <c r="L49" s="140"/>
      <c r="M49" s="72"/>
      <c r="N49" s="12"/>
      <c r="O49" s="12"/>
      <c r="P49" s="12"/>
      <c r="Q49" s="12"/>
      <c r="R49" s="12"/>
      <c r="S49" s="12"/>
      <c r="T49" s="12"/>
      <c r="U49" s="26"/>
      <c r="V49" s="26"/>
      <c r="W49" s="12"/>
      <c r="X49" s="12"/>
      <c r="Y49" s="12"/>
      <c r="Z49" s="25"/>
      <c r="AA49" s="25"/>
      <c r="AB49" s="25"/>
      <c r="AC49" s="25"/>
    </row>
    <row r="50" spans="1:29" ht="15.75" customHeight="1" x14ac:dyDescent="0.25">
      <c r="A50" s="7"/>
      <c r="B50" s="7"/>
      <c r="C50" s="7"/>
      <c r="D50" s="434"/>
      <c r="E50" s="437" t="s">
        <v>91</v>
      </c>
      <c r="F50" s="1290" t="s">
        <v>4775</v>
      </c>
      <c r="G50" s="1291"/>
      <c r="H50" s="1291"/>
      <c r="I50" s="1291"/>
      <c r="J50" s="1291"/>
      <c r="K50" s="1291"/>
      <c r="L50" s="1292"/>
      <c r="M50" s="1291"/>
      <c r="N50" s="1291"/>
      <c r="O50" s="1291"/>
      <c r="P50" s="1291"/>
      <c r="Q50" s="1291"/>
      <c r="R50" s="1291"/>
      <c r="S50" s="1291"/>
      <c r="T50" s="1291"/>
      <c r="U50" s="1291"/>
      <c r="V50" s="1291"/>
      <c r="W50" s="1291"/>
      <c r="X50" s="1291"/>
      <c r="Y50" s="1293"/>
      <c r="Z50" s="25"/>
      <c r="AA50" s="25"/>
      <c r="AB50" s="25"/>
      <c r="AC50" s="25"/>
    </row>
    <row r="51" spans="1:29" ht="15.75" x14ac:dyDescent="0.25">
      <c r="A51" s="89"/>
      <c r="B51" s="89"/>
      <c r="C51" s="89"/>
      <c r="D51" s="915"/>
      <c r="E51" s="915"/>
      <c r="F51" s="959" t="s">
        <v>91</v>
      </c>
      <c r="G51" s="1286" t="s">
        <v>4776</v>
      </c>
      <c r="H51" s="1286"/>
      <c r="I51" s="1286"/>
      <c r="J51" s="1286"/>
      <c r="K51" s="1286"/>
      <c r="L51" s="1287"/>
      <c r="M51" s="1286"/>
      <c r="N51" s="1286"/>
      <c r="O51" s="1286"/>
      <c r="P51" s="1286"/>
      <c r="Q51" s="1286"/>
      <c r="R51" s="1286"/>
      <c r="S51" s="1286"/>
      <c r="T51" s="1286"/>
      <c r="U51" s="1288"/>
      <c r="V51" s="1286"/>
      <c r="W51" s="1286"/>
      <c r="X51" s="1286"/>
      <c r="Y51" s="1289"/>
      <c r="Z51" s="25"/>
      <c r="AA51" s="25"/>
      <c r="AB51" s="25"/>
      <c r="AC51" s="25"/>
    </row>
    <row r="52" spans="1:29" ht="15.75" customHeight="1" x14ac:dyDescent="0.2">
      <c r="A52" s="3" t="s">
        <v>1098</v>
      </c>
      <c r="B52" s="3" t="s">
        <v>35</v>
      </c>
      <c r="C52" s="342"/>
      <c r="D52" s="406"/>
      <c r="E52" s="406"/>
      <c r="F52" s="72"/>
      <c r="G52" s="72"/>
      <c r="H52" s="72"/>
      <c r="I52" s="72"/>
      <c r="J52" s="72"/>
      <c r="K52" s="12" t="s">
        <v>4777</v>
      </c>
      <c r="L52" s="204" t="s">
        <v>4778</v>
      </c>
      <c r="M52" s="72" t="s">
        <v>4701</v>
      </c>
      <c r="N52" s="12"/>
      <c r="O52" s="12"/>
      <c r="P52" s="12"/>
      <c r="Q52" s="12"/>
      <c r="R52" s="12"/>
      <c r="S52" s="12"/>
      <c r="T52" s="12"/>
      <c r="U52" s="26"/>
      <c r="V52" s="26"/>
      <c r="W52" s="12"/>
      <c r="X52" s="12"/>
      <c r="Y52" s="12"/>
      <c r="Z52" s="25"/>
      <c r="AA52" s="25"/>
      <c r="AB52" s="25"/>
      <c r="AC52" s="25"/>
    </row>
    <row r="53" spans="1:29" ht="15.75" customHeight="1" x14ac:dyDescent="0.2">
      <c r="A53" s="3" t="s">
        <v>1098</v>
      </c>
      <c r="B53" s="3" t="s">
        <v>35</v>
      </c>
      <c r="C53" s="342"/>
      <c r="D53" s="406"/>
      <c r="E53" s="406"/>
      <c r="F53" s="72"/>
      <c r="G53" s="72"/>
      <c r="H53" s="72"/>
      <c r="I53" s="72"/>
      <c r="J53" s="72"/>
      <c r="K53" s="204" t="s">
        <v>4779</v>
      </c>
      <c r="L53" s="204" t="s">
        <v>4780</v>
      </c>
      <c r="M53" s="72" t="s">
        <v>4781</v>
      </c>
      <c r="N53" s="12"/>
      <c r="O53" s="12"/>
      <c r="P53" s="12"/>
      <c r="Q53" s="12"/>
      <c r="R53" s="12"/>
      <c r="S53" s="12"/>
      <c r="T53" s="12"/>
      <c r="U53" s="26"/>
      <c r="V53" s="26"/>
      <c r="W53" s="12"/>
      <c r="X53" s="12"/>
      <c r="Y53" s="12"/>
      <c r="Z53" s="25"/>
      <c r="AA53" s="25"/>
      <c r="AB53" s="25"/>
      <c r="AC53" s="25"/>
    </row>
    <row r="54" spans="1:29" ht="15.75" customHeight="1" x14ac:dyDescent="0.2">
      <c r="A54" s="3" t="s">
        <v>1098</v>
      </c>
      <c r="B54" s="3" t="s">
        <v>35</v>
      </c>
      <c r="C54" s="342"/>
      <c r="D54" s="406"/>
      <c r="E54" s="406"/>
      <c r="F54" s="72"/>
      <c r="G54" s="72"/>
      <c r="H54" s="72"/>
      <c r="I54" s="72"/>
      <c r="J54" s="72"/>
      <c r="K54" s="12" t="s">
        <v>4782</v>
      </c>
      <c r="L54" s="204" t="s">
        <v>4783</v>
      </c>
      <c r="M54" s="72" t="s">
        <v>4745</v>
      </c>
      <c r="N54" s="12"/>
      <c r="O54" s="12"/>
      <c r="P54" s="12"/>
      <c r="Q54" s="12"/>
      <c r="R54" s="12"/>
      <c r="S54" s="12"/>
      <c r="T54" s="12"/>
      <c r="U54" s="26"/>
      <c r="V54" s="26"/>
      <c r="W54" s="12"/>
      <c r="X54" s="12"/>
      <c r="Y54" s="12"/>
      <c r="Z54" s="25"/>
      <c r="AA54" s="25"/>
      <c r="AB54" s="25"/>
      <c r="AC54" s="25"/>
    </row>
    <row r="55" spans="1:29" x14ac:dyDescent="0.2">
      <c r="A55" s="3" t="s">
        <v>1098</v>
      </c>
      <c r="B55" s="3" t="s">
        <v>35</v>
      </c>
      <c r="C55" s="342"/>
      <c r="D55" s="406"/>
      <c r="E55" s="406"/>
      <c r="F55" s="72"/>
      <c r="G55" s="72"/>
      <c r="H55" s="72"/>
      <c r="I55" s="72"/>
      <c r="J55" s="72"/>
      <c r="K55" s="25" t="s">
        <v>4747</v>
      </c>
      <c r="L55" s="204" t="s">
        <v>4784</v>
      </c>
      <c r="M55" s="72" t="s">
        <v>4701</v>
      </c>
      <c r="N55" s="12"/>
      <c r="O55" s="12"/>
      <c r="P55" s="12"/>
      <c r="Q55" s="12"/>
      <c r="R55" s="12"/>
      <c r="S55" s="12"/>
      <c r="T55" s="12"/>
      <c r="U55" s="26"/>
      <c r="V55" s="26"/>
      <c r="W55" s="12"/>
      <c r="X55" s="12"/>
      <c r="Y55" s="12"/>
      <c r="Z55" s="25"/>
      <c r="AA55" s="25"/>
      <c r="AB55" s="25"/>
      <c r="AC55" s="25"/>
    </row>
    <row r="56" spans="1:29" ht="25.5" x14ac:dyDescent="0.2">
      <c r="A56" s="3" t="s">
        <v>1098</v>
      </c>
      <c r="B56" s="3" t="s">
        <v>35</v>
      </c>
      <c r="C56" s="342"/>
      <c r="D56" s="406"/>
      <c r="E56" s="406"/>
      <c r="F56" s="72"/>
      <c r="G56" s="72"/>
      <c r="H56" s="72"/>
      <c r="I56" s="72"/>
      <c r="J56" s="72"/>
      <c r="K56" s="12" t="s">
        <v>4782</v>
      </c>
      <c r="L56" s="204" t="s">
        <v>4785</v>
      </c>
      <c r="M56" s="72" t="s">
        <v>4745</v>
      </c>
      <c r="N56" s="12"/>
      <c r="O56" s="12"/>
      <c r="P56" s="12"/>
      <c r="Q56" s="12"/>
      <c r="R56" s="12"/>
      <c r="S56" s="12"/>
      <c r="T56" s="12"/>
      <c r="U56" s="26"/>
      <c r="V56" s="26"/>
      <c r="W56" s="12"/>
      <c r="X56" s="12"/>
      <c r="Y56" s="12"/>
      <c r="Z56" s="25"/>
      <c r="AA56" s="25"/>
      <c r="AB56" s="25"/>
      <c r="AC56" s="25"/>
    </row>
    <row r="57" spans="1:29" ht="15.75" customHeight="1" x14ac:dyDescent="0.2">
      <c r="A57" s="3" t="s">
        <v>1098</v>
      </c>
      <c r="B57" s="3" t="s">
        <v>35</v>
      </c>
      <c r="C57" s="342"/>
      <c r="D57" s="406"/>
      <c r="E57" s="406"/>
      <c r="F57" s="72"/>
      <c r="G57" s="72"/>
      <c r="H57" s="72"/>
      <c r="I57" s="72"/>
      <c r="J57" s="72"/>
      <c r="K57" s="12" t="s">
        <v>4786</v>
      </c>
      <c r="L57" s="204" t="s">
        <v>4787</v>
      </c>
      <c r="M57" s="72" t="s">
        <v>4701</v>
      </c>
      <c r="N57" s="12"/>
      <c r="O57" s="12"/>
      <c r="P57" s="12"/>
      <c r="Q57" s="12"/>
      <c r="R57" s="12"/>
      <c r="S57" s="12"/>
      <c r="T57" s="12"/>
      <c r="U57" s="26"/>
      <c r="V57" s="26"/>
      <c r="W57" s="12"/>
      <c r="X57" s="12"/>
      <c r="Y57" s="12"/>
      <c r="Z57" s="25"/>
      <c r="AA57" s="25"/>
      <c r="AB57" s="25"/>
      <c r="AC57" s="25"/>
    </row>
    <row r="58" spans="1:29" ht="15.75" customHeight="1" x14ac:dyDescent="0.2">
      <c r="A58" s="3" t="s">
        <v>1098</v>
      </c>
      <c r="B58" s="3" t="s">
        <v>35</v>
      </c>
      <c r="C58" s="342"/>
      <c r="D58" s="406"/>
      <c r="E58" s="406"/>
      <c r="F58" s="72"/>
      <c r="G58" s="72"/>
      <c r="H58" s="72"/>
      <c r="I58" s="72"/>
      <c r="J58" s="72"/>
      <c r="K58" s="12" t="s">
        <v>4788</v>
      </c>
      <c r="L58" s="140" t="s">
        <v>4789</v>
      </c>
      <c r="M58" s="72" t="s">
        <v>4701</v>
      </c>
      <c r="N58" s="12"/>
      <c r="O58" s="12"/>
      <c r="P58" s="12"/>
      <c r="Q58" s="12"/>
      <c r="R58" s="12"/>
      <c r="S58" s="12"/>
      <c r="T58" s="12"/>
      <c r="U58" s="26"/>
      <c r="V58" s="26"/>
      <c r="W58" s="12"/>
      <c r="X58" s="12"/>
      <c r="Y58" s="12"/>
      <c r="Z58" s="25"/>
      <c r="AA58" s="25"/>
      <c r="AB58" s="25"/>
      <c r="AC58" s="25"/>
    </row>
    <row r="59" spans="1:29" ht="15.75" customHeight="1" x14ac:dyDescent="0.2">
      <c r="A59" s="3" t="s">
        <v>1098</v>
      </c>
      <c r="B59" s="3" t="s">
        <v>55</v>
      </c>
      <c r="C59" s="342"/>
      <c r="D59" s="406"/>
      <c r="E59" s="406"/>
      <c r="F59" s="72"/>
      <c r="G59" s="72"/>
      <c r="H59" s="72"/>
      <c r="I59" s="72"/>
      <c r="J59" s="72"/>
      <c r="K59" s="204" t="s">
        <v>4790</v>
      </c>
      <c r="L59" s="466" t="s">
        <v>4791</v>
      </c>
      <c r="M59" s="72" t="s">
        <v>4701</v>
      </c>
      <c r="N59" s="12"/>
      <c r="O59" s="12"/>
      <c r="P59" s="12"/>
      <c r="Q59" s="12"/>
      <c r="R59" s="12"/>
      <c r="S59" s="12"/>
      <c r="T59" s="12"/>
      <c r="U59" s="26"/>
      <c r="V59" s="26"/>
      <c r="W59" s="12"/>
      <c r="X59" s="12"/>
      <c r="Y59" s="12"/>
      <c r="Z59" s="25"/>
      <c r="AA59" s="25"/>
      <c r="AB59" s="25"/>
      <c r="AC59" s="25"/>
    </row>
    <row r="60" spans="1:29" ht="15.75" x14ac:dyDescent="0.25">
      <c r="A60" s="89"/>
      <c r="B60" s="89"/>
      <c r="C60" s="89"/>
      <c r="D60" s="915"/>
      <c r="E60" s="915"/>
      <c r="F60" s="959" t="s">
        <v>91</v>
      </c>
      <c r="G60" s="1286" t="s">
        <v>4792</v>
      </c>
      <c r="H60" s="1286"/>
      <c r="I60" s="1286"/>
      <c r="J60" s="1286"/>
      <c r="K60" s="1286"/>
      <c r="L60" s="1287"/>
      <c r="M60" s="1286"/>
      <c r="N60" s="1286"/>
      <c r="O60" s="1286"/>
      <c r="P60" s="1286"/>
      <c r="Q60" s="1286"/>
      <c r="R60" s="1286"/>
      <c r="S60" s="1286"/>
      <c r="T60" s="1286"/>
      <c r="U60" s="1288"/>
      <c r="V60" s="1286"/>
      <c r="W60" s="1286"/>
      <c r="X60" s="1286"/>
      <c r="Y60" s="1289"/>
      <c r="Z60" s="25"/>
      <c r="AA60" s="25"/>
      <c r="AB60" s="25"/>
      <c r="AC60" s="25"/>
    </row>
    <row r="61" spans="1:29" x14ac:dyDescent="0.25">
      <c r="A61" s="342"/>
      <c r="B61" s="342"/>
      <c r="C61" s="342"/>
      <c r="D61" s="406"/>
      <c r="E61" s="406"/>
      <c r="F61" s="72"/>
      <c r="G61" s="72"/>
      <c r="H61" s="72"/>
      <c r="I61" s="72"/>
      <c r="J61" s="72"/>
      <c r="K61" s="12"/>
      <c r="L61" s="140"/>
      <c r="M61" s="72"/>
      <c r="N61" s="12"/>
      <c r="O61" s="12"/>
      <c r="P61" s="12"/>
      <c r="Q61" s="12"/>
      <c r="R61" s="12"/>
      <c r="S61" s="12"/>
      <c r="T61" s="12"/>
      <c r="U61" s="26"/>
      <c r="V61" s="26"/>
      <c r="W61" s="12"/>
      <c r="X61" s="12"/>
      <c r="Y61" s="12"/>
      <c r="Z61" s="25"/>
      <c r="AA61" s="25"/>
      <c r="AB61" s="25"/>
      <c r="AC61" s="25"/>
    </row>
    <row r="62" spans="1:29" ht="15.75" customHeight="1" x14ac:dyDescent="0.25">
      <c r="A62" s="7"/>
      <c r="B62" s="7"/>
      <c r="C62" s="7"/>
      <c r="D62" s="434"/>
      <c r="E62" s="437" t="s">
        <v>91</v>
      </c>
      <c r="F62" s="1290" t="s">
        <v>4793</v>
      </c>
      <c r="G62" s="1291"/>
      <c r="H62" s="1291"/>
      <c r="I62" s="1291"/>
      <c r="J62" s="1291"/>
      <c r="K62" s="1291"/>
      <c r="L62" s="1292"/>
      <c r="M62" s="1291"/>
      <c r="N62" s="1291"/>
      <c r="O62" s="1291"/>
      <c r="P62" s="1291"/>
      <c r="Q62" s="1291"/>
      <c r="R62" s="1291"/>
      <c r="S62" s="1291"/>
      <c r="T62" s="1291"/>
      <c r="U62" s="1291"/>
      <c r="V62" s="1291"/>
      <c r="W62" s="1291"/>
      <c r="X62" s="1291"/>
      <c r="Y62" s="1293"/>
      <c r="Z62" s="25"/>
      <c r="AA62" s="25"/>
      <c r="AB62" s="25"/>
      <c r="AC62" s="25"/>
    </row>
    <row r="63" spans="1:29" ht="15.75" x14ac:dyDescent="0.25">
      <c r="A63" s="89"/>
      <c r="B63" s="89"/>
      <c r="C63" s="89"/>
      <c r="D63" s="915"/>
      <c r="E63" s="915"/>
      <c r="F63" s="959" t="s">
        <v>91</v>
      </c>
      <c r="G63" s="1286" t="s">
        <v>4794</v>
      </c>
      <c r="H63" s="1286"/>
      <c r="I63" s="1286"/>
      <c r="J63" s="1286"/>
      <c r="K63" s="1286"/>
      <c r="L63" s="1287"/>
      <c r="M63" s="1286"/>
      <c r="N63" s="1286"/>
      <c r="O63" s="1286"/>
      <c r="P63" s="1286"/>
      <c r="Q63" s="1286"/>
      <c r="R63" s="1286"/>
      <c r="S63" s="1286"/>
      <c r="T63" s="1286"/>
      <c r="U63" s="1288"/>
      <c r="V63" s="1286"/>
      <c r="W63" s="1286"/>
      <c r="X63" s="1286"/>
      <c r="Y63" s="1289"/>
      <c r="Z63" s="25"/>
      <c r="AA63" s="25"/>
      <c r="AB63" s="25"/>
      <c r="AC63" s="25"/>
    </row>
    <row r="64" spans="1:29" ht="15.75" customHeight="1" x14ac:dyDescent="0.2">
      <c r="A64" s="3"/>
      <c r="B64" s="3"/>
      <c r="C64" s="342"/>
      <c r="D64" s="406"/>
      <c r="E64" s="406"/>
      <c r="F64" s="72"/>
      <c r="G64" s="72"/>
      <c r="H64" s="72"/>
      <c r="I64" s="72"/>
      <c r="J64" s="72"/>
      <c r="K64" s="12" t="s">
        <v>4795</v>
      </c>
      <c r="L64" s="140"/>
      <c r="M64" s="72"/>
      <c r="N64" s="12"/>
      <c r="O64" s="12"/>
      <c r="P64" s="12"/>
      <c r="Q64" s="12"/>
      <c r="R64" s="12"/>
      <c r="S64" s="12"/>
      <c r="T64" s="12"/>
      <c r="U64" s="26"/>
      <c r="V64" s="26"/>
      <c r="W64" s="12"/>
      <c r="X64" s="12"/>
      <c r="Y64" s="12"/>
      <c r="Z64" s="25"/>
      <c r="AA64" s="25"/>
      <c r="AB64" s="25"/>
      <c r="AC64" s="25"/>
    </row>
    <row r="65" spans="1:29" s="481" customFormat="1" ht="15.75" customHeight="1" x14ac:dyDescent="0.2">
      <c r="A65" s="655"/>
      <c r="B65" s="655"/>
      <c r="C65" s="674"/>
      <c r="D65" s="435"/>
      <c r="E65" s="435"/>
      <c r="F65" s="38"/>
      <c r="G65" s="38"/>
      <c r="H65" s="38"/>
      <c r="I65" s="38"/>
      <c r="J65" s="38"/>
      <c r="K65" s="675" t="s">
        <v>4796</v>
      </c>
      <c r="L65" s="39"/>
      <c r="M65" s="38"/>
      <c r="N65" s="676"/>
      <c r="O65" s="676"/>
      <c r="P65" s="676"/>
      <c r="Q65" s="676"/>
      <c r="R65" s="676"/>
      <c r="S65" s="676"/>
      <c r="T65" s="676"/>
      <c r="U65" s="677"/>
      <c r="V65" s="677"/>
      <c r="W65" s="676"/>
      <c r="X65" s="676"/>
      <c r="Y65" s="676"/>
      <c r="Z65" s="678"/>
      <c r="AA65" s="678"/>
      <c r="AB65" s="678"/>
      <c r="AC65" s="678"/>
    </row>
    <row r="66" spans="1:29" ht="15.75" customHeight="1" x14ac:dyDescent="0.2">
      <c r="A66" s="3"/>
      <c r="B66" s="3"/>
      <c r="C66" s="342"/>
      <c r="D66" s="406"/>
      <c r="E66" s="406"/>
      <c r="F66" s="72"/>
      <c r="G66" s="72"/>
      <c r="H66" s="72"/>
      <c r="I66" s="72"/>
      <c r="J66" s="72"/>
      <c r="K66" s="12" t="s">
        <v>4797</v>
      </c>
      <c r="L66" s="140"/>
      <c r="M66" s="72"/>
      <c r="N66" s="12"/>
      <c r="O66" s="12"/>
      <c r="P66" s="12"/>
      <c r="Q66" s="12"/>
      <c r="R66" s="12"/>
      <c r="S66" s="12"/>
      <c r="T66" s="12"/>
      <c r="U66" s="26"/>
      <c r="V66" s="26"/>
      <c r="W66" s="12"/>
      <c r="X66" s="12"/>
      <c r="Y66" s="12"/>
      <c r="Z66" s="25"/>
      <c r="AA66" s="25"/>
      <c r="AB66" s="25"/>
      <c r="AC66" s="25"/>
    </row>
    <row r="67" spans="1:29" ht="15.75" customHeight="1" x14ac:dyDescent="0.2">
      <c r="A67" s="3"/>
      <c r="B67" s="3"/>
      <c r="C67" s="342"/>
      <c r="D67" s="406"/>
      <c r="E67" s="406"/>
      <c r="F67" s="72"/>
      <c r="G67" s="72"/>
      <c r="H67" s="72"/>
      <c r="I67" s="72"/>
      <c r="J67" s="72"/>
      <c r="K67" s="12" t="s">
        <v>4798</v>
      </c>
      <c r="L67" s="140"/>
      <c r="M67" s="72"/>
      <c r="N67" s="12"/>
      <c r="O67" s="12"/>
      <c r="P67" s="12"/>
      <c r="Q67" s="12"/>
      <c r="R67" s="12"/>
      <c r="S67" s="12"/>
      <c r="T67" s="12"/>
      <c r="U67" s="26"/>
      <c r="V67" s="26"/>
      <c r="W67" s="12"/>
      <c r="X67" s="12"/>
      <c r="Y67" s="12"/>
      <c r="Z67" s="25"/>
      <c r="AA67" s="25"/>
      <c r="AB67" s="25"/>
      <c r="AC67" s="25"/>
    </row>
    <row r="68" spans="1:29" ht="15.75" customHeight="1" x14ac:dyDescent="0.25">
      <c r="A68" s="342"/>
      <c r="B68" s="342"/>
      <c r="C68" s="342"/>
      <c r="D68" s="406"/>
      <c r="E68" s="406"/>
      <c r="F68" s="72"/>
      <c r="G68" s="72"/>
      <c r="H68" s="72"/>
      <c r="I68" s="72"/>
      <c r="J68" s="72"/>
      <c r="K68" s="12"/>
      <c r="L68" s="140"/>
      <c r="M68" s="72"/>
      <c r="N68" s="12"/>
      <c r="O68" s="12"/>
      <c r="P68" s="12"/>
      <c r="Q68" s="12"/>
      <c r="R68" s="12"/>
      <c r="S68" s="12"/>
      <c r="T68" s="12"/>
      <c r="U68" s="26"/>
      <c r="V68" s="26"/>
      <c r="W68" s="12"/>
      <c r="X68" s="12"/>
      <c r="Y68" s="12"/>
      <c r="Z68" s="25"/>
      <c r="AA68" s="25"/>
      <c r="AB68" s="25"/>
      <c r="AC68" s="25"/>
    </row>
    <row r="69" spans="1:29" ht="15.75" customHeight="1" x14ac:dyDescent="0.25">
      <c r="A69" s="342"/>
      <c r="B69" s="342"/>
      <c r="C69" s="342"/>
      <c r="D69" s="406"/>
      <c r="E69" s="406"/>
      <c r="F69" s="72"/>
      <c r="G69" s="72"/>
      <c r="H69" s="72"/>
      <c r="I69" s="72"/>
      <c r="J69" s="72"/>
      <c r="K69" s="12"/>
      <c r="L69" s="140"/>
      <c r="M69" s="72"/>
      <c r="N69" s="12"/>
      <c r="O69" s="12"/>
      <c r="P69" s="12"/>
      <c r="Q69" s="12"/>
      <c r="R69" s="12"/>
      <c r="S69" s="12"/>
      <c r="T69" s="12"/>
      <c r="U69" s="26"/>
      <c r="V69" s="26"/>
      <c r="W69" s="12"/>
      <c r="X69" s="12"/>
      <c r="Y69" s="12"/>
      <c r="Z69" s="25"/>
      <c r="AA69" s="25"/>
      <c r="AB69" s="25"/>
      <c r="AC69" s="25"/>
    </row>
    <row r="70" spans="1:29" ht="15.75" customHeight="1" x14ac:dyDescent="0.25">
      <c r="A70" s="342"/>
      <c r="B70" s="342"/>
      <c r="C70" s="342"/>
      <c r="D70" s="406"/>
      <c r="E70" s="406"/>
      <c r="F70" s="72"/>
      <c r="G70" s="72"/>
      <c r="H70" s="72"/>
      <c r="I70" s="72"/>
      <c r="J70" s="72"/>
      <c r="K70" s="12"/>
      <c r="L70" s="140"/>
      <c r="M70" s="72"/>
      <c r="N70" s="12"/>
      <c r="O70" s="12"/>
      <c r="P70" s="12"/>
      <c r="Q70" s="12"/>
      <c r="R70" s="12"/>
      <c r="S70" s="12"/>
      <c r="T70" s="12"/>
      <c r="U70" s="26"/>
      <c r="V70" s="26"/>
      <c r="W70" s="12"/>
      <c r="X70" s="12"/>
      <c r="Y70" s="12"/>
      <c r="Z70" s="25"/>
      <c r="AA70" s="25"/>
      <c r="AB70" s="25"/>
      <c r="AC70" s="25"/>
    </row>
    <row r="71" spans="1:29" ht="15.75" customHeight="1" x14ac:dyDescent="0.25">
      <c r="A71" s="342"/>
      <c r="B71" s="342"/>
      <c r="C71" s="342"/>
      <c r="D71" s="406"/>
      <c r="E71" s="406"/>
      <c r="F71" s="72"/>
      <c r="G71" s="72"/>
      <c r="H71" s="72"/>
      <c r="I71" s="72"/>
      <c r="J71" s="72"/>
      <c r="K71" s="204"/>
      <c r="L71" s="466"/>
      <c r="M71" s="72"/>
      <c r="N71" s="12"/>
      <c r="O71" s="12"/>
      <c r="P71" s="12"/>
      <c r="Q71" s="12"/>
      <c r="R71" s="12"/>
      <c r="S71" s="12"/>
      <c r="T71" s="12"/>
      <c r="U71" s="26"/>
      <c r="V71" s="26"/>
      <c r="W71" s="12"/>
      <c r="X71" s="12"/>
      <c r="Y71" s="12"/>
      <c r="Z71" s="25"/>
      <c r="AA71" s="25"/>
      <c r="AB71" s="25"/>
      <c r="AC71" s="25"/>
    </row>
    <row r="72" spans="1:29" ht="15.75" x14ac:dyDescent="0.25">
      <c r="A72" s="89"/>
      <c r="B72" s="89"/>
      <c r="C72" s="89"/>
      <c r="D72" s="915"/>
      <c r="E72" s="915"/>
      <c r="F72" s="959" t="s">
        <v>91</v>
      </c>
      <c r="G72" s="1286" t="s">
        <v>4799</v>
      </c>
      <c r="H72" s="1286"/>
      <c r="I72" s="1286"/>
      <c r="J72" s="1286"/>
      <c r="K72" s="1286"/>
      <c r="L72" s="1287"/>
      <c r="M72" s="1286"/>
      <c r="N72" s="1286"/>
      <c r="O72" s="1286"/>
      <c r="P72" s="1286"/>
      <c r="Q72" s="1286"/>
      <c r="R72" s="1286"/>
      <c r="S72" s="1286"/>
      <c r="T72" s="1286"/>
      <c r="U72" s="1288"/>
      <c r="V72" s="1286"/>
      <c r="W72" s="1286"/>
      <c r="X72" s="1286"/>
      <c r="Y72" s="1289"/>
      <c r="Z72" s="25"/>
      <c r="AA72" s="25"/>
      <c r="AB72" s="25"/>
      <c r="AC72" s="25"/>
    </row>
    <row r="73" spans="1:29" x14ac:dyDescent="0.25">
      <c r="A73" s="342"/>
      <c r="B73" s="342"/>
      <c r="C73" s="342"/>
      <c r="D73" s="406"/>
      <c r="E73" s="406"/>
      <c r="F73" s="72"/>
      <c r="G73" s="72"/>
      <c r="H73" s="72"/>
      <c r="I73" s="72"/>
      <c r="J73" s="72"/>
      <c r="K73" s="12"/>
      <c r="L73" s="140"/>
      <c r="M73" s="72"/>
      <c r="N73" s="12"/>
      <c r="O73" s="12"/>
      <c r="P73" s="12"/>
      <c r="Q73" s="12"/>
      <c r="R73" s="12"/>
      <c r="S73" s="12"/>
      <c r="T73" s="12"/>
      <c r="U73" s="26"/>
      <c r="V73" s="26"/>
      <c r="W73" s="12"/>
      <c r="X73" s="12"/>
      <c r="Y73" s="12"/>
      <c r="Z73" s="25"/>
      <c r="AA73" s="25"/>
      <c r="AB73" s="25"/>
      <c r="AC73" s="25"/>
    </row>
    <row r="74" spans="1:29" ht="15.75" customHeight="1" x14ac:dyDescent="0.25">
      <c r="A74" s="7"/>
      <c r="B74" s="7"/>
      <c r="C74" s="7"/>
      <c r="D74" s="434"/>
      <c r="E74" s="437" t="s">
        <v>91</v>
      </c>
      <c r="F74" s="1290" t="s">
        <v>4800</v>
      </c>
      <c r="G74" s="1291"/>
      <c r="H74" s="1291"/>
      <c r="I74" s="1291"/>
      <c r="J74" s="1291"/>
      <c r="K74" s="1291"/>
      <c r="L74" s="1292"/>
      <c r="M74" s="1291"/>
      <c r="N74" s="1291"/>
      <c r="O74" s="1291"/>
      <c r="P74" s="1291"/>
      <c r="Q74" s="1291"/>
      <c r="R74" s="1291"/>
      <c r="S74" s="1291"/>
      <c r="T74" s="1291"/>
      <c r="U74" s="1291"/>
      <c r="V74" s="1291"/>
      <c r="W74" s="1291"/>
      <c r="X74" s="1291"/>
      <c r="Y74" s="1293"/>
      <c r="Z74" s="25"/>
      <c r="AA74" s="25"/>
      <c r="AB74" s="25"/>
      <c r="AC74" s="25"/>
    </row>
    <row r="75" spans="1:29" ht="15.75" x14ac:dyDescent="0.25">
      <c r="A75" s="89"/>
      <c r="B75" s="89"/>
      <c r="C75" s="89"/>
      <c r="D75" s="915"/>
      <c r="E75" s="915"/>
      <c r="F75" s="959" t="s">
        <v>91</v>
      </c>
      <c r="G75" s="1286" t="s">
        <v>4801</v>
      </c>
      <c r="H75" s="1286"/>
      <c r="I75" s="1286"/>
      <c r="J75" s="1286"/>
      <c r="K75" s="1286"/>
      <c r="L75" s="1287"/>
      <c r="M75" s="1286"/>
      <c r="N75" s="1286"/>
      <c r="O75" s="1286"/>
      <c r="P75" s="1286"/>
      <c r="Q75" s="1286"/>
      <c r="R75" s="1286"/>
      <c r="S75" s="1286"/>
      <c r="T75" s="1286"/>
      <c r="U75" s="1288"/>
      <c r="V75" s="1286"/>
      <c r="W75" s="1286"/>
      <c r="X75" s="1286"/>
      <c r="Y75" s="1286"/>
      <c r="Z75" s="25"/>
      <c r="AA75" s="25"/>
      <c r="AB75" s="25"/>
      <c r="AC75" s="25"/>
    </row>
    <row r="76" spans="1:29" s="663" customFormat="1" ht="15.75" customHeight="1" x14ac:dyDescent="0.2">
      <c r="A76" s="666" t="s">
        <v>1106</v>
      </c>
      <c r="B76" s="666" t="s">
        <v>32</v>
      </c>
      <c r="C76" s="667"/>
      <c r="D76" s="668"/>
      <c r="E76" s="668"/>
      <c r="F76" s="669"/>
      <c r="G76" s="669"/>
      <c r="H76" s="669"/>
      <c r="I76" s="669"/>
      <c r="J76" s="669"/>
      <c r="K76" s="670" t="s">
        <v>4802</v>
      </c>
      <c r="L76" s="671"/>
      <c r="M76" s="670" t="s">
        <v>4803</v>
      </c>
      <c r="N76" s="670"/>
      <c r="O76" s="670"/>
      <c r="P76" s="670"/>
      <c r="Q76" s="670"/>
      <c r="R76" s="670"/>
      <c r="S76" s="670"/>
      <c r="T76" s="670"/>
      <c r="U76" s="672"/>
      <c r="V76" s="672"/>
      <c r="W76" s="670"/>
      <c r="X76" s="670"/>
      <c r="Y76" s="670"/>
      <c r="Z76" s="673"/>
      <c r="AA76" s="673"/>
      <c r="AB76" s="673"/>
      <c r="AC76" s="673"/>
    </row>
    <row r="77" spans="1:29" s="663" customFormat="1" ht="15.75" customHeight="1" x14ac:dyDescent="0.2">
      <c r="A77" s="666" t="s">
        <v>1106</v>
      </c>
      <c r="B77" s="666" t="s">
        <v>32</v>
      </c>
      <c r="C77" s="667"/>
      <c r="D77" s="668"/>
      <c r="E77" s="668"/>
      <c r="F77" s="669"/>
      <c r="G77" s="669"/>
      <c r="H77" s="669"/>
      <c r="I77" s="669"/>
      <c r="J77" s="669"/>
      <c r="K77" s="679" t="s">
        <v>4804</v>
      </c>
      <c r="L77" s="680"/>
      <c r="M77" s="669"/>
      <c r="N77" s="670"/>
      <c r="O77" s="670"/>
      <c r="P77" s="670"/>
      <c r="Q77" s="670"/>
      <c r="R77" s="670"/>
      <c r="S77" s="670"/>
      <c r="T77" s="670"/>
      <c r="U77" s="672"/>
      <c r="V77" s="672"/>
      <c r="W77" s="670"/>
      <c r="X77" s="670"/>
      <c r="Y77" s="670"/>
      <c r="Z77" s="673"/>
      <c r="AA77" s="673"/>
      <c r="AB77" s="673"/>
      <c r="AC77" s="673"/>
    </row>
    <row r="78" spans="1:29" s="663" customFormat="1" ht="15.75" customHeight="1" x14ac:dyDescent="0.2">
      <c r="A78" s="666" t="s">
        <v>1106</v>
      </c>
      <c r="B78" s="666" t="s">
        <v>32</v>
      </c>
      <c r="C78" s="667"/>
      <c r="D78" s="668"/>
      <c r="E78" s="668"/>
      <c r="F78" s="669"/>
      <c r="G78" s="669"/>
      <c r="H78" s="669"/>
      <c r="I78" s="669"/>
      <c r="J78" s="669"/>
      <c r="K78" s="670" t="s">
        <v>4805</v>
      </c>
      <c r="L78" s="671"/>
      <c r="M78" s="670" t="s">
        <v>969</v>
      </c>
      <c r="N78" s="670"/>
      <c r="O78" s="670"/>
      <c r="P78" s="670"/>
      <c r="Q78" s="670"/>
      <c r="R78" s="670"/>
      <c r="S78" s="670"/>
      <c r="T78" s="670"/>
      <c r="U78" s="672"/>
      <c r="V78" s="672"/>
      <c r="W78" s="670"/>
      <c r="X78" s="670"/>
      <c r="Y78" s="670"/>
      <c r="Z78" s="673"/>
      <c r="AA78" s="673"/>
      <c r="AB78" s="673"/>
      <c r="AC78" s="673"/>
    </row>
    <row r="79" spans="1:29" s="663" customFormat="1" ht="15.75" customHeight="1" x14ac:dyDescent="0.2">
      <c r="A79" s="666" t="s">
        <v>1106</v>
      </c>
      <c r="B79" s="666" t="s">
        <v>32</v>
      </c>
      <c r="C79" s="667"/>
      <c r="D79" s="668"/>
      <c r="E79" s="668"/>
      <c r="F79" s="669"/>
      <c r="G79" s="669"/>
      <c r="H79" s="669"/>
      <c r="I79" s="669"/>
      <c r="J79" s="669"/>
      <c r="K79" s="670" t="s">
        <v>4805</v>
      </c>
      <c r="L79" s="671"/>
      <c r="M79" s="670" t="s">
        <v>523</v>
      </c>
      <c r="N79" s="670"/>
      <c r="O79" s="670"/>
      <c r="P79" s="670"/>
      <c r="Q79" s="670"/>
      <c r="R79" s="670"/>
      <c r="S79" s="670"/>
      <c r="T79" s="670"/>
      <c r="U79" s="672"/>
      <c r="V79" s="672"/>
      <c r="W79" s="670"/>
      <c r="X79" s="670"/>
      <c r="Y79" s="670"/>
      <c r="Z79" s="673"/>
      <c r="AA79" s="673"/>
      <c r="AB79" s="673"/>
      <c r="AC79" s="673"/>
    </row>
    <row r="80" spans="1:29" s="663" customFormat="1" ht="15.75" customHeight="1" x14ac:dyDescent="0.2">
      <c r="A80" s="666" t="s">
        <v>1106</v>
      </c>
      <c r="B80" s="666" t="s">
        <v>32</v>
      </c>
      <c r="C80" s="667"/>
      <c r="D80" s="668"/>
      <c r="E80" s="668"/>
      <c r="F80" s="669"/>
      <c r="G80" s="669"/>
      <c r="H80" s="669"/>
      <c r="I80" s="669"/>
      <c r="J80" s="669"/>
      <c r="K80" s="670" t="s">
        <v>4805</v>
      </c>
      <c r="L80" s="671"/>
      <c r="M80" s="670" t="s">
        <v>4806</v>
      </c>
      <c r="N80" s="670"/>
      <c r="O80" s="670"/>
      <c r="P80" s="670"/>
      <c r="Q80" s="670"/>
      <c r="R80" s="670"/>
      <c r="S80" s="670"/>
      <c r="T80" s="670"/>
      <c r="U80" s="672"/>
      <c r="V80" s="672"/>
      <c r="W80" s="670"/>
      <c r="X80" s="670"/>
      <c r="Y80" s="670"/>
      <c r="Z80" s="673"/>
      <c r="AA80" s="673"/>
      <c r="AB80" s="673"/>
      <c r="AC80" s="673"/>
    </row>
    <row r="81" spans="1:29" ht="15.75" customHeight="1" x14ac:dyDescent="0.2">
      <c r="A81" s="3"/>
      <c r="B81" s="3"/>
      <c r="C81" s="342"/>
      <c r="D81" s="406"/>
      <c r="E81" s="406"/>
      <c r="F81" s="72"/>
      <c r="G81" s="72"/>
      <c r="H81" s="72"/>
      <c r="I81" s="72"/>
      <c r="J81" s="72"/>
      <c r="K81" s="12"/>
      <c r="L81" s="140"/>
      <c r="M81" s="72"/>
      <c r="N81" s="12"/>
      <c r="O81" s="12"/>
      <c r="P81" s="12"/>
      <c r="Q81" s="12"/>
      <c r="R81" s="12"/>
      <c r="S81" s="12"/>
      <c r="T81" s="12"/>
      <c r="U81" s="26"/>
      <c r="V81" s="26"/>
      <c r="W81" s="12"/>
      <c r="X81" s="12"/>
      <c r="Y81" s="12"/>
      <c r="Z81" s="25"/>
      <c r="AA81" s="25"/>
      <c r="AB81" s="25"/>
      <c r="AC81" s="25"/>
    </row>
    <row r="82" spans="1:29" ht="15.75" customHeight="1" x14ac:dyDescent="0.2">
      <c r="A82" s="3"/>
      <c r="B82" s="3"/>
      <c r="C82" s="342"/>
      <c r="D82" s="406"/>
      <c r="E82" s="406"/>
      <c r="F82" s="72"/>
      <c r="G82" s="72"/>
      <c r="H82" s="72"/>
      <c r="I82" s="72"/>
      <c r="J82" s="72"/>
      <c r="K82" s="12"/>
      <c r="L82" s="140"/>
      <c r="M82" s="72"/>
      <c r="N82" s="12"/>
      <c r="O82" s="12"/>
      <c r="P82" s="12"/>
      <c r="Q82" s="12"/>
      <c r="R82" s="12"/>
      <c r="S82" s="12"/>
      <c r="T82" s="12"/>
      <c r="U82" s="26"/>
      <c r="V82" s="26"/>
      <c r="W82" s="12"/>
      <c r="X82" s="12"/>
      <c r="Y82" s="12"/>
      <c r="Z82" s="25"/>
      <c r="AA82" s="25"/>
      <c r="AB82" s="25"/>
      <c r="AC82" s="25"/>
    </row>
    <row r="83" spans="1:29" ht="15.75" customHeight="1" x14ac:dyDescent="0.2">
      <c r="A83" s="3"/>
      <c r="B83" s="3"/>
      <c r="C83" s="342"/>
      <c r="D83" s="406"/>
      <c r="E83" s="406"/>
      <c r="F83" s="72"/>
      <c r="G83" s="72"/>
      <c r="H83" s="72"/>
      <c r="I83" s="72"/>
      <c r="J83" s="72"/>
      <c r="K83" s="204"/>
      <c r="L83" s="466"/>
      <c r="M83" s="72"/>
      <c r="N83" s="12"/>
      <c r="O83" s="12"/>
      <c r="P83" s="12"/>
      <c r="Q83" s="12"/>
      <c r="R83" s="12"/>
      <c r="S83" s="12"/>
      <c r="T83" s="12"/>
      <c r="U83" s="26"/>
      <c r="V83" s="26"/>
      <c r="W83" s="12"/>
      <c r="X83" s="12"/>
      <c r="Y83" s="12"/>
      <c r="Z83" s="25"/>
      <c r="AA83" s="25"/>
      <c r="AB83" s="25"/>
      <c r="AC83" s="25"/>
    </row>
    <row r="84" spans="1:29" ht="15.75" x14ac:dyDescent="0.2">
      <c r="A84" s="3"/>
      <c r="B84" s="3"/>
      <c r="C84" s="89"/>
      <c r="D84" s="915"/>
      <c r="E84" s="915"/>
      <c r="F84" s="959" t="s">
        <v>91</v>
      </c>
      <c r="G84" s="1286" t="s">
        <v>4807</v>
      </c>
      <c r="H84" s="1286"/>
      <c r="I84" s="1286"/>
      <c r="J84" s="1286"/>
      <c r="K84" s="1286"/>
      <c r="L84" s="1287"/>
      <c r="M84" s="1286"/>
      <c r="N84" s="1286"/>
      <c r="O84" s="1286"/>
      <c r="P84" s="1286"/>
      <c r="Q84" s="1286"/>
      <c r="R84" s="1286"/>
      <c r="S84" s="1286"/>
      <c r="T84" s="1286"/>
      <c r="U84" s="1288"/>
      <c r="V84" s="1286"/>
      <c r="W84" s="1286"/>
      <c r="X84" s="1286"/>
      <c r="Y84" s="1289"/>
      <c r="Z84" s="25"/>
      <c r="AA84" s="25"/>
      <c r="AB84" s="25"/>
      <c r="AC84" s="25"/>
    </row>
    <row r="85" spans="1:29" x14ac:dyDescent="0.2">
      <c r="A85" s="3"/>
      <c r="B85" s="3"/>
      <c r="C85" s="342"/>
      <c r="D85" s="406"/>
      <c r="E85" s="406"/>
      <c r="F85" s="406"/>
      <c r="G85" s="406"/>
      <c r="H85" s="406"/>
      <c r="I85" s="406"/>
      <c r="J85" s="406"/>
      <c r="K85" s="218"/>
      <c r="L85" s="468"/>
      <c r="M85" s="406"/>
      <c r="N85" s="218"/>
      <c r="O85" s="218"/>
      <c r="P85" s="218"/>
      <c r="Q85" s="218"/>
      <c r="R85" s="218"/>
      <c r="S85" s="218"/>
      <c r="T85" s="218"/>
      <c r="U85" s="441"/>
      <c r="V85" s="441"/>
      <c r="W85" s="218"/>
      <c r="X85" s="218"/>
      <c r="Y85" s="218"/>
      <c r="Z85" s="25"/>
      <c r="AA85" s="25"/>
      <c r="AB85" s="25"/>
      <c r="AC85" s="25"/>
    </row>
    <row r="86" spans="1:29" x14ac:dyDescent="0.2">
      <c r="A86" s="3"/>
      <c r="B86" s="3"/>
      <c r="D86" s="68"/>
      <c r="E86" s="68"/>
      <c r="F86" s="68"/>
      <c r="G86" s="68"/>
      <c r="H86" s="68"/>
      <c r="M86" s="25"/>
      <c r="N86" s="25"/>
      <c r="O86" s="25"/>
      <c r="P86" s="25"/>
      <c r="Q86" s="25"/>
      <c r="R86" s="25"/>
      <c r="S86" s="25"/>
      <c r="T86" s="25"/>
      <c r="U86" s="25"/>
      <c r="V86" s="25"/>
      <c r="W86" s="25"/>
      <c r="X86" s="25"/>
      <c r="Y86" s="25"/>
      <c r="Z86" s="25"/>
      <c r="AA86" s="25"/>
      <c r="AB86" s="25"/>
      <c r="AC86" s="25"/>
    </row>
    <row r="87" spans="1:29" x14ac:dyDescent="0.2">
      <c r="A87" s="3"/>
      <c r="B87" s="3"/>
      <c r="D87" s="68"/>
      <c r="E87" s="68"/>
      <c r="F87" s="68"/>
      <c r="G87" s="68"/>
      <c r="H87" s="68"/>
      <c r="J87" s="951"/>
      <c r="K87" s="31" t="s">
        <v>2547</v>
      </c>
      <c r="Q87" s="25"/>
      <c r="R87" s="25"/>
      <c r="S87" s="25"/>
      <c r="T87" s="25"/>
      <c r="U87" s="25"/>
      <c r="V87" s="25"/>
      <c r="W87" s="25"/>
      <c r="X87" s="25"/>
      <c r="Y87" s="25"/>
      <c r="Z87" s="25"/>
      <c r="AA87" s="25"/>
      <c r="AB87" s="25"/>
      <c r="AC87" s="25"/>
    </row>
    <row r="88" spans="1:29" x14ac:dyDescent="0.2">
      <c r="A88" s="3"/>
      <c r="B88" s="3"/>
      <c r="D88" s="68"/>
      <c r="E88" s="68"/>
      <c r="F88" s="68"/>
      <c r="G88" s="68"/>
      <c r="H88" s="68"/>
      <c r="J88" s="480"/>
      <c r="K88" s="487" t="s">
        <v>2548</v>
      </c>
      <c r="Q88" s="25"/>
      <c r="R88" s="25"/>
      <c r="S88" s="25"/>
      <c r="T88" s="25"/>
      <c r="U88" s="25"/>
      <c r="V88" s="25"/>
      <c r="W88" s="25"/>
      <c r="X88" s="25"/>
      <c r="Y88" s="25"/>
      <c r="Z88" s="25"/>
      <c r="AA88" s="25"/>
      <c r="AB88" s="25"/>
      <c r="AC88" s="25"/>
    </row>
    <row r="89" spans="1:29" x14ac:dyDescent="0.2">
      <c r="A89" s="3"/>
      <c r="B89" s="3"/>
      <c r="D89" s="68"/>
      <c r="E89" s="68"/>
      <c r="F89" s="68"/>
      <c r="G89" s="68"/>
      <c r="H89" s="68"/>
      <c r="J89" s="481"/>
      <c r="K89" s="31" t="s">
        <v>2</v>
      </c>
      <c r="Q89" s="25"/>
      <c r="R89" s="25"/>
      <c r="S89" s="25"/>
      <c r="T89" s="25"/>
      <c r="U89" s="25"/>
      <c r="V89" s="25"/>
      <c r="W89" s="25"/>
      <c r="X89" s="25"/>
      <c r="Y89" s="25"/>
      <c r="Z89" s="25"/>
      <c r="AA89" s="25"/>
      <c r="AB89" s="25"/>
      <c r="AC89" s="25"/>
    </row>
    <row r="90" spans="1:29" x14ac:dyDescent="0.2">
      <c r="A90" s="3"/>
      <c r="B90" s="3"/>
      <c r="D90" s="68"/>
      <c r="E90" s="68"/>
      <c r="F90" s="68"/>
      <c r="G90" s="68"/>
      <c r="H90" s="68"/>
      <c r="J90" s="482"/>
      <c r="K90" s="31" t="s">
        <v>3</v>
      </c>
      <c r="Q90" s="25"/>
      <c r="R90" s="25"/>
      <c r="S90" s="25"/>
      <c r="T90" s="25"/>
      <c r="U90" s="25"/>
      <c r="V90" s="25"/>
      <c r="W90" s="25"/>
      <c r="X90" s="25"/>
      <c r="Y90" s="25"/>
      <c r="Z90" s="25"/>
      <c r="AA90" s="25"/>
      <c r="AB90" s="25"/>
      <c r="AC90" s="25"/>
    </row>
    <row r="91" spans="1:29" x14ac:dyDescent="0.2">
      <c r="A91" s="3"/>
      <c r="B91" s="3"/>
      <c r="D91" s="68"/>
      <c r="E91" s="68"/>
      <c r="F91" s="68"/>
      <c r="G91" s="68"/>
      <c r="H91" s="68"/>
      <c r="I91" s="68"/>
      <c r="J91" s="483"/>
      <c r="K91" s="31" t="s">
        <v>4</v>
      </c>
      <c r="Q91" s="25"/>
      <c r="R91" s="25"/>
      <c r="S91" s="25"/>
      <c r="T91" s="25"/>
      <c r="U91" s="25"/>
      <c r="V91" s="25"/>
      <c r="W91" s="25"/>
      <c r="X91" s="25"/>
      <c r="Y91" s="25"/>
      <c r="Z91" s="25"/>
      <c r="AA91" s="25"/>
      <c r="AB91" s="25"/>
      <c r="AC91" s="25"/>
    </row>
    <row r="92" spans="1:29" x14ac:dyDescent="0.2">
      <c r="A92" s="3"/>
      <c r="B92" s="3"/>
      <c r="D92" s="68"/>
      <c r="E92" s="68"/>
      <c r="F92" s="68"/>
      <c r="G92" s="68"/>
      <c r="H92" s="68"/>
      <c r="I92" s="68"/>
      <c r="J92" s="68"/>
      <c r="K92" s="25"/>
      <c r="L92" s="470"/>
      <c r="M92" s="68"/>
      <c r="N92" s="25"/>
      <c r="O92" s="25"/>
      <c r="P92" s="25"/>
      <c r="Q92" s="25"/>
      <c r="R92" s="25"/>
      <c r="S92" s="25"/>
      <c r="T92" s="25"/>
      <c r="U92" s="25"/>
      <c r="V92" s="25"/>
      <c r="W92" s="25"/>
      <c r="X92" s="25"/>
      <c r="Y92" s="25"/>
      <c r="Z92" s="25"/>
      <c r="AA92" s="25"/>
      <c r="AB92" s="25"/>
      <c r="AC92" s="25"/>
    </row>
    <row r="93" spans="1:29" x14ac:dyDescent="0.2">
      <c r="A93" s="3"/>
      <c r="B93" s="3"/>
      <c r="C93" s="915" t="s">
        <v>7</v>
      </c>
      <c r="D93" s="768"/>
      <c r="E93" s="1121" t="s">
        <v>8</v>
      </c>
      <c r="F93" s="1122"/>
      <c r="G93" s="1122"/>
      <c r="H93" s="1122"/>
      <c r="I93" s="1122"/>
      <c r="J93" s="1123"/>
      <c r="K93" s="25"/>
      <c r="L93" s="470"/>
      <c r="M93" s="25"/>
      <c r="N93" s="25"/>
      <c r="O93" s="488"/>
      <c r="P93" s="25"/>
      <c r="Q93" s="25" t="s">
        <v>4808</v>
      </c>
      <c r="R93" s="25" t="s">
        <v>4809</v>
      </c>
      <c r="S93" s="25"/>
      <c r="T93" s="25"/>
      <c r="U93" s="25"/>
      <c r="V93" s="25"/>
      <c r="W93" s="25"/>
      <c r="X93" s="25"/>
      <c r="Y93" s="25"/>
      <c r="Z93" s="25"/>
      <c r="AA93" s="25"/>
      <c r="AB93" s="25"/>
      <c r="AC93" s="25"/>
    </row>
    <row r="94" spans="1:29" ht="36.75" customHeight="1" x14ac:dyDescent="0.2">
      <c r="A94" s="3"/>
      <c r="B94" s="3"/>
      <c r="C94" s="7"/>
      <c r="D94" s="238"/>
      <c r="E94" s="238" t="s">
        <v>9</v>
      </c>
      <c r="F94" s="238" t="s">
        <v>10</v>
      </c>
      <c r="G94" s="238" t="s">
        <v>11</v>
      </c>
      <c r="H94" s="238" t="s">
        <v>12</v>
      </c>
      <c r="I94" s="238" t="s">
        <v>13</v>
      </c>
      <c r="J94" s="238" t="s">
        <v>14</v>
      </c>
      <c r="K94" s="826" t="s">
        <v>15</v>
      </c>
      <c r="L94" s="738" t="s">
        <v>4810</v>
      </c>
      <c r="M94" s="891" t="s">
        <v>17</v>
      </c>
      <c r="N94" s="828" t="s">
        <v>18</v>
      </c>
      <c r="O94" s="919" t="s">
        <v>19</v>
      </c>
      <c r="P94" s="37" t="s">
        <v>20</v>
      </c>
      <c r="Q94" s="829" t="s">
        <v>21</v>
      </c>
      <c r="R94" s="829" t="s">
        <v>22</v>
      </c>
      <c r="S94" s="829" t="s">
        <v>23</v>
      </c>
      <c r="T94" s="828" t="s">
        <v>24</v>
      </c>
      <c r="U94" s="828" t="s">
        <v>25</v>
      </c>
      <c r="V94" s="38" t="s">
        <v>26</v>
      </c>
      <c r="W94" s="39" t="s">
        <v>27</v>
      </c>
      <c r="X94" s="38" t="s">
        <v>28</v>
      </c>
      <c r="Y94" s="38" t="s">
        <v>29</v>
      </c>
      <c r="Z94" s="68"/>
      <c r="AA94" s="68"/>
      <c r="AB94" s="68"/>
      <c r="AC94" s="68"/>
    </row>
    <row r="95" spans="1:29" x14ac:dyDescent="0.2">
      <c r="A95" s="3"/>
      <c r="B95" s="3"/>
      <c r="C95" s="218"/>
      <c r="D95" s="960"/>
      <c r="E95" s="960"/>
      <c r="F95" s="1294" t="s">
        <v>4811</v>
      </c>
      <c r="G95" s="1295"/>
      <c r="H95" s="1295"/>
      <c r="I95" s="1295"/>
      <c r="J95" s="1295"/>
      <c r="K95" s="1295"/>
      <c r="L95" s="1296"/>
      <c r="M95" s="1295"/>
      <c r="N95" s="1295"/>
      <c r="O95" s="1295"/>
      <c r="P95" s="1295"/>
      <c r="Q95" s="1295"/>
      <c r="R95" s="1295"/>
      <c r="S95" s="1295"/>
      <c r="T95" s="1295"/>
      <c r="U95" s="1295"/>
      <c r="V95" s="1295"/>
      <c r="W95" s="1295"/>
      <c r="X95" s="1295"/>
      <c r="Y95" s="1297"/>
      <c r="Z95" s="68"/>
      <c r="AA95" s="68"/>
      <c r="AB95" s="68"/>
      <c r="AC95" s="68"/>
    </row>
    <row r="96" spans="1:29" ht="30" x14ac:dyDescent="0.2">
      <c r="A96" s="3"/>
      <c r="B96" s="3"/>
      <c r="C96" s="218"/>
      <c r="D96" s="182"/>
      <c r="E96" s="182"/>
      <c r="F96" s="182"/>
      <c r="G96" s="182"/>
      <c r="H96" s="182"/>
      <c r="I96" s="182"/>
      <c r="J96" s="182"/>
      <c r="K96" s="305" t="s">
        <v>4706</v>
      </c>
      <c r="L96" s="305" t="s">
        <v>4812</v>
      </c>
      <c r="M96" s="72" t="s">
        <v>4701</v>
      </c>
      <c r="N96" s="12"/>
      <c r="O96" s="303"/>
      <c r="P96" s="69"/>
      <c r="Q96" s="12"/>
      <c r="R96" s="12"/>
      <c r="S96" s="69"/>
      <c r="T96" s="69" t="s">
        <v>4813</v>
      </c>
      <c r="U96" s="26"/>
      <c r="V96" s="26"/>
      <c r="W96" s="70"/>
      <c r="X96" s="70"/>
      <c r="Y96" s="70"/>
      <c r="Z96" s="68"/>
      <c r="AA96" s="68"/>
      <c r="AB96" s="68"/>
      <c r="AC96" s="68"/>
    </row>
    <row r="97" spans="1:29" ht="45" x14ac:dyDescent="0.2">
      <c r="A97" s="3"/>
      <c r="B97" s="3"/>
      <c r="C97" s="218"/>
      <c r="D97" s="70"/>
      <c r="E97" s="70"/>
      <c r="F97" s="70"/>
      <c r="G97" s="70"/>
      <c r="H97" s="70"/>
      <c r="I97" s="70"/>
      <c r="J97" s="70"/>
      <c r="K97" s="140" t="s">
        <v>4814</v>
      </c>
      <c r="L97" s="140" t="s">
        <v>4815</v>
      </c>
      <c r="M97" s="72" t="s">
        <v>4701</v>
      </c>
      <c r="N97" s="12"/>
      <c r="O97" s="303"/>
      <c r="P97" s="69"/>
      <c r="Q97" s="12"/>
      <c r="R97" s="12"/>
      <c r="S97" s="12" t="s">
        <v>4816</v>
      </c>
      <c r="T97" s="69" t="s">
        <v>4813</v>
      </c>
      <c r="U97" s="26"/>
      <c r="V97" s="26"/>
      <c r="W97" s="70"/>
      <c r="X97" s="70"/>
      <c r="Y97" s="70"/>
      <c r="Z97" s="68"/>
      <c r="AA97" s="68"/>
      <c r="AB97" s="68"/>
      <c r="AC97" s="68"/>
    </row>
    <row r="98" spans="1:29" ht="15.75" customHeight="1" x14ac:dyDescent="0.2">
      <c r="A98" s="3"/>
      <c r="B98" s="3"/>
      <c r="C98" s="25"/>
      <c r="D98" s="25"/>
      <c r="E98" s="25"/>
      <c r="F98" s="25"/>
      <c r="G98" s="25"/>
      <c r="H98" s="25"/>
      <c r="I98" s="25"/>
      <c r="J98" s="25"/>
      <c r="K98" s="25"/>
      <c r="L98" s="470"/>
      <c r="M98" s="25"/>
      <c r="N98" s="25"/>
      <c r="O98" s="25"/>
      <c r="P98" s="25"/>
      <c r="Q98" s="25"/>
      <c r="R98" s="25"/>
      <c r="S98" s="25"/>
      <c r="T98" s="25"/>
      <c r="U98" s="25"/>
      <c r="V98" s="25"/>
      <c r="W98" s="25"/>
      <c r="X98" s="25"/>
      <c r="Y98" s="25"/>
      <c r="Z98" s="25"/>
      <c r="AA98" s="68"/>
      <c r="AB98" s="68"/>
      <c r="AC98" s="68"/>
    </row>
    <row r="99" spans="1:29" ht="45" x14ac:dyDescent="0.2">
      <c r="A99" s="3"/>
      <c r="B99" s="3"/>
      <c r="C99" s="218"/>
      <c r="D99" s="70"/>
      <c r="E99" s="70"/>
      <c r="F99" s="70"/>
      <c r="G99" s="70"/>
      <c r="H99" s="70"/>
      <c r="I99" s="70"/>
      <c r="J99" s="70"/>
      <c r="K99" s="307" t="s">
        <v>4715</v>
      </c>
      <c r="L99" s="307" t="s">
        <v>4817</v>
      </c>
      <c r="M99" s="72" t="s">
        <v>4818</v>
      </c>
      <c r="N99" s="12" t="s">
        <v>4717</v>
      </c>
      <c r="O99" s="303"/>
      <c r="P99" s="69"/>
      <c r="Q99" s="12"/>
      <c r="R99" s="12"/>
      <c r="S99" s="69"/>
      <c r="T99" s="69" t="s">
        <v>4813</v>
      </c>
      <c r="U99" s="26"/>
      <c r="V99" s="26"/>
      <c r="W99" s="70"/>
      <c r="X99" s="70"/>
      <c r="Y99" s="70"/>
      <c r="Z99" s="68"/>
      <c r="AA99" s="68"/>
      <c r="AB99" s="68"/>
      <c r="AC99" s="68"/>
    </row>
    <row r="100" spans="1:29" ht="36.75" customHeight="1" x14ac:dyDescent="0.2">
      <c r="A100" s="3"/>
      <c r="B100" s="3"/>
      <c r="C100" s="489"/>
      <c r="D100" s="489"/>
      <c r="E100" s="489"/>
      <c r="F100" s="489"/>
      <c r="G100" s="489"/>
      <c r="H100" s="489"/>
      <c r="I100" s="489"/>
      <c r="J100" s="489"/>
      <c r="K100" s="489"/>
      <c r="L100" s="490"/>
      <c r="M100" s="489"/>
      <c r="N100" s="489"/>
      <c r="O100" s="489"/>
      <c r="P100" s="489"/>
      <c r="Q100" s="489"/>
      <c r="R100" s="489"/>
      <c r="S100" s="489"/>
      <c r="T100" s="489"/>
      <c r="U100" s="489"/>
      <c r="V100" s="489"/>
      <c r="W100" s="489"/>
      <c r="X100" s="489"/>
      <c r="Y100" s="489"/>
      <c r="Z100" s="489"/>
      <c r="AA100" s="68"/>
      <c r="AB100" s="491"/>
      <c r="AC100" s="491"/>
    </row>
    <row r="101" spans="1:29" ht="41.25" customHeight="1" x14ac:dyDescent="0.2">
      <c r="A101" s="3"/>
      <c r="B101" s="3"/>
      <c r="C101" s="358">
        <v>0</v>
      </c>
      <c r="D101" s="357"/>
      <c r="E101" s="357" t="s">
        <v>4819</v>
      </c>
      <c r="F101" s="138"/>
      <c r="G101" s="138"/>
      <c r="H101" s="138"/>
      <c r="I101" s="138"/>
      <c r="J101" s="138"/>
      <c r="K101" s="138"/>
      <c r="L101" s="471"/>
      <c r="M101" s="53"/>
      <c r="N101" s="54"/>
      <c r="O101" s="55"/>
      <c r="P101" s="56"/>
      <c r="Q101" s="54"/>
      <c r="R101" s="54"/>
      <c r="S101" s="56"/>
      <c r="T101" s="53"/>
      <c r="U101" s="57"/>
      <c r="V101" s="57"/>
      <c r="W101" s="53"/>
      <c r="X101" s="53"/>
      <c r="Y101" s="58"/>
      <c r="Z101" s="68"/>
      <c r="AA101" s="68"/>
      <c r="AB101" s="211"/>
      <c r="AC101" s="211"/>
    </row>
    <row r="102" spans="1:29" ht="38.25" x14ac:dyDescent="0.2">
      <c r="A102" s="3"/>
      <c r="B102" s="3"/>
      <c r="C102" s="492"/>
      <c r="D102" s="359"/>
      <c r="E102" s="359"/>
      <c r="F102" s="360"/>
      <c r="G102" s="360" t="s">
        <v>91</v>
      </c>
      <c r="H102" s="365"/>
      <c r="I102" s="360"/>
      <c r="J102" s="360"/>
      <c r="K102" s="961" t="s">
        <v>4699</v>
      </c>
      <c r="L102" s="873" t="s">
        <v>4700</v>
      </c>
      <c r="M102" s="368" t="s">
        <v>4701</v>
      </c>
      <c r="N102" s="362"/>
      <c r="O102" s="363"/>
      <c r="P102" s="364"/>
      <c r="Q102" s="362"/>
      <c r="R102" s="362"/>
      <c r="S102" s="364"/>
      <c r="T102" s="361"/>
      <c r="U102" s="366"/>
      <c r="V102" s="366"/>
      <c r="W102" s="361"/>
      <c r="X102" s="361"/>
      <c r="Y102" s="367"/>
      <c r="Z102" s="68"/>
      <c r="AA102" s="68"/>
      <c r="AB102" s="211"/>
      <c r="AC102" s="211"/>
    </row>
    <row r="103" spans="1:29" ht="41.25" customHeight="1" x14ac:dyDescent="0.2">
      <c r="A103" s="3"/>
      <c r="B103" s="3"/>
      <c r="C103" s="493"/>
      <c r="D103" s="139"/>
      <c r="E103" s="139">
        <v>1</v>
      </c>
      <c r="F103" s="1291" t="s">
        <v>4820</v>
      </c>
      <c r="G103" s="1291"/>
      <c r="H103" s="1291"/>
      <c r="I103" s="1291"/>
      <c r="J103" s="1291"/>
      <c r="K103" s="1291"/>
      <c r="L103" s="471" t="s">
        <v>4821</v>
      </c>
      <c r="M103" s="53"/>
      <c r="N103" s="54"/>
      <c r="O103" s="55"/>
      <c r="P103" s="56"/>
      <c r="Q103" s="54"/>
      <c r="R103" s="54"/>
      <c r="S103" s="56"/>
      <c r="T103" s="53"/>
      <c r="U103" s="57"/>
      <c r="V103" s="57"/>
      <c r="W103" s="53"/>
      <c r="X103" s="53"/>
      <c r="Y103" s="58"/>
      <c r="Z103" s="68"/>
      <c r="AA103" s="68"/>
      <c r="AB103" s="211"/>
      <c r="AC103" s="211"/>
    </row>
    <row r="104" spans="1:29" ht="16.5" customHeight="1" x14ac:dyDescent="0.2">
      <c r="A104" s="3"/>
      <c r="B104" s="3"/>
      <c r="C104" s="218"/>
      <c r="D104" s="182"/>
      <c r="E104" s="182"/>
      <c r="F104" s="962">
        <v>2</v>
      </c>
      <c r="G104" s="1298" t="s">
        <v>4822</v>
      </c>
      <c r="H104" s="1298"/>
      <c r="I104" s="1298"/>
      <c r="J104" s="1298"/>
      <c r="K104" s="1298"/>
      <c r="L104" s="1299"/>
      <c r="M104" s="1298"/>
      <c r="N104" s="1298"/>
      <c r="O104" s="1300"/>
      <c r="P104" s="1298"/>
      <c r="Q104" s="1298"/>
      <c r="R104" s="1298"/>
      <c r="S104" s="1298"/>
      <c r="T104" s="1298"/>
      <c r="U104" s="1298"/>
      <c r="V104" s="1298"/>
      <c r="W104" s="1298"/>
      <c r="X104" s="1298"/>
      <c r="Y104" s="1301"/>
      <c r="Z104" s="68"/>
      <c r="AA104" s="68"/>
      <c r="AB104" s="211"/>
      <c r="AC104" s="211"/>
    </row>
    <row r="105" spans="1:29" x14ac:dyDescent="0.2">
      <c r="A105" s="3"/>
      <c r="B105" s="3"/>
      <c r="C105" s="218"/>
      <c r="D105" s="70"/>
      <c r="E105" s="70"/>
      <c r="F105" s="70"/>
      <c r="G105" s="963">
        <v>3</v>
      </c>
      <c r="H105" s="1294" t="s">
        <v>4823</v>
      </c>
      <c r="I105" s="1295"/>
      <c r="J105" s="1295"/>
      <c r="K105" s="1295"/>
      <c r="L105" s="1296"/>
      <c r="M105" s="1295"/>
      <c r="N105" s="1302"/>
      <c r="O105" s="964" t="str">
        <f>HYPERLINK("http://wiki.academyofsports.online/tiki-index.php?page=Vorabrecherche-(PV-P%C3%A4d-001)", "PV-Päd-001")</f>
        <v>PV-Päd-001</v>
      </c>
      <c r="P105" s="965"/>
      <c r="Q105" s="750"/>
      <c r="R105" s="750"/>
      <c r="S105" s="965"/>
      <c r="T105" s="965"/>
      <c r="U105" s="749"/>
      <c r="V105" s="749"/>
      <c r="W105" s="966"/>
      <c r="X105" s="966"/>
      <c r="Y105" s="966"/>
      <c r="Z105" s="68"/>
      <c r="AA105" s="68"/>
      <c r="AB105" s="68"/>
      <c r="AC105" s="68"/>
    </row>
    <row r="106" spans="1:29" ht="75" x14ac:dyDescent="0.2">
      <c r="A106" s="3"/>
      <c r="B106" s="3"/>
      <c r="C106" s="218"/>
      <c r="D106" s="70"/>
      <c r="E106" s="70"/>
      <c r="F106" s="70"/>
      <c r="G106" s="70"/>
      <c r="H106" s="70"/>
      <c r="I106" s="70"/>
      <c r="J106" s="70"/>
      <c r="K106" s="140" t="s">
        <v>4824</v>
      </c>
      <c r="L106" s="140" t="s">
        <v>4815</v>
      </c>
      <c r="M106" s="72" t="s">
        <v>4701</v>
      </c>
      <c r="N106" s="12"/>
      <c r="O106" s="303"/>
      <c r="P106" s="69"/>
      <c r="Q106" s="12" t="s">
        <v>4825</v>
      </c>
      <c r="R106" s="12"/>
      <c r="S106" s="12" t="s">
        <v>4816</v>
      </c>
      <c r="T106" s="69" t="s">
        <v>4813</v>
      </c>
      <c r="U106" s="26"/>
      <c r="V106" s="26"/>
      <c r="W106" s="70"/>
      <c r="X106" s="70"/>
      <c r="Y106" s="70"/>
      <c r="Z106" s="68"/>
      <c r="AA106" s="68"/>
      <c r="AB106" s="68"/>
      <c r="AC106" s="68"/>
    </row>
    <row r="107" spans="1:29" x14ac:dyDescent="0.2">
      <c r="A107" s="3"/>
      <c r="B107" s="3"/>
      <c r="C107" s="218"/>
      <c r="D107" s="70"/>
      <c r="E107" s="70"/>
      <c r="F107" s="70"/>
      <c r="G107" s="70"/>
      <c r="H107" s="182"/>
      <c r="I107" s="182"/>
      <c r="J107" s="182"/>
      <c r="K107" s="140" t="s">
        <v>4826</v>
      </c>
      <c r="L107" s="140" t="s">
        <v>4827</v>
      </c>
      <c r="M107" s="379" t="s">
        <v>4701</v>
      </c>
      <c r="N107" s="184"/>
      <c r="O107" s="303"/>
      <c r="P107" s="69"/>
      <c r="R107" s="12"/>
      <c r="S107" s="69"/>
      <c r="T107" s="69" t="s">
        <v>4813</v>
      </c>
      <c r="U107" s="26"/>
      <c r="V107" s="26"/>
      <c r="W107" s="70"/>
      <c r="X107" s="70"/>
      <c r="Y107" s="70"/>
      <c r="Z107" s="68"/>
      <c r="AA107" s="68"/>
      <c r="AB107" s="68"/>
      <c r="AC107" s="68"/>
    </row>
    <row r="108" spans="1:29" ht="45" x14ac:dyDescent="0.2">
      <c r="A108" s="3"/>
      <c r="B108" s="3"/>
      <c r="C108" s="218"/>
      <c r="D108" s="70"/>
      <c r="E108" s="70"/>
      <c r="F108" s="70"/>
      <c r="G108" s="70"/>
      <c r="H108" s="70"/>
      <c r="I108" s="70"/>
      <c r="J108" s="70"/>
      <c r="K108" s="12" t="s">
        <v>4828</v>
      </c>
      <c r="L108" s="140" t="s">
        <v>4829</v>
      </c>
      <c r="M108" s="72"/>
      <c r="N108" s="12"/>
      <c r="O108" s="494"/>
      <c r="P108" s="12"/>
      <c r="Q108" s="12"/>
      <c r="R108" s="12"/>
      <c r="S108" s="12"/>
      <c r="T108" s="12"/>
      <c r="U108" s="26"/>
      <c r="V108" s="26"/>
      <c r="W108" s="12"/>
      <c r="X108" s="12"/>
      <c r="Y108" s="12"/>
      <c r="Z108" s="68"/>
      <c r="AA108" s="68"/>
      <c r="AB108" s="68"/>
      <c r="AC108" s="68"/>
    </row>
    <row r="109" spans="1:29" ht="45" x14ac:dyDescent="0.2">
      <c r="A109" s="3"/>
      <c r="B109" s="3"/>
      <c r="C109" s="218"/>
      <c r="D109" s="70"/>
      <c r="E109" s="70"/>
      <c r="F109" s="70"/>
      <c r="G109" s="70"/>
      <c r="H109" s="70">
        <v>4</v>
      </c>
      <c r="I109" s="70"/>
      <c r="J109" s="70"/>
      <c r="K109" s="12" t="s">
        <v>4830</v>
      </c>
      <c r="L109" s="140" t="s">
        <v>4831</v>
      </c>
      <c r="M109" s="72" t="s">
        <v>4832</v>
      </c>
      <c r="N109" s="12" t="s">
        <v>4833</v>
      </c>
      <c r="O109" s="494"/>
      <c r="P109" s="12"/>
      <c r="Q109" s="12"/>
      <c r="R109" s="12"/>
      <c r="S109" s="12" t="s">
        <v>4834</v>
      </c>
      <c r="T109" s="12" t="s">
        <v>4813</v>
      </c>
      <c r="U109" s="26"/>
      <c r="V109" s="26"/>
      <c r="W109" s="12"/>
      <c r="X109" s="12"/>
      <c r="Y109" s="12"/>
      <c r="Z109" s="68"/>
      <c r="AA109" s="68"/>
      <c r="AB109" s="68"/>
      <c r="AC109" s="68"/>
    </row>
    <row r="110" spans="1:29" ht="45" x14ac:dyDescent="0.2">
      <c r="A110" s="3"/>
      <c r="B110" s="3"/>
      <c r="C110" s="218"/>
      <c r="D110" s="70"/>
      <c r="E110" s="70"/>
      <c r="F110" s="70"/>
      <c r="G110" s="70"/>
      <c r="H110" s="70">
        <v>4</v>
      </c>
      <c r="I110" s="70"/>
      <c r="J110" s="70"/>
      <c r="K110" s="140" t="s">
        <v>4835</v>
      </c>
      <c r="L110" s="140" t="s">
        <v>4836</v>
      </c>
      <c r="M110" s="72" t="s">
        <v>4701</v>
      </c>
      <c r="N110" s="12"/>
      <c r="O110" s="303"/>
      <c r="P110" s="69"/>
      <c r="Q110" s="12" t="s">
        <v>4837</v>
      </c>
      <c r="R110" s="12"/>
      <c r="S110" s="69"/>
      <c r="T110" s="69" t="s">
        <v>4813</v>
      </c>
      <c r="U110" s="26"/>
      <c r="V110" s="26"/>
      <c r="W110" s="70"/>
      <c r="X110" s="70"/>
      <c r="Y110" s="70"/>
      <c r="Z110" s="68"/>
      <c r="AA110" s="68"/>
      <c r="AB110" s="68"/>
      <c r="AC110" s="68"/>
    </row>
    <row r="111" spans="1:29" ht="189.75" x14ac:dyDescent="0.2">
      <c r="A111" s="3"/>
      <c r="B111" s="3"/>
      <c r="C111" s="218"/>
      <c r="D111" s="70"/>
      <c r="E111" s="70"/>
      <c r="F111" s="70"/>
      <c r="G111" s="70"/>
      <c r="H111" s="70">
        <v>4</v>
      </c>
      <c r="I111" s="70"/>
      <c r="J111" s="70"/>
      <c r="K111" s="140" t="s">
        <v>4838</v>
      </c>
      <c r="L111" s="140" t="s">
        <v>4839</v>
      </c>
      <c r="M111" s="72" t="s">
        <v>4701</v>
      </c>
      <c r="N111" s="12"/>
      <c r="O111" s="303"/>
      <c r="P111" s="69"/>
      <c r="Q111" s="12" t="s">
        <v>4840</v>
      </c>
      <c r="R111" s="12"/>
      <c r="S111" s="69" t="s">
        <v>4841</v>
      </c>
      <c r="T111" s="69" t="s">
        <v>4813</v>
      </c>
      <c r="U111" s="26"/>
      <c r="V111" s="26"/>
      <c r="W111" s="70"/>
      <c r="X111" s="70"/>
      <c r="Y111" s="70"/>
      <c r="Z111" s="68"/>
      <c r="AA111" s="68"/>
      <c r="AB111" s="68"/>
      <c r="AC111" s="68"/>
    </row>
    <row r="112" spans="1:29" ht="75" x14ac:dyDescent="0.2">
      <c r="A112" s="3"/>
      <c r="B112" s="3"/>
      <c r="C112" s="218"/>
      <c r="D112" s="70"/>
      <c r="E112" s="70"/>
      <c r="F112" s="70"/>
      <c r="G112" s="70"/>
      <c r="H112" s="70">
        <v>4</v>
      </c>
      <c r="I112" s="70"/>
      <c r="J112" s="70"/>
      <c r="K112" s="12" t="s">
        <v>4842</v>
      </c>
      <c r="L112" s="140" t="s">
        <v>4843</v>
      </c>
      <c r="M112" s="72"/>
      <c r="N112" s="12"/>
      <c r="O112" s="303"/>
      <c r="P112" s="69"/>
      <c r="Q112" s="12"/>
      <c r="R112" s="12"/>
      <c r="S112" s="69"/>
      <c r="T112" s="70"/>
      <c r="U112" s="26"/>
      <c r="V112" s="26"/>
      <c r="W112" s="70"/>
      <c r="X112" s="70"/>
      <c r="Y112" s="70"/>
      <c r="Z112" s="68"/>
      <c r="AA112" s="68"/>
      <c r="AB112" s="68"/>
      <c r="AC112" s="68"/>
    </row>
    <row r="113" spans="1:29" ht="30" x14ac:dyDescent="0.2">
      <c r="A113" s="3"/>
      <c r="B113" s="3"/>
      <c r="C113" s="218"/>
      <c r="D113" s="70"/>
      <c r="E113" s="70"/>
      <c r="F113" s="70"/>
      <c r="G113" s="134"/>
      <c r="H113" s="134"/>
      <c r="I113" s="134">
        <v>5</v>
      </c>
      <c r="J113" s="134"/>
      <c r="K113" s="12" t="s">
        <v>4844</v>
      </c>
      <c r="L113" s="140" t="s">
        <v>4845</v>
      </c>
      <c r="M113" s="128" t="s">
        <v>4701</v>
      </c>
      <c r="N113" s="12" t="s">
        <v>4846</v>
      </c>
      <c r="O113" s="127"/>
      <c r="P113" s="127"/>
      <c r="Q113" s="127"/>
      <c r="R113" s="127"/>
      <c r="S113" s="127"/>
      <c r="T113" s="127" t="s">
        <v>4813</v>
      </c>
      <c r="U113" s="127"/>
      <c r="V113" s="127"/>
      <c r="W113" s="127"/>
      <c r="X113" s="127"/>
      <c r="Y113" s="127"/>
      <c r="Z113" s="68"/>
      <c r="AA113" s="68"/>
      <c r="AB113" s="68"/>
      <c r="AC113" s="68"/>
    </row>
    <row r="114" spans="1:29" ht="45" x14ac:dyDescent="0.2">
      <c r="A114" s="3"/>
      <c r="B114" s="3"/>
      <c r="C114" s="218"/>
      <c r="D114" s="70"/>
      <c r="E114" s="70"/>
      <c r="F114" s="70"/>
      <c r="G114" s="134"/>
      <c r="H114" s="495"/>
      <c r="I114" s="495">
        <v>5</v>
      </c>
      <c r="J114" s="495"/>
      <c r="K114" s="401" t="s">
        <v>4847</v>
      </c>
      <c r="L114" s="470" t="s">
        <v>4848</v>
      </c>
      <c r="M114" s="496" t="s">
        <v>4701</v>
      </c>
      <c r="N114" s="401" t="s">
        <v>4846</v>
      </c>
      <c r="O114" s="127"/>
      <c r="P114" s="127"/>
      <c r="Q114" s="127"/>
      <c r="R114" s="127"/>
      <c r="S114" s="127"/>
      <c r="T114" s="127" t="s">
        <v>4813</v>
      </c>
      <c r="U114" s="127"/>
      <c r="V114" s="127"/>
      <c r="W114" s="127"/>
      <c r="X114" s="127"/>
      <c r="Y114" s="127"/>
      <c r="Z114" s="68"/>
      <c r="AA114" s="68"/>
      <c r="AB114" s="68"/>
      <c r="AC114" s="68"/>
    </row>
    <row r="115" spans="1:29" ht="45" x14ac:dyDescent="0.2">
      <c r="A115" s="3"/>
      <c r="B115" s="3"/>
      <c r="C115" s="218"/>
      <c r="D115" s="70"/>
      <c r="E115" s="70"/>
      <c r="F115" s="70"/>
      <c r="G115" s="70"/>
      <c r="H115" s="70">
        <v>4</v>
      </c>
      <c r="I115" s="70"/>
      <c r="J115" s="70"/>
      <c r="K115" s="12" t="s">
        <v>4849</v>
      </c>
      <c r="L115" s="140" t="s">
        <v>4850</v>
      </c>
      <c r="M115" s="72" t="s">
        <v>4851</v>
      </c>
      <c r="N115" s="12"/>
      <c r="O115" s="303"/>
      <c r="P115" s="69"/>
      <c r="Q115" s="12" t="s">
        <v>4852</v>
      </c>
      <c r="R115" s="12"/>
      <c r="S115" s="69"/>
      <c r="T115" s="70" t="s">
        <v>4813</v>
      </c>
      <c r="U115" s="26"/>
      <c r="V115" s="26"/>
      <c r="W115" s="70"/>
      <c r="X115" s="70"/>
      <c r="Y115" s="70"/>
      <c r="Z115" s="68"/>
      <c r="AA115" s="68"/>
      <c r="AB115" s="68"/>
      <c r="AC115" s="68"/>
    </row>
    <row r="116" spans="1:29" ht="45" x14ac:dyDescent="0.2">
      <c r="A116" s="3"/>
      <c r="B116" s="3"/>
      <c r="C116" s="218"/>
      <c r="D116" s="70"/>
      <c r="E116" s="70"/>
      <c r="F116" s="70"/>
      <c r="G116" s="70"/>
      <c r="H116" s="70">
        <v>4</v>
      </c>
      <c r="I116" s="70"/>
      <c r="J116" s="70"/>
      <c r="K116" s="12" t="s">
        <v>4853</v>
      </c>
      <c r="L116" s="140" t="s">
        <v>4854</v>
      </c>
      <c r="M116" s="72" t="s">
        <v>4781</v>
      </c>
      <c r="N116" s="12"/>
      <c r="O116" s="303"/>
      <c r="P116" s="69"/>
      <c r="Q116" s="12" t="s">
        <v>4852</v>
      </c>
      <c r="R116" s="12"/>
      <c r="S116" s="69"/>
      <c r="T116" s="70" t="s">
        <v>4813</v>
      </c>
      <c r="U116" s="26"/>
      <c r="V116" s="26"/>
      <c r="W116" s="70"/>
      <c r="X116" s="70"/>
      <c r="Y116" s="70"/>
      <c r="Z116" s="68"/>
      <c r="AA116" s="68"/>
      <c r="AB116" s="68"/>
      <c r="AC116" s="68"/>
    </row>
    <row r="117" spans="1:29" ht="45" x14ac:dyDescent="0.2">
      <c r="A117" s="3"/>
      <c r="B117" s="3"/>
      <c r="C117" s="218"/>
      <c r="D117" s="70"/>
      <c r="E117" s="70"/>
      <c r="F117" s="70"/>
      <c r="G117" s="70"/>
      <c r="H117" s="70">
        <v>4</v>
      </c>
      <c r="I117" s="70"/>
      <c r="J117" s="70"/>
      <c r="K117" s="12" t="s">
        <v>4855</v>
      </c>
      <c r="L117" s="140" t="s">
        <v>4856</v>
      </c>
      <c r="M117" s="72" t="s">
        <v>692</v>
      </c>
      <c r="N117" s="12"/>
      <c r="O117" s="303"/>
      <c r="P117" s="69"/>
      <c r="Q117" s="12" t="s">
        <v>4852</v>
      </c>
      <c r="R117" s="12"/>
      <c r="S117" s="69"/>
      <c r="T117" s="70" t="s">
        <v>4813</v>
      </c>
      <c r="U117" s="26"/>
      <c r="V117" s="26"/>
      <c r="W117" s="70"/>
      <c r="X117" s="70"/>
      <c r="Y117" s="70"/>
      <c r="Z117" s="68"/>
      <c r="AA117" s="68"/>
      <c r="AB117" s="68"/>
      <c r="AC117" s="68"/>
    </row>
    <row r="118" spans="1:29" ht="27" customHeight="1" x14ac:dyDescent="0.2">
      <c r="A118" s="3"/>
      <c r="B118" s="3"/>
      <c r="C118" s="218"/>
      <c r="D118" s="70"/>
      <c r="E118" s="70"/>
      <c r="F118" s="70"/>
      <c r="G118" s="70"/>
      <c r="H118" s="70"/>
      <c r="I118" s="70"/>
      <c r="J118" s="70"/>
      <c r="K118" s="12" t="s">
        <v>4857</v>
      </c>
      <c r="L118" s="140"/>
      <c r="M118" s="72" t="s">
        <v>4701</v>
      </c>
      <c r="N118" s="12"/>
      <c r="O118" s="303"/>
      <c r="P118" s="69"/>
      <c r="Q118" s="12"/>
      <c r="R118" s="12"/>
      <c r="S118" s="69"/>
      <c r="T118" s="70"/>
      <c r="U118" s="26"/>
      <c r="V118" s="26"/>
      <c r="W118" s="70"/>
      <c r="X118" s="70"/>
      <c r="Y118" s="70"/>
      <c r="Z118" s="68"/>
      <c r="AA118" s="68"/>
      <c r="AB118" s="68"/>
      <c r="AC118" s="68"/>
    </row>
    <row r="119" spans="1:29" ht="16.5" customHeight="1" x14ac:dyDescent="0.2">
      <c r="A119" s="3"/>
      <c r="B119" s="3"/>
      <c r="C119" s="497"/>
      <c r="D119" s="367"/>
      <c r="E119" s="367"/>
      <c r="F119" s="367"/>
      <c r="G119" s="498">
        <v>3</v>
      </c>
      <c r="H119" s="1303" t="s">
        <v>4858</v>
      </c>
      <c r="I119" s="1195"/>
      <c r="J119" s="1195"/>
      <c r="K119" s="1195"/>
      <c r="L119" s="1304"/>
      <c r="M119" s="1195"/>
      <c r="N119" s="1195"/>
      <c r="O119" s="499"/>
      <c r="P119" s="499"/>
      <c r="Q119" s="499"/>
      <c r="R119" s="499"/>
      <c r="S119" s="499"/>
      <c r="T119" s="499"/>
      <c r="U119" s="500"/>
      <c r="V119" s="500"/>
      <c r="W119" s="501"/>
      <c r="X119" s="501"/>
      <c r="Y119" s="501"/>
      <c r="Z119" s="68"/>
      <c r="AA119" s="68"/>
      <c r="AB119" s="68"/>
      <c r="AC119" s="68"/>
    </row>
    <row r="120" spans="1:29" ht="51" customHeight="1" x14ac:dyDescent="0.2">
      <c r="A120" s="3"/>
      <c r="B120" s="3"/>
      <c r="C120" s="46"/>
      <c r="D120" s="502"/>
      <c r="E120" s="502"/>
      <c r="F120" s="502"/>
      <c r="G120" s="502"/>
      <c r="H120" s="503">
        <v>4</v>
      </c>
      <c r="I120" s="967"/>
      <c r="J120" s="967"/>
      <c r="K120" s="968" t="s">
        <v>4859</v>
      </c>
      <c r="L120" s="969" t="s">
        <v>4860</v>
      </c>
      <c r="M120" s="504" t="s">
        <v>4712</v>
      </c>
      <c r="N120" s="505"/>
      <c r="O120" s="506"/>
      <c r="P120" s="505"/>
      <c r="Q120" s="505" t="s">
        <v>4861</v>
      </c>
      <c r="R120" s="505"/>
      <c r="S120" s="505"/>
      <c r="T120" s="505" t="s">
        <v>129</v>
      </c>
      <c r="U120" s="507"/>
      <c r="V120" s="507"/>
      <c r="W120" s="505"/>
      <c r="X120" s="505"/>
      <c r="Y120" s="505"/>
      <c r="Z120" s="68"/>
      <c r="AA120" s="68"/>
      <c r="AB120" s="68"/>
      <c r="AC120" s="68"/>
    </row>
    <row r="121" spans="1:29" ht="28.5" customHeight="1" x14ac:dyDescent="0.2">
      <c r="A121" s="3"/>
      <c r="B121" s="3"/>
      <c r="C121" s="46"/>
      <c r="D121" s="502"/>
      <c r="E121" s="502"/>
      <c r="F121" s="502"/>
      <c r="G121" s="502"/>
      <c r="H121" s="503">
        <v>4</v>
      </c>
      <c r="I121" s="967"/>
      <c r="J121" s="967"/>
      <c r="K121" s="970" t="s">
        <v>4862</v>
      </c>
      <c r="L121" s="969" t="s">
        <v>4863</v>
      </c>
      <c r="M121" s="504" t="s">
        <v>4745</v>
      </c>
      <c r="N121" s="505"/>
      <c r="O121" s="506"/>
      <c r="P121" s="505"/>
      <c r="Q121" s="505"/>
      <c r="R121" s="505"/>
      <c r="S121" s="505"/>
      <c r="T121" s="505" t="s">
        <v>129</v>
      </c>
      <c r="U121" s="507"/>
      <c r="V121" s="507"/>
      <c r="W121" s="505"/>
      <c r="X121" s="505"/>
      <c r="Y121" s="505"/>
      <c r="Z121" s="68"/>
      <c r="AA121" s="68"/>
      <c r="AB121" s="68"/>
      <c r="AC121" s="68"/>
    </row>
    <row r="122" spans="1:29" ht="28.5" x14ac:dyDescent="0.2">
      <c r="A122" s="3"/>
      <c r="B122" s="3"/>
      <c r="C122" s="218"/>
      <c r="D122" s="70"/>
      <c r="E122" s="70"/>
      <c r="F122" s="70"/>
      <c r="G122" s="70"/>
      <c r="H122" s="508">
        <v>4</v>
      </c>
      <c r="I122" s="582"/>
      <c r="J122" s="582"/>
      <c r="K122" s="971" t="s">
        <v>4864</v>
      </c>
      <c r="L122" s="972" t="s">
        <v>4865</v>
      </c>
      <c r="M122" s="72" t="s">
        <v>4866</v>
      </c>
      <c r="N122" s="12"/>
      <c r="O122" s="494"/>
      <c r="P122" s="12"/>
      <c r="Q122" s="12"/>
      <c r="R122" s="12"/>
      <c r="S122" s="12"/>
      <c r="T122" s="12" t="s">
        <v>129</v>
      </c>
      <c r="U122" s="26"/>
      <c r="V122" s="26"/>
      <c r="W122" s="12"/>
      <c r="X122" s="12"/>
      <c r="Y122" s="12"/>
      <c r="Z122" s="68"/>
      <c r="AA122" s="68"/>
      <c r="AB122" s="68"/>
      <c r="AC122" s="68"/>
    </row>
    <row r="123" spans="1:29" ht="16.5" customHeight="1" x14ac:dyDescent="0.2">
      <c r="A123" s="3"/>
      <c r="B123" s="3"/>
      <c r="C123" s="218"/>
      <c r="D123" s="182"/>
      <c r="E123" s="182"/>
      <c r="F123" s="962">
        <v>2</v>
      </c>
      <c r="G123" s="1298" t="s">
        <v>4867</v>
      </c>
      <c r="H123" s="1298"/>
      <c r="I123" s="1298"/>
      <c r="J123" s="1298"/>
      <c r="K123" s="1298"/>
      <c r="L123" s="1299"/>
      <c r="M123" s="1298"/>
      <c r="N123" s="1298"/>
      <c r="O123" s="1300"/>
      <c r="P123" s="1298"/>
      <c r="Q123" s="1298"/>
      <c r="R123" s="1298"/>
      <c r="S123" s="1298"/>
      <c r="T123" s="1298"/>
      <c r="U123" s="1298"/>
      <c r="V123" s="1298"/>
      <c r="W123" s="1298"/>
      <c r="X123" s="1298"/>
      <c r="Y123" s="1301"/>
      <c r="Z123" s="68"/>
      <c r="AA123" s="68"/>
      <c r="AB123" s="211"/>
      <c r="AC123" s="211"/>
    </row>
    <row r="124" spans="1:29" x14ac:dyDescent="0.2">
      <c r="A124" s="3"/>
      <c r="B124" s="3"/>
      <c r="AA124" s="68"/>
      <c r="AB124" s="68"/>
      <c r="AC124" s="68"/>
    </row>
    <row r="125" spans="1:29" x14ac:dyDescent="0.2">
      <c r="A125" s="3"/>
      <c r="B125" s="3"/>
      <c r="AA125" s="68"/>
      <c r="AB125" s="68"/>
      <c r="AC125" s="68"/>
    </row>
    <row r="126" spans="1:29" x14ac:dyDescent="0.2">
      <c r="A126" s="3"/>
      <c r="B126" s="3"/>
      <c r="AA126" s="68"/>
      <c r="AB126" s="68"/>
      <c r="AC126" s="68"/>
    </row>
    <row r="127" spans="1:29" x14ac:dyDescent="0.2">
      <c r="A127" s="3"/>
      <c r="B127" s="3"/>
      <c r="AA127" s="68"/>
      <c r="AB127" s="68"/>
      <c r="AC127" s="68"/>
    </row>
    <row r="128" spans="1:29" x14ac:dyDescent="0.2">
      <c r="A128" s="3"/>
      <c r="B128" s="3"/>
      <c r="AA128" s="68"/>
      <c r="AB128" s="68"/>
      <c r="AC128" s="68"/>
    </row>
    <row r="129" spans="1:29" x14ac:dyDescent="0.2">
      <c r="A129" s="3"/>
      <c r="B129" s="3"/>
      <c r="AA129" s="68"/>
      <c r="AB129" s="68"/>
      <c r="AC129" s="68"/>
    </row>
    <row r="130" spans="1:29" x14ac:dyDescent="0.2">
      <c r="A130" s="3"/>
      <c r="B130" s="3"/>
      <c r="AA130" s="68"/>
      <c r="AB130" s="68"/>
      <c r="AC130" s="68"/>
    </row>
    <row r="131" spans="1:29" x14ac:dyDescent="0.2">
      <c r="A131" s="3"/>
      <c r="B131" s="3"/>
      <c r="AA131" s="68"/>
      <c r="AB131" s="68"/>
      <c r="AC131" s="68"/>
    </row>
    <row r="132" spans="1:29" x14ac:dyDescent="0.2">
      <c r="A132" s="3"/>
      <c r="B132" s="3"/>
      <c r="AA132" s="68"/>
      <c r="AB132" s="68"/>
      <c r="AC132" s="68"/>
    </row>
    <row r="133" spans="1:29" x14ac:dyDescent="0.2">
      <c r="A133" s="3"/>
      <c r="B133" s="3"/>
      <c r="AA133" s="68"/>
      <c r="AB133" s="68"/>
      <c r="AC133" s="68"/>
    </row>
    <row r="134" spans="1:29" ht="22.5" customHeight="1" x14ac:dyDescent="0.2">
      <c r="A134" s="3"/>
      <c r="B134" s="3"/>
      <c r="C134" s="218"/>
      <c r="D134" s="218"/>
      <c r="E134" s="218"/>
      <c r="F134" s="973" t="s">
        <v>4868</v>
      </c>
      <c r="G134" s="1305" t="s">
        <v>4869</v>
      </c>
      <c r="H134" s="1305"/>
      <c r="I134" s="1305"/>
      <c r="J134" s="1305"/>
      <c r="K134" s="1305"/>
      <c r="L134" s="1306"/>
      <c r="M134" s="1305"/>
      <c r="N134" s="1305"/>
      <c r="O134" s="1307"/>
      <c r="P134" s="1305"/>
      <c r="Q134" s="1305"/>
      <c r="R134" s="1305"/>
      <c r="S134" s="1305"/>
      <c r="T134" s="1305"/>
      <c r="U134" s="1305"/>
      <c r="V134" s="1305"/>
      <c r="W134" s="1305"/>
      <c r="X134" s="1305"/>
      <c r="Y134" s="1305"/>
      <c r="Z134" s="68"/>
      <c r="AA134" s="68"/>
      <c r="AB134" s="68"/>
      <c r="AC134" s="68"/>
    </row>
    <row r="135" spans="1:29" ht="42.75" x14ac:dyDescent="0.2">
      <c r="A135" s="3"/>
      <c r="B135" s="3"/>
      <c r="C135" s="218"/>
      <c r="D135" s="70"/>
      <c r="E135" s="70"/>
      <c r="F135" s="70"/>
      <c r="G135" s="134"/>
      <c r="H135" s="134">
        <v>4</v>
      </c>
      <c r="I135" s="134"/>
      <c r="J135" s="134"/>
      <c r="K135" s="12" t="s">
        <v>4870</v>
      </c>
      <c r="L135" s="871" t="s">
        <v>4871</v>
      </c>
      <c r="M135" s="128"/>
      <c r="N135" s="127"/>
      <c r="O135" s="127"/>
      <c r="P135" s="127"/>
      <c r="Q135" s="127"/>
      <c r="R135" s="127"/>
      <c r="S135" s="127"/>
      <c r="T135" s="127"/>
      <c r="U135" s="127"/>
      <c r="V135" s="127"/>
      <c r="W135" s="127"/>
      <c r="X135" s="127"/>
      <c r="Y135" s="127"/>
      <c r="Z135" s="68"/>
      <c r="AA135" s="68"/>
      <c r="AB135" s="68"/>
      <c r="AC135" s="68"/>
    </row>
    <row r="136" spans="1:29" ht="60" x14ac:dyDescent="0.2">
      <c r="A136" s="3"/>
      <c r="B136" s="3"/>
      <c r="C136" s="218"/>
      <c r="D136" s="70"/>
      <c r="E136" s="70"/>
      <c r="F136" s="70"/>
      <c r="G136" s="134"/>
      <c r="H136" s="134">
        <v>4</v>
      </c>
      <c r="I136" s="134"/>
      <c r="J136" s="134"/>
      <c r="K136" s="12" t="s">
        <v>4872</v>
      </c>
      <c r="L136" s="140" t="s">
        <v>4737</v>
      </c>
      <c r="M136" s="790" t="s">
        <v>4873</v>
      </c>
      <c r="N136" s="127" t="s">
        <v>4874</v>
      </c>
      <c r="O136" s="127"/>
      <c r="P136" s="127"/>
      <c r="Q136" s="12" t="s">
        <v>4739</v>
      </c>
      <c r="R136" s="127"/>
      <c r="S136" s="127"/>
      <c r="T136" s="127" t="s">
        <v>4875</v>
      </c>
      <c r="U136" s="127"/>
      <c r="V136" s="127"/>
      <c r="W136" s="127"/>
      <c r="X136" s="127"/>
      <c r="Y136" s="127"/>
      <c r="Z136" s="68"/>
      <c r="AA136" s="68"/>
      <c r="AB136" s="68"/>
      <c r="AC136" s="68"/>
    </row>
    <row r="137" spans="1:29" ht="75" x14ac:dyDescent="0.2">
      <c r="A137" s="3"/>
      <c r="B137" s="3"/>
      <c r="C137" s="218"/>
      <c r="D137" s="70"/>
      <c r="E137" s="70"/>
      <c r="F137" s="70"/>
      <c r="G137" s="134"/>
      <c r="H137" s="134">
        <v>4</v>
      </c>
      <c r="I137" s="134"/>
      <c r="J137" s="134"/>
      <c r="K137" s="12" t="s">
        <v>4876</v>
      </c>
      <c r="L137" s="140" t="s">
        <v>4877</v>
      </c>
      <c r="M137" s="128" t="s">
        <v>4701</v>
      </c>
      <c r="N137" s="127" t="s">
        <v>4878</v>
      </c>
      <c r="O137" s="127"/>
      <c r="P137" s="127"/>
      <c r="Q137" s="127" t="s">
        <v>4879</v>
      </c>
      <c r="R137" s="127"/>
      <c r="S137" s="127"/>
      <c r="T137" s="127" t="s">
        <v>4875</v>
      </c>
      <c r="U137" s="127"/>
      <c r="V137" s="127"/>
      <c r="W137" s="127"/>
      <c r="X137" s="127"/>
      <c r="Y137" s="127"/>
      <c r="Z137" s="68"/>
      <c r="AA137" s="68"/>
      <c r="AB137" s="68"/>
      <c r="AC137" s="68"/>
    </row>
    <row r="138" spans="1:29" ht="45" x14ac:dyDescent="0.2">
      <c r="A138" s="3"/>
      <c r="B138" s="3"/>
      <c r="C138" s="218"/>
      <c r="D138" s="70"/>
      <c r="E138" s="70"/>
      <c r="F138" s="70"/>
      <c r="G138" s="134"/>
      <c r="H138" s="134">
        <v>4</v>
      </c>
      <c r="I138" s="134"/>
      <c r="J138" s="134"/>
      <c r="K138" s="12" t="s">
        <v>4880</v>
      </c>
      <c r="L138" s="140" t="s">
        <v>4881</v>
      </c>
      <c r="M138" s="128" t="s">
        <v>4701</v>
      </c>
      <c r="N138" s="12" t="s">
        <v>4882</v>
      </c>
      <c r="O138" s="127"/>
      <c r="P138" s="127"/>
      <c r="Q138" s="127" t="s">
        <v>4879</v>
      </c>
      <c r="R138" s="127"/>
      <c r="S138" s="127"/>
      <c r="T138" s="127"/>
      <c r="U138" s="127"/>
      <c r="V138" s="127"/>
      <c r="W138" s="127"/>
      <c r="X138" s="127"/>
      <c r="Y138" s="127"/>
      <c r="Z138" s="68"/>
      <c r="AA138" s="68"/>
      <c r="AB138" s="68"/>
      <c r="AC138" s="68"/>
    </row>
    <row r="139" spans="1:29" ht="30" x14ac:dyDescent="0.2">
      <c r="A139" s="3"/>
      <c r="B139" s="3"/>
      <c r="C139" s="218"/>
      <c r="D139" s="70"/>
      <c r="E139" s="70"/>
      <c r="F139" s="70"/>
      <c r="G139" s="134"/>
      <c r="H139" s="134">
        <v>4</v>
      </c>
      <c r="I139" s="134"/>
      <c r="J139" s="134"/>
      <c r="K139" s="12" t="s">
        <v>4883</v>
      </c>
      <c r="L139" s="140" t="s">
        <v>4884</v>
      </c>
      <c r="M139" s="128"/>
      <c r="N139" s="12"/>
      <c r="O139" s="127"/>
      <c r="P139" s="127"/>
      <c r="Q139" s="127"/>
      <c r="R139" s="127"/>
      <c r="S139" s="127"/>
      <c r="T139" s="127"/>
      <c r="U139" s="127"/>
      <c r="V139" s="127"/>
      <c r="W139" s="127"/>
      <c r="X139" s="127"/>
      <c r="Y139" s="127"/>
      <c r="Z139" s="68"/>
      <c r="AA139" s="68"/>
      <c r="AB139" s="68"/>
      <c r="AC139" s="68"/>
    </row>
    <row r="140" spans="1:29" ht="30" x14ac:dyDescent="0.2">
      <c r="A140" s="3"/>
      <c r="B140" s="3"/>
      <c r="C140" s="218"/>
      <c r="D140" s="70"/>
      <c r="E140" s="70"/>
      <c r="F140" s="70"/>
      <c r="G140" s="134"/>
      <c r="H140" s="134">
        <v>4</v>
      </c>
      <c r="I140" s="134"/>
      <c r="J140" s="134"/>
      <c r="K140" s="12" t="s">
        <v>4885</v>
      </c>
      <c r="L140" s="140" t="s">
        <v>4886</v>
      </c>
      <c r="M140" s="128"/>
      <c r="N140" s="12"/>
      <c r="O140" s="127"/>
      <c r="P140" s="127"/>
      <c r="Q140" s="127"/>
      <c r="R140" s="127"/>
      <c r="S140" s="127"/>
      <c r="T140" s="127"/>
      <c r="U140" s="127"/>
      <c r="V140" s="127"/>
      <c r="W140" s="127"/>
      <c r="X140" s="127"/>
      <c r="Y140" s="127"/>
      <c r="Z140" s="68"/>
      <c r="AA140" s="68"/>
      <c r="AB140" s="68"/>
      <c r="AC140" s="68"/>
    </row>
    <row r="141" spans="1:29" x14ac:dyDescent="0.2">
      <c r="A141" s="3"/>
      <c r="B141" s="3"/>
      <c r="C141" s="218"/>
      <c r="D141" s="70"/>
      <c r="E141" s="70"/>
      <c r="F141" s="70"/>
      <c r="G141" s="70"/>
      <c r="H141" s="70">
        <v>4</v>
      </c>
      <c r="I141" s="70"/>
      <c r="J141" s="70"/>
      <c r="K141" s="12" t="s">
        <v>4887</v>
      </c>
      <c r="L141" s="140" t="s">
        <v>4888</v>
      </c>
      <c r="M141" s="72" t="s">
        <v>4781</v>
      </c>
      <c r="N141" s="12"/>
      <c r="O141" s="12"/>
      <c r="P141" s="12"/>
      <c r="Q141" s="12"/>
      <c r="R141" s="12"/>
      <c r="S141" s="12"/>
      <c r="T141" s="127" t="s">
        <v>4813</v>
      </c>
      <c r="U141" s="12"/>
      <c r="V141" s="12"/>
      <c r="W141" s="12"/>
      <c r="X141" s="12"/>
      <c r="Y141" s="12"/>
      <c r="Z141" s="25"/>
      <c r="AA141" s="25"/>
      <c r="AB141" s="25"/>
      <c r="AC141" s="25"/>
    </row>
    <row r="142" spans="1:29" x14ac:dyDescent="0.2">
      <c r="A142" s="3"/>
      <c r="B142" s="3"/>
      <c r="C142" s="218"/>
      <c r="D142" s="70"/>
      <c r="E142" s="70"/>
      <c r="F142" s="70"/>
      <c r="G142" s="70"/>
      <c r="H142" s="70">
        <v>4</v>
      </c>
      <c r="I142" s="70"/>
      <c r="J142" s="70"/>
      <c r="K142" s="12" t="s">
        <v>4889</v>
      </c>
      <c r="L142" s="140" t="s">
        <v>4890</v>
      </c>
      <c r="M142" s="72" t="s">
        <v>4701</v>
      </c>
      <c r="N142" s="12"/>
      <c r="O142" s="12"/>
      <c r="P142" s="12"/>
      <c r="Q142" s="12"/>
      <c r="R142" s="12"/>
      <c r="S142" s="12"/>
      <c r="T142" s="127"/>
      <c r="U142" s="12"/>
      <c r="V142" s="12"/>
      <c r="W142" s="12"/>
      <c r="X142" s="12"/>
      <c r="Y142" s="12"/>
      <c r="Z142" s="25"/>
      <c r="AA142" s="25"/>
      <c r="AB142" s="25"/>
      <c r="AC142" s="25"/>
    </row>
    <row r="143" spans="1:29" ht="45" x14ac:dyDescent="0.2">
      <c r="A143" s="3"/>
      <c r="B143" s="3"/>
      <c r="C143" s="218"/>
      <c r="D143" s="70"/>
      <c r="E143" s="70"/>
      <c r="F143" s="70"/>
      <c r="G143" s="70"/>
      <c r="H143" s="70"/>
      <c r="I143" s="70"/>
      <c r="J143" s="70"/>
      <c r="K143" s="12" t="s">
        <v>4891</v>
      </c>
      <c r="L143" s="140" t="s">
        <v>4892</v>
      </c>
      <c r="M143" s="72" t="s">
        <v>4750</v>
      </c>
      <c r="N143" s="12" t="s">
        <v>4893</v>
      </c>
      <c r="O143" s="12"/>
      <c r="P143" s="12"/>
      <c r="Q143" s="12" t="s">
        <v>4894</v>
      </c>
      <c r="R143" s="12"/>
      <c r="S143" s="12"/>
      <c r="T143" s="127" t="s">
        <v>4875</v>
      </c>
      <c r="U143" s="12"/>
      <c r="V143" s="12"/>
      <c r="W143" s="12"/>
      <c r="X143" s="12"/>
      <c r="Y143" s="12"/>
      <c r="Z143" s="25"/>
      <c r="AA143" s="25"/>
      <c r="AB143" s="25"/>
      <c r="AC143" s="25"/>
    </row>
    <row r="144" spans="1:29" x14ac:dyDescent="0.2">
      <c r="A144" s="3"/>
      <c r="B144" s="3"/>
      <c r="C144" s="218"/>
      <c r="D144" s="70"/>
      <c r="E144" s="70"/>
      <c r="F144" s="70"/>
      <c r="G144" s="70"/>
      <c r="H144" s="70"/>
      <c r="I144" s="70"/>
      <c r="J144" s="70"/>
      <c r="K144" s="974" t="s">
        <v>4895</v>
      </c>
      <c r="L144" s="140"/>
      <c r="M144" s="72" t="s">
        <v>4701</v>
      </c>
      <c r="N144" s="12"/>
      <c r="O144" s="12"/>
      <c r="P144" s="12"/>
      <c r="Q144" s="12"/>
      <c r="R144" s="12"/>
      <c r="S144" s="12"/>
      <c r="T144" s="127"/>
      <c r="U144" s="12"/>
      <c r="V144" s="12"/>
      <c r="W144" s="12"/>
      <c r="X144" s="12"/>
      <c r="Y144" s="12"/>
      <c r="Z144" s="25"/>
      <c r="AA144" s="25"/>
      <c r="AB144" s="25"/>
      <c r="AC144" s="25"/>
    </row>
    <row r="145" spans="1:29" ht="60" x14ac:dyDescent="0.2">
      <c r="A145" s="3"/>
      <c r="B145" s="3"/>
      <c r="C145" s="218"/>
      <c r="D145" s="70"/>
      <c r="E145" s="70"/>
      <c r="F145" s="70"/>
      <c r="G145" s="70"/>
      <c r="H145" s="70"/>
      <c r="I145" s="70"/>
      <c r="J145" s="70"/>
      <c r="K145" s="12" t="s">
        <v>4896</v>
      </c>
      <c r="L145" s="140" t="s">
        <v>4897</v>
      </c>
      <c r="M145" s="72" t="s">
        <v>4701</v>
      </c>
      <c r="N145" s="12" t="s">
        <v>4893</v>
      </c>
      <c r="O145" s="712" t="str">
        <f>HYPERLINK("http://wiki.academyofsports.online/tiki-index.php?page=Produktvorstellung-1-(PP-TL-002)", "PP-TL-002")</f>
        <v>PP-TL-002</v>
      </c>
      <c r="P145" s="12"/>
      <c r="Q145" s="12"/>
      <c r="R145" s="12"/>
      <c r="S145" s="12"/>
      <c r="T145" s="127"/>
      <c r="U145" s="12"/>
      <c r="V145" s="12"/>
      <c r="W145" s="12"/>
      <c r="X145" s="12"/>
      <c r="Y145" s="12"/>
      <c r="Z145" s="25"/>
      <c r="AA145" s="25"/>
      <c r="AB145" s="25"/>
      <c r="AC145" s="25"/>
    </row>
    <row r="146" spans="1:29" ht="75" x14ac:dyDescent="0.2">
      <c r="A146" s="3"/>
      <c r="B146" s="3"/>
      <c r="C146" s="218"/>
      <c r="D146" s="70"/>
      <c r="E146" s="70"/>
      <c r="F146" s="70"/>
      <c r="G146" s="70"/>
      <c r="H146" s="70"/>
      <c r="I146" s="70">
        <v>5</v>
      </c>
      <c r="J146" s="70"/>
      <c r="K146" s="12" t="s">
        <v>4898</v>
      </c>
      <c r="L146" s="140" t="s">
        <v>4899</v>
      </c>
      <c r="M146" s="72" t="s">
        <v>4701</v>
      </c>
      <c r="N146" s="12" t="s">
        <v>4893</v>
      </c>
      <c r="O146" s="12"/>
      <c r="P146" s="12"/>
      <c r="Q146" s="12" t="s">
        <v>4900</v>
      </c>
      <c r="R146" s="12"/>
      <c r="S146" s="12" t="s">
        <v>4901</v>
      </c>
      <c r="T146" s="127" t="s">
        <v>4875</v>
      </c>
      <c r="U146" s="12"/>
      <c r="V146" s="12"/>
      <c r="W146" s="12"/>
      <c r="X146" s="12"/>
      <c r="Y146" s="12"/>
      <c r="Z146" s="25"/>
      <c r="AA146" s="25"/>
      <c r="AB146" s="25"/>
      <c r="AC146" s="25"/>
    </row>
    <row r="147" spans="1:29" ht="16.5" customHeight="1" x14ac:dyDescent="0.2">
      <c r="A147" s="3"/>
      <c r="B147" s="3"/>
      <c r="C147" s="510"/>
      <c r="D147" s="304"/>
      <c r="E147" s="304"/>
      <c r="F147" s="511"/>
      <c r="G147" s="511"/>
      <c r="H147" s="511"/>
      <c r="I147" s="511"/>
      <c r="J147" s="511"/>
      <c r="K147" s="975" t="s">
        <v>4902</v>
      </c>
      <c r="L147" s="512"/>
      <c r="M147" s="511"/>
      <c r="N147" s="511"/>
      <c r="O147" s="513"/>
      <c r="P147" s="511"/>
      <c r="Q147" s="511"/>
      <c r="R147" s="511"/>
      <c r="S147" s="511"/>
      <c r="T147" s="511"/>
      <c r="U147" s="511"/>
      <c r="V147" s="511"/>
      <c r="W147" s="511"/>
      <c r="X147" s="511"/>
      <c r="Y147" s="511"/>
      <c r="Z147" s="304"/>
      <c r="AA147" s="304"/>
      <c r="AB147" s="304"/>
      <c r="AC147" s="304"/>
    </row>
    <row r="148" spans="1:29" ht="16.5" customHeight="1" x14ac:dyDescent="0.2">
      <c r="A148" s="3"/>
      <c r="B148" s="3"/>
      <c r="C148" s="510"/>
      <c r="D148" s="304"/>
      <c r="E148" s="304"/>
      <c r="F148" s="511"/>
      <c r="G148" s="511"/>
      <c r="H148" s="511"/>
      <c r="I148" s="511"/>
      <c r="J148" s="511"/>
      <c r="K148" s="511"/>
      <c r="L148" s="512"/>
      <c r="M148" s="511"/>
      <c r="N148" s="511"/>
      <c r="O148" s="513"/>
      <c r="P148" s="511"/>
      <c r="Q148" s="511"/>
      <c r="R148" s="511"/>
      <c r="S148" s="511"/>
      <c r="T148" s="511"/>
      <c r="U148" s="511"/>
      <c r="V148" s="511"/>
      <c r="W148" s="511"/>
      <c r="X148" s="511"/>
      <c r="Y148" s="511"/>
      <c r="Z148" s="304"/>
      <c r="AA148" s="304"/>
      <c r="AB148" s="304"/>
      <c r="AC148" s="304"/>
    </row>
    <row r="149" spans="1:29" ht="16.5" customHeight="1" x14ac:dyDescent="0.2">
      <c r="A149" s="3"/>
      <c r="B149" s="3"/>
      <c r="C149" s="510"/>
      <c r="D149" s="304"/>
      <c r="E149" s="304"/>
      <c r="F149" s="511"/>
      <c r="G149" s="511"/>
      <c r="H149" s="511"/>
      <c r="I149" s="511"/>
      <c r="J149" s="511"/>
      <c r="K149" s="511"/>
      <c r="L149" s="512"/>
      <c r="M149" s="511"/>
      <c r="N149" s="511"/>
      <c r="O149" s="513"/>
      <c r="P149" s="511"/>
      <c r="Q149" s="511"/>
      <c r="R149" s="511"/>
      <c r="S149" s="511"/>
      <c r="T149" s="511"/>
      <c r="U149" s="511"/>
      <c r="V149" s="511"/>
      <c r="W149" s="511"/>
      <c r="X149" s="511"/>
      <c r="Y149" s="511"/>
      <c r="Z149" s="304"/>
      <c r="AA149" s="304"/>
      <c r="AB149" s="304"/>
      <c r="AC149" s="304"/>
    </row>
    <row r="150" spans="1:29" ht="16.5" customHeight="1" x14ac:dyDescent="0.2">
      <c r="A150" s="3"/>
      <c r="B150" s="3"/>
      <c r="C150" s="510"/>
      <c r="D150" s="304"/>
      <c r="E150" s="304"/>
      <c r="F150" s="511"/>
      <c r="G150" s="511"/>
      <c r="H150" s="511"/>
      <c r="I150" s="511"/>
      <c r="J150" s="511"/>
      <c r="K150" s="511"/>
      <c r="L150" s="512"/>
      <c r="M150" s="511"/>
      <c r="N150" s="511"/>
      <c r="O150" s="513"/>
      <c r="P150" s="511"/>
      <c r="Q150" s="511"/>
      <c r="R150" s="511"/>
      <c r="S150" s="511"/>
      <c r="T150" s="511"/>
      <c r="U150" s="511"/>
      <c r="V150" s="511"/>
      <c r="W150" s="511"/>
      <c r="X150" s="511"/>
      <c r="Y150" s="511"/>
      <c r="Z150" s="304"/>
      <c r="AA150" s="304"/>
      <c r="AB150" s="304"/>
      <c r="AC150" s="304"/>
    </row>
    <row r="151" spans="1:29" ht="15.75" x14ac:dyDescent="0.2">
      <c r="A151" s="3"/>
      <c r="B151" s="3"/>
      <c r="C151" s="218"/>
      <c r="D151" s="70"/>
      <c r="E151" s="70"/>
      <c r="F151" s="976" t="s">
        <v>4903</v>
      </c>
      <c r="G151" s="1308" t="s">
        <v>4904</v>
      </c>
      <c r="H151" s="1309"/>
      <c r="I151" s="1309"/>
      <c r="J151" s="1309"/>
      <c r="K151" s="1309"/>
      <c r="L151" s="1310"/>
      <c r="M151" s="1311"/>
      <c r="N151" s="1311"/>
      <c r="O151" s="1312"/>
      <c r="P151" s="1311"/>
      <c r="Q151" s="1311"/>
      <c r="R151" s="1311"/>
      <c r="S151" s="1311"/>
      <c r="T151" s="1311"/>
      <c r="U151" s="1311"/>
      <c r="V151" s="1311"/>
      <c r="W151" s="1311"/>
      <c r="X151" s="1311"/>
      <c r="Y151" s="1311"/>
      <c r="Z151" s="25"/>
      <c r="AA151" s="25"/>
      <c r="AB151" s="25"/>
      <c r="AC151" s="25"/>
    </row>
    <row r="152" spans="1:29" ht="78.75" x14ac:dyDescent="0.2">
      <c r="A152" s="3"/>
      <c r="B152" s="3"/>
      <c r="C152" s="510"/>
      <c r="D152" s="304"/>
      <c r="E152" s="304"/>
      <c r="H152" s="511"/>
      <c r="I152" s="511"/>
      <c r="J152" s="511"/>
      <c r="K152" s="511" t="s">
        <v>4905</v>
      </c>
      <c r="L152" s="512" t="s">
        <v>4906</v>
      </c>
      <c r="M152" s="511"/>
      <c r="N152" s="511"/>
      <c r="O152" s="513"/>
      <c r="P152" s="511"/>
      <c r="Q152" s="511"/>
      <c r="R152" s="511"/>
      <c r="S152" s="511"/>
      <c r="T152" s="511"/>
      <c r="U152" s="511"/>
      <c r="V152" s="511"/>
      <c r="W152" s="511"/>
      <c r="X152" s="511"/>
      <c r="Y152" s="511"/>
      <c r="Z152" s="304"/>
      <c r="AA152" s="304"/>
      <c r="AB152" s="304"/>
      <c r="AC152" s="304"/>
    </row>
    <row r="153" spans="1:29" x14ac:dyDescent="0.2">
      <c r="A153" s="3"/>
      <c r="B153" s="3"/>
      <c r="C153" s="70"/>
      <c r="D153" s="966"/>
      <c r="E153" s="966"/>
      <c r="F153" s="966"/>
      <c r="G153" s="978">
        <v>3</v>
      </c>
      <c r="H153" s="1234" t="s">
        <v>4907</v>
      </c>
      <c r="I153" s="1235"/>
      <c r="J153" s="1235"/>
      <c r="K153" s="1235"/>
      <c r="L153" s="1313"/>
      <c r="M153" s="1235"/>
      <c r="N153" s="1236"/>
      <c r="O153" s="980"/>
      <c r="P153" s="750"/>
      <c r="Q153" s="750"/>
      <c r="R153" s="750"/>
      <c r="S153" s="750"/>
      <c r="T153" s="965"/>
      <c r="U153" s="749"/>
      <c r="V153" s="749"/>
      <c r="W153" s="750"/>
      <c r="X153" s="750"/>
      <c r="Y153" s="750"/>
      <c r="Z153" s="981"/>
      <c r="AA153" s="981"/>
      <c r="AB153" s="981"/>
      <c r="AC153" s="981"/>
    </row>
    <row r="154" spans="1:29" ht="120" x14ac:dyDescent="0.2">
      <c r="A154" s="3"/>
      <c r="B154" s="3"/>
      <c r="C154" s="70"/>
      <c r="D154" s="70"/>
      <c r="E154" s="70"/>
      <c r="F154" s="70"/>
      <c r="G154" s="182"/>
      <c r="H154" s="182">
        <v>4</v>
      </c>
      <c r="I154" s="182"/>
      <c r="J154" s="182"/>
      <c r="K154" s="12" t="s">
        <v>4908</v>
      </c>
      <c r="L154" s="140" t="s">
        <v>4909</v>
      </c>
      <c r="M154" s="72" t="s">
        <v>4851</v>
      </c>
      <c r="N154" s="12" t="s">
        <v>4910</v>
      </c>
      <c r="O154" s="494"/>
      <c r="P154" s="12"/>
      <c r="Q154" s="12" t="s">
        <v>4911</v>
      </c>
      <c r="R154" s="12" t="s">
        <v>4912</v>
      </c>
      <c r="S154" s="12" t="s">
        <v>4913</v>
      </c>
      <c r="T154" s="69" t="s">
        <v>4813</v>
      </c>
      <c r="U154" s="26"/>
      <c r="V154" s="26"/>
      <c r="W154" s="12"/>
      <c r="X154" s="12"/>
      <c r="Y154" s="12"/>
      <c r="Z154" s="25"/>
      <c r="AA154" s="25"/>
      <c r="AB154" s="25"/>
      <c r="AC154" s="25"/>
    </row>
    <row r="155" spans="1:29" ht="105" x14ac:dyDescent="0.2">
      <c r="A155" s="3"/>
      <c r="B155" s="3"/>
      <c r="C155" s="70"/>
      <c r="D155" s="70"/>
      <c r="E155" s="70"/>
      <c r="F155" s="70"/>
      <c r="G155" s="182"/>
      <c r="H155" s="182">
        <v>4</v>
      </c>
      <c r="I155" s="182"/>
      <c r="J155" s="182"/>
      <c r="K155" s="12" t="s">
        <v>4914</v>
      </c>
      <c r="L155" s="140" t="s">
        <v>4915</v>
      </c>
      <c r="M155" s="72" t="s">
        <v>4851</v>
      </c>
      <c r="N155" s="12" t="s">
        <v>4916</v>
      </c>
      <c r="O155" s="494"/>
      <c r="P155" s="12"/>
      <c r="Q155" s="12" t="s">
        <v>4917</v>
      </c>
      <c r="R155" s="12" t="s">
        <v>4918</v>
      </c>
      <c r="S155" s="12"/>
      <c r="T155" s="69" t="s">
        <v>4813</v>
      </c>
      <c r="U155" s="26"/>
      <c r="V155" s="26"/>
      <c r="W155" s="12"/>
      <c r="X155" s="12"/>
      <c r="Y155" s="12"/>
      <c r="Z155" s="25"/>
      <c r="AA155" s="25"/>
      <c r="AB155" s="25"/>
      <c r="AC155" s="25"/>
    </row>
    <row r="156" spans="1:29" x14ac:dyDescent="0.2">
      <c r="A156" s="3"/>
      <c r="B156" s="3"/>
      <c r="C156" s="218"/>
      <c r="D156" s="966"/>
      <c r="E156" s="966"/>
      <c r="F156" s="966"/>
      <c r="G156" s="966">
        <v>3</v>
      </c>
      <c r="H156" s="1234" t="s">
        <v>4919</v>
      </c>
      <c r="I156" s="1235"/>
      <c r="J156" s="1235"/>
      <c r="K156" s="1235"/>
      <c r="L156" s="1313"/>
      <c r="M156" s="1236"/>
      <c r="O156" s="494"/>
      <c r="P156" s="12"/>
      <c r="Q156" s="12"/>
      <c r="R156" s="12"/>
      <c r="S156" s="12"/>
      <c r="T156" s="12"/>
      <c r="U156" s="26"/>
      <c r="V156" s="26"/>
      <c r="W156" s="12"/>
      <c r="X156" s="12"/>
      <c r="Y156" s="12"/>
      <c r="Z156" s="25"/>
      <c r="AA156" s="25"/>
      <c r="AB156" s="25"/>
      <c r="AC156" s="25"/>
    </row>
    <row r="157" spans="1:29" x14ac:dyDescent="0.2">
      <c r="A157" s="3"/>
      <c r="B157" s="3"/>
      <c r="C157" s="218"/>
      <c r="D157" s="70"/>
      <c r="E157" s="70"/>
      <c r="F157" s="70"/>
      <c r="G157" s="70"/>
      <c r="H157" s="70"/>
      <c r="I157" s="70"/>
      <c r="J157" s="70"/>
      <c r="K157" s="329" t="s">
        <v>4920</v>
      </c>
      <c r="L157" s="140"/>
      <c r="M157" s="504"/>
      <c r="N157" s="12"/>
      <c r="O157" s="494"/>
      <c r="P157" s="12"/>
      <c r="Q157" s="12"/>
      <c r="R157" s="12"/>
      <c r="S157" s="12"/>
      <c r="T157" s="12"/>
      <c r="U157" s="26"/>
      <c r="V157" s="26"/>
      <c r="W157" s="12"/>
      <c r="X157" s="12"/>
      <c r="Y157" s="12"/>
      <c r="Z157" s="25"/>
      <c r="AA157" s="25"/>
      <c r="AB157" s="25"/>
      <c r="AC157" s="25"/>
    </row>
    <row r="158" spans="1:29" ht="30" x14ac:dyDescent="0.2">
      <c r="A158" s="3"/>
      <c r="B158" s="3"/>
      <c r="C158" s="218"/>
      <c r="D158" s="70"/>
      <c r="E158" s="70"/>
      <c r="F158" s="70"/>
      <c r="G158" s="70"/>
      <c r="H158" s="70"/>
      <c r="I158" s="70"/>
      <c r="J158" s="70"/>
      <c r="K158" s="329" t="s">
        <v>4921</v>
      </c>
      <c r="L158" s="140" t="s">
        <v>4922</v>
      </c>
      <c r="M158" s="504" t="s">
        <v>4701</v>
      </c>
      <c r="N158" s="12"/>
      <c r="O158" s="494"/>
      <c r="P158" s="12"/>
      <c r="Q158" s="12"/>
      <c r="R158" s="12"/>
      <c r="S158" s="12"/>
      <c r="T158" s="12"/>
      <c r="U158" s="26"/>
      <c r="V158" s="26"/>
      <c r="W158" s="12"/>
      <c r="X158" s="12"/>
      <c r="Y158" s="12"/>
      <c r="Z158" s="25"/>
      <c r="AA158" s="25"/>
      <c r="AB158" s="25"/>
      <c r="AC158" s="25"/>
    </row>
    <row r="159" spans="1:29" x14ac:dyDescent="0.2">
      <c r="A159" s="3"/>
      <c r="B159" s="3"/>
      <c r="C159" s="218"/>
      <c r="D159" s="966"/>
      <c r="E159" s="966"/>
      <c r="F159" s="966"/>
      <c r="G159" s="966">
        <v>3</v>
      </c>
      <c r="H159" s="1234" t="s">
        <v>4923</v>
      </c>
      <c r="I159" s="1235"/>
      <c r="J159" s="1235"/>
      <c r="K159" s="1235"/>
      <c r="L159" s="1313"/>
      <c r="M159" s="1236"/>
      <c r="O159" s="494"/>
      <c r="P159" s="12"/>
      <c r="Q159" s="12"/>
      <c r="R159" s="12"/>
      <c r="S159" s="12"/>
      <c r="T159" s="12"/>
      <c r="U159" s="26"/>
      <c r="V159" s="26"/>
      <c r="W159" s="12"/>
      <c r="X159" s="12"/>
      <c r="Y159" s="12"/>
      <c r="Z159" s="25"/>
      <c r="AA159" s="25"/>
      <c r="AB159" s="25"/>
      <c r="AC159" s="25"/>
    </row>
    <row r="160" spans="1:29" ht="30" x14ac:dyDescent="0.2">
      <c r="A160" s="3"/>
      <c r="B160" s="3"/>
      <c r="C160" s="218"/>
      <c r="D160" s="70"/>
      <c r="E160" s="70"/>
      <c r="F160" s="70"/>
      <c r="G160" s="70"/>
      <c r="H160" s="182"/>
      <c r="I160" s="182"/>
      <c r="J160" s="182"/>
      <c r="K160" s="184" t="s">
        <v>4924</v>
      </c>
      <c r="L160" s="474" t="s">
        <v>4925</v>
      </c>
      <c r="M160" s="379" t="s">
        <v>4712</v>
      </c>
      <c r="N160" s="184"/>
      <c r="O160" s="494"/>
      <c r="P160" s="12"/>
      <c r="Q160" s="12" t="s">
        <v>4926</v>
      </c>
      <c r="R160" s="12"/>
      <c r="S160" s="12"/>
      <c r="T160" s="12"/>
      <c r="U160" s="26"/>
      <c r="V160" s="26"/>
      <c r="W160" s="12"/>
      <c r="X160" s="12"/>
      <c r="Y160" s="12"/>
      <c r="Z160" s="25"/>
      <c r="AA160" s="25"/>
      <c r="AB160" s="25"/>
      <c r="AC160" s="25"/>
    </row>
    <row r="161" spans="1:29" x14ac:dyDescent="0.2">
      <c r="A161" s="3"/>
      <c r="B161" s="3"/>
      <c r="C161" s="218"/>
      <c r="D161" s="70"/>
      <c r="E161" s="70"/>
      <c r="F161" s="70"/>
      <c r="G161" s="70"/>
      <c r="H161" s="70"/>
      <c r="I161" s="70"/>
      <c r="J161" s="70"/>
      <c r="K161" s="12"/>
      <c r="L161" s="140"/>
      <c r="M161" s="379"/>
      <c r="N161" s="12"/>
      <c r="O161" s="494"/>
      <c r="P161" s="12"/>
      <c r="Q161" s="494"/>
      <c r="R161" s="12"/>
      <c r="S161" s="12"/>
      <c r="T161" s="12"/>
      <c r="U161" s="26"/>
      <c r="V161" s="26"/>
      <c r="W161" s="12"/>
      <c r="X161" s="12"/>
      <c r="Y161" s="12"/>
      <c r="Z161" s="25"/>
      <c r="AA161" s="25"/>
      <c r="AB161" s="25"/>
      <c r="AC161" s="25"/>
    </row>
    <row r="162" spans="1:29" x14ac:dyDescent="0.2">
      <c r="A162" s="3"/>
      <c r="B162" s="3"/>
      <c r="C162" s="218"/>
      <c r="D162" s="70"/>
      <c r="E162" s="70"/>
      <c r="F162" s="70"/>
      <c r="G162" s="70"/>
      <c r="H162" s="70"/>
      <c r="I162" s="70"/>
      <c r="J162" s="70"/>
      <c r="K162" s="12"/>
      <c r="L162" s="140"/>
      <c r="M162" s="379"/>
      <c r="N162" s="12"/>
      <c r="O162" s="494"/>
      <c r="P162" s="12"/>
      <c r="Q162" s="494"/>
      <c r="R162" s="12"/>
      <c r="S162" s="12"/>
      <c r="T162" s="12"/>
      <c r="U162" s="26"/>
      <c r="V162" s="26"/>
      <c r="W162" s="12"/>
      <c r="X162" s="12"/>
      <c r="Y162" s="12"/>
      <c r="Z162" s="25"/>
      <c r="AA162" s="25"/>
      <c r="AB162" s="25"/>
      <c r="AC162" s="25"/>
    </row>
    <row r="163" spans="1:29" ht="30" x14ac:dyDescent="0.2">
      <c r="A163" s="3"/>
      <c r="B163" s="3"/>
      <c r="C163" s="218"/>
      <c r="D163" s="70"/>
      <c r="E163" s="70"/>
      <c r="F163" s="70"/>
      <c r="G163" s="70"/>
      <c r="H163" s="70"/>
      <c r="I163" s="70"/>
      <c r="J163" s="70"/>
      <c r="K163" s="12" t="s">
        <v>4927</v>
      </c>
      <c r="L163" s="140" t="s">
        <v>4928</v>
      </c>
      <c r="M163" s="379" t="s">
        <v>4701</v>
      </c>
      <c r="N163" s="12"/>
      <c r="O163" s="494"/>
      <c r="P163" s="12"/>
      <c r="Q163" s="494" t="s">
        <v>4929</v>
      </c>
      <c r="R163" s="12"/>
      <c r="S163" s="12"/>
      <c r="T163" s="12"/>
      <c r="U163" s="26"/>
      <c r="V163" s="26"/>
      <c r="W163" s="12"/>
      <c r="X163" s="12"/>
      <c r="Y163" s="12"/>
      <c r="Z163" s="25"/>
      <c r="AA163" s="25"/>
      <c r="AB163" s="25"/>
      <c r="AC163" s="25"/>
    </row>
    <row r="164" spans="1:29" ht="30" x14ac:dyDescent="0.2">
      <c r="A164" s="3"/>
      <c r="B164" s="3"/>
      <c r="C164" s="218"/>
      <c r="D164" s="70"/>
      <c r="E164" s="70"/>
      <c r="F164" s="70"/>
      <c r="G164" s="70"/>
      <c r="H164" s="70"/>
      <c r="I164" s="70"/>
      <c r="J164" s="70"/>
      <c r="K164" s="12" t="s">
        <v>4930</v>
      </c>
      <c r="L164" s="871" t="s">
        <v>4931</v>
      </c>
      <c r="M164" s="379" t="s">
        <v>4701</v>
      </c>
      <c r="N164" s="12"/>
      <c r="O164" s="494"/>
      <c r="P164" s="12"/>
      <c r="Q164" s="12"/>
      <c r="R164" s="12"/>
      <c r="S164" s="12"/>
      <c r="T164" s="12"/>
      <c r="U164" s="26"/>
      <c r="V164" s="26"/>
      <c r="W164" s="12"/>
      <c r="X164" s="12"/>
      <c r="Y164" s="12"/>
      <c r="Z164" s="25"/>
      <c r="AA164" s="25"/>
      <c r="AB164" s="25"/>
      <c r="AC164" s="25"/>
    </row>
    <row r="165" spans="1:29" ht="30" x14ac:dyDescent="0.2">
      <c r="A165" s="3"/>
      <c r="B165" s="3"/>
      <c r="C165" s="218"/>
      <c r="D165" s="70"/>
      <c r="E165" s="70"/>
      <c r="F165" s="70"/>
      <c r="G165" s="70"/>
      <c r="H165" s="70"/>
      <c r="I165" s="70"/>
      <c r="J165" s="70"/>
      <c r="K165" s="12" t="s">
        <v>4932</v>
      </c>
      <c r="L165" s="140" t="s">
        <v>4933</v>
      </c>
      <c r="M165" s="379" t="s">
        <v>4701</v>
      </c>
      <c r="N165" s="12"/>
      <c r="O165" s="494"/>
      <c r="P165" s="12"/>
      <c r="Q165" s="12"/>
      <c r="R165" s="12"/>
      <c r="S165" s="12"/>
      <c r="T165" s="12"/>
      <c r="U165" s="26"/>
      <c r="V165" s="26"/>
      <c r="W165" s="12"/>
      <c r="X165" s="12"/>
      <c r="Y165" s="12"/>
      <c r="Z165" s="25"/>
      <c r="AA165" s="25"/>
      <c r="AB165" s="25"/>
      <c r="AC165" s="25"/>
    </row>
    <row r="166" spans="1:29" ht="30" x14ac:dyDescent="0.2">
      <c r="A166" s="3"/>
      <c r="B166" s="3"/>
      <c r="C166" s="218"/>
      <c r="D166" s="70"/>
      <c r="E166" s="70"/>
      <c r="F166" s="70"/>
      <c r="G166" s="70"/>
      <c r="H166" s="70"/>
      <c r="I166" s="70"/>
      <c r="J166" s="70"/>
      <c r="K166" s="12" t="s">
        <v>4934</v>
      </c>
      <c r="L166" s="140" t="s">
        <v>4935</v>
      </c>
      <c r="M166" s="379" t="s">
        <v>4701</v>
      </c>
      <c r="N166" s="12"/>
      <c r="O166" s="494"/>
      <c r="P166" s="12"/>
      <c r="Q166" s="12"/>
      <c r="R166" s="12"/>
      <c r="S166" s="12"/>
      <c r="T166" s="12"/>
      <c r="U166" s="26"/>
      <c r="V166" s="26"/>
      <c r="W166" s="12"/>
      <c r="X166" s="12"/>
      <c r="Y166" s="12"/>
      <c r="Z166" s="25"/>
      <c r="AA166" s="25"/>
      <c r="AB166" s="25"/>
      <c r="AC166" s="25"/>
    </row>
    <row r="167" spans="1:29" x14ac:dyDescent="0.2">
      <c r="A167" s="3"/>
      <c r="B167" s="3"/>
      <c r="C167" s="218"/>
      <c r="D167" s="70"/>
      <c r="E167" s="70"/>
      <c r="F167" s="70"/>
      <c r="G167" s="70"/>
      <c r="H167" s="70"/>
      <c r="I167" s="70"/>
      <c r="J167" s="70"/>
      <c r="K167" s="12" t="s">
        <v>4936</v>
      </c>
      <c r="L167" s="140"/>
      <c r="M167" s="72" t="s">
        <v>692</v>
      </c>
      <c r="N167" s="12"/>
      <c r="O167" s="494"/>
      <c r="P167" s="12"/>
      <c r="Q167" s="12"/>
      <c r="R167" s="12"/>
      <c r="S167" s="12"/>
      <c r="T167" s="12"/>
      <c r="U167" s="26"/>
      <c r="V167" s="26"/>
      <c r="W167" s="12"/>
      <c r="X167" s="12"/>
      <c r="Y167" s="12"/>
      <c r="Z167" s="25"/>
      <c r="AA167" s="25"/>
      <c r="AB167" s="25"/>
      <c r="AC167" s="25"/>
    </row>
    <row r="168" spans="1:29" x14ac:dyDescent="0.2">
      <c r="A168" s="3"/>
      <c r="B168" s="3"/>
      <c r="C168" s="218"/>
      <c r="D168" s="966"/>
      <c r="E168" s="966"/>
      <c r="F168" s="966"/>
      <c r="G168" s="966">
        <v>3</v>
      </c>
      <c r="H168" s="1314" t="s">
        <v>4795</v>
      </c>
      <c r="I168" s="1315"/>
      <c r="J168" s="1315"/>
      <c r="K168" s="1315"/>
      <c r="L168" s="1316"/>
      <c r="M168" s="1317"/>
      <c r="O168" s="494"/>
      <c r="P168" s="12"/>
      <c r="Q168" s="12"/>
      <c r="R168" s="12"/>
      <c r="S168" s="12"/>
      <c r="T168" s="12"/>
      <c r="U168" s="26"/>
      <c r="V168" s="26"/>
      <c r="W168" s="12"/>
      <c r="X168" s="12"/>
      <c r="Y168" s="12"/>
      <c r="Z168" s="25"/>
      <c r="AA168" s="25"/>
      <c r="AB168" s="25"/>
      <c r="AC168" s="25"/>
    </row>
    <row r="169" spans="1:29" ht="39" customHeight="1" x14ac:dyDescent="0.2">
      <c r="A169" s="3"/>
      <c r="B169" s="3"/>
      <c r="C169" s="218"/>
      <c r="D169" s="502"/>
      <c r="E169" s="502"/>
      <c r="F169" s="502"/>
      <c r="G169" s="502"/>
      <c r="H169" s="502"/>
      <c r="I169" s="502"/>
      <c r="J169" s="502"/>
      <c r="K169" s="816" t="s">
        <v>4937</v>
      </c>
      <c r="L169" s="140" t="s">
        <v>4938</v>
      </c>
      <c r="M169" s="504" t="s">
        <v>4781</v>
      </c>
      <c r="N169" s="505"/>
      <c r="O169" s="723" t="str">
        <f>HYPERLINK("http://wiki.academyofsports.online/tiki-index.php?page=VA-Erstellung-WBT-Produkt-Leseprobe", "VA Erstellung WBT Produkt-Leseprobe")</f>
        <v>VA Erstellung WBT Produkt-Leseprobe</v>
      </c>
      <c r="P169" s="505"/>
      <c r="Q169" s="505"/>
      <c r="R169" s="505"/>
      <c r="S169" s="505"/>
      <c r="T169" s="505"/>
      <c r="U169" s="507"/>
      <c r="V169" s="507"/>
      <c r="W169" s="505"/>
      <c r="X169" s="505"/>
      <c r="Y169" s="505"/>
      <c r="Z169" s="25"/>
      <c r="AA169" s="25"/>
      <c r="AB169" s="25"/>
      <c r="AC169" s="25"/>
    </row>
    <row r="170" spans="1:29" ht="39" customHeight="1" x14ac:dyDescent="0.2">
      <c r="A170" s="3"/>
      <c r="B170" s="3"/>
      <c r="C170" s="218"/>
      <c r="D170" s="502"/>
      <c r="E170" s="502"/>
      <c r="F170" s="502"/>
      <c r="G170" s="502"/>
      <c r="H170" s="502"/>
      <c r="I170" s="502"/>
      <c r="J170" s="502"/>
      <c r="K170" s="140" t="s">
        <v>4939</v>
      </c>
      <c r="L170" s="140" t="s">
        <v>4940</v>
      </c>
      <c r="M170" s="504" t="s">
        <v>4781</v>
      </c>
      <c r="N170" s="505"/>
      <c r="O170" s="506"/>
      <c r="P170" s="505"/>
      <c r="Q170" s="505"/>
      <c r="R170" s="505"/>
      <c r="S170" s="505"/>
      <c r="T170" s="505"/>
      <c r="U170" s="507"/>
      <c r="V170" s="507"/>
      <c r="W170" s="505"/>
      <c r="X170" s="505"/>
      <c r="Y170" s="505"/>
      <c r="Z170" s="25"/>
      <c r="AA170" s="25"/>
      <c r="AB170" s="25"/>
      <c r="AC170" s="25"/>
    </row>
    <row r="171" spans="1:29" x14ac:dyDescent="0.2">
      <c r="A171" s="3"/>
      <c r="B171" s="3"/>
      <c r="C171" s="218"/>
      <c r="D171" s="70"/>
      <c r="E171" s="70"/>
      <c r="F171" s="70"/>
      <c r="G171" s="70"/>
      <c r="H171" s="70"/>
      <c r="I171" s="68"/>
      <c r="J171" s="68"/>
      <c r="K171" s="982" t="s">
        <v>4941</v>
      </c>
      <c r="L171" s="514"/>
      <c r="M171" s="504"/>
      <c r="N171" s="68"/>
      <c r="O171" s="494"/>
      <c r="P171" s="12"/>
      <c r="Q171" s="12"/>
      <c r="R171" s="12"/>
      <c r="S171" s="12"/>
      <c r="T171" s="12"/>
      <c r="U171" s="26"/>
      <c r="V171" s="26"/>
      <c r="W171" s="12"/>
      <c r="X171" s="12"/>
      <c r="Y171" s="12"/>
      <c r="Z171" s="25"/>
      <c r="AA171" s="25"/>
      <c r="AB171" s="25"/>
      <c r="AC171" s="25"/>
    </row>
    <row r="172" spans="1:29" x14ac:dyDescent="0.2">
      <c r="A172" s="3"/>
      <c r="B172" s="3"/>
      <c r="C172" s="218"/>
      <c r="D172" s="70"/>
      <c r="E172" s="70"/>
      <c r="F172" s="70"/>
      <c r="G172" s="966">
        <v>3</v>
      </c>
      <c r="H172" s="1234" t="s">
        <v>4942</v>
      </c>
      <c r="I172" s="1235"/>
      <c r="J172" s="1235"/>
      <c r="K172" s="1235"/>
      <c r="L172" s="1313"/>
      <c r="M172" s="1235"/>
      <c r="N172" s="1236"/>
      <c r="O172" s="712" t="str">
        <f>HYPERLINK("http://wiki.academyofsports.online/tiki-index.php?page=Produktvorstellung-2-(EP-TL-001)", "EP-TL-001")</f>
        <v>EP-TL-001</v>
      </c>
      <c r="P172" s="12"/>
      <c r="Q172" s="12"/>
      <c r="R172" s="12"/>
      <c r="S172" s="12"/>
      <c r="T172" s="12"/>
      <c r="U172" s="26"/>
      <c r="V172" s="26"/>
      <c r="W172" s="12"/>
      <c r="X172" s="12"/>
      <c r="Y172" s="12"/>
      <c r="Z172" s="25"/>
      <c r="AA172" s="25"/>
      <c r="AB172" s="25"/>
      <c r="AC172" s="25"/>
    </row>
    <row r="173" spans="1:29" ht="30" x14ac:dyDescent="0.2">
      <c r="A173" s="3"/>
      <c r="B173" s="3"/>
      <c r="C173" s="218"/>
      <c r="D173" s="70"/>
      <c r="E173" s="70"/>
      <c r="F173" s="70"/>
      <c r="G173" s="70"/>
      <c r="H173" s="70"/>
      <c r="I173" s="70"/>
      <c r="J173" s="70"/>
      <c r="K173" s="140" t="s">
        <v>4943</v>
      </c>
      <c r="L173" s="140" t="s">
        <v>4944</v>
      </c>
      <c r="M173" s="72" t="s">
        <v>4701</v>
      </c>
      <c r="N173" s="12"/>
      <c r="O173" s="494"/>
      <c r="P173" s="12"/>
      <c r="Q173" s="204" t="s">
        <v>4945</v>
      </c>
      <c r="R173" s="12"/>
      <c r="S173" s="12"/>
      <c r="T173" s="12"/>
      <c r="U173" s="26"/>
      <c r="V173" s="26"/>
      <c r="W173" s="12"/>
      <c r="X173" s="12"/>
      <c r="Y173" s="12"/>
      <c r="Z173" s="25"/>
      <c r="AA173" s="25"/>
      <c r="AB173" s="25"/>
      <c r="AC173" s="25"/>
    </row>
    <row r="174" spans="1:29" ht="27" customHeight="1" x14ac:dyDescent="0.2">
      <c r="A174" s="3"/>
      <c r="B174" s="3"/>
      <c r="C174" s="218"/>
      <c r="D174" s="70"/>
      <c r="E174" s="70"/>
      <c r="F174" s="70"/>
      <c r="G174" s="70"/>
      <c r="H174" s="70"/>
      <c r="I174" s="70"/>
      <c r="J174" s="70"/>
      <c r="K174" s="12" t="s">
        <v>4946</v>
      </c>
      <c r="L174" s="140" t="s">
        <v>4947</v>
      </c>
      <c r="M174" s="72" t="s">
        <v>4701</v>
      </c>
      <c r="N174" s="12"/>
      <c r="O174" s="494"/>
      <c r="P174" s="12"/>
      <c r="Q174" s="12" t="s">
        <v>4948</v>
      </c>
      <c r="R174" s="12"/>
      <c r="S174" s="12"/>
      <c r="T174" s="12"/>
      <c r="U174" s="26"/>
      <c r="V174" s="26"/>
      <c r="W174" s="12"/>
      <c r="X174" s="12"/>
      <c r="Y174" s="12"/>
      <c r="Z174" s="25"/>
      <c r="AA174" s="25"/>
      <c r="AB174" s="25"/>
      <c r="AC174" s="25"/>
    </row>
    <row r="175" spans="1:29" ht="30" x14ac:dyDescent="0.2">
      <c r="A175" s="3"/>
      <c r="B175" s="3"/>
      <c r="C175" s="218"/>
      <c r="D175" s="70"/>
      <c r="E175" s="70"/>
      <c r="F175" s="70"/>
      <c r="G175" s="70"/>
      <c r="H175" s="70"/>
      <c r="I175" s="70"/>
      <c r="J175" s="70"/>
      <c r="K175" s="12" t="s">
        <v>4898</v>
      </c>
      <c r="L175" s="140" t="s">
        <v>4899</v>
      </c>
      <c r="M175" s="72" t="s">
        <v>4701</v>
      </c>
      <c r="N175" s="12"/>
      <c r="O175" s="494"/>
      <c r="P175" s="12"/>
      <c r="Q175" s="12"/>
      <c r="R175" s="12"/>
      <c r="S175" s="12"/>
      <c r="T175" s="12"/>
      <c r="U175" s="26"/>
      <c r="V175" s="26"/>
      <c r="W175" s="12"/>
      <c r="X175" s="12"/>
      <c r="Y175" s="12"/>
      <c r="Z175" s="25"/>
      <c r="AA175" s="25"/>
      <c r="AB175" s="25"/>
      <c r="AC175" s="25"/>
    </row>
    <row r="176" spans="1:29" x14ac:dyDescent="0.2">
      <c r="A176" s="3"/>
      <c r="B176" s="3"/>
      <c r="C176" s="218"/>
      <c r="D176" s="70"/>
      <c r="E176" s="70"/>
      <c r="F176" s="70"/>
      <c r="G176" s="966">
        <v>3</v>
      </c>
      <c r="H176" s="1314" t="s">
        <v>4949</v>
      </c>
      <c r="I176" s="1315"/>
      <c r="J176" s="1315"/>
      <c r="K176" s="1315"/>
      <c r="L176" s="1316"/>
      <c r="M176" s="1315"/>
      <c r="N176" s="1317"/>
      <c r="O176" s="712" t="str">
        <f>HYPERLINK("http://wiki.academyofsports.online/tiki-index.php?page=Produktvorstellung-2-(EP-TL-001)", "EP-TL-001")</f>
        <v>EP-TL-001</v>
      </c>
      <c r="P176" s="12"/>
      <c r="Q176" s="12"/>
      <c r="R176" s="12"/>
      <c r="S176" s="12"/>
      <c r="T176" s="12"/>
      <c r="U176" s="26"/>
      <c r="V176" s="26"/>
      <c r="W176" s="12"/>
      <c r="X176" s="12"/>
      <c r="Y176" s="12"/>
      <c r="Z176" s="25"/>
      <c r="AA176" s="25"/>
      <c r="AB176" s="25"/>
      <c r="AC176" s="25"/>
    </row>
    <row r="177" spans="1:29" ht="45" x14ac:dyDescent="0.2">
      <c r="A177" s="3"/>
      <c r="B177" s="3"/>
      <c r="C177" s="218"/>
      <c r="D177" s="70"/>
      <c r="E177" s="70"/>
      <c r="F177" s="70"/>
      <c r="G177" s="70"/>
      <c r="H177" s="70"/>
      <c r="I177" s="70"/>
      <c r="J177" s="70"/>
      <c r="K177" s="140" t="s">
        <v>4950</v>
      </c>
      <c r="L177" s="140" t="s">
        <v>4951</v>
      </c>
      <c r="M177" s="72" t="s">
        <v>4952</v>
      </c>
      <c r="N177" s="12"/>
      <c r="O177" s="494"/>
      <c r="P177" s="12"/>
      <c r="Q177" s="12" t="s">
        <v>4953</v>
      </c>
      <c r="R177" s="12"/>
      <c r="S177" s="12"/>
      <c r="T177" s="12"/>
      <c r="U177" s="26"/>
      <c r="V177" s="26"/>
      <c r="W177" s="12"/>
      <c r="X177" s="12"/>
      <c r="Y177" s="12"/>
      <c r="Z177" s="25"/>
      <c r="AA177" s="25"/>
      <c r="AB177" s="25"/>
      <c r="AC177" s="25"/>
    </row>
    <row r="178" spans="1:29" ht="30" x14ac:dyDescent="0.2">
      <c r="A178" s="3"/>
      <c r="B178" s="3"/>
      <c r="C178" s="218"/>
      <c r="D178" s="70"/>
      <c r="E178" s="70"/>
      <c r="F178" s="70"/>
      <c r="G178" s="70"/>
      <c r="H178" s="70"/>
      <c r="I178" s="70"/>
      <c r="J178" s="70"/>
      <c r="K178" s="204" t="s">
        <v>4954</v>
      </c>
      <c r="L178" s="140" t="s">
        <v>4955</v>
      </c>
      <c r="M178" s="72" t="s">
        <v>4701</v>
      </c>
      <c r="N178" s="12"/>
      <c r="O178" s="494"/>
      <c r="P178" s="12"/>
      <c r="Q178" s="12"/>
      <c r="R178" s="12"/>
      <c r="S178" s="12"/>
      <c r="T178" s="12"/>
      <c r="U178" s="26"/>
      <c r="V178" s="26"/>
      <c r="W178" s="12"/>
      <c r="X178" s="12"/>
      <c r="Y178" s="12"/>
      <c r="Z178" s="25"/>
      <c r="AA178" s="25"/>
      <c r="AB178" s="25"/>
      <c r="AC178" s="25"/>
    </row>
    <row r="179" spans="1:29" ht="25.5" x14ac:dyDescent="0.2">
      <c r="A179" s="3"/>
      <c r="B179" s="3"/>
      <c r="C179" s="218"/>
      <c r="D179" s="70"/>
      <c r="E179" s="70"/>
      <c r="F179" s="70"/>
      <c r="G179" s="70"/>
      <c r="H179" s="70"/>
      <c r="I179" s="70"/>
      <c r="J179" s="70"/>
      <c r="K179" s="204" t="s">
        <v>4956</v>
      </c>
      <c r="L179" s="204" t="s">
        <v>4957</v>
      </c>
      <c r="M179" s="72" t="s">
        <v>4851</v>
      </c>
      <c r="N179" s="12"/>
      <c r="O179" s="494"/>
      <c r="P179" s="12"/>
      <c r="Q179" s="12"/>
      <c r="R179" s="12"/>
      <c r="S179" s="12"/>
      <c r="T179" s="12"/>
      <c r="U179" s="26"/>
      <c r="V179" s="26"/>
      <c r="W179" s="12"/>
      <c r="X179" s="12"/>
      <c r="Y179" s="12"/>
      <c r="Z179" s="25"/>
      <c r="AA179" s="25"/>
      <c r="AB179" s="25"/>
      <c r="AC179" s="25"/>
    </row>
    <row r="180" spans="1:29" x14ac:dyDescent="0.2">
      <c r="A180" s="3"/>
      <c r="B180" s="3"/>
      <c r="C180" s="442"/>
      <c r="D180" s="192"/>
      <c r="E180" s="192"/>
      <c r="F180" s="192"/>
      <c r="G180" s="192">
        <v>3</v>
      </c>
      <c r="H180" s="1318" t="s">
        <v>4958</v>
      </c>
      <c r="I180" s="1318"/>
      <c r="J180" s="1318"/>
      <c r="K180" s="1318"/>
      <c r="L180" s="1319"/>
      <c r="M180" s="1318"/>
      <c r="N180" s="1318"/>
      <c r="O180" s="515"/>
      <c r="P180" s="63"/>
      <c r="Q180" s="63"/>
      <c r="R180" s="63"/>
      <c r="S180" s="63"/>
      <c r="T180" s="63"/>
      <c r="U180" s="99"/>
      <c r="V180" s="99"/>
      <c r="W180" s="63"/>
      <c r="X180" s="63"/>
      <c r="Y180" s="63"/>
      <c r="Z180" s="97"/>
      <c r="AA180" s="97"/>
      <c r="AB180" s="97"/>
      <c r="AC180" s="97"/>
    </row>
    <row r="181" spans="1:29" x14ac:dyDescent="0.2">
      <c r="A181" s="3"/>
      <c r="B181" s="3"/>
      <c r="C181" s="517"/>
      <c r="D181" s="518"/>
      <c r="E181" s="518"/>
      <c r="F181" s="518"/>
      <c r="G181" s="518"/>
      <c r="H181" s="518"/>
      <c r="I181" s="518"/>
      <c r="J181" s="518"/>
      <c r="K181" s="519"/>
      <c r="L181" s="520"/>
      <c r="M181" s="983" t="s">
        <v>4959</v>
      </c>
      <c r="N181" s="521"/>
      <c r="O181" s="522"/>
      <c r="P181" s="521"/>
      <c r="Q181" s="521"/>
      <c r="R181" s="521"/>
      <c r="S181" s="521"/>
      <c r="T181" s="521"/>
      <c r="U181" s="523"/>
      <c r="V181" s="523"/>
      <c r="W181" s="521"/>
      <c r="X181" s="521"/>
      <c r="Y181" s="521"/>
      <c r="Z181" s="516"/>
      <c r="AA181" s="516"/>
      <c r="AB181" s="516"/>
      <c r="AC181" s="516"/>
    </row>
    <row r="182" spans="1:29" x14ac:dyDescent="0.2">
      <c r="A182" s="3"/>
      <c r="B182" s="3"/>
      <c r="C182" s="517"/>
      <c r="D182" s="518"/>
      <c r="E182" s="518"/>
      <c r="F182" s="518"/>
      <c r="G182" s="518"/>
      <c r="H182" s="518"/>
      <c r="I182" s="518"/>
      <c r="J182" s="518"/>
      <c r="K182" s="519"/>
      <c r="L182" s="520"/>
      <c r="M182" s="524"/>
      <c r="N182" s="521"/>
      <c r="O182" s="522"/>
      <c r="P182" s="521"/>
      <c r="Q182" s="521"/>
      <c r="R182" s="521"/>
      <c r="S182" s="521"/>
      <c r="T182" s="521"/>
      <c r="U182" s="523"/>
      <c r="V182" s="523"/>
      <c r="W182" s="521"/>
      <c r="X182" s="521"/>
      <c r="Y182" s="521"/>
      <c r="Z182" s="516"/>
      <c r="AA182" s="516"/>
      <c r="AB182" s="516"/>
      <c r="AC182" s="516"/>
    </row>
    <row r="183" spans="1:29" x14ac:dyDescent="0.2">
      <c r="A183" s="3"/>
      <c r="B183" s="3"/>
      <c r="C183" s="517"/>
      <c r="D183" s="518"/>
      <c r="E183" s="518"/>
      <c r="F183" s="518"/>
      <c r="G183" s="518"/>
      <c r="H183" s="518"/>
      <c r="I183" s="518"/>
      <c r="J183" s="518"/>
      <c r="K183" s="519"/>
      <c r="L183" s="520"/>
      <c r="M183" s="524"/>
      <c r="N183" s="521"/>
      <c r="O183" s="522"/>
      <c r="P183" s="521"/>
      <c r="Q183" s="521"/>
      <c r="R183" s="521"/>
      <c r="S183" s="521"/>
      <c r="T183" s="521"/>
      <c r="U183" s="523"/>
      <c r="V183" s="523"/>
      <c r="W183" s="521"/>
      <c r="X183" s="521"/>
      <c r="Y183" s="521"/>
      <c r="Z183" s="516"/>
      <c r="AA183" s="516"/>
      <c r="AB183" s="516"/>
      <c r="AC183" s="516"/>
    </row>
    <row r="184" spans="1:29" x14ac:dyDescent="0.2">
      <c r="A184" s="3"/>
      <c r="B184" s="3"/>
      <c r="C184" s="517"/>
      <c r="D184" s="518"/>
      <c r="E184" s="518"/>
      <c r="F184" s="518"/>
      <c r="G184" s="518"/>
      <c r="H184" s="518"/>
      <c r="I184" s="518"/>
      <c r="J184" s="518"/>
      <c r="K184" s="521"/>
      <c r="L184" s="525"/>
      <c r="M184" s="524"/>
      <c r="N184" s="521"/>
      <c r="O184" s="522"/>
      <c r="P184" s="521"/>
      <c r="Q184" s="521"/>
      <c r="R184" s="521"/>
      <c r="S184" s="521"/>
      <c r="T184" s="521"/>
      <c r="U184" s="523"/>
      <c r="V184" s="523"/>
      <c r="W184" s="521"/>
      <c r="X184" s="521"/>
      <c r="Y184" s="521"/>
      <c r="Z184" s="516"/>
      <c r="AA184" s="516"/>
      <c r="AB184" s="516"/>
      <c r="AC184" s="516"/>
    </row>
    <row r="185" spans="1:29" x14ac:dyDescent="0.2">
      <c r="A185" s="3"/>
      <c r="B185" s="3"/>
      <c r="C185" s="517"/>
      <c r="D185" s="518"/>
      <c r="E185" s="518"/>
      <c r="F185" s="518"/>
      <c r="G185" s="518"/>
      <c r="H185" s="518"/>
      <c r="I185" s="518"/>
      <c r="J185" s="518"/>
      <c r="K185" s="521"/>
      <c r="L185" s="525"/>
      <c r="M185" s="524"/>
      <c r="N185" s="521"/>
      <c r="O185" s="522"/>
      <c r="P185" s="521"/>
      <c r="Q185" s="521"/>
      <c r="R185" s="521"/>
      <c r="S185" s="521"/>
      <c r="T185" s="521"/>
      <c r="U185" s="523"/>
      <c r="V185" s="523"/>
      <c r="W185" s="521"/>
      <c r="X185" s="521"/>
      <c r="Y185" s="521"/>
      <c r="Z185" s="516"/>
      <c r="AA185" s="516"/>
      <c r="AB185" s="516"/>
      <c r="AC185" s="516"/>
    </row>
    <row r="186" spans="1:29" x14ac:dyDescent="0.25">
      <c r="A186" s="516"/>
      <c r="B186" s="516"/>
      <c r="C186" s="517"/>
      <c r="D186" s="518"/>
      <c r="E186" s="518"/>
      <c r="F186" s="518"/>
      <c r="G186" s="518"/>
      <c r="H186" s="518"/>
      <c r="I186" s="518"/>
      <c r="J186" s="518"/>
      <c r="K186" s="521"/>
      <c r="L186" s="525"/>
      <c r="M186" s="524"/>
      <c r="N186" s="521"/>
      <c r="O186" s="522"/>
      <c r="P186" s="521"/>
      <c r="Q186" s="521"/>
      <c r="R186" s="521"/>
      <c r="S186" s="521"/>
      <c r="T186" s="521"/>
      <c r="U186" s="523"/>
      <c r="V186" s="523"/>
      <c r="W186" s="521"/>
      <c r="X186" s="521"/>
      <c r="Y186" s="521"/>
      <c r="Z186" s="516"/>
      <c r="AA186" s="516"/>
      <c r="AB186" s="516"/>
      <c r="AC186" s="516"/>
    </row>
    <row r="187" spans="1:29" x14ac:dyDescent="0.25">
      <c r="A187" s="516"/>
      <c r="B187" s="516"/>
      <c r="C187" s="517"/>
      <c r="D187" s="518"/>
      <c r="E187" s="518"/>
      <c r="F187" s="518"/>
      <c r="G187" s="518"/>
      <c r="H187" s="518"/>
      <c r="I187" s="518"/>
      <c r="J187" s="518"/>
      <c r="K187" s="521"/>
      <c r="L187" s="525"/>
      <c r="M187" s="524"/>
      <c r="N187" s="521"/>
      <c r="O187" s="522"/>
      <c r="P187" s="521"/>
      <c r="Q187" s="521"/>
      <c r="R187" s="521"/>
      <c r="S187" s="521"/>
      <c r="T187" s="521"/>
      <c r="U187" s="523"/>
      <c r="V187" s="523"/>
      <c r="W187" s="521"/>
      <c r="X187" s="521"/>
      <c r="Y187" s="521"/>
      <c r="Z187" s="516"/>
      <c r="AA187" s="516"/>
      <c r="AB187" s="516"/>
      <c r="AC187" s="516"/>
    </row>
    <row r="188" spans="1:29" x14ac:dyDescent="0.25">
      <c r="A188" s="516"/>
      <c r="B188" s="516"/>
      <c r="C188" s="517"/>
      <c r="D188" s="518"/>
      <c r="E188" s="518"/>
      <c r="F188" s="518"/>
      <c r="G188" s="518"/>
      <c r="H188" s="518"/>
      <c r="I188" s="518"/>
      <c r="J188" s="518"/>
      <c r="K188" s="521"/>
      <c r="L188" s="525"/>
      <c r="M188" s="524"/>
      <c r="N188" s="521"/>
      <c r="O188" s="522"/>
      <c r="P188" s="521"/>
      <c r="Q188" s="521"/>
      <c r="R188" s="521"/>
      <c r="S188" s="521"/>
      <c r="T188" s="521"/>
      <c r="U188" s="523"/>
      <c r="V188" s="523"/>
      <c r="W188" s="521"/>
      <c r="X188" s="521"/>
      <c r="Y188" s="521"/>
      <c r="Z188" s="516"/>
      <c r="AA188" s="516"/>
      <c r="AB188" s="516"/>
      <c r="AC188" s="516"/>
    </row>
    <row r="189" spans="1:29" ht="15.75" customHeight="1" x14ac:dyDescent="0.25">
      <c r="A189" s="25"/>
      <c r="B189" s="25"/>
      <c r="C189" s="218"/>
      <c r="D189" s="70"/>
      <c r="E189" s="70"/>
      <c r="F189" s="70"/>
      <c r="G189" s="70"/>
      <c r="H189" s="70"/>
      <c r="I189" s="70"/>
      <c r="J189" s="70"/>
      <c r="K189" s="12"/>
      <c r="L189" s="140"/>
      <c r="M189" s="72"/>
      <c r="N189" s="12"/>
      <c r="O189" s="494"/>
      <c r="P189" s="12"/>
      <c r="Q189" s="12"/>
      <c r="R189" s="12"/>
      <c r="S189" s="12"/>
      <c r="T189" s="12"/>
      <c r="U189" s="26"/>
      <c r="V189" s="26"/>
      <c r="W189" s="12"/>
      <c r="X189" s="12"/>
      <c r="Y189" s="12"/>
      <c r="Z189" s="25"/>
      <c r="AA189" s="25"/>
      <c r="AB189" s="25"/>
      <c r="AC189" s="25"/>
    </row>
    <row r="190" spans="1:29" ht="15.75" x14ac:dyDescent="0.25">
      <c r="A190" s="25"/>
      <c r="B190" s="25"/>
      <c r="C190" s="218"/>
      <c r="D190" s="70"/>
      <c r="E190" s="70"/>
      <c r="F190" s="977" t="s">
        <v>4960</v>
      </c>
      <c r="G190" s="1320" t="s">
        <v>4961</v>
      </c>
      <c r="H190" s="1320"/>
      <c r="I190" s="1320"/>
      <c r="J190" s="1320"/>
      <c r="K190" s="1320"/>
      <c r="L190" s="1321"/>
      <c r="M190" s="1320"/>
      <c r="N190" s="1320"/>
      <c r="O190" s="1322"/>
      <c r="P190" s="1320"/>
      <c r="Q190" s="1320"/>
      <c r="R190" s="1320"/>
      <c r="S190" s="1320"/>
      <c r="T190" s="1320"/>
      <c r="U190" s="1320"/>
      <c r="V190" s="1320"/>
      <c r="W190" s="1320"/>
      <c r="X190" s="1320"/>
      <c r="Y190" s="1320"/>
      <c r="Z190" s="25"/>
      <c r="AA190" s="25"/>
      <c r="AB190" s="25"/>
      <c r="AC190" s="25"/>
    </row>
    <row r="191" spans="1:29" x14ac:dyDescent="0.25">
      <c r="A191" s="25"/>
      <c r="B191" s="25"/>
      <c r="C191" s="218"/>
      <c r="D191" s="25"/>
      <c r="E191" s="25"/>
      <c r="F191" s="25"/>
      <c r="G191" s="984">
        <v>3</v>
      </c>
      <c r="H191" s="1323" t="s">
        <v>4962</v>
      </c>
      <c r="I191" s="1324"/>
      <c r="J191" s="1324"/>
      <c r="K191" s="1324"/>
      <c r="L191" s="1325"/>
      <c r="M191" s="1324"/>
      <c r="N191" s="1324"/>
      <c r="O191" s="1326"/>
      <c r="P191" s="1324"/>
      <c r="Q191" s="1324"/>
      <c r="R191" s="1324"/>
      <c r="S191" s="1324"/>
      <c r="T191" s="1324"/>
      <c r="U191" s="1324"/>
      <c r="V191" s="1324"/>
      <c r="W191" s="1324"/>
      <c r="X191" s="1324"/>
      <c r="Y191" s="1327"/>
      <c r="Z191" s="25"/>
      <c r="AA191" s="25"/>
      <c r="AB191" s="25"/>
      <c r="AC191" s="25"/>
    </row>
    <row r="192" spans="1:29" ht="15.75" customHeight="1" x14ac:dyDescent="0.25">
      <c r="A192" s="25"/>
      <c r="B192" s="25"/>
      <c r="C192" s="218"/>
      <c r="D192" s="70"/>
      <c r="E192" s="70"/>
      <c r="F192" s="70"/>
      <c r="G192" s="70"/>
      <c r="H192" s="70"/>
      <c r="I192" s="70"/>
      <c r="J192" s="70"/>
      <c r="K192" s="1323" t="s">
        <v>4963</v>
      </c>
      <c r="L192" s="1325"/>
      <c r="M192" s="1324"/>
      <c r="N192" s="1294"/>
      <c r="O192" s="1324"/>
      <c r="P192" s="1324"/>
      <c r="Q192" s="1324"/>
      <c r="R192" s="1324"/>
      <c r="S192" s="1326"/>
      <c r="T192" s="1324"/>
      <c r="U192" s="1324"/>
      <c r="V192" s="1324"/>
      <c r="W192" s="1324"/>
      <c r="X192" s="1324"/>
      <c r="Y192" s="1324"/>
      <c r="Z192" s="1324"/>
      <c r="AA192" s="1324"/>
      <c r="AB192" s="1324"/>
      <c r="AC192" s="1327"/>
    </row>
    <row r="193" spans="1:29" ht="30" x14ac:dyDescent="0.25">
      <c r="A193" s="25"/>
      <c r="B193" s="25"/>
      <c r="C193" s="218"/>
      <c r="D193" s="70"/>
      <c r="E193" s="70"/>
      <c r="F193" s="70"/>
      <c r="G193" s="70"/>
      <c r="H193" s="70"/>
      <c r="I193" s="70"/>
      <c r="J193" s="70"/>
      <c r="K193" s="63" t="s">
        <v>4964</v>
      </c>
      <c r="L193" s="140" t="s">
        <v>4965</v>
      </c>
      <c r="M193" s="72" t="s">
        <v>4701</v>
      </c>
      <c r="O193" s="494"/>
      <c r="P193" s="12"/>
      <c r="Q193" s="12"/>
      <c r="R193" s="12"/>
      <c r="S193" s="12"/>
      <c r="T193" s="12"/>
      <c r="U193" s="26"/>
      <c r="V193" s="26"/>
      <c r="W193" s="12"/>
      <c r="X193" s="12"/>
      <c r="Y193" s="12"/>
      <c r="Z193" s="25"/>
      <c r="AA193" s="25"/>
      <c r="AB193" s="25"/>
      <c r="AC193" s="25"/>
    </row>
    <row r="194" spans="1:29" x14ac:dyDescent="0.25">
      <c r="A194" s="25"/>
      <c r="B194" s="25"/>
      <c r="C194" s="218"/>
      <c r="D194" s="70"/>
      <c r="E194" s="70"/>
      <c r="F194" s="70"/>
      <c r="G194" s="70"/>
      <c r="H194" s="70"/>
      <c r="I194" s="70"/>
      <c r="J194" s="70"/>
      <c r="K194" s="63" t="s">
        <v>4966</v>
      </c>
      <c r="L194" s="873" t="s">
        <v>4967</v>
      </c>
      <c r="M194" s="72" t="s">
        <v>4701</v>
      </c>
      <c r="N194" s="218"/>
      <c r="O194" s="494"/>
      <c r="P194" s="12"/>
      <c r="Q194" s="12"/>
      <c r="R194" s="12"/>
      <c r="S194" s="12"/>
      <c r="T194" s="12"/>
      <c r="U194" s="26"/>
      <c r="V194" s="26"/>
      <c r="W194" s="12"/>
      <c r="X194" s="12"/>
      <c r="Y194" s="12"/>
      <c r="Z194" s="25"/>
      <c r="AA194" s="25"/>
      <c r="AB194" s="25"/>
      <c r="AC194" s="25"/>
    </row>
    <row r="195" spans="1:29" ht="30" x14ac:dyDescent="0.25">
      <c r="A195" s="25"/>
      <c r="B195" s="25"/>
      <c r="C195" s="218"/>
      <c r="D195" s="70"/>
      <c r="E195" s="70"/>
      <c r="F195" s="70"/>
      <c r="G195" s="70"/>
      <c r="H195" s="70"/>
      <c r="I195" s="70"/>
      <c r="J195" s="70"/>
      <c r="K195" s="12" t="s">
        <v>4968</v>
      </c>
      <c r="L195" s="140" t="s">
        <v>4969</v>
      </c>
      <c r="M195" s="72" t="s">
        <v>4701</v>
      </c>
      <c r="N195" s="12"/>
      <c r="O195" s="494"/>
      <c r="P195" s="12"/>
      <c r="Q195" s="12"/>
      <c r="R195" s="12"/>
      <c r="S195" s="12"/>
      <c r="T195" s="12" t="s">
        <v>4813</v>
      </c>
      <c r="U195" s="26"/>
      <c r="V195" s="26"/>
      <c r="W195" s="12"/>
      <c r="X195" s="12"/>
      <c r="Y195" s="12"/>
      <c r="Z195" s="25"/>
      <c r="AA195" s="25"/>
      <c r="AB195" s="25"/>
      <c r="AC195" s="25"/>
    </row>
    <row r="196" spans="1:29" ht="30" x14ac:dyDescent="0.25">
      <c r="A196" s="25"/>
      <c r="B196" s="25"/>
      <c r="C196" s="218"/>
      <c r="D196" s="70"/>
      <c r="E196" s="70"/>
      <c r="F196" s="70"/>
      <c r="G196" s="70"/>
      <c r="H196" s="70"/>
      <c r="I196" s="70"/>
      <c r="J196" s="70"/>
      <c r="K196" s="12" t="s">
        <v>4970</v>
      </c>
      <c r="L196" s="140" t="s">
        <v>4969</v>
      </c>
      <c r="M196" s="72" t="s">
        <v>4701</v>
      </c>
      <c r="N196" s="12"/>
      <c r="O196" s="494"/>
      <c r="P196" s="12"/>
      <c r="Q196" s="12"/>
      <c r="R196" s="12"/>
      <c r="S196" s="12"/>
      <c r="T196" s="12" t="s">
        <v>4813</v>
      </c>
      <c r="U196" s="26"/>
      <c r="V196" s="26"/>
      <c r="W196" s="12"/>
      <c r="X196" s="12"/>
      <c r="Y196" s="12"/>
      <c r="Z196" s="25"/>
      <c r="AA196" s="25"/>
      <c r="AB196" s="25"/>
      <c r="AC196" s="25"/>
    </row>
    <row r="197" spans="1:29" ht="30" x14ac:dyDescent="0.25">
      <c r="A197" s="25"/>
      <c r="B197" s="25"/>
      <c r="C197" s="218"/>
      <c r="D197" s="70"/>
      <c r="E197" s="70"/>
      <c r="F197" s="70"/>
      <c r="G197" s="70"/>
      <c r="H197" s="70"/>
      <c r="I197" s="70"/>
      <c r="J197" s="70"/>
      <c r="K197" s="63" t="s">
        <v>4971</v>
      </c>
      <c r="L197" s="140" t="s">
        <v>4972</v>
      </c>
      <c r="M197" s="72" t="s">
        <v>4701</v>
      </c>
      <c r="N197" s="218"/>
      <c r="O197" s="494"/>
      <c r="P197" s="12"/>
      <c r="Q197" s="12"/>
      <c r="R197" s="12"/>
      <c r="S197" s="12"/>
      <c r="T197" s="12"/>
      <c r="U197" s="26"/>
      <c r="V197" s="26"/>
      <c r="W197" s="12"/>
      <c r="X197" s="12"/>
      <c r="Y197" s="12"/>
      <c r="Z197" s="25"/>
      <c r="AA197" s="25"/>
      <c r="AB197" s="25"/>
      <c r="AC197" s="25"/>
    </row>
    <row r="198" spans="1:29" x14ac:dyDescent="0.25">
      <c r="A198" s="25"/>
      <c r="B198" s="25"/>
      <c r="C198" s="218"/>
      <c r="D198" s="70"/>
      <c r="E198" s="70"/>
      <c r="F198" s="70"/>
      <c r="G198" s="70"/>
      <c r="H198" s="70"/>
      <c r="I198" s="70"/>
      <c r="J198" s="70"/>
      <c r="K198" s="12"/>
      <c r="L198" s="140"/>
      <c r="M198" s="72"/>
      <c r="O198" s="494"/>
      <c r="P198" s="12"/>
      <c r="Q198" s="12"/>
      <c r="R198" s="12"/>
      <c r="S198" s="12"/>
      <c r="T198" s="12"/>
      <c r="U198" s="26"/>
      <c r="V198" s="26"/>
      <c r="W198" s="12"/>
      <c r="X198" s="12"/>
      <c r="Y198" s="12"/>
      <c r="Z198" s="25"/>
      <c r="AA198" s="25"/>
      <c r="AB198" s="25"/>
      <c r="AC198" s="25"/>
    </row>
    <row r="199" spans="1:29" x14ac:dyDescent="0.25">
      <c r="A199" s="25"/>
      <c r="B199" s="25"/>
      <c r="C199" s="218"/>
      <c r="D199" s="25"/>
      <c r="E199" s="25"/>
      <c r="F199" s="25"/>
      <c r="G199" s="963">
        <v>3</v>
      </c>
      <c r="H199" s="1323" t="s">
        <v>4973</v>
      </c>
      <c r="I199" s="1324"/>
      <c r="J199" s="1324"/>
      <c r="K199" s="1324"/>
      <c r="L199" s="1325"/>
      <c r="M199" s="1324"/>
      <c r="N199" s="1324"/>
      <c r="O199" s="1326"/>
      <c r="P199" s="1327"/>
      <c r="Q199" s="985"/>
      <c r="R199" s="986"/>
      <c r="S199" s="986"/>
      <c r="T199" s="986"/>
      <c r="U199" s="986"/>
      <c r="V199" s="986"/>
      <c r="W199" s="986"/>
      <c r="X199" s="986"/>
      <c r="Y199" s="986"/>
      <c r="Z199" s="25"/>
      <c r="AA199" s="25"/>
      <c r="AB199" s="25"/>
      <c r="AC199" s="25"/>
    </row>
    <row r="200" spans="1:29" x14ac:dyDescent="0.25">
      <c r="A200" s="25"/>
      <c r="B200" s="25"/>
      <c r="C200" s="218"/>
      <c r="D200" s="70"/>
      <c r="E200" s="70"/>
      <c r="F200" s="70"/>
      <c r="G200" s="70"/>
      <c r="H200" s="70"/>
      <c r="I200" s="70"/>
      <c r="J200" s="70"/>
      <c r="K200" s="12" t="s">
        <v>4974</v>
      </c>
      <c r="L200" s="140"/>
      <c r="M200" s="72"/>
      <c r="O200" s="987" t="s">
        <v>25</v>
      </c>
      <c r="P200" s="12"/>
      <c r="Q200" s="12"/>
      <c r="R200" s="12"/>
      <c r="S200" s="12"/>
      <c r="T200" s="12"/>
      <c r="U200" s="26"/>
      <c r="V200" s="26"/>
      <c r="W200" s="12"/>
      <c r="X200" s="12"/>
      <c r="Y200" s="12"/>
      <c r="Z200" s="25"/>
      <c r="AA200" s="25"/>
      <c r="AB200" s="25"/>
      <c r="AC200" s="25"/>
    </row>
    <row r="201" spans="1:29" ht="135" x14ac:dyDescent="0.25">
      <c r="A201" s="25"/>
      <c r="B201" s="25"/>
      <c r="C201" s="218"/>
      <c r="D201" s="70"/>
      <c r="E201" s="70"/>
      <c r="F201" s="70"/>
      <c r="G201" s="70"/>
      <c r="H201" s="182"/>
      <c r="I201" s="182"/>
      <c r="J201" s="182"/>
      <c r="K201" s="184" t="s">
        <v>4975</v>
      </c>
      <c r="L201" s="474"/>
      <c r="M201" s="379" t="s">
        <v>4701</v>
      </c>
      <c r="N201" s="184"/>
      <c r="O201" s="526"/>
      <c r="P201" s="184"/>
      <c r="Q201" s="12" t="s">
        <v>4976</v>
      </c>
      <c r="R201" s="12"/>
      <c r="S201" s="12"/>
      <c r="T201" s="12"/>
      <c r="U201" s="26"/>
      <c r="V201" s="26"/>
      <c r="W201" s="12"/>
      <c r="X201" s="12"/>
      <c r="Y201" s="12"/>
      <c r="Z201" s="25"/>
      <c r="AA201" s="25"/>
      <c r="AB201" s="25"/>
      <c r="AC201" s="25"/>
    </row>
    <row r="202" spans="1:29" x14ac:dyDescent="0.25">
      <c r="A202" s="25"/>
      <c r="B202" s="25"/>
      <c r="C202" s="218"/>
      <c r="D202" s="70"/>
      <c r="E202" s="70"/>
      <c r="F202" s="70"/>
      <c r="G202" s="70"/>
      <c r="H202" s="70">
        <v>4</v>
      </c>
      <c r="I202" s="1328" t="s">
        <v>4977</v>
      </c>
      <c r="J202" s="1328"/>
      <c r="K202" s="1328"/>
      <c r="L202" s="1329"/>
      <c r="M202" s="72"/>
      <c r="N202" s="12"/>
      <c r="O202" s="494"/>
      <c r="P202" s="12"/>
      <c r="Q202" s="12"/>
      <c r="R202" s="12"/>
      <c r="S202" s="12"/>
      <c r="T202" s="12"/>
      <c r="U202" s="26"/>
      <c r="V202" s="26"/>
      <c r="W202" s="12"/>
      <c r="X202" s="12"/>
      <c r="Y202" s="12"/>
      <c r="Z202" s="25"/>
      <c r="AA202" s="25"/>
      <c r="AB202" s="25"/>
      <c r="AC202" s="25"/>
    </row>
    <row r="203" spans="1:29" ht="43.5" x14ac:dyDescent="0.25">
      <c r="A203" s="25"/>
      <c r="B203" s="25"/>
      <c r="C203" s="218"/>
      <c r="D203" s="70"/>
      <c r="E203" s="70"/>
      <c r="F203" s="70"/>
      <c r="G203" s="70"/>
      <c r="H203" s="70"/>
      <c r="I203" s="70"/>
      <c r="J203" s="70"/>
      <c r="K203" s="12" t="s">
        <v>4978</v>
      </c>
      <c r="L203" s="140"/>
      <c r="M203" s="72" t="s">
        <v>4979</v>
      </c>
      <c r="N203" s="12"/>
      <c r="O203" s="494"/>
      <c r="P203" s="12"/>
      <c r="Q203" s="12"/>
      <c r="R203" s="12"/>
      <c r="S203" s="12"/>
      <c r="T203" s="12"/>
      <c r="U203" s="26"/>
      <c r="V203" s="26"/>
      <c r="W203" s="12"/>
      <c r="X203" s="12"/>
      <c r="Y203" s="12"/>
      <c r="Z203" s="25"/>
      <c r="AA203" s="25"/>
      <c r="AB203" s="25"/>
      <c r="AC203" s="25"/>
    </row>
    <row r="204" spans="1:29" x14ac:dyDescent="0.25">
      <c r="A204" s="25"/>
      <c r="B204" s="25"/>
      <c r="C204" s="218"/>
      <c r="D204" s="70"/>
      <c r="E204" s="70"/>
      <c r="F204" s="70"/>
      <c r="G204" s="70"/>
      <c r="H204" s="70"/>
      <c r="I204" s="70"/>
      <c r="J204" s="70"/>
      <c r="K204" s="12"/>
      <c r="L204" s="140"/>
      <c r="M204" s="72"/>
      <c r="N204" s="12"/>
      <c r="O204" s="494"/>
      <c r="P204" s="12"/>
      <c r="Q204" s="12"/>
      <c r="R204" s="12"/>
      <c r="S204" s="12"/>
      <c r="T204" s="12"/>
      <c r="U204" s="26"/>
      <c r="V204" s="26"/>
      <c r="W204" s="12"/>
      <c r="X204" s="12"/>
      <c r="Y204" s="12"/>
      <c r="Z204" s="25"/>
      <c r="AA204" s="25"/>
      <c r="AB204" s="25"/>
      <c r="AC204" s="25"/>
    </row>
    <row r="205" spans="1:29" x14ac:dyDescent="0.25">
      <c r="A205" s="25"/>
      <c r="B205" s="25"/>
      <c r="C205" s="218"/>
      <c r="D205" s="70"/>
      <c r="E205" s="70"/>
      <c r="F205" s="70"/>
      <c r="G205" s="70"/>
      <c r="H205" s="70"/>
      <c r="I205" s="70"/>
      <c r="J205" s="70"/>
      <c r="K205" s="70"/>
      <c r="L205" s="466"/>
      <c r="M205" s="70"/>
      <c r="N205" s="70"/>
      <c r="O205" s="70"/>
      <c r="P205" s="70"/>
      <c r="Q205" s="70"/>
      <c r="R205" s="70"/>
      <c r="S205" s="70"/>
      <c r="T205" s="70"/>
      <c r="U205" s="70"/>
      <c r="V205" s="70"/>
      <c r="W205" s="70"/>
      <c r="X205" s="70"/>
      <c r="Y205" s="70"/>
      <c r="Z205" s="25"/>
      <c r="AA205" s="25"/>
      <c r="AB205" s="25"/>
      <c r="AC205" s="25"/>
    </row>
    <row r="206" spans="1:29" x14ac:dyDescent="0.25">
      <c r="A206" s="25"/>
      <c r="B206" s="25"/>
      <c r="C206" s="218"/>
      <c r="D206" s="70"/>
      <c r="E206" s="70"/>
      <c r="F206" s="70"/>
      <c r="G206" s="70"/>
      <c r="H206" s="70"/>
      <c r="I206" s="70"/>
      <c r="J206" s="70"/>
      <c r="K206" s="70"/>
      <c r="L206" s="466"/>
      <c r="M206" s="70"/>
      <c r="N206" s="70"/>
      <c r="O206" s="70"/>
      <c r="P206" s="70"/>
      <c r="Q206" s="70"/>
      <c r="R206" s="70"/>
      <c r="S206" s="70"/>
      <c r="T206" s="70"/>
      <c r="U206" s="70"/>
      <c r="V206" s="70"/>
      <c r="W206" s="70"/>
      <c r="X206" s="70"/>
      <c r="Y206" s="70"/>
      <c r="Z206" s="25"/>
      <c r="AA206" s="25"/>
      <c r="AB206" s="25"/>
      <c r="AC206" s="25"/>
    </row>
    <row r="207" spans="1:29" ht="15.75" x14ac:dyDescent="0.25">
      <c r="A207" s="25"/>
      <c r="B207" s="25"/>
      <c r="C207" s="218"/>
      <c r="D207" s="70"/>
      <c r="E207" s="70"/>
      <c r="F207" s="977" t="s">
        <v>4980</v>
      </c>
      <c r="G207" s="1320" t="s">
        <v>4800</v>
      </c>
      <c r="H207" s="1320"/>
      <c r="I207" s="1320"/>
      <c r="J207" s="1320"/>
      <c r="K207" s="1320"/>
      <c r="L207" s="1321"/>
      <c r="M207" s="1320"/>
      <c r="N207" s="1320"/>
      <c r="O207" s="1322"/>
      <c r="P207" s="1320"/>
      <c r="Q207" s="1320"/>
      <c r="R207" s="1320"/>
      <c r="S207" s="1320"/>
      <c r="T207" s="1320"/>
      <c r="U207" s="1320"/>
      <c r="V207" s="1320"/>
      <c r="W207" s="1320"/>
      <c r="X207" s="1320"/>
      <c r="Y207" s="1320"/>
      <c r="Z207" s="25"/>
      <c r="AA207" s="25"/>
      <c r="AB207" s="25"/>
      <c r="AC207" s="25"/>
    </row>
    <row r="208" spans="1:29" x14ac:dyDescent="0.25">
      <c r="A208" s="25"/>
      <c r="B208" s="25"/>
      <c r="C208" s="218"/>
      <c r="D208" s="70"/>
      <c r="E208" s="70"/>
      <c r="F208" s="70"/>
      <c r="G208" s="70"/>
      <c r="H208" s="70"/>
      <c r="I208" s="70"/>
      <c r="J208" s="70"/>
      <c r="K208" s="974" t="s">
        <v>4981</v>
      </c>
      <c r="L208" s="140"/>
      <c r="M208" s="72" t="s">
        <v>4701</v>
      </c>
      <c r="N208" s="12"/>
      <c r="O208" s="494"/>
      <c r="P208" s="12"/>
      <c r="Q208" s="12"/>
      <c r="R208" s="12"/>
      <c r="S208" s="12"/>
      <c r="T208" s="12"/>
      <c r="U208" s="26"/>
      <c r="V208" s="26"/>
      <c r="W208" s="12"/>
      <c r="X208" s="12"/>
      <c r="Y208" s="12"/>
      <c r="Z208" s="25"/>
      <c r="AA208" s="25"/>
      <c r="AB208" s="25"/>
      <c r="AC208" s="25"/>
    </row>
    <row r="209" spans="1:29" x14ac:dyDescent="0.25">
      <c r="A209" s="25"/>
      <c r="B209" s="25"/>
      <c r="C209" s="218"/>
      <c r="D209" s="70"/>
      <c r="E209" s="70"/>
      <c r="F209" s="70"/>
      <c r="G209" s="70"/>
      <c r="H209" s="70"/>
      <c r="I209" s="70"/>
      <c r="J209" s="70"/>
      <c r="K209" s="974" t="s">
        <v>4982</v>
      </c>
      <c r="L209" s="140"/>
      <c r="M209" s="72" t="s">
        <v>4701</v>
      </c>
      <c r="N209" s="12"/>
      <c r="O209" s="494"/>
      <c r="P209" s="12"/>
      <c r="Q209" s="12"/>
      <c r="R209" s="12"/>
      <c r="S209" s="12"/>
      <c r="T209" s="12"/>
      <c r="U209" s="26"/>
      <c r="V209" s="26"/>
      <c r="W209" s="12"/>
      <c r="X209" s="12"/>
      <c r="Y209" s="12"/>
      <c r="Z209" s="25"/>
      <c r="AA209" s="25"/>
      <c r="AB209" s="25"/>
      <c r="AC209" s="25"/>
    </row>
    <row r="210" spans="1:29" x14ac:dyDescent="0.25">
      <c r="A210" s="25"/>
      <c r="B210" s="25"/>
      <c r="C210" s="218"/>
      <c r="D210" s="70"/>
      <c r="E210" s="70"/>
      <c r="F210" s="70"/>
      <c r="G210" s="70"/>
      <c r="H210" s="70"/>
      <c r="I210" s="70"/>
      <c r="J210" s="70"/>
      <c r="K210" s="974" t="s">
        <v>4983</v>
      </c>
      <c r="L210" s="140"/>
      <c r="M210" s="72" t="s">
        <v>4701</v>
      </c>
      <c r="N210" s="12"/>
      <c r="O210" s="494"/>
      <c r="P210" s="12"/>
      <c r="Q210" s="12"/>
      <c r="R210" s="12"/>
      <c r="S210" s="12"/>
      <c r="T210" s="12"/>
      <c r="U210" s="26"/>
      <c r="V210" s="26"/>
      <c r="W210" s="12"/>
      <c r="X210" s="12"/>
      <c r="Y210" s="12"/>
      <c r="Z210" s="25"/>
      <c r="AA210" s="25"/>
      <c r="AB210" s="25"/>
      <c r="AC210" s="25"/>
    </row>
    <row r="211" spans="1:29" x14ac:dyDescent="0.25">
      <c r="A211" s="25"/>
      <c r="B211" s="25"/>
      <c r="C211" s="218"/>
      <c r="D211" s="70"/>
      <c r="E211" s="70"/>
      <c r="F211" s="70"/>
      <c r="G211" s="70"/>
      <c r="H211" s="70"/>
      <c r="I211" s="70"/>
      <c r="J211" s="70"/>
      <c r="K211" s="974" t="s">
        <v>4984</v>
      </c>
      <c r="L211" s="140"/>
      <c r="M211" s="72" t="s">
        <v>4701</v>
      </c>
      <c r="N211" s="12"/>
      <c r="O211" s="494"/>
      <c r="P211" s="12"/>
      <c r="Q211" s="12"/>
      <c r="R211" s="12"/>
      <c r="S211" s="12"/>
      <c r="T211" s="12"/>
      <c r="U211" s="26"/>
      <c r="V211" s="26"/>
      <c r="W211" s="12"/>
      <c r="X211" s="12"/>
      <c r="Y211" s="12"/>
      <c r="Z211" s="25"/>
      <c r="AA211" s="25"/>
      <c r="AB211" s="25"/>
      <c r="AC211" s="25"/>
    </row>
    <row r="212" spans="1:29" x14ac:dyDescent="0.25">
      <c r="A212" s="527"/>
      <c r="B212" s="527"/>
      <c r="C212" s="528"/>
      <c r="D212" s="529"/>
      <c r="E212" s="529"/>
      <c r="F212" s="529"/>
      <c r="G212" s="529"/>
      <c r="H212" s="529"/>
      <c r="I212" s="529"/>
      <c r="J212" s="529"/>
      <c r="K212" s="530"/>
      <c r="L212" s="531"/>
      <c r="M212" s="532"/>
      <c r="N212" s="530"/>
      <c r="O212" s="533"/>
      <c r="P212" s="530"/>
      <c r="Q212" s="530"/>
      <c r="R212" s="530"/>
      <c r="S212" s="530"/>
      <c r="T212" s="530"/>
      <c r="U212" s="534"/>
      <c r="V212" s="534"/>
      <c r="W212" s="530"/>
      <c r="X212" s="530"/>
      <c r="Y212" s="530"/>
      <c r="Z212" s="527"/>
      <c r="AA212" s="527"/>
      <c r="AB212" s="527"/>
      <c r="AC212" s="527"/>
    </row>
    <row r="213" spans="1:29" x14ac:dyDescent="0.25">
      <c r="A213" s="25"/>
      <c r="B213" s="25"/>
      <c r="C213" s="218"/>
      <c r="D213" s="70"/>
      <c r="E213" s="70"/>
      <c r="F213" s="70"/>
      <c r="G213" s="70"/>
      <c r="H213" s="70"/>
      <c r="I213" s="70"/>
      <c r="J213" s="70"/>
      <c r="K213" s="12"/>
      <c r="L213" s="140"/>
      <c r="M213" s="379"/>
      <c r="N213" s="12"/>
      <c r="O213" s="494"/>
      <c r="P213" s="12"/>
      <c r="Q213" s="12"/>
      <c r="R213" s="12"/>
      <c r="S213" s="12"/>
      <c r="T213" s="12"/>
      <c r="U213" s="26"/>
      <c r="V213" s="26"/>
      <c r="W213" s="12"/>
      <c r="X213" s="12"/>
      <c r="Y213" s="12"/>
      <c r="Z213" s="25"/>
      <c r="AA213" s="25"/>
      <c r="AB213" s="25"/>
      <c r="AC213" s="25"/>
    </row>
    <row r="214" spans="1:29" ht="16.5" customHeight="1" x14ac:dyDescent="0.25">
      <c r="A214" s="509"/>
      <c r="B214" s="509"/>
      <c r="C214" s="510"/>
      <c r="D214" s="304"/>
      <c r="E214" s="304"/>
      <c r="H214" s="511"/>
      <c r="I214" s="511"/>
      <c r="J214" s="511"/>
      <c r="K214" s="511"/>
      <c r="L214" s="512"/>
      <c r="M214" s="511"/>
      <c r="N214" s="511"/>
      <c r="O214" s="513"/>
      <c r="P214" s="511"/>
      <c r="Q214" s="511"/>
      <c r="R214" s="511"/>
      <c r="S214" s="511"/>
      <c r="T214" s="511"/>
      <c r="U214" s="511"/>
      <c r="V214" s="511"/>
      <c r="W214" s="511"/>
      <c r="X214" s="511"/>
      <c r="Y214" s="511"/>
      <c r="Z214" s="304"/>
      <c r="AA214" s="304"/>
      <c r="AB214" s="304"/>
      <c r="AC214" s="304"/>
    </row>
    <row r="215" spans="1:29" ht="16.5" customHeight="1" x14ac:dyDescent="0.25">
      <c r="A215" s="509"/>
      <c r="B215" s="509"/>
      <c r="C215" s="510"/>
      <c r="D215" s="304"/>
      <c r="E215" s="304"/>
      <c r="H215" s="511"/>
      <c r="I215" s="511"/>
      <c r="J215" s="511"/>
      <c r="K215" s="511"/>
      <c r="L215" s="512"/>
      <c r="M215" s="511"/>
      <c r="N215" s="511"/>
      <c r="O215" s="513"/>
      <c r="P215" s="511"/>
      <c r="Q215" s="511"/>
      <c r="R215" s="511"/>
      <c r="S215" s="511"/>
      <c r="T215" s="511"/>
      <c r="U215" s="511"/>
      <c r="V215" s="511"/>
      <c r="W215" s="511"/>
      <c r="X215" s="511"/>
      <c r="Y215" s="511"/>
      <c r="Z215" s="304"/>
      <c r="AA215" s="304"/>
      <c r="AB215" s="304"/>
      <c r="AC215" s="304"/>
    </row>
    <row r="216" spans="1:29" ht="16.5" customHeight="1" x14ac:dyDescent="0.25">
      <c r="A216" s="509"/>
      <c r="B216" s="509"/>
      <c r="C216" s="510"/>
      <c r="D216" s="304"/>
      <c r="E216" s="304"/>
      <c r="H216" s="511"/>
      <c r="I216" s="511"/>
      <c r="J216" s="511"/>
      <c r="K216" s="12"/>
      <c r="L216" s="140"/>
      <c r="M216" s="511"/>
      <c r="N216" s="511"/>
      <c r="O216" s="513"/>
      <c r="P216" s="511"/>
      <c r="Q216" s="511"/>
      <c r="R216" s="511"/>
      <c r="S216" s="511"/>
      <c r="T216" s="511"/>
      <c r="U216" s="511"/>
      <c r="V216" s="511"/>
      <c r="W216" s="511"/>
      <c r="X216" s="511"/>
      <c r="Y216" s="511"/>
      <c r="Z216" s="304"/>
      <c r="AA216" s="304"/>
      <c r="AB216" s="304"/>
      <c r="AC216" s="304"/>
    </row>
    <row r="217" spans="1:29" ht="16.5" customHeight="1" x14ac:dyDescent="0.25">
      <c r="A217" s="509"/>
      <c r="B217" s="509"/>
      <c r="C217" s="510"/>
      <c r="D217" s="304"/>
      <c r="E217" s="304"/>
      <c r="H217" s="511"/>
      <c r="I217" s="511"/>
      <c r="J217" s="511"/>
      <c r="K217" s="511"/>
      <c r="L217" s="512"/>
      <c r="M217" s="511"/>
      <c r="N217" s="511"/>
      <c r="O217" s="513"/>
      <c r="P217" s="511"/>
      <c r="Q217" s="511"/>
      <c r="R217" s="511"/>
      <c r="S217" s="511"/>
      <c r="T217" s="511"/>
      <c r="U217" s="511"/>
      <c r="V217" s="511"/>
      <c r="W217" s="511"/>
      <c r="X217" s="511"/>
      <c r="Y217" s="511"/>
      <c r="Z217" s="304"/>
      <c r="AA217" s="304"/>
      <c r="AB217" s="304"/>
      <c r="AC217" s="304"/>
    </row>
    <row r="218" spans="1:29" ht="16.5" customHeight="1" x14ac:dyDescent="0.25">
      <c r="A218" s="509"/>
      <c r="B218" s="509"/>
      <c r="C218" s="510"/>
      <c r="D218" s="304"/>
      <c r="E218" s="304"/>
      <c r="H218" s="511"/>
      <c r="I218" s="511"/>
      <c r="J218" s="511"/>
      <c r="K218" s="511"/>
      <c r="L218" s="512"/>
      <c r="M218" s="511"/>
      <c r="N218" s="511"/>
      <c r="O218" s="513"/>
      <c r="P218" s="511"/>
      <c r="Q218" s="511"/>
      <c r="R218" s="511"/>
      <c r="S218" s="511"/>
      <c r="T218" s="511"/>
      <c r="U218" s="511"/>
      <c r="V218" s="511"/>
      <c r="W218" s="511"/>
      <c r="X218" s="511"/>
      <c r="Y218" s="511"/>
      <c r="Z218" s="304"/>
      <c r="AA218" s="304"/>
      <c r="AB218" s="304"/>
      <c r="AC218" s="304"/>
    </row>
    <row r="219" spans="1:29" ht="16.5" customHeight="1" x14ac:dyDescent="0.25">
      <c r="A219" s="509"/>
      <c r="B219" s="509"/>
      <c r="C219" s="510"/>
      <c r="D219" s="304"/>
      <c r="E219" s="304"/>
      <c r="H219" s="511"/>
      <c r="I219" s="511"/>
      <c r="J219" s="511"/>
      <c r="K219" s="511"/>
      <c r="L219" s="512"/>
      <c r="M219" s="511"/>
      <c r="N219" s="511"/>
      <c r="O219" s="513"/>
      <c r="P219" s="511"/>
      <c r="Q219" s="511"/>
      <c r="R219" s="511"/>
      <c r="S219" s="511"/>
      <c r="T219" s="511"/>
      <c r="U219" s="511"/>
      <c r="V219" s="511"/>
      <c r="W219" s="511"/>
      <c r="X219" s="511"/>
      <c r="Y219" s="511"/>
      <c r="Z219" s="304"/>
      <c r="AA219" s="304"/>
      <c r="AB219" s="304"/>
      <c r="AC219" s="304"/>
    </row>
    <row r="220" spans="1:29" ht="30" x14ac:dyDescent="0.25">
      <c r="A220" s="25"/>
      <c r="B220" s="25"/>
      <c r="C220" s="218"/>
      <c r="D220" s="70"/>
      <c r="E220" s="70"/>
      <c r="F220" s="70"/>
      <c r="G220" s="71"/>
      <c r="H220" s="1330"/>
      <c r="I220" s="1295"/>
      <c r="J220" s="1295"/>
      <c r="K220" s="988"/>
      <c r="L220" s="989"/>
      <c r="M220" s="990"/>
      <c r="N220" s="499"/>
      <c r="O220" s="991" t="str">
        <f>HYPERLINK("http://wiki.academyofsports.online/tiki-index.php?page=Stellenanzeige-aufgeben-(0166)", "PP-Päd-001  (0166)")</f>
        <v>PP-Päd-001  (0166)</v>
      </c>
      <c r="P220" s="750"/>
      <c r="Q220" s="750"/>
      <c r="R220" s="750"/>
      <c r="S220" s="750"/>
      <c r="T220" s="750"/>
      <c r="U220" s="749"/>
      <c r="V220" s="749"/>
      <c r="W220" s="750"/>
      <c r="X220" s="750"/>
      <c r="Y220" s="750"/>
      <c r="Z220" s="68"/>
      <c r="AA220" s="68"/>
      <c r="AB220" s="68"/>
      <c r="AC220" s="68"/>
    </row>
    <row r="221" spans="1:29" ht="89.25" x14ac:dyDescent="0.25">
      <c r="A221" s="25"/>
      <c r="B221" s="25"/>
      <c r="C221" s="218"/>
      <c r="D221" s="70"/>
      <c r="E221" s="70"/>
      <c r="F221" s="70"/>
      <c r="G221" s="70"/>
      <c r="H221" s="535"/>
      <c r="I221" s="535"/>
      <c r="J221" s="535"/>
      <c r="K221" s="536"/>
      <c r="L221" s="474"/>
      <c r="M221" s="185"/>
      <c r="N221" s="536"/>
      <c r="O221" s="289"/>
      <c r="P221" s="127"/>
      <c r="Q221" s="12" t="s">
        <v>4985</v>
      </c>
      <c r="R221" s="127"/>
      <c r="S221" s="537" t="s">
        <v>4986</v>
      </c>
      <c r="T221" s="127" t="s">
        <v>4875</v>
      </c>
      <c r="U221" s="129"/>
      <c r="V221" s="129"/>
      <c r="W221" s="127"/>
      <c r="X221" s="127"/>
      <c r="Y221" s="127"/>
      <c r="Z221" s="68"/>
      <c r="AA221" s="68"/>
      <c r="AB221" s="68"/>
      <c r="AC221" s="68"/>
    </row>
    <row r="222" spans="1:29" ht="45" x14ac:dyDescent="0.25">
      <c r="A222" s="25"/>
      <c r="B222" s="25"/>
      <c r="C222" s="218"/>
      <c r="D222" s="70"/>
      <c r="E222" s="70"/>
      <c r="F222" s="70"/>
      <c r="G222" s="70"/>
      <c r="H222" s="134"/>
      <c r="I222" s="134"/>
      <c r="J222" s="134"/>
      <c r="K222" s="12"/>
      <c r="L222" s="140"/>
      <c r="M222" s="128"/>
      <c r="N222" s="127"/>
      <c r="O222" s="494" t="s">
        <v>4987</v>
      </c>
      <c r="P222" s="127"/>
      <c r="Q222" s="127" t="s">
        <v>4988</v>
      </c>
      <c r="R222" s="127"/>
      <c r="S222" s="127"/>
      <c r="T222" s="127" t="s">
        <v>4813</v>
      </c>
      <c r="U222" s="127"/>
      <c r="V222" s="127"/>
      <c r="W222" s="127"/>
      <c r="X222" s="127"/>
      <c r="Y222" s="127"/>
      <c r="Z222" s="25"/>
      <c r="AA222" s="25"/>
      <c r="AB222" s="25"/>
      <c r="AC222" s="25"/>
    </row>
    <row r="223" spans="1:29" x14ac:dyDescent="0.25">
      <c r="A223" s="25"/>
      <c r="B223" s="25"/>
      <c r="C223" s="218"/>
      <c r="D223" s="70"/>
      <c r="E223" s="70"/>
      <c r="F223" s="70"/>
      <c r="G223" s="70"/>
      <c r="H223" s="966"/>
      <c r="I223" s="1331"/>
      <c r="J223" s="1225"/>
      <c r="K223" s="1225"/>
      <c r="L223" s="1332"/>
      <c r="M223" s="1225"/>
      <c r="N223" s="1225"/>
      <c r="O223" s="992" t="str">
        <f>HYPERLINK("http://wiki.academyofsports.online/tiki-index.php?page=Stellenanzeige-aufgeben-(0166)", "0166")</f>
        <v>0166</v>
      </c>
      <c r="P223" s="750"/>
      <c r="Q223" s="750"/>
      <c r="R223" s="750"/>
      <c r="S223" s="750"/>
      <c r="T223" s="993"/>
      <c r="U223" s="749"/>
      <c r="V223" s="749"/>
      <c r="W223" s="750"/>
      <c r="X223" s="750"/>
      <c r="Y223" s="750"/>
      <c r="Z223" s="981"/>
      <c r="AA223" s="981"/>
      <c r="AB223" s="981"/>
      <c r="AC223" s="981"/>
    </row>
    <row r="224" spans="1:29" x14ac:dyDescent="0.25">
      <c r="A224" s="25"/>
      <c r="B224" s="25"/>
      <c r="C224" s="218"/>
      <c r="D224" s="70"/>
      <c r="E224" s="70"/>
      <c r="F224" s="70"/>
      <c r="G224" s="70"/>
      <c r="H224" s="70"/>
      <c r="I224" s="70"/>
      <c r="J224" s="70"/>
      <c r="K224" s="12"/>
      <c r="L224" s="140"/>
      <c r="M224" s="128"/>
      <c r="N224" s="127"/>
      <c r="O224" s="127" t="s">
        <v>4989</v>
      </c>
      <c r="P224" s="12"/>
      <c r="Q224" s="12" t="s">
        <v>4990</v>
      </c>
      <c r="R224" s="12"/>
      <c r="S224" s="12"/>
      <c r="T224" s="127"/>
      <c r="U224" s="26"/>
      <c r="V224" s="26"/>
      <c r="W224" s="12"/>
      <c r="X224" s="12"/>
      <c r="Y224" s="12"/>
      <c r="Z224" s="25"/>
      <c r="AA224" s="25"/>
      <c r="AB224" s="25"/>
      <c r="AC224" s="25"/>
    </row>
    <row r="225" spans="1:29" x14ac:dyDescent="0.25">
      <c r="A225" s="25"/>
      <c r="B225" s="25"/>
      <c r="C225" s="218"/>
      <c r="D225" s="70"/>
      <c r="E225" s="70"/>
      <c r="F225" s="70"/>
      <c r="G225" s="70"/>
      <c r="H225" s="134"/>
      <c r="I225" s="134"/>
      <c r="J225" s="134"/>
      <c r="K225" s="12"/>
      <c r="L225" s="140"/>
      <c r="M225" s="72"/>
      <c r="N225" s="127"/>
      <c r="O225" s="127" t="s">
        <v>4989</v>
      </c>
      <c r="P225" s="127"/>
      <c r="Q225" s="127"/>
      <c r="R225" s="127"/>
      <c r="S225" s="127"/>
      <c r="T225" s="127" t="s">
        <v>4875</v>
      </c>
      <c r="U225" s="127"/>
      <c r="V225" s="127"/>
      <c r="W225" s="127"/>
      <c r="X225" s="127"/>
      <c r="Y225" s="127"/>
      <c r="Z225" s="25"/>
      <c r="AA225" s="25"/>
      <c r="AB225" s="25"/>
      <c r="AC225" s="25"/>
    </row>
    <row r="226" spans="1:29" ht="30" x14ac:dyDescent="0.25">
      <c r="A226" s="25"/>
      <c r="B226" s="25"/>
      <c r="C226" s="218"/>
      <c r="D226" s="70"/>
      <c r="E226" s="70"/>
      <c r="F226" s="70"/>
      <c r="G226" s="70"/>
      <c r="H226" s="70"/>
      <c r="I226" s="70"/>
      <c r="J226" s="70"/>
      <c r="K226" s="12"/>
      <c r="L226" s="140"/>
      <c r="M226" s="128"/>
      <c r="N226" s="127"/>
      <c r="O226" s="494"/>
      <c r="P226" s="12"/>
      <c r="Q226" s="12" t="s">
        <v>4991</v>
      </c>
      <c r="R226" s="12"/>
      <c r="S226" s="12"/>
      <c r="T226" s="127" t="s">
        <v>4813</v>
      </c>
      <c r="U226" s="26"/>
      <c r="V226" s="26"/>
      <c r="W226" s="12"/>
      <c r="X226" s="12"/>
      <c r="Y226" s="12"/>
      <c r="Z226" s="25"/>
      <c r="AA226" s="25"/>
      <c r="AB226" s="25"/>
      <c r="AC226" s="25"/>
    </row>
    <row r="227" spans="1:29" x14ac:dyDescent="0.25">
      <c r="A227" s="25"/>
      <c r="B227" s="25"/>
      <c r="C227" s="218"/>
      <c r="D227" s="70"/>
      <c r="E227" s="70"/>
      <c r="F227" s="70"/>
      <c r="G227" s="70"/>
      <c r="H227" s="70"/>
      <c r="I227" s="70"/>
      <c r="J227" s="70"/>
      <c r="K227" s="12"/>
      <c r="L227" s="140"/>
      <c r="M227" s="72"/>
      <c r="N227" s="127"/>
      <c r="O227" s="494"/>
      <c r="P227" s="12"/>
      <c r="Q227" s="12"/>
      <c r="R227" s="12"/>
      <c r="S227" s="12"/>
      <c r="T227" s="127"/>
      <c r="U227" s="26"/>
      <c r="V227" s="26"/>
      <c r="W227" s="12"/>
      <c r="X227" s="12"/>
      <c r="Y227" s="12"/>
      <c r="Z227" s="25"/>
      <c r="AA227" s="25"/>
      <c r="AB227" s="25"/>
      <c r="AC227" s="25"/>
    </row>
    <row r="228" spans="1:29" ht="45" x14ac:dyDescent="0.25">
      <c r="A228" s="25"/>
      <c r="B228" s="25"/>
      <c r="C228" s="218"/>
      <c r="D228" s="70"/>
      <c r="E228" s="70"/>
      <c r="F228" s="70"/>
      <c r="G228" s="70"/>
      <c r="H228" s="70"/>
      <c r="I228" s="70"/>
      <c r="J228" s="70"/>
      <c r="K228" s="12"/>
      <c r="L228" s="140"/>
      <c r="M228" s="72"/>
      <c r="N228" s="12"/>
      <c r="O228" s="494"/>
      <c r="P228" s="12"/>
      <c r="Q228" s="12" t="s">
        <v>4992</v>
      </c>
      <c r="R228" s="12"/>
      <c r="S228" s="12" t="s">
        <v>4993</v>
      </c>
      <c r="T228" s="127"/>
      <c r="U228" s="26"/>
      <c r="V228" s="26"/>
      <c r="W228" s="12"/>
      <c r="X228" s="12"/>
      <c r="Y228" s="12"/>
      <c r="Z228" s="25"/>
      <c r="AA228" s="25"/>
      <c r="AB228" s="25"/>
      <c r="AC228" s="25"/>
    </row>
    <row r="229" spans="1:29" ht="16.5" customHeight="1" x14ac:dyDescent="0.25">
      <c r="A229" s="25"/>
      <c r="B229" s="25"/>
      <c r="C229" s="218"/>
      <c r="D229" s="70"/>
      <c r="E229" s="70"/>
      <c r="F229" s="70"/>
      <c r="G229" s="70"/>
      <c r="H229" s="966"/>
      <c r="I229" s="1333"/>
      <c r="J229" s="1223"/>
      <c r="K229" s="1223"/>
      <c r="L229" s="1334"/>
      <c r="M229" s="1223"/>
      <c r="N229" s="1223"/>
      <c r="O229" s="991" t="str">
        <f>HYPERLINK("http://wiki.academyofsports.online/tiki-index.php?page=Bewerbungsprozess---Autor-(-PP-P%C3%A4d-004)", "PP-Päd-004")</f>
        <v>PP-Päd-004</v>
      </c>
      <c r="P229" s="750"/>
      <c r="Q229" s="750"/>
      <c r="R229" s="750"/>
      <c r="S229" s="750"/>
      <c r="T229" s="993"/>
      <c r="U229" s="749"/>
      <c r="V229" s="749"/>
      <c r="W229" s="750"/>
      <c r="X229" s="750"/>
      <c r="Y229" s="750"/>
      <c r="Z229" s="981"/>
      <c r="AA229" s="981"/>
      <c r="AB229" s="981"/>
      <c r="AC229" s="981"/>
    </row>
    <row r="230" spans="1:29" ht="60" x14ac:dyDescent="0.25">
      <c r="A230" s="25"/>
      <c r="B230" s="25"/>
      <c r="C230" s="218"/>
      <c r="D230" s="70"/>
      <c r="E230" s="70"/>
      <c r="F230" s="70"/>
      <c r="G230" s="70"/>
      <c r="H230" s="70"/>
      <c r="I230" s="70"/>
      <c r="J230" s="70"/>
      <c r="K230" s="12"/>
      <c r="L230" s="140"/>
      <c r="M230" s="128"/>
      <c r="N230" s="12"/>
      <c r="O230" s="494"/>
      <c r="P230" s="12"/>
      <c r="Q230" s="12" t="s">
        <v>4994</v>
      </c>
      <c r="R230" s="12"/>
      <c r="S230" s="12"/>
      <c r="T230" s="127" t="s">
        <v>4875</v>
      </c>
      <c r="U230" s="26" t="s">
        <v>31</v>
      </c>
      <c r="V230" s="26"/>
      <c r="W230" s="12"/>
      <c r="X230" s="12"/>
      <c r="Y230" s="12"/>
      <c r="Z230" s="25"/>
      <c r="AA230" s="25"/>
      <c r="AB230" s="25"/>
      <c r="AC230" s="25"/>
    </row>
    <row r="231" spans="1:29" ht="25.5" x14ac:dyDescent="0.25">
      <c r="A231" s="25"/>
      <c r="B231" s="25"/>
      <c r="C231" s="218"/>
      <c r="D231" s="70"/>
      <c r="E231" s="70"/>
      <c r="F231" s="70"/>
      <c r="G231" s="134"/>
      <c r="H231" s="134"/>
      <c r="I231" s="134"/>
      <c r="J231" s="134"/>
      <c r="K231" s="12"/>
      <c r="L231" s="140"/>
      <c r="M231" s="128"/>
      <c r="N231" s="12"/>
      <c r="O231" s="127"/>
      <c r="P231" s="127"/>
      <c r="Q231" s="127" t="s">
        <v>4995</v>
      </c>
      <c r="R231" s="127"/>
      <c r="S231" s="12"/>
      <c r="T231" s="129" t="s">
        <v>4813</v>
      </c>
      <c r="U231" s="129"/>
      <c r="V231" s="129"/>
      <c r="W231" s="127"/>
      <c r="X231" s="127"/>
      <c r="Y231" s="127"/>
      <c r="Z231" s="25"/>
      <c r="AA231" s="25"/>
      <c r="AB231" s="25"/>
      <c r="AC231" s="25"/>
    </row>
    <row r="232" spans="1:29" x14ac:dyDescent="0.25">
      <c r="A232" s="25"/>
      <c r="B232" s="25"/>
      <c r="C232" s="218"/>
      <c r="D232" s="70"/>
      <c r="E232" s="70"/>
      <c r="F232" s="70"/>
      <c r="G232" s="134"/>
      <c r="H232" s="134"/>
      <c r="I232" s="134"/>
      <c r="J232" s="134"/>
      <c r="K232" s="12"/>
      <c r="L232" s="140"/>
      <c r="M232" s="128"/>
      <c r="N232" s="12"/>
      <c r="O232" s="127"/>
      <c r="P232" s="127"/>
      <c r="Q232" s="127"/>
      <c r="R232" s="127"/>
      <c r="S232" s="12"/>
      <c r="T232" s="129"/>
      <c r="U232" s="129"/>
      <c r="V232" s="129"/>
      <c r="W232" s="127"/>
      <c r="X232" s="127"/>
      <c r="Y232" s="127"/>
      <c r="Z232" s="25"/>
      <c r="AA232" s="25"/>
      <c r="AB232" s="25"/>
      <c r="AC232" s="25"/>
    </row>
    <row r="233" spans="1:29" ht="25.5" x14ac:dyDescent="0.25">
      <c r="A233" s="25"/>
      <c r="B233" s="25"/>
      <c r="C233" s="218"/>
      <c r="D233" s="70"/>
      <c r="E233" s="70"/>
      <c r="F233" s="70"/>
      <c r="G233" s="134"/>
      <c r="H233" s="134"/>
      <c r="I233" s="134"/>
      <c r="J233" s="134"/>
      <c r="K233" s="12"/>
      <c r="L233" s="140"/>
      <c r="M233" s="128"/>
      <c r="N233" s="12"/>
      <c r="O233" s="127"/>
      <c r="P233" s="127"/>
      <c r="Q233" s="127" t="s">
        <v>4996</v>
      </c>
      <c r="R233" s="127"/>
      <c r="S233" s="12"/>
      <c r="T233" s="129" t="s">
        <v>4813</v>
      </c>
      <c r="U233" s="129"/>
      <c r="V233" s="129"/>
      <c r="W233" s="127"/>
      <c r="X233" s="127"/>
      <c r="Y233" s="127"/>
      <c r="Z233" s="25"/>
      <c r="AA233" s="25"/>
      <c r="AB233" s="25"/>
      <c r="AC233" s="25"/>
    </row>
    <row r="234" spans="1:29" ht="25.5" x14ac:dyDescent="0.25">
      <c r="A234" s="25"/>
      <c r="B234" s="25"/>
      <c r="C234" s="218"/>
      <c r="D234" s="70"/>
      <c r="E234" s="70"/>
      <c r="F234" s="70"/>
      <c r="G234" s="134"/>
      <c r="H234" s="134"/>
      <c r="I234" s="134"/>
      <c r="J234" s="134"/>
      <c r="K234" s="12"/>
      <c r="L234" s="140"/>
      <c r="M234" s="128"/>
      <c r="N234" s="12"/>
      <c r="O234" s="127"/>
      <c r="P234" s="127"/>
      <c r="Q234" s="127" t="s">
        <v>4996</v>
      </c>
      <c r="R234" s="127"/>
      <c r="S234" s="12"/>
      <c r="T234" s="129" t="s">
        <v>4813</v>
      </c>
      <c r="U234" s="129"/>
      <c r="V234" s="129"/>
      <c r="W234" s="127"/>
      <c r="X234" s="127"/>
      <c r="Y234" s="127"/>
      <c r="Z234" s="25"/>
      <c r="AA234" s="25"/>
      <c r="AB234" s="25"/>
      <c r="AC234" s="25"/>
    </row>
    <row r="235" spans="1:29" x14ac:dyDescent="0.25">
      <c r="A235" s="25"/>
      <c r="B235" s="25"/>
      <c r="C235" s="218"/>
      <c r="D235" s="70"/>
      <c r="E235" s="70"/>
      <c r="F235" s="70"/>
      <c r="G235" s="70"/>
      <c r="H235" s="402"/>
      <c r="I235" s="402"/>
      <c r="J235" s="402"/>
      <c r="K235" s="401"/>
      <c r="L235" s="538"/>
      <c r="M235" s="397"/>
      <c r="N235" s="401"/>
      <c r="O235" s="494"/>
      <c r="P235" s="12"/>
      <c r="Q235" s="12"/>
      <c r="R235" s="12"/>
      <c r="S235" s="12"/>
      <c r="T235" s="12" t="s">
        <v>4813</v>
      </c>
      <c r="U235" s="26"/>
      <c r="V235" s="26"/>
      <c r="W235" s="12"/>
      <c r="X235" s="12"/>
      <c r="Y235" s="12"/>
      <c r="Z235" s="25"/>
      <c r="AA235" s="25"/>
      <c r="AB235" s="25"/>
      <c r="AC235" s="25"/>
    </row>
    <row r="236" spans="1:29" x14ac:dyDescent="0.25">
      <c r="A236" s="25"/>
      <c r="B236" s="25"/>
      <c r="C236" s="218"/>
      <c r="D236" s="70"/>
      <c r="E236" s="70"/>
      <c r="F236" s="70"/>
      <c r="G236" s="70"/>
      <c r="H236" s="402"/>
      <c r="I236" s="402"/>
      <c r="J236" s="402"/>
      <c r="K236" s="401"/>
      <c r="L236" s="538"/>
      <c r="M236" s="397"/>
      <c r="N236" s="401"/>
      <c r="O236" s="494"/>
      <c r="P236" s="12"/>
      <c r="Q236" s="12"/>
      <c r="R236" s="12"/>
      <c r="S236" s="12"/>
      <c r="T236" s="12" t="s">
        <v>4813</v>
      </c>
      <c r="U236" s="26"/>
      <c r="V236" s="26"/>
      <c r="W236" s="12"/>
      <c r="X236" s="12"/>
      <c r="Y236" s="12"/>
      <c r="Z236" s="25"/>
      <c r="AA236" s="25"/>
      <c r="AB236" s="25"/>
      <c r="AC236" s="25"/>
    </row>
    <row r="237" spans="1:29" ht="38.25" x14ac:dyDescent="0.25">
      <c r="A237" s="25"/>
      <c r="B237" s="25"/>
      <c r="C237" s="218"/>
      <c r="D237" s="70"/>
      <c r="E237" s="70"/>
      <c r="F237" s="70"/>
      <c r="G237" s="134"/>
      <c r="H237" s="134"/>
      <c r="I237" s="134"/>
      <c r="J237" s="134"/>
      <c r="K237" s="12"/>
      <c r="L237" s="140"/>
      <c r="M237" s="128"/>
      <c r="N237" s="12"/>
      <c r="O237" s="127"/>
      <c r="P237" s="127"/>
      <c r="Q237" s="127" t="s">
        <v>4997</v>
      </c>
      <c r="R237" s="127"/>
      <c r="S237" s="537" t="s">
        <v>4998</v>
      </c>
      <c r="T237" s="129"/>
      <c r="U237" s="129"/>
      <c r="V237" s="129"/>
      <c r="W237" s="127"/>
      <c r="X237" s="127"/>
      <c r="Y237" s="127"/>
      <c r="Z237" s="25"/>
      <c r="AA237" s="25"/>
      <c r="AB237" s="25"/>
      <c r="AC237" s="25"/>
    </row>
    <row r="238" spans="1:29" x14ac:dyDescent="0.25">
      <c r="A238" s="25"/>
      <c r="B238" s="25"/>
      <c r="C238" s="218"/>
      <c r="D238" s="70"/>
      <c r="E238" s="70"/>
      <c r="F238" s="70"/>
      <c r="G238" s="134"/>
      <c r="H238" s="134"/>
      <c r="I238" s="134"/>
      <c r="J238" s="134"/>
      <c r="K238" s="127"/>
      <c r="L238" s="140"/>
      <c r="M238" s="72"/>
      <c r="N238" s="127"/>
      <c r="O238" s="127"/>
      <c r="P238" s="127"/>
      <c r="Q238" s="127"/>
      <c r="R238" s="127"/>
      <c r="S238" s="12"/>
      <c r="T238" s="129"/>
      <c r="U238" s="129"/>
      <c r="V238" s="129"/>
      <c r="W238" s="127"/>
      <c r="X238" s="127"/>
      <c r="Y238" s="127"/>
      <c r="Z238" s="25"/>
      <c r="AA238" s="25"/>
      <c r="AB238" s="25"/>
      <c r="AC238" s="25"/>
    </row>
    <row r="239" spans="1:29" ht="72" x14ac:dyDescent="0.25">
      <c r="A239" s="25"/>
      <c r="B239" s="25"/>
      <c r="C239" s="218"/>
      <c r="D239" s="70"/>
      <c r="E239" s="70"/>
      <c r="F239" s="70"/>
      <c r="G239" s="134"/>
      <c r="H239" s="134"/>
      <c r="I239" s="134"/>
      <c r="J239" s="134"/>
      <c r="K239" s="127"/>
      <c r="L239" s="472"/>
      <c r="M239" s="128"/>
      <c r="N239" s="127"/>
      <c r="O239" s="127"/>
      <c r="P239" s="127"/>
      <c r="Q239" s="127" t="s">
        <v>4999</v>
      </c>
      <c r="R239" s="127" t="s">
        <v>5000</v>
      </c>
      <c r="S239" s="12" t="s">
        <v>5001</v>
      </c>
      <c r="T239" s="129" t="s">
        <v>129</v>
      </c>
      <c r="U239" s="129"/>
      <c r="V239" s="129"/>
      <c r="W239" s="127"/>
      <c r="X239" s="127"/>
      <c r="Y239" s="127"/>
      <c r="Z239" s="25"/>
      <c r="AA239" s="25"/>
      <c r="AB239" s="25"/>
      <c r="AC239" s="25"/>
    </row>
    <row r="240" spans="1:29" ht="63.75" x14ac:dyDescent="0.25">
      <c r="A240" s="25"/>
      <c r="B240" s="25"/>
      <c r="C240" s="218"/>
      <c r="D240" s="70"/>
      <c r="E240" s="70"/>
      <c r="F240" s="70"/>
      <c r="G240" s="134"/>
      <c r="H240" s="134"/>
      <c r="I240" s="134"/>
      <c r="J240" s="134"/>
      <c r="K240" s="152"/>
      <c r="L240" s="473"/>
      <c r="M240" s="153"/>
      <c r="N240" s="152"/>
      <c r="O240" s="154"/>
      <c r="P240" s="152"/>
      <c r="Q240" s="152" t="s">
        <v>5002</v>
      </c>
      <c r="R240" s="152" t="s">
        <v>5003</v>
      </c>
      <c r="S240" s="152"/>
      <c r="T240" s="127" t="s">
        <v>4813</v>
      </c>
      <c r="U240" s="155"/>
      <c r="V240" s="155"/>
      <c r="W240" s="152"/>
      <c r="X240" s="152"/>
      <c r="Y240" s="152"/>
      <c r="Z240" s="25"/>
      <c r="AA240" s="25"/>
      <c r="AB240" s="25"/>
      <c r="AC240" s="25"/>
    </row>
    <row r="241" spans="1:29" ht="75" x14ac:dyDescent="0.25">
      <c r="A241" s="539"/>
      <c r="B241" s="539"/>
      <c r="C241" s="218"/>
      <c r="D241" s="367"/>
      <c r="E241" s="367"/>
      <c r="F241" s="367"/>
      <c r="G241" s="367"/>
      <c r="H241" s="367"/>
      <c r="I241" s="367"/>
      <c r="J241" s="367"/>
      <c r="K241" s="418"/>
      <c r="L241" s="329"/>
      <c r="M241" s="201"/>
      <c r="N241" s="418"/>
      <c r="O241" s="540"/>
      <c r="P241" s="418"/>
      <c r="Q241" s="418" t="s">
        <v>5004</v>
      </c>
      <c r="R241" s="418"/>
      <c r="S241" s="418"/>
      <c r="T241" s="541" t="s">
        <v>4875</v>
      </c>
      <c r="U241" s="542"/>
      <c r="V241" s="542"/>
      <c r="W241" s="418"/>
      <c r="X241" s="418"/>
      <c r="Y241" s="418"/>
      <c r="Z241" s="25"/>
      <c r="AA241" s="25"/>
      <c r="AB241" s="25"/>
      <c r="AC241" s="25"/>
    </row>
    <row r="242" spans="1:29" ht="45" x14ac:dyDescent="0.25">
      <c r="A242" s="539"/>
      <c r="B242" s="539"/>
      <c r="C242" s="218"/>
      <c r="D242" s="502"/>
      <c r="E242" s="502"/>
      <c r="F242" s="502"/>
      <c r="G242" s="502"/>
      <c r="H242" s="502"/>
      <c r="I242" s="502"/>
      <c r="J242" s="502"/>
      <c r="K242" s="994"/>
      <c r="L242" s="468"/>
      <c r="M242" s="72"/>
      <c r="N242" s="505"/>
      <c r="O242" s="506"/>
      <c r="P242" s="505"/>
      <c r="Q242" s="505"/>
      <c r="R242" s="505"/>
      <c r="S242" s="505" t="s">
        <v>5005</v>
      </c>
      <c r="T242" s="505"/>
      <c r="U242" s="507"/>
      <c r="V242" s="507"/>
      <c r="W242" s="505"/>
      <c r="X242" s="505"/>
      <c r="Y242" s="505"/>
      <c r="Z242" s="25"/>
      <c r="AA242" s="25"/>
      <c r="AB242" s="25"/>
      <c r="AC242" s="25"/>
    </row>
    <row r="243" spans="1:29" x14ac:dyDescent="0.25">
      <c r="A243" s="539"/>
      <c r="B243" s="539"/>
      <c r="C243" s="218"/>
      <c r="D243" s="502"/>
      <c r="E243" s="502"/>
      <c r="F243" s="502"/>
      <c r="G243" s="502"/>
      <c r="H243" s="502"/>
      <c r="I243" s="70"/>
      <c r="J243" s="70"/>
      <c r="K243" s="12"/>
      <c r="L243" s="140"/>
      <c r="M243" s="72"/>
      <c r="N243" s="12"/>
      <c r="O243" s="506"/>
      <c r="P243" s="505"/>
      <c r="Q243" s="505"/>
      <c r="R243" s="505"/>
      <c r="S243" s="505"/>
      <c r="T243" s="543" t="s">
        <v>4875</v>
      </c>
      <c r="U243" s="507"/>
      <c r="V243" s="507"/>
      <c r="W243" s="505"/>
      <c r="X243" s="505"/>
      <c r="Y243" s="505"/>
      <c r="Z243" s="25"/>
      <c r="AA243" s="25"/>
      <c r="AB243" s="25"/>
      <c r="AC243" s="25"/>
    </row>
    <row r="244" spans="1:29" ht="15.75" customHeight="1" x14ac:dyDescent="0.25">
      <c r="A244" s="25"/>
      <c r="B244" s="25"/>
      <c r="C244" s="218"/>
      <c r="D244" s="192"/>
      <c r="E244" s="192"/>
      <c r="F244" s="192"/>
      <c r="G244" s="192"/>
      <c r="H244" s="192"/>
      <c r="I244" s="219"/>
      <c r="J244" s="219"/>
      <c r="K244" s="305"/>
      <c r="L244" s="305"/>
      <c r="M244" s="544"/>
      <c r="N244" s="545"/>
      <c r="O244" s="515"/>
      <c r="P244" s="63"/>
      <c r="Q244" s="63"/>
      <c r="R244" s="63"/>
      <c r="S244" s="63"/>
      <c r="T244" s="63"/>
      <c r="U244" s="99"/>
      <c r="V244" s="99"/>
      <c r="W244" s="63"/>
      <c r="X244" s="63"/>
      <c r="Y244" s="63"/>
      <c r="Z244" s="63"/>
      <c r="AA244" s="63"/>
      <c r="AB244" s="63"/>
      <c r="AC244" s="63"/>
    </row>
    <row r="245" spans="1:29" ht="15.75" customHeight="1" x14ac:dyDescent="0.25">
      <c r="A245" s="25"/>
      <c r="B245" s="25"/>
      <c r="C245" s="218"/>
      <c r="D245" s="192"/>
      <c r="E245" s="192"/>
      <c r="F245" s="192"/>
      <c r="G245" s="192"/>
      <c r="H245" s="192"/>
      <c r="I245" s="192"/>
      <c r="J245" s="192"/>
      <c r="K245" s="307"/>
      <c r="L245" s="546"/>
      <c r="M245" s="98"/>
      <c r="N245" s="63"/>
      <c r="O245" s="515"/>
      <c r="P245" s="63"/>
      <c r="Q245" s="63"/>
      <c r="R245" s="63"/>
      <c r="S245" s="63"/>
      <c r="T245" s="63"/>
      <c r="U245" s="99"/>
      <c r="V245" s="99"/>
      <c r="W245" s="63"/>
      <c r="X245" s="63"/>
      <c r="Y245" s="63"/>
      <c r="Z245" s="63"/>
      <c r="AA245" s="63"/>
      <c r="AB245" s="63"/>
      <c r="AC245" s="63"/>
    </row>
    <row r="246" spans="1:29" x14ac:dyDescent="0.25">
      <c r="A246" s="539"/>
      <c r="B246" s="539"/>
      <c r="C246" s="218"/>
      <c r="D246" s="502"/>
      <c r="E246" s="502"/>
      <c r="F246" s="502"/>
      <c r="G246" s="502"/>
      <c r="H246" s="502"/>
      <c r="I246" s="502"/>
      <c r="J246" s="502"/>
      <c r="K246" s="12"/>
      <c r="L246" s="140"/>
      <c r="M246" s="72"/>
      <c r="N246" s="505"/>
      <c r="O246" s="506"/>
      <c r="P246" s="505"/>
      <c r="Q246" s="505"/>
      <c r="R246" s="505"/>
      <c r="S246" s="505"/>
      <c r="T246" s="543"/>
      <c r="U246" s="507"/>
      <c r="V246" s="507"/>
      <c r="W246" s="505"/>
      <c r="X246" s="505"/>
      <c r="Y246" s="505"/>
      <c r="Z246" s="25"/>
      <c r="AA246" s="25"/>
      <c r="AB246" s="25"/>
      <c r="AC246" s="25"/>
    </row>
    <row r="247" spans="1:29" ht="16.5" customHeight="1" x14ac:dyDescent="0.25">
      <c r="A247" s="509"/>
      <c r="B247" s="509"/>
      <c r="C247" s="510"/>
      <c r="D247" s="304"/>
      <c r="E247" s="304"/>
      <c r="H247" s="511"/>
      <c r="I247" s="511"/>
      <c r="J247" s="511"/>
      <c r="K247" s="511"/>
      <c r="L247" s="512"/>
      <c r="M247" s="511"/>
      <c r="N247" s="511"/>
      <c r="O247" s="513"/>
      <c r="P247" s="511"/>
      <c r="Q247" s="511"/>
      <c r="R247" s="511"/>
      <c r="S247" s="511"/>
      <c r="T247" s="511"/>
      <c r="U247" s="511"/>
      <c r="V247" s="511"/>
      <c r="W247" s="511"/>
      <c r="X247" s="511"/>
      <c r="Y247" s="511"/>
      <c r="Z247" s="304"/>
      <c r="AA247" s="304"/>
      <c r="AB247" s="304"/>
      <c r="AC247" s="304"/>
    </row>
    <row r="248" spans="1:29" ht="16.5" customHeight="1" x14ac:dyDescent="0.25">
      <c r="A248" s="509"/>
      <c r="B248" s="509"/>
      <c r="C248" s="510"/>
      <c r="D248" s="304"/>
      <c r="E248" s="304"/>
      <c r="H248" s="511"/>
      <c r="I248" s="511"/>
      <c r="J248" s="511"/>
      <c r="K248" s="511"/>
      <c r="L248" s="512"/>
      <c r="M248" s="511"/>
      <c r="N248" s="511"/>
      <c r="O248" s="513"/>
      <c r="P248" s="511"/>
      <c r="Q248" s="511"/>
      <c r="R248" s="511"/>
      <c r="S248" s="511"/>
      <c r="T248" s="511"/>
      <c r="U248" s="511"/>
      <c r="V248" s="511"/>
      <c r="W248" s="511"/>
      <c r="X248" s="511"/>
      <c r="Y248" s="511"/>
      <c r="Z248" s="304"/>
      <c r="AA248" s="304"/>
      <c r="AB248" s="304"/>
      <c r="AC248" s="304"/>
    </row>
    <row r="249" spans="1:29" x14ac:dyDescent="0.25">
      <c r="A249" s="25"/>
      <c r="B249" s="25"/>
      <c r="C249" s="218"/>
      <c r="D249" s="966"/>
      <c r="E249" s="966"/>
      <c r="F249" s="966"/>
      <c r="G249" s="978"/>
      <c r="H249" s="1234"/>
      <c r="I249" s="1235"/>
      <c r="J249" s="1235"/>
      <c r="K249" s="1235"/>
      <c r="L249" s="1313"/>
      <c r="M249" s="1235"/>
      <c r="N249" s="1236"/>
      <c r="O249" s="750"/>
      <c r="P249" s="750"/>
      <c r="Q249" s="750"/>
      <c r="R249" s="750"/>
      <c r="S249" s="750"/>
      <c r="T249" s="965"/>
      <c r="U249" s="749"/>
      <c r="V249" s="749"/>
      <c r="W249" s="750"/>
      <c r="X249" s="750"/>
      <c r="Y249" s="750"/>
      <c r="Z249" s="981"/>
      <c r="AA249" s="981"/>
      <c r="AB249" s="981"/>
      <c r="AC249" s="981"/>
    </row>
    <row r="250" spans="1:29" ht="63.75" x14ac:dyDescent="0.25">
      <c r="A250" s="25"/>
      <c r="B250" s="25"/>
      <c r="C250" s="218"/>
      <c r="D250" s="70"/>
      <c r="E250" s="70"/>
      <c r="F250" s="70"/>
      <c r="G250" s="70"/>
      <c r="H250" s="70"/>
      <c r="I250" s="182"/>
      <c r="J250" s="182"/>
      <c r="K250" s="183"/>
      <c r="L250" s="474"/>
      <c r="M250" s="185"/>
      <c r="N250" s="186"/>
      <c r="O250" s="145"/>
      <c r="P250" s="12"/>
      <c r="Q250" s="12" t="s">
        <v>5006</v>
      </c>
      <c r="R250" s="69" t="s">
        <v>5007</v>
      </c>
      <c r="S250" s="69"/>
      <c r="T250" s="146" t="s">
        <v>129</v>
      </c>
      <c r="U250" s="26"/>
      <c r="V250" s="26"/>
      <c r="W250" s="70"/>
      <c r="X250" s="70"/>
      <c r="Y250" s="70"/>
      <c r="Z250" s="25"/>
      <c r="AA250" s="25"/>
      <c r="AB250" s="25"/>
      <c r="AC250" s="25"/>
    </row>
    <row r="251" spans="1:29" x14ac:dyDescent="0.25">
      <c r="A251" s="539"/>
      <c r="B251" s="539"/>
      <c r="C251" s="218"/>
      <c r="D251" s="502"/>
      <c r="E251" s="502"/>
      <c r="F251" s="502"/>
      <c r="G251" s="502"/>
      <c r="H251" s="502"/>
      <c r="I251" s="502"/>
      <c r="J251" s="502"/>
      <c r="K251" s="12"/>
      <c r="L251" s="140"/>
      <c r="M251" s="72"/>
      <c r="N251" s="505"/>
      <c r="O251" s="506"/>
      <c r="P251" s="505"/>
      <c r="Q251" s="505"/>
      <c r="R251" s="505"/>
      <c r="S251" s="505"/>
      <c r="T251" s="543"/>
      <c r="U251" s="507"/>
      <c r="V251" s="507"/>
      <c r="W251" s="505"/>
      <c r="X251" s="505"/>
      <c r="Y251" s="505"/>
      <c r="Z251" s="25"/>
      <c r="AA251" s="25"/>
      <c r="AB251" s="25"/>
      <c r="AC251" s="25"/>
    </row>
    <row r="252" spans="1:29" x14ac:dyDescent="0.25">
      <c r="A252" s="75"/>
      <c r="B252" s="75"/>
      <c r="C252" s="547"/>
      <c r="D252" s="548"/>
      <c r="E252" s="548"/>
      <c r="F252" s="548"/>
      <c r="G252" s="549"/>
      <c r="H252" s="549"/>
      <c r="I252" s="549"/>
      <c r="J252" s="549"/>
      <c r="K252" s="550"/>
      <c r="L252" s="551"/>
      <c r="M252" s="77"/>
      <c r="N252" s="76"/>
      <c r="O252" s="552"/>
      <c r="P252" s="553"/>
      <c r="Q252" s="553"/>
      <c r="R252" s="553"/>
      <c r="S252" s="553"/>
      <c r="T252" s="76" t="s">
        <v>4813</v>
      </c>
      <c r="U252" s="554"/>
      <c r="V252" s="554"/>
      <c r="W252" s="553"/>
      <c r="X252" s="553"/>
      <c r="Y252" s="553"/>
      <c r="Z252" s="75"/>
      <c r="AA252" s="75"/>
      <c r="AB252" s="75"/>
      <c r="AC252" s="75"/>
    </row>
    <row r="253" spans="1:29" x14ac:dyDescent="0.25">
      <c r="A253" s="75"/>
      <c r="B253" s="75"/>
      <c r="C253" s="547"/>
      <c r="D253" s="548"/>
      <c r="E253" s="548"/>
      <c r="F253" s="548"/>
      <c r="G253" s="549"/>
      <c r="H253" s="549"/>
      <c r="I253" s="549"/>
      <c r="J253" s="549"/>
      <c r="K253" s="547"/>
      <c r="L253" s="551"/>
      <c r="M253" s="77"/>
      <c r="N253" s="76"/>
      <c r="O253" s="555"/>
      <c r="P253" s="76"/>
      <c r="Q253" s="995"/>
      <c r="R253" s="76"/>
      <c r="S253" s="76"/>
      <c r="T253" s="76" t="s">
        <v>4813</v>
      </c>
      <c r="U253" s="78"/>
      <c r="V253" s="78"/>
      <c r="W253" s="76"/>
      <c r="X253" s="76"/>
      <c r="Y253" s="76"/>
      <c r="Z253" s="75"/>
      <c r="AA253" s="75"/>
      <c r="AB253" s="75"/>
      <c r="AC253" s="75"/>
    </row>
    <row r="254" spans="1:29" x14ac:dyDescent="0.25">
      <c r="A254" s="556"/>
      <c r="B254" s="556"/>
      <c r="C254" s="218"/>
      <c r="D254" s="557"/>
      <c r="E254" s="557"/>
      <c r="F254" s="557"/>
      <c r="G254" s="557"/>
      <c r="H254" s="558"/>
      <c r="I254" s="558"/>
      <c r="J254" s="558"/>
      <c r="K254" s="559"/>
      <c r="L254" s="560"/>
      <c r="M254" s="561"/>
      <c r="N254" s="559"/>
      <c r="O254" s="562"/>
      <c r="P254" s="563"/>
      <c r="Q254" s="563"/>
      <c r="R254" s="563"/>
      <c r="S254" s="563"/>
      <c r="T254" s="564" t="s">
        <v>4875</v>
      </c>
      <c r="U254" s="565"/>
      <c r="V254" s="565"/>
      <c r="W254" s="563"/>
      <c r="X254" s="563"/>
      <c r="Y254" s="563"/>
      <c r="Z254" s="566"/>
      <c r="AA254" s="566"/>
      <c r="AB254" s="566"/>
      <c r="AC254" s="566"/>
    </row>
    <row r="255" spans="1:29" x14ac:dyDescent="0.25">
      <c r="A255" s="556"/>
      <c r="B255" s="556"/>
      <c r="C255" s="218"/>
      <c r="D255" s="558"/>
      <c r="E255" s="558"/>
      <c r="F255" s="558"/>
      <c r="G255" s="558"/>
      <c r="H255" s="558"/>
      <c r="I255" s="558"/>
      <c r="J255" s="558"/>
      <c r="K255" s="559"/>
      <c r="L255" s="560"/>
      <c r="M255" s="561"/>
      <c r="N255" s="559"/>
      <c r="O255" s="567"/>
      <c r="P255" s="559"/>
      <c r="Q255" s="559"/>
      <c r="R255" s="559"/>
      <c r="S255" s="559"/>
      <c r="T255" s="568"/>
      <c r="U255" s="569"/>
      <c r="V255" s="569"/>
      <c r="W255" s="559"/>
      <c r="X255" s="559"/>
      <c r="Y255" s="559"/>
      <c r="Z255" s="566"/>
      <c r="AA255" s="566"/>
      <c r="AB255" s="566"/>
      <c r="AC255" s="566"/>
    </row>
    <row r="256" spans="1:29" x14ac:dyDescent="0.25">
      <c r="A256" s="75"/>
      <c r="B256" s="75"/>
      <c r="C256" s="547"/>
      <c r="D256" s="548"/>
      <c r="E256" s="548"/>
      <c r="F256" s="548"/>
      <c r="G256" s="549"/>
      <c r="H256" s="549"/>
      <c r="I256" s="549"/>
      <c r="J256" s="549"/>
      <c r="K256" s="547"/>
      <c r="L256" s="551"/>
      <c r="M256" s="77"/>
      <c r="N256" s="76"/>
      <c r="O256" s="555"/>
      <c r="P256" s="76"/>
      <c r="Q256" s="995"/>
      <c r="R256" s="76"/>
      <c r="S256" s="76"/>
      <c r="T256" s="76" t="s">
        <v>4813</v>
      </c>
      <c r="U256" s="78"/>
      <c r="V256" s="78"/>
      <c r="W256" s="76"/>
      <c r="X256" s="76"/>
      <c r="Y256" s="76"/>
      <c r="Z256" s="75"/>
      <c r="AA256" s="75"/>
      <c r="AB256" s="75"/>
      <c r="AC256" s="75"/>
    </row>
    <row r="257" spans="1:29" x14ac:dyDescent="0.25">
      <c r="A257" s="75"/>
      <c r="B257" s="75"/>
      <c r="C257" s="547"/>
      <c r="D257" s="548"/>
      <c r="E257" s="548"/>
      <c r="F257" s="548"/>
      <c r="G257" s="549"/>
      <c r="H257" s="549"/>
      <c r="I257" s="570"/>
      <c r="J257" s="570"/>
      <c r="K257" s="571"/>
      <c r="L257" s="572"/>
      <c r="M257" s="573"/>
      <c r="N257" s="574"/>
      <c r="O257" s="555"/>
      <c r="P257" s="76"/>
      <c r="Q257" s="995"/>
      <c r="R257" s="76"/>
      <c r="S257" s="76"/>
      <c r="T257" s="76" t="s">
        <v>4813</v>
      </c>
      <c r="U257" s="78"/>
      <c r="V257" s="78"/>
      <c r="W257" s="76"/>
      <c r="X257" s="76"/>
      <c r="Y257" s="76"/>
      <c r="Z257" s="75"/>
      <c r="AA257" s="75"/>
      <c r="AB257" s="75"/>
      <c r="AC257" s="75"/>
    </row>
    <row r="258" spans="1:29" x14ac:dyDescent="0.25">
      <c r="A258" s="25"/>
      <c r="B258" s="25"/>
      <c r="C258" s="218"/>
      <c r="D258" s="70"/>
      <c r="E258" s="70"/>
      <c r="F258" s="70"/>
      <c r="G258" s="182"/>
      <c r="H258" s="182"/>
      <c r="I258" s="70"/>
      <c r="J258" s="70"/>
      <c r="K258" s="12"/>
      <c r="L258" s="140"/>
      <c r="M258" s="72"/>
      <c r="N258" s="12"/>
      <c r="O258" s="526"/>
      <c r="P258" s="184"/>
      <c r="Q258" s="184"/>
      <c r="R258" s="184"/>
      <c r="S258" s="184"/>
      <c r="T258" s="184" t="s">
        <v>5008</v>
      </c>
      <c r="U258" s="311"/>
      <c r="V258" s="311"/>
      <c r="W258" s="184"/>
      <c r="X258" s="184"/>
      <c r="Y258" s="184"/>
      <c r="Z258" s="25"/>
      <c r="AA258" s="25"/>
      <c r="AB258" s="25"/>
      <c r="AC258" s="25"/>
    </row>
    <row r="259" spans="1:29" x14ac:dyDescent="0.25">
      <c r="A259" s="25"/>
      <c r="B259" s="25"/>
      <c r="C259" s="218"/>
      <c r="D259" s="70"/>
      <c r="E259" s="70"/>
      <c r="F259" s="70"/>
      <c r="G259" s="182"/>
      <c r="H259" s="182"/>
      <c r="I259" s="182"/>
      <c r="J259" s="182"/>
      <c r="K259" s="12"/>
      <c r="L259" s="140"/>
      <c r="M259" s="72"/>
      <c r="N259" s="12"/>
      <c r="O259" s="494"/>
      <c r="P259" s="12"/>
      <c r="Q259" s="877"/>
      <c r="R259" s="12"/>
      <c r="S259" s="12"/>
      <c r="T259" s="12" t="s">
        <v>4813</v>
      </c>
      <c r="U259" s="26"/>
      <c r="V259" s="26"/>
      <c r="W259" s="12"/>
      <c r="X259" s="12"/>
      <c r="Y259" s="12"/>
      <c r="Z259" s="25"/>
      <c r="AA259" s="25"/>
      <c r="AB259" s="25"/>
      <c r="AC259" s="25"/>
    </row>
    <row r="260" spans="1:29" x14ac:dyDescent="0.25">
      <c r="A260" s="25"/>
      <c r="B260" s="25"/>
      <c r="C260" s="218"/>
      <c r="D260" s="966"/>
      <c r="E260" s="966"/>
      <c r="F260" s="966"/>
      <c r="G260" s="978"/>
      <c r="H260" s="1234"/>
      <c r="I260" s="1235"/>
      <c r="J260" s="1235"/>
      <c r="K260" s="1235"/>
      <c r="L260" s="1313"/>
      <c r="M260" s="1235"/>
      <c r="N260" s="1236"/>
      <c r="O260" s="750"/>
      <c r="P260" s="750"/>
      <c r="Q260" s="750"/>
      <c r="R260" s="750"/>
      <c r="S260" s="750"/>
      <c r="T260" s="965"/>
      <c r="U260" s="749"/>
      <c r="V260" s="749"/>
      <c r="W260" s="750"/>
      <c r="X260" s="750"/>
      <c r="Y260" s="750"/>
      <c r="Z260" s="981"/>
      <c r="AA260" s="981"/>
      <c r="AB260" s="981"/>
      <c r="AC260" s="981"/>
    </row>
    <row r="261" spans="1:29" ht="60" x14ac:dyDescent="0.25">
      <c r="A261" s="25"/>
      <c r="B261" s="25"/>
      <c r="C261" s="218"/>
      <c r="D261" s="70"/>
      <c r="E261" s="70"/>
      <c r="F261" s="70"/>
      <c r="G261" s="182"/>
      <c r="H261" s="182"/>
      <c r="I261" s="182"/>
      <c r="J261" s="182"/>
      <c r="K261" s="218"/>
      <c r="L261" s="140"/>
      <c r="M261" s="72"/>
      <c r="N261" s="12"/>
      <c r="O261" s="494"/>
      <c r="P261" s="12"/>
      <c r="Q261" s="12" t="s">
        <v>5009</v>
      </c>
      <c r="R261" s="12"/>
      <c r="S261" s="12"/>
      <c r="T261" s="12" t="s">
        <v>4813</v>
      </c>
      <c r="U261" s="26"/>
      <c r="V261" s="26"/>
      <c r="W261" s="12"/>
      <c r="X261" s="12"/>
      <c r="Y261" s="12"/>
      <c r="Z261" s="25"/>
      <c r="AA261" s="25"/>
      <c r="AB261" s="25"/>
      <c r="AC261" s="25"/>
    </row>
    <row r="262" spans="1:29" x14ac:dyDescent="0.25">
      <c r="A262" s="25"/>
      <c r="B262" s="25"/>
      <c r="C262" s="218"/>
      <c r="D262" s="70"/>
      <c r="E262" s="70"/>
      <c r="F262" s="70"/>
      <c r="G262" s="182"/>
      <c r="H262" s="182"/>
      <c r="I262" s="182"/>
      <c r="J262" s="182"/>
      <c r="K262" s="184"/>
      <c r="L262" s="474"/>
      <c r="M262" s="72"/>
      <c r="N262" s="184"/>
      <c r="O262" s="526"/>
      <c r="P262" s="184"/>
      <c r="Q262" s="184"/>
      <c r="R262" s="184"/>
      <c r="S262" s="184"/>
      <c r="T262" s="184" t="s">
        <v>5008</v>
      </c>
      <c r="U262" s="311"/>
      <c r="V262" s="311"/>
      <c r="W262" s="184"/>
      <c r="X262" s="184"/>
      <c r="Y262" s="184"/>
      <c r="Z262" s="25"/>
      <c r="AA262" s="25"/>
      <c r="AB262" s="25"/>
      <c r="AC262" s="25"/>
    </row>
    <row r="263" spans="1:29" ht="150" x14ac:dyDescent="0.25">
      <c r="A263" s="25"/>
      <c r="B263" s="25"/>
      <c r="C263" s="218"/>
      <c r="D263" s="70"/>
      <c r="E263" s="70"/>
      <c r="F263" s="70"/>
      <c r="G263" s="70"/>
      <c r="H263" s="70"/>
      <c r="I263" s="70"/>
      <c r="J263" s="70"/>
      <c r="K263" s="140"/>
      <c r="L263" s="140"/>
      <c r="M263" s="72"/>
      <c r="N263" s="12"/>
      <c r="O263" s="494"/>
      <c r="P263" s="12"/>
      <c r="Q263" s="12" t="s">
        <v>5010</v>
      </c>
      <c r="R263" s="12" t="s">
        <v>5011</v>
      </c>
      <c r="S263" s="12" t="s">
        <v>5012</v>
      </c>
      <c r="T263" s="69" t="s">
        <v>4813</v>
      </c>
      <c r="U263" s="26"/>
      <c r="V263" s="26"/>
      <c r="W263" s="12"/>
      <c r="X263" s="12"/>
      <c r="Y263" s="12"/>
      <c r="Z263" s="25"/>
      <c r="AA263" s="25"/>
      <c r="AB263" s="25"/>
      <c r="AC263" s="25"/>
    </row>
    <row r="264" spans="1:29" x14ac:dyDescent="0.25">
      <c r="A264" s="25"/>
      <c r="B264" s="25"/>
      <c r="C264" s="218"/>
      <c r="D264" s="966"/>
      <c r="E264" s="966"/>
      <c r="F264" s="966"/>
      <c r="G264" s="978"/>
      <c r="H264" s="996"/>
      <c r="I264" s="997"/>
      <c r="J264" s="997"/>
      <c r="K264" s="997"/>
      <c r="L264" s="979"/>
      <c r="M264" s="914"/>
      <c r="N264" s="501"/>
      <c r="O264" s="750"/>
      <c r="P264" s="750"/>
      <c r="Q264" s="750"/>
      <c r="R264" s="750"/>
      <c r="S264" s="750"/>
      <c r="T264" s="965"/>
      <c r="U264" s="749"/>
      <c r="V264" s="749"/>
      <c r="W264" s="750"/>
      <c r="X264" s="750"/>
      <c r="Y264" s="750"/>
      <c r="Z264" s="981"/>
      <c r="AA264" s="981"/>
      <c r="AB264" s="981"/>
      <c r="AC264" s="981"/>
    </row>
    <row r="265" spans="1:29" ht="16.5" customHeight="1" x14ac:dyDescent="0.25">
      <c r="A265" s="509"/>
      <c r="B265" s="509"/>
      <c r="C265" s="510"/>
      <c r="D265" s="304"/>
      <c r="E265" s="304"/>
      <c r="H265" s="1335"/>
      <c r="I265" s="1335"/>
      <c r="J265" s="1335"/>
      <c r="K265" s="1335"/>
      <c r="L265" s="512"/>
      <c r="M265" s="511"/>
      <c r="N265" s="511"/>
      <c r="O265" s="724" t="str">
        <f>HYPERLINK("http://wiki.academyofsports.online/tiki-index.php?page=Projektbetreuung---Leitfaden-(0093)", "0093")</f>
        <v>0093</v>
      </c>
      <c r="P265" s="511"/>
      <c r="Q265" s="511"/>
      <c r="R265" s="511"/>
      <c r="S265" s="511"/>
      <c r="T265" s="511"/>
      <c r="U265" s="511"/>
      <c r="V265" s="511"/>
      <c r="W265" s="511"/>
      <c r="X265" s="511"/>
      <c r="Y265" s="511"/>
      <c r="Z265" s="304"/>
      <c r="AA265" s="304"/>
      <c r="AB265" s="304"/>
      <c r="AC265" s="304"/>
    </row>
    <row r="266" spans="1:29" x14ac:dyDescent="0.25">
      <c r="A266" s="25"/>
      <c r="B266" s="25"/>
      <c r="C266" s="218"/>
      <c r="D266" s="192"/>
      <c r="E266" s="192"/>
      <c r="F266" s="192"/>
      <c r="G266" s="192"/>
      <c r="H266" s="219"/>
      <c r="I266" s="219"/>
      <c r="J266" s="219"/>
      <c r="K266" s="545"/>
      <c r="L266" s="307"/>
      <c r="M266" s="98"/>
      <c r="N266" s="63"/>
      <c r="O266" s="515"/>
      <c r="P266" s="63"/>
      <c r="Q266" s="63"/>
      <c r="R266" s="63"/>
      <c r="S266" s="63"/>
      <c r="T266" s="184"/>
      <c r="U266" s="99"/>
      <c r="V266" s="99"/>
      <c r="W266" s="63"/>
      <c r="X266" s="63"/>
      <c r="Y266" s="63"/>
      <c r="Z266" s="63"/>
      <c r="AA266" s="63"/>
      <c r="AB266" s="63"/>
      <c r="AC266" s="63"/>
    </row>
    <row r="267" spans="1:29" ht="45" x14ac:dyDescent="0.25">
      <c r="A267" s="25"/>
      <c r="B267" s="25"/>
      <c r="C267" s="218"/>
      <c r="D267" s="192"/>
      <c r="E267" s="192"/>
      <c r="F267" s="192"/>
      <c r="G267" s="192"/>
      <c r="H267" s="192"/>
      <c r="I267" s="192"/>
      <c r="J267" s="192"/>
      <c r="K267" s="63"/>
      <c r="L267" s="307"/>
      <c r="M267" s="98"/>
      <c r="N267" s="63"/>
      <c r="O267" s="515"/>
      <c r="P267" s="63"/>
      <c r="Q267" s="63" t="s">
        <v>5013</v>
      </c>
      <c r="R267" s="63"/>
      <c r="S267" s="63"/>
      <c r="T267" s="184" t="s">
        <v>129</v>
      </c>
      <c r="U267" s="99"/>
      <c r="V267" s="99"/>
      <c r="W267" s="63"/>
      <c r="X267" s="63"/>
      <c r="Y267" s="63"/>
      <c r="Z267" s="63"/>
      <c r="AA267" s="63"/>
      <c r="AB267" s="63"/>
      <c r="AC267" s="63"/>
    </row>
    <row r="268" spans="1:29" ht="150" x14ac:dyDescent="0.25">
      <c r="A268" s="25"/>
      <c r="B268" s="25"/>
      <c r="C268" s="218"/>
      <c r="D268" s="192"/>
      <c r="E268" s="192"/>
      <c r="F268" s="192"/>
      <c r="G268" s="192"/>
      <c r="H268" s="192"/>
      <c r="I268" s="192"/>
      <c r="J268" s="192"/>
      <c r="K268" s="63"/>
      <c r="L268" s="307"/>
      <c r="M268" s="98"/>
      <c r="N268" s="63"/>
      <c r="O268" s="515"/>
      <c r="P268" s="63"/>
      <c r="Q268" s="63"/>
      <c r="R268" s="63"/>
      <c r="S268" s="63" t="s">
        <v>5014</v>
      </c>
      <c r="T268" s="184" t="s">
        <v>129</v>
      </c>
      <c r="U268" s="99"/>
      <c r="V268" s="99"/>
      <c r="W268" s="63"/>
      <c r="X268" s="63"/>
      <c r="Y268" s="63"/>
      <c r="Z268" s="63"/>
      <c r="AA268" s="63"/>
      <c r="AB268" s="63"/>
      <c r="AC268" s="63"/>
    </row>
    <row r="269" spans="1:29" x14ac:dyDescent="0.25">
      <c r="A269" s="25"/>
      <c r="B269" s="25"/>
      <c r="C269" s="218"/>
      <c r="D269" s="192"/>
      <c r="E269" s="192"/>
      <c r="F269" s="192"/>
      <c r="G269" s="192"/>
      <c r="H269" s="192"/>
      <c r="I269" s="192"/>
      <c r="J269" s="192"/>
      <c r="K269" s="63"/>
      <c r="L269" s="307"/>
      <c r="M269" s="98"/>
      <c r="N269" s="63"/>
      <c r="O269" s="515"/>
      <c r="P269" s="63"/>
      <c r="Q269" s="63"/>
      <c r="R269" s="63"/>
      <c r="S269" s="63"/>
      <c r="T269" s="184" t="s">
        <v>129</v>
      </c>
      <c r="U269" s="99" t="s">
        <v>1098</v>
      </c>
      <c r="V269" s="99"/>
      <c r="W269" s="63"/>
      <c r="X269" s="725" t="str">
        <f>HYPERLINK("https://www.meistertask.com/app/task/cVjolg0o/projekte-i-allgemein-projektabschnitte", "Projekte")</f>
        <v>Projekte</v>
      </c>
      <c r="Y269" s="63" t="s">
        <v>5015</v>
      </c>
      <c r="Z269" s="63"/>
      <c r="AA269" s="63"/>
      <c r="AB269" s="63"/>
      <c r="AC269" s="63"/>
    </row>
    <row r="270" spans="1:29" x14ac:dyDescent="0.25">
      <c r="A270" s="25"/>
      <c r="B270" s="25"/>
      <c r="C270" s="218"/>
      <c r="D270" s="192"/>
      <c r="E270" s="192"/>
      <c r="F270" s="192"/>
      <c r="G270" s="192"/>
      <c r="H270" s="192"/>
      <c r="I270" s="192"/>
      <c r="J270" s="192"/>
      <c r="K270" s="63"/>
      <c r="L270" s="307"/>
      <c r="M270" s="98"/>
      <c r="N270" s="63"/>
      <c r="O270" s="515"/>
      <c r="P270" s="63"/>
      <c r="Q270" s="63"/>
      <c r="R270" s="63"/>
      <c r="S270" s="63"/>
      <c r="T270" s="184" t="s">
        <v>5008</v>
      </c>
      <c r="U270" s="99"/>
      <c r="V270" s="99"/>
      <c r="W270" s="63"/>
      <c r="X270" s="63"/>
      <c r="Y270" s="63"/>
      <c r="Z270" s="63"/>
      <c r="AA270" s="63"/>
      <c r="AB270" s="63"/>
      <c r="AC270" s="63"/>
    </row>
    <row r="271" spans="1:29" ht="114.75" x14ac:dyDescent="0.25">
      <c r="A271" s="25"/>
      <c r="B271" s="25"/>
      <c r="C271" s="218"/>
      <c r="D271" s="192"/>
      <c r="E271" s="192"/>
      <c r="F271" s="192"/>
      <c r="G271" s="192"/>
      <c r="H271" s="192"/>
      <c r="I271" s="192"/>
      <c r="J271" s="192"/>
      <c r="K271" s="63"/>
      <c r="L271" s="307"/>
      <c r="M271" s="98"/>
      <c r="N271" s="63"/>
      <c r="O271" s="515"/>
      <c r="P271" s="63"/>
      <c r="Q271" s="63"/>
      <c r="R271" s="63"/>
      <c r="S271" s="63" t="s">
        <v>5016</v>
      </c>
      <c r="T271" s="184" t="s">
        <v>5008</v>
      </c>
      <c r="U271" s="99"/>
      <c r="V271" s="99"/>
      <c r="W271" s="63"/>
      <c r="X271" s="63"/>
      <c r="Y271" s="63"/>
      <c r="Z271" s="63"/>
      <c r="AA271" s="63"/>
      <c r="AB271" s="63"/>
      <c r="AC271" s="63"/>
    </row>
    <row r="272" spans="1:29" ht="75" x14ac:dyDescent="0.25">
      <c r="A272" s="25"/>
      <c r="B272" s="25"/>
      <c r="C272" s="218"/>
      <c r="D272" s="192"/>
      <c r="E272" s="192"/>
      <c r="F272" s="192"/>
      <c r="G272" s="192"/>
      <c r="H272" s="192"/>
      <c r="I272" s="192"/>
      <c r="J272" s="192"/>
      <c r="K272" s="63"/>
      <c r="L272" s="307"/>
      <c r="M272" s="98"/>
      <c r="N272" s="63"/>
      <c r="O272" s="515"/>
      <c r="P272" s="63"/>
      <c r="Q272" s="63" t="s">
        <v>5017</v>
      </c>
      <c r="R272" s="63"/>
      <c r="S272" s="63"/>
      <c r="T272" s="184" t="s">
        <v>5008</v>
      </c>
      <c r="U272" s="99"/>
      <c r="V272" s="99"/>
      <c r="W272" s="63"/>
      <c r="X272" s="63"/>
      <c r="Y272" s="63"/>
      <c r="Z272" s="63"/>
      <c r="AA272" s="63"/>
      <c r="AB272" s="63"/>
      <c r="AC272" s="63"/>
    </row>
    <row r="273" spans="1:29" x14ac:dyDescent="0.25">
      <c r="A273" s="25"/>
      <c r="B273" s="25"/>
      <c r="C273" s="218"/>
      <c r="D273" s="192"/>
      <c r="E273" s="192"/>
      <c r="F273" s="192"/>
      <c r="G273" s="192"/>
      <c r="H273" s="192"/>
      <c r="I273" s="192"/>
      <c r="J273" s="192"/>
      <c r="K273" s="63"/>
      <c r="L273" s="307"/>
      <c r="M273" s="98"/>
      <c r="N273" s="63"/>
      <c r="O273" s="515"/>
      <c r="P273" s="63"/>
      <c r="Q273" s="63"/>
      <c r="R273" s="63"/>
      <c r="S273" s="63"/>
      <c r="T273" s="184"/>
      <c r="U273" s="99"/>
      <c r="V273" s="99"/>
      <c r="W273" s="63"/>
      <c r="X273" s="63"/>
      <c r="Y273" s="63"/>
      <c r="Z273" s="63"/>
      <c r="AA273" s="63"/>
      <c r="AB273" s="63"/>
      <c r="AC273" s="63"/>
    </row>
    <row r="274" spans="1:29" x14ac:dyDescent="0.25">
      <c r="A274" s="25"/>
      <c r="B274" s="25"/>
      <c r="C274" s="218"/>
      <c r="D274" s="192"/>
      <c r="E274" s="192"/>
      <c r="F274" s="192"/>
      <c r="G274" s="192"/>
      <c r="H274" s="192"/>
      <c r="I274" s="192"/>
      <c r="J274" s="192"/>
      <c r="K274" s="63"/>
      <c r="L274" s="307"/>
      <c r="M274" s="98"/>
      <c r="N274" s="63"/>
      <c r="O274" s="515"/>
      <c r="P274" s="63"/>
      <c r="Q274" s="63"/>
      <c r="R274" s="63"/>
      <c r="S274" s="63"/>
      <c r="T274" s="184"/>
      <c r="U274" s="99"/>
      <c r="V274" s="99"/>
      <c r="W274" s="63"/>
      <c r="X274" s="63"/>
      <c r="Y274" s="63"/>
      <c r="Z274" s="63"/>
      <c r="AA274" s="63"/>
      <c r="AB274" s="63"/>
      <c r="AC274" s="63"/>
    </row>
    <row r="275" spans="1:29" x14ac:dyDescent="0.25">
      <c r="A275" s="25"/>
      <c r="B275" s="25"/>
      <c r="C275" s="218"/>
      <c r="D275" s="192"/>
      <c r="E275" s="192"/>
      <c r="F275" s="192"/>
      <c r="G275" s="192"/>
      <c r="H275" s="192"/>
      <c r="I275" s="192"/>
      <c r="J275" s="192"/>
      <c r="K275" s="63"/>
      <c r="L275" s="307"/>
      <c r="M275" s="98"/>
      <c r="N275" s="63"/>
      <c r="O275" s="515"/>
      <c r="P275" s="63"/>
      <c r="Q275" s="63"/>
      <c r="R275" s="63"/>
      <c r="S275" s="63"/>
      <c r="T275" s="184" t="s">
        <v>4813</v>
      </c>
      <c r="U275" s="99"/>
      <c r="V275" s="99"/>
      <c r="W275" s="63"/>
      <c r="X275" s="63"/>
      <c r="Y275" s="63"/>
      <c r="Z275" s="63"/>
      <c r="AA275" s="63"/>
      <c r="AB275" s="63"/>
      <c r="AC275" s="63"/>
    </row>
    <row r="276" spans="1:29" ht="45" x14ac:dyDescent="0.25">
      <c r="A276" s="25"/>
      <c r="B276" s="25"/>
      <c r="C276" s="218"/>
      <c r="D276" s="192"/>
      <c r="E276" s="192"/>
      <c r="F276" s="192"/>
      <c r="G276" s="192"/>
      <c r="H276" s="192"/>
      <c r="I276" s="192"/>
      <c r="J276" s="192"/>
      <c r="K276" s="63"/>
      <c r="L276" s="307"/>
      <c r="M276" s="98"/>
      <c r="N276" s="63"/>
      <c r="O276" s="515"/>
      <c r="P276" s="63"/>
      <c r="Q276" s="63" t="s">
        <v>5018</v>
      </c>
      <c r="R276" s="63"/>
      <c r="S276" s="63"/>
      <c r="T276" s="184" t="s">
        <v>4813</v>
      </c>
      <c r="U276" s="99"/>
      <c r="V276" s="99"/>
      <c r="W276" s="63"/>
      <c r="X276" s="63"/>
      <c r="Y276" s="63"/>
      <c r="Z276" s="63"/>
      <c r="AA276" s="63"/>
      <c r="AB276" s="63"/>
      <c r="AC276" s="63"/>
    </row>
    <row r="277" spans="1:29" ht="120" x14ac:dyDescent="0.25">
      <c r="A277" s="25"/>
      <c r="B277" s="25"/>
      <c r="C277" s="218"/>
      <c r="D277" s="70"/>
      <c r="E277" s="70"/>
      <c r="F277" s="70"/>
      <c r="G277" s="70"/>
      <c r="H277" s="70"/>
      <c r="I277" s="70"/>
      <c r="J277" s="70"/>
      <c r="K277" s="63"/>
      <c r="L277" s="140"/>
      <c r="M277" s="504"/>
      <c r="N277" s="12"/>
      <c r="O277" s="494"/>
      <c r="P277" s="12"/>
      <c r="Q277" s="12"/>
      <c r="R277" s="12"/>
      <c r="S277" s="12" t="s">
        <v>5019</v>
      </c>
      <c r="T277" s="12"/>
      <c r="U277" s="26"/>
      <c r="V277" s="26"/>
      <c r="W277" s="12"/>
      <c r="X277" s="12"/>
      <c r="Y277" s="12"/>
      <c r="Z277" s="25"/>
      <c r="AA277" s="25"/>
      <c r="AB277" s="25"/>
      <c r="AC277" s="25"/>
    </row>
    <row r="278" spans="1:29" x14ac:dyDescent="0.25">
      <c r="A278" s="25"/>
      <c r="B278" s="25"/>
      <c r="C278" s="218"/>
      <c r="D278" s="70"/>
      <c r="E278" s="70"/>
      <c r="F278" s="70"/>
      <c r="G278" s="70"/>
      <c r="H278" s="70"/>
      <c r="I278" s="70"/>
      <c r="J278" s="70"/>
      <c r="K278" s="546"/>
      <c r="L278" s="140"/>
      <c r="M278" s="504"/>
      <c r="N278" s="12"/>
      <c r="O278" s="494"/>
      <c r="P278" s="12"/>
      <c r="Q278" s="12"/>
      <c r="R278" s="12"/>
      <c r="S278" s="12"/>
      <c r="T278" s="12"/>
      <c r="U278" s="26"/>
      <c r="V278" s="26"/>
      <c r="W278" s="12"/>
      <c r="X278" s="12"/>
      <c r="Y278" s="12"/>
      <c r="Z278" s="25"/>
      <c r="AA278" s="25"/>
      <c r="AB278" s="25"/>
      <c r="AC278" s="25"/>
    </row>
    <row r="279" spans="1:29" ht="60" x14ac:dyDescent="0.25">
      <c r="A279" s="25"/>
      <c r="B279" s="25"/>
      <c r="C279" s="218"/>
      <c r="D279" s="575"/>
      <c r="E279" s="575"/>
      <c r="F279" s="575"/>
      <c r="G279" s="575"/>
      <c r="H279" s="575"/>
      <c r="I279" s="575"/>
      <c r="J279" s="575"/>
      <c r="K279" s="576"/>
      <c r="L279" s="576"/>
      <c r="M279" s="577"/>
      <c r="N279" s="578"/>
      <c r="O279" s="579"/>
      <c r="P279" s="578"/>
      <c r="Q279" s="578"/>
      <c r="R279" s="578"/>
      <c r="S279" s="578" t="s">
        <v>5020</v>
      </c>
      <c r="T279" s="578"/>
      <c r="U279" s="580"/>
      <c r="V279" s="580"/>
      <c r="W279" s="578"/>
      <c r="X279" s="578"/>
      <c r="Y279" s="578"/>
      <c r="Z279" s="581"/>
      <c r="AA279" s="581"/>
      <c r="AB279" s="581"/>
      <c r="AC279" s="581"/>
    </row>
    <row r="280" spans="1:29" ht="15.75" customHeight="1" x14ac:dyDescent="0.25">
      <c r="A280" s="25"/>
      <c r="B280" s="25"/>
      <c r="C280" s="218"/>
      <c r="D280" s="966"/>
      <c r="E280" s="966"/>
      <c r="F280" s="966"/>
      <c r="G280" s="966"/>
      <c r="H280" s="966"/>
      <c r="I280" s="966"/>
      <c r="J280" s="966"/>
      <c r="K280" s="966"/>
      <c r="L280" s="998"/>
      <c r="M280" s="966"/>
      <c r="N280" s="966"/>
      <c r="O280" s="418"/>
      <c r="P280" s="418"/>
      <c r="Q280" s="418"/>
      <c r="R280" s="418"/>
      <c r="S280" s="418"/>
      <c r="T280" s="418"/>
      <c r="U280" s="542"/>
      <c r="V280" s="542"/>
      <c r="W280" s="418"/>
      <c r="X280" s="418"/>
      <c r="Y280" s="418"/>
      <c r="Z280" s="25"/>
      <c r="AA280" s="25"/>
      <c r="AB280" s="25"/>
      <c r="AC280" s="25"/>
    </row>
    <row r="281" spans="1:29" ht="15.75" customHeight="1" x14ac:dyDescent="0.25">
      <c r="A281" s="25"/>
      <c r="B281" s="25"/>
      <c r="C281" s="218"/>
      <c r="D281" s="966"/>
      <c r="E281" s="966"/>
      <c r="F281" s="966"/>
      <c r="G281" s="966"/>
      <c r="H281" s="1331"/>
      <c r="I281" s="1331"/>
      <c r="J281" s="1331"/>
      <c r="K281" s="1331"/>
      <c r="L281" s="1336"/>
      <c r="M281" s="1331"/>
      <c r="N281" s="1331"/>
      <c r="O281" s="726" t="str">
        <f>HYPERLINK("http://wiki.academyofsports.online/tiki-index.php?page=Lehrvideos-erstellen-(0346)", "0346")</f>
        <v>0346</v>
      </c>
      <c r="P281" s="418"/>
      <c r="Q281" s="418"/>
      <c r="R281" s="418"/>
      <c r="S281" s="418"/>
      <c r="T281" s="418"/>
      <c r="U281" s="542"/>
      <c r="V281" s="542"/>
      <c r="W281" s="418"/>
      <c r="X281" s="418"/>
      <c r="Y281" s="418"/>
      <c r="Z281" s="25"/>
      <c r="AA281" s="25"/>
      <c r="AB281" s="25"/>
      <c r="AC281" s="25"/>
    </row>
    <row r="282" spans="1:29" x14ac:dyDescent="0.25">
      <c r="A282" s="25"/>
      <c r="B282" s="25"/>
      <c r="C282" s="218"/>
      <c r="D282" s="966"/>
      <c r="E282" s="966"/>
      <c r="F282" s="966"/>
      <c r="G282" s="978"/>
      <c r="H282" s="1234"/>
      <c r="I282" s="1235"/>
      <c r="J282" s="1235"/>
      <c r="K282" s="1235"/>
      <c r="L282" s="1313"/>
      <c r="M282" s="1235"/>
      <c r="N282" s="1236"/>
      <c r="O282" s="750"/>
      <c r="P282" s="750"/>
      <c r="Q282" s="750"/>
      <c r="R282" s="750"/>
      <c r="S282" s="750"/>
      <c r="T282" s="965"/>
      <c r="U282" s="749"/>
      <c r="V282" s="749"/>
      <c r="W282" s="750"/>
      <c r="X282" s="750"/>
      <c r="Y282" s="750"/>
      <c r="Z282" s="981"/>
      <c r="AA282" s="981"/>
      <c r="AB282" s="981"/>
      <c r="AC282" s="981"/>
    </row>
    <row r="283" spans="1:29" ht="15.75" customHeight="1" x14ac:dyDescent="0.25">
      <c r="A283" s="25"/>
      <c r="B283" s="25"/>
      <c r="C283" s="218"/>
      <c r="D283" s="966"/>
      <c r="E283" s="966"/>
      <c r="F283" s="966"/>
      <c r="G283" s="978"/>
      <c r="H283" s="1234"/>
      <c r="I283" s="1235"/>
      <c r="J283" s="1235"/>
      <c r="K283" s="1235"/>
      <c r="L283" s="1313"/>
      <c r="M283" s="1235"/>
      <c r="N283" s="1236"/>
      <c r="O283" s="750"/>
      <c r="P283" s="750"/>
      <c r="Q283" s="750"/>
      <c r="R283" s="750"/>
      <c r="S283" s="750"/>
      <c r="T283" s="965"/>
      <c r="U283" s="749"/>
      <c r="V283" s="749"/>
      <c r="W283" s="750"/>
      <c r="X283" s="750"/>
      <c r="Y283" s="750"/>
      <c r="Z283" s="981"/>
      <c r="AA283" s="981"/>
      <c r="AB283" s="981"/>
      <c r="AC283" s="981"/>
    </row>
    <row r="284" spans="1:29" x14ac:dyDescent="0.25">
      <c r="A284" s="25"/>
      <c r="B284" s="25"/>
      <c r="C284" s="218"/>
      <c r="D284" s="966"/>
      <c r="E284" s="966"/>
      <c r="F284" s="966"/>
      <c r="G284" s="978"/>
      <c r="H284" s="1234"/>
      <c r="I284" s="1235"/>
      <c r="J284" s="1235"/>
      <c r="K284" s="1235"/>
      <c r="L284" s="1313"/>
      <c r="M284" s="1235"/>
      <c r="N284" s="1236"/>
      <c r="O284" s="991" t="str">
        <f>HYPERLINK("http://wiki.academyofsports.online/tiki-index.php?page=Projektbetreuung---Leitfaden-(0093)", "0093")</f>
        <v>0093</v>
      </c>
      <c r="P284" s="750"/>
      <c r="Q284" s="750"/>
      <c r="R284" s="750"/>
      <c r="S284" s="750"/>
      <c r="T284" s="965"/>
      <c r="U284" s="749"/>
      <c r="V284" s="749"/>
      <c r="W284" s="750"/>
      <c r="X284" s="750"/>
      <c r="Y284" s="750"/>
      <c r="Z284" s="981"/>
      <c r="AA284" s="981"/>
      <c r="AB284" s="981"/>
      <c r="AC284" s="981"/>
    </row>
    <row r="285" spans="1:29" x14ac:dyDescent="0.25">
      <c r="A285" s="25"/>
      <c r="B285" s="25"/>
      <c r="C285" s="218"/>
      <c r="D285" s="502"/>
      <c r="E285" s="502"/>
      <c r="F285" s="502"/>
      <c r="G285" s="70"/>
      <c r="H285" s="70"/>
      <c r="I285" s="70"/>
      <c r="J285" s="70"/>
      <c r="K285" s="999"/>
      <c r="L285" s="468"/>
      <c r="M285" s="72"/>
      <c r="N285" s="12"/>
      <c r="O285" s="506"/>
      <c r="P285" s="505"/>
      <c r="Q285" s="505"/>
      <c r="R285" s="505"/>
      <c r="S285" s="505"/>
      <c r="T285" s="505"/>
      <c r="U285" s="507"/>
      <c r="V285" s="507"/>
      <c r="W285" s="505"/>
      <c r="X285" s="505"/>
      <c r="Y285" s="505"/>
      <c r="Z285" s="25"/>
      <c r="AA285" s="25"/>
      <c r="AB285" s="25"/>
      <c r="AC285" s="25"/>
    </row>
    <row r="286" spans="1:29" x14ac:dyDescent="0.25">
      <c r="A286" s="25"/>
      <c r="B286" s="25"/>
      <c r="C286" s="218"/>
      <c r="D286" s="502"/>
      <c r="E286" s="502"/>
      <c r="F286" s="502"/>
      <c r="G286" s="70"/>
      <c r="H286" s="70"/>
      <c r="I286" s="70"/>
      <c r="J286" s="70"/>
      <c r="K286" s="140"/>
      <c r="L286" s="140"/>
      <c r="M286" s="72"/>
      <c r="N286" s="12"/>
      <c r="O286" s="506"/>
      <c r="P286" s="505"/>
      <c r="Q286" s="505"/>
      <c r="R286" s="505"/>
      <c r="S286" s="505"/>
      <c r="T286" s="505"/>
      <c r="U286" s="507"/>
      <c r="V286" s="507"/>
      <c r="W286" s="505"/>
      <c r="X286" s="505"/>
      <c r="Y286" s="505"/>
      <c r="Z286" s="25"/>
      <c r="AA286" s="25"/>
      <c r="AB286" s="25"/>
      <c r="AC286" s="25"/>
    </row>
    <row r="287" spans="1:29" ht="30" x14ac:dyDescent="0.25">
      <c r="A287" s="25"/>
      <c r="B287" s="25"/>
      <c r="C287" s="218"/>
      <c r="D287" s="70"/>
      <c r="E287" s="70"/>
      <c r="F287" s="70"/>
      <c r="G287" s="70"/>
      <c r="H287" s="70"/>
      <c r="I287" s="70"/>
      <c r="J287" s="70"/>
      <c r="K287" s="12" t="s">
        <v>4934</v>
      </c>
      <c r="L287" s="140" t="s">
        <v>4935</v>
      </c>
      <c r="M287" s="379" t="s">
        <v>4701</v>
      </c>
      <c r="N287" s="12"/>
      <c r="O287" s="494"/>
      <c r="P287" s="12"/>
      <c r="Q287" s="12"/>
      <c r="R287" s="12"/>
      <c r="S287" s="12"/>
      <c r="T287" s="12"/>
      <c r="U287" s="26"/>
      <c r="V287" s="26"/>
      <c r="W287" s="12"/>
      <c r="X287" s="12"/>
      <c r="Y287" s="12"/>
      <c r="Z287" s="25"/>
      <c r="AA287" s="25"/>
      <c r="AB287" s="25"/>
      <c r="AC287" s="25"/>
    </row>
    <row r="288" spans="1:29" x14ac:dyDescent="0.25">
      <c r="A288" s="25"/>
      <c r="B288" s="25"/>
      <c r="C288" s="218"/>
      <c r="D288" s="70"/>
      <c r="E288" s="70"/>
      <c r="F288" s="70"/>
      <c r="G288" s="70"/>
      <c r="H288" s="70"/>
      <c r="I288" s="70"/>
      <c r="J288" s="70"/>
      <c r="K288" s="12" t="s">
        <v>4936</v>
      </c>
      <c r="L288" s="140"/>
      <c r="M288" s="72" t="s">
        <v>692</v>
      </c>
      <c r="N288" s="12"/>
      <c r="O288" s="494"/>
      <c r="P288" s="12"/>
      <c r="Q288" s="12"/>
      <c r="R288" s="12"/>
      <c r="S288" s="12"/>
      <c r="T288" s="12"/>
      <c r="U288" s="26"/>
      <c r="V288" s="26"/>
      <c r="W288" s="12"/>
      <c r="X288" s="12"/>
      <c r="Y288" s="12"/>
      <c r="Z288" s="25"/>
      <c r="AA288" s="25"/>
      <c r="AB288" s="25"/>
      <c r="AC288" s="25"/>
    </row>
    <row r="289" spans="1:29" x14ac:dyDescent="0.25">
      <c r="A289" s="25"/>
      <c r="B289" s="25"/>
      <c r="C289" s="218"/>
      <c r="D289" s="70"/>
      <c r="E289" s="70"/>
      <c r="F289" s="70"/>
      <c r="G289" s="70"/>
      <c r="H289" s="70"/>
      <c r="I289" s="70"/>
      <c r="J289" s="70"/>
      <c r="K289" s="12"/>
      <c r="L289" s="140"/>
      <c r="M289" s="72" t="s">
        <v>5021</v>
      </c>
      <c r="N289" s="12"/>
      <c r="O289" s="494"/>
      <c r="P289" s="12"/>
      <c r="Q289" s="12"/>
      <c r="R289" s="12"/>
      <c r="S289" s="12"/>
      <c r="T289" s="12"/>
      <c r="U289" s="26"/>
      <c r="V289" s="26"/>
      <c r="W289" s="12"/>
      <c r="X289" s="12"/>
      <c r="Y289" s="12"/>
      <c r="Z289" s="25"/>
      <c r="AA289" s="25"/>
      <c r="AB289" s="25"/>
      <c r="AC289" s="25"/>
    </row>
    <row r="290" spans="1:29" x14ac:dyDescent="0.25">
      <c r="C290" s="70"/>
      <c r="D290" s="70"/>
      <c r="E290" s="70"/>
      <c r="F290" s="70"/>
      <c r="G290" s="963">
        <v>3</v>
      </c>
      <c r="H290" s="1339" t="s">
        <v>5022</v>
      </c>
      <c r="I290" s="1337"/>
      <c r="J290" s="1337"/>
      <c r="K290" s="1337"/>
      <c r="L290" s="1338"/>
      <c r="M290" s="1337"/>
      <c r="N290" s="1340"/>
      <c r="O290" s="1000"/>
      <c r="P290" s="965"/>
      <c r="Q290" s="750"/>
      <c r="R290" s="750"/>
      <c r="S290" s="965"/>
      <c r="T290" s="965"/>
      <c r="U290" s="749"/>
      <c r="V290" s="749"/>
      <c r="W290" s="966"/>
      <c r="X290" s="966"/>
      <c r="Y290" s="966"/>
      <c r="Z290" s="68"/>
      <c r="AA290" s="68"/>
      <c r="AB290" s="68"/>
      <c r="AC290" s="68"/>
    </row>
    <row r="291" spans="1:29" ht="71.25" customHeight="1" x14ac:dyDescent="0.25">
      <c r="C291" s="70"/>
      <c r="D291" s="70"/>
      <c r="E291" s="70"/>
      <c r="F291" s="70"/>
      <c r="G291" s="70"/>
      <c r="H291" s="70">
        <v>4</v>
      </c>
      <c r="I291" s="582"/>
      <c r="J291" s="582"/>
      <c r="K291" s="971" t="s">
        <v>4859</v>
      </c>
      <c r="L291" s="972" t="s">
        <v>4860</v>
      </c>
      <c r="M291" s="72" t="s">
        <v>4712</v>
      </c>
      <c r="N291" s="12"/>
      <c r="O291" s="494"/>
      <c r="P291" s="12"/>
      <c r="Q291" s="12" t="s">
        <v>4861</v>
      </c>
      <c r="R291" s="12"/>
      <c r="S291" s="12"/>
      <c r="T291" s="12" t="s">
        <v>129</v>
      </c>
      <c r="U291" s="26"/>
      <c r="V291" s="26"/>
      <c r="W291" s="12"/>
      <c r="X291" s="12"/>
      <c r="Y291" s="12"/>
      <c r="Z291" s="68"/>
      <c r="AA291" s="68"/>
      <c r="AB291" s="68"/>
      <c r="AC291" s="68"/>
    </row>
    <row r="292" spans="1:29" ht="30" x14ac:dyDescent="0.25">
      <c r="C292" s="70"/>
      <c r="D292" s="70"/>
      <c r="E292" s="70"/>
      <c r="F292" s="70"/>
      <c r="G292" s="402"/>
      <c r="H292" s="70">
        <v>4</v>
      </c>
      <c r="I292" s="583"/>
      <c r="J292" s="583"/>
      <c r="K292" s="1001" t="s">
        <v>4862</v>
      </c>
      <c r="L292" s="1002" t="s">
        <v>4863</v>
      </c>
      <c r="M292" s="397" t="s">
        <v>4745</v>
      </c>
      <c r="N292" s="401"/>
      <c r="O292" s="584"/>
      <c r="P292" s="401"/>
      <c r="Q292" s="401"/>
      <c r="R292" s="401"/>
      <c r="S292" s="401"/>
      <c r="T292" s="12" t="s">
        <v>129</v>
      </c>
      <c r="U292" s="403"/>
      <c r="V292" s="403"/>
      <c r="W292" s="401"/>
      <c r="X292" s="401"/>
      <c r="Y292" s="401"/>
      <c r="Z292" s="68"/>
      <c r="AA292" s="68"/>
      <c r="AB292" s="68"/>
      <c r="AC292" s="68"/>
    </row>
    <row r="293" spans="1:29" ht="28.5" x14ac:dyDescent="0.25">
      <c r="C293" s="70"/>
      <c r="D293" s="70"/>
      <c r="E293" s="70"/>
      <c r="F293" s="70"/>
      <c r="G293" s="402"/>
      <c r="H293" s="70">
        <v>4</v>
      </c>
      <c r="I293" s="583"/>
      <c r="J293" s="583"/>
      <c r="K293" s="585" t="s">
        <v>5023</v>
      </c>
      <c r="L293" s="1002" t="s">
        <v>5024</v>
      </c>
      <c r="M293" s="397" t="s">
        <v>4866</v>
      </c>
      <c r="N293" s="401"/>
      <c r="O293" s="584"/>
      <c r="P293" s="401"/>
      <c r="Q293" s="401"/>
      <c r="R293" s="401"/>
      <c r="S293" s="401"/>
      <c r="T293" s="12" t="s">
        <v>129</v>
      </c>
      <c r="U293" s="403"/>
      <c r="V293" s="403"/>
      <c r="W293" s="401"/>
      <c r="X293" s="401"/>
      <c r="Y293" s="401"/>
      <c r="Z293" s="68"/>
      <c r="AA293" s="68"/>
      <c r="AB293" s="68"/>
      <c r="AC293" s="68"/>
    </row>
    <row r="294" spans="1:29" ht="60" x14ac:dyDescent="0.25">
      <c r="C294" s="70"/>
      <c r="D294" s="70"/>
      <c r="E294" s="70"/>
      <c r="F294" s="70"/>
      <c r="G294" s="402"/>
      <c r="H294" s="402"/>
      <c r="I294" s="583">
        <v>5</v>
      </c>
      <c r="J294" s="583"/>
      <c r="K294" s="1001" t="s">
        <v>5025</v>
      </c>
      <c r="L294" s="972" t="s">
        <v>5026</v>
      </c>
      <c r="M294" s="397" t="s">
        <v>4866</v>
      </c>
      <c r="N294" s="401"/>
      <c r="O294" s="584"/>
      <c r="P294" s="401"/>
      <c r="Q294" s="401"/>
      <c r="R294" s="1003" t="s">
        <v>5027</v>
      </c>
      <c r="S294" s="401"/>
      <c r="T294" s="12" t="s">
        <v>129</v>
      </c>
      <c r="U294" s="403"/>
      <c r="V294" s="403"/>
      <c r="W294" s="401"/>
      <c r="X294" s="401"/>
      <c r="Y294" s="401"/>
      <c r="Z294" s="68"/>
      <c r="AA294" s="68"/>
      <c r="AB294" s="68"/>
      <c r="AC294" s="68"/>
    </row>
    <row r="295" spans="1:29" x14ac:dyDescent="0.25">
      <c r="C295" s="70"/>
      <c r="D295" s="70"/>
      <c r="E295" s="70"/>
      <c r="F295" s="70"/>
      <c r="G295" s="402"/>
      <c r="H295" s="402"/>
      <c r="I295" s="583">
        <v>5</v>
      </c>
      <c r="J295" s="583"/>
      <c r="K295" s="585" t="s">
        <v>5028</v>
      </c>
      <c r="M295" s="397"/>
      <c r="N295" s="401"/>
      <c r="O295" s="584"/>
      <c r="P295" s="401"/>
      <c r="Q295" s="401"/>
      <c r="R295" s="401"/>
      <c r="S295" s="401"/>
      <c r="T295" s="401"/>
      <c r="U295" s="403"/>
      <c r="V295" s="403"/>
      <c r="W295" s="401"/>
      <c r="X295" s="401"/>
      <c r="Y295" s="401"/>
      <c r="Z295" s="68"/>
      <c r="AA295" s="68"/>
      <c r="AB295" s="68"/>
      <c r="AC295" s="68"/>
    </row>
    <row r="296" spans="1:29" ht="22.5" customHeight="1" x14ac:dyDescent="0.25">
      <c r="A296" s="586"/>
      <c r="B296" s="586"/>
      <c r="C296" s="587"/>
      <c r="D296" s="588"/>
      <c r="E296" s="588"/>
      <c r="F296" s="589" t="s">
        <v>4868</v>
      </c>
      <c r="G296" s="1341" t="s">
        <v>5029</v>
      </c>
      <c r="H296" s="1342"/>
      <c r="I296" s="1342"/>
      <c r="J296" s="1342"/>
      <c r="K296" s="1342"/>
      <c r="L296" s="1343"/>
      <c r="M296" s="1344"/>
      <c r="N296" s="1344"/>
      <c r="O296" s="1345"/>
      <c r="P296" s="1344"/>
      <c r="Q296" s="1344"/>
      <c r="R296" s="1344"/>
      <c r="S296" s="1344"/>
      <c r="T296" s="1344"/>
      <c r="U296" s="1344"/>
      <c r="V296" s="1344"/>
      <c r="W296" s="1344"/>
      <c r="X296" s="1344"/>
      <c r="Y296" s="1344"/>
      <c r="Z296" s="590"/>
      <c r="AA296" s="590"/>
      <c r="AB296" s="590"/>
      <c r="AC296" s="590"/>
    </row>
    <row r="297" spans="1:29" ht="15.75" customHeight="1" x14ac:dyDescent="0.25">
      <c r="C297" s="70"/>
      <c r="D297" s="70"/>
      <c r="E297" s="70"/>
      <c r="F297" s="70"/>
      <c r="G297" s="1004">
        <v>3</v>
      </c>
      <c r="H297" s="1330" t="s">
        <v>5030</v>
      </c>
      <c r="I297" s="1324"/>
      <c r="J297" s="1324"/>
      <c r="K297" s="1324"/>
      <c r="L297" s="1005"/>
      <c r="M297" s="1006"/>
      <c r="N297" s="910"/>
      <c r="O297" s="991" t="str">
        <f>HYPERLINK("http://wiki.academyofsports.online/tiki-index.php?page=Projektspezifizierung-(PP-P%C3%A4d-002)", "PP-Päd-002")</f>
        <v>PP-Päd-002</v>
      </c>
      <c r="P297" s="993"/>
      <c r="Q297" s="750"/>
      <c r="R297" s="993"/>
      <c r="S297" s="993"/>
      <c r="T297" s="993"/>
      <c r="U297" s="993"/>
      <c r="V297" s="993"/>
      <c r="W297" s="993"/>
      <c r="X297" s="993"/>
      <c r="Y297" s="993"/>
      <c r="Z297" s="68"/>
      <c r="AA297" s="68"/>
      <c r="AB297" s="68"/>
      <c r="AC297" s="68"/>
    </row>
    <row r="298" spans="1:29" ht="15.75" customHeight="1" x14ac:dyDescent="0.25">
      <c r="C298" s="70"/>
      <c r="D298" s="70"/>
      <c r="E298" s="70"/>
      <c r="F298" s="70"/>
      <c r="G298" s="1004">
        <v>3</v>
      </c>
      <c r="H298" s="1337" t="s">
        <v>5031</v>
      </c>
      <c r="I298" s="1337"/>
      <c r="J298" s="1337"/>
      <c r="K298" s="1337"/>
      <c r="L298" s="1338"/>
      <c r="M298" s="1006"/>
      <c r="N298" s="910"/>
      <c r="O298" s="750"/>
      <c r="P298" s="993"/>
      <c r="Q298" s="750"/>
      <c r="R298" s="993"/>
      <c r="S298" s="993"/>
      <c r="T298" s="993"/>
      <c r="U298" s="993"/>
      <c r="V298" s="993"/>
      <c r="W298" s="993"/>
      <c r="X298" s="993"/>
      <c r="Y298" s="993"/>
      <c r="Z298" s="68"/>
      <c r="AA298" s="68"/>
      <c r="AB298" s="68"/>
      <c r="AC298" s="68"/>
    </row>
    <row r="299" spans="1:29" ht="60" x14ac:dyDescent="0.25">
      <c r="C299" s="70"/>
      <c r="D299" s="70"/>
      <c r="E299" s="70"/>
      <c r="F299" s="70"/>
      <c r="G299" s="134"/>
      <c r="H299" s="134">
        <v>4</v>
      </c>
      <c r="I299" s="134"/>
      <c r="J299" s="134"/>
      <c r="K299" s="12" t="s">
        <v>5032</v>
      </c>
      <c r="L299" s="140" t="s">
        <v>5033</v>
      </c>
      <c r="M299" s="128" t="s">
        <v>4701</v>
      </c>
      <c r="N299" s="127" t="s">
        <v>4874</v>
      </c>
      <c r="O299" s="127"/>
      <c r="P299" s="127"/>
      <c r="Q299" s="12" t="s">
        <v>4739</v>
      </c>
      <c r="R299" s="127"/>
      <c r="S299" s="127"/>
      <c r="T299" s="127" t="s">
        <v>4875</v>
      </c>
      <c r="U299" s="127"/>
      <c r="V299" s="127"/>
      <c r="W299" s="127"/>
      <c r="X299" s="127"/>
      <c r="Y299" s="127"/>
      <c r="Z299" s="68"/>
      <c r="AA299" s="68"/>
      <c r="AB299" s="68"/>
      <c r="AC299" s="68"/>
    </row>
    <row r="300" spans="1:29" ht="75" x14ac:dyDescent="0.25">
      <c r="A300" s="25"/>
      <c r="B300" s="25"/>
      <c r="C300" s="70"/>
      <c r="D300" s="70"/>
      <c r="E300" s="70"/>
      <c r="F300" s="70"/>
      <c r="G300" s="134"/>
      <c r="H300" s="134">
        <v>4</v>
      </c>
      <c r="I300" s="134"/>
      <c r="J300" s="134"/>
      <c r="K300" s="12" t="s">
        <v>5034</v>
      </c>
      <c r="L300" s="140" t="s">
        <v>4877</v>
      </c>
      <c r="M300" s="128" t="s">
        <v>4701</v>
      </c>
      <c r="N300" s="127" t="s">
        <v>4878</v>
      </c>
      <c r="O300" s="127"/>
      <c r="P300" s="127"/>
      <c r="Q300" s="127" t="s">
        <v>4879</v>
      </c>
      <c r="R300" s="127"/>
      <c r="S300" s="127"/>
      <c r="T300" s="127" t="s">
        <v>4875</v>
      </c>
      <c r="U300" s="127"/>
      <c r="V300" s="127"/>
      <c r="W300" s="127"/>
      <c r="X300" s="127"/>
      <c r="Y300" s="127"/>
      <c r="Z300" s="68"/>
      <c r="AA300" s="68"/>
      <c r="AB300" s="68"/>
      <c r="AC300" s="68"/>
    </row>
    <row r="301" spans="1:29" ht="45" x14ac:dyDescent="0.25">
      <c r="A301" s="25"/>
      <c r="B301" s="25"/>
      <c r="C301" s="70"/>
      <c r="D301" s="70"/>
      <c r="E301" s="70"/>
      <c r="F301" s="70"/>
      <c r="G301" s="134"/>
      <c r="H301" s="134">
        <v>4</v>
      </c>
      <c r="I301" s="134"/>
      <c r="J301" s="134"/>
      <c r="K301" s="12" t="s">
        <v>4880</v>
      </c>
      <c r="L301" s="472" t="s">
        <v>5035</v>
      </c>
      <c r="M301" s="128" t="s">
        <v>4701</v>
      </c>
      <c r="N301" s="12" t="s">
        <v>4882</v>
      </c>
      <c r="O301" s="127"/>
      <c r="P301" s="127"/>
      <c r="Q301" s="127" t="s">
        <v>4879</v>
      </c>
      <c r="R301" s="127"/>
      <c r="S301" s="127"/>
      <c r="T301" s="127"/>
      <c r="U301" s="127"/>
      <c r="V301" s="127"/>
      <c r="W301" s="127"/>
      <c r="X301" s="127"/>
      <c r="Y301" s="127"/>
      <c r="Z301" s="68"/>
      <c r="AA301" s="68"/>
      <c r="AB301" s="68"/>
      <c r="AC301" s="68"/>
    </row>
    <row r="302" spans="1:29" x14ac:dyDescent="0.25">
      <c r="A302" s="25"/>
      <c r="B302" s="25"/>
      <c r="C302" s="70"/>
      <c r="D302" s="70"/>
      <c r="E302" s="70"/>
      <c r="F302" s="70"/>
      <c r="G302" s="134"/>
      <c r="H302" s="134"/>
      <c r="I302" s="134"/>
      <c r="J302" s="134"/>
      <c r="K302" s="12" t="s">
        <v>5036</v>
      </c>
      <c r="L302" s="472"/>
      <c r="M302" s="128"/>
      <c r="N302" s="12"/>
      <c r="O302" s="127"/>
      <c r="P302" s="127"/>
      <c r="Q302" s="127"/>
      <c r="R302" s="127"/>
      <c r="S302" s="127"/>
      <c r="T302" s="127"/>
      <c r="U302" s="127"/>
      <c r="V302" s="127"/>
      <c r="W302" s="127"/>
      <c r="X302" s="127"/>
      <c r="Y302" s="127"/>
      <c r="Z302" s="68"/>
      <c r="AA302" s="68"/>
      <c r="AB302" s="68"/>
      <c r="AC302" s="68"/>
    </row>
    <row r="303" spans="1:29" x14ac:dyDescent="0.25">
      <c r="A303" s="25"/>
      <c r="B303" s="25"/>
      <c r="C303" s="70"/>
      <c r="D303" s="70"/>
      <c r="E303" s="70"/>
      <c r="F303" s="70"/>
      <c r="G303" s="134"/>
      <c r="H303" s="134"/>
      <c r="I303" s="134"/>
      <c r="J303" s="134"/>
      <c r="K303" s="12" t="s">
        <v>4885</v>
      </c>
      <c r="L303" s="472"/>
      <c r="M303" s="128"/>
      <c r="N303" s="12"/>
      <c r="O303" s="127"/>
      <c r="P303" s="127"/>
      <c r="Q303" s="127"/>
      <c r="R303" s="127"/>
      <c r="S303" s="127"/>
      <c r="T303" s="127"/>
      <c r="U303" s="127"/>
      <c r="V303" s="127"/>
      <c r="W303" s="127"/>
      <c r="X303" s="127"/>
      <c r="Y303" s="127"/>
      <c r="Z303" s="68"/>
      <c r="AA303" s="68"/>
      <c r="AB303" s="68"/>
      <c r="AC303" s="68"/>
    </row>
    <row r="304" spans="1:29" x14ac:dyDescent="0.25">
      <c r="A304" s="25"/>
      <c r="B304" s="25"/>
      <c r="C304" s="70"/>
      <c r="D304" s="70"/>
      <c r="E304" s="70"/>
      <c r="F304" s="70"/>
      <c r="G304" s="70"/>
      <c r="H304" s="70">
        <v>4</v>
      </c>
      <c r="I304" s="70"/>
      <c r="J304" s="70"/>
      <c r="K304" s="12"/>
      <c r="L304" s="140"/>
      <c r="M304" s="72"/>
      <c r="N304" s="12"/>
      <c r="O304" s="12"/>
      <c r="P304" s="12"/>
      <c r="Q304" s="12"/>
      <c r="R304" s="12"/>
      <c r="S304" s="12"/>
      <c r="T304" s="127"/>
      <c r="U304" s="12"/>
      <c r="V304" s="12"/>
      <c r="W304" s="12"/>
      <c r="X304" s="12"/>
      <c r="Y304" s="12"/>
      <c r="Z304" s="25"/>
      <c r="AA304" s="25"/>
      <c r="AB304" s="25"/>
      <c r="AC304" s="25"/>
    </row>
    <row r="305" spans="1:29" ht="45" x14ac:dyDescent="0.25">
      <c r="A305" s="25"/>
      <c r="B305" s="25"/>
      <c r="C305" s="70"/>
      <c r="D305" s="70"/>
      <c r="E305" s="70"/>
      <c r="F305" s="70"/>
      <c r="G305" s="70"/>
      <c r="H305" s="70"/>
      <c r="I305" s="70">
        <v>5</v>
      </c>
      <c r="J305" s="70"/>
      <c r="K305" s="12" t="s">
        <v>4891</v>
      </c>
      <c r="L305" s="140" t="s">
        <v>4892</v>
      </c>
      <c r="M305" s="72" t="s">
        <v>4701</v>
      </c>
      <c r="N305" s="12" t="s">
        <v>4893</v>
      </c>
      <c r="O305" s="12"/>
      <c r="P305" s="12"/>
      <c r="Q305" s="12" t="s">
        <v>4894</v>
      </c>
      <c r="R305" s="12"/>
      <c r="S305" s="12"/>
      <c r="T305" s="127" t="s">
        <v>4875</v>
      </c>
      <c r="U305" s="12"/>
      <c r="V305" s="12"/>
      <c r="W305" s="12"/>
      <c r="X305" s="12"/>
      <c r="Y305" s="12"/>
      <c r="Z305" s="25"/>
      <c r="AA305" s="25"/>
      <c r="AB305" s="25"/>
      <c r="AC305" s="25"/>
    </row>
    <row r="306" spans="1:29" x14ac:dyDescent="0.25">
      <c r="A306" s="25"/>
      <c r="B306" s="25"/>
      <c r="C306" s="70"/>
      <c r="D306" s="70"/>
      <c r="E306" s="70"/>
      <c r="F306" s="70"/>
      <c r="G306" s="70"/>
      <c r="H306" s="70"/>
      <c r="I306" s="70">
        <v>5</v>
      </c>
      <c r="J306" s="70"/>
      <c r="K306" s="12" t="s">
        <v>4889</v>
      </c>
      <c r="L306" s="140" t="s">
        <v>4890</v>
      </c>
      <c r="M306" s="72" t="s">
        <v>4701</v>
      </c>
      <c r="N306" s="12"/>
      <c r="O306" s="12"/>
      <c r="P306" s="12"/>
      <c r="Q306" s="12"/>
      <c r="R306" s="12"/>
      <c r="S306" s="12"/>
      <c r="T306" s="127"/>
      <c r="U306" s="12"/>
      <c r="V306" s="12"/>
      <c r="W306" s="12"/>
      <c r="X306" s="12"/>
      <c r="Y306" s="12"/>
      <c r="Z306" s="25"/>
      <c r="AA306" s="25"/>
      <c r="AB306" s="25"/>
      <c r="AC306" s="25"/>
    </row>
    <row r="307" spans="1:29" x14ac:dyDescent="0.25">
      <c r="A307" s="25"/>
      <c r="B307" s="25"/>
      <c r="C307" s="70"/>
      <c r="D307" s="70"/>
      <c r="E307" s="70"/>
      <c r="F307" s="70"/>
      <c r="G307" s="70"/>
      <c r="H307" s="70"/>
      <c r="I307" s="70">
        <v>5</v>
      </c>
      <c r="J307" s="70"/>
      <c r="K307" s="12" t="s">
        <v>4887</v>
      </c>
      <c r="L307" s="140" t="s">
        <v>4888</v>
      </c>
      <c r="M307" s="72" t="s">
        <v>4781</v>
      </c>
      <c r="N307" s="12"/>
      <c r="O307" s="12"/>
      <c r="P307" s="12"/>
      <c r="Q307" s="12"/>
      <c r="R307" s="12"/>
      <c r="S307" s="12"/>
      <c r="T307" s="127" t="s">
        <v>4813</v>
      </c>
      <c r="U307" s="12"/>
      <c r="V307" s="12"/>
      <c r="W307" s="12"/>
      <c r="X307" s="12"/>
      <c r="Y307" s="12"/>
      <c r="Z307" s="25"/>
      <c r="AA307" s="25"/>
      <c r="AB307" s="25"/>
      <c r="AC307" s="25"/>
    </row>
    <row r="308" spans="1:29" ht="90" x14ac:dyDescent="0.25">
      <c r="A308" s="25"/>
      <c r="B308" s="25"/>
      <c r="C308" s="70"/>
      <c r="D308" s="70"/>
      <c r="E308" s="70"/>
      <c r="F308" s="70"/>
      <c r="G308" s="70"/>
      <c r="H308" s="70">
        <v>4</v>
      </c>
      <c r="I308" s="70"/>
      <c r="J308" s="70"/>
      <c r="K308" s="12" t="s">
        <v>5037</v>
      </c>
      <c r="L308" s="140" t="s">
        <v>5038</v>
      </c>
      <c r="M308" s="72" t="s">
        <v>4701</v>
      </c>
      <c r="N308" s="12" t="s">
        <v>4893</v>
      </c>
      <c r="O308" s="712" t="str">
        <f>HYPERLINK("http://wiki.academyofsports.online/tiki-index.php?page=Produktvorstellung-1-(PP-TL-002)", "PP-TL-002")</f>
        <v>PP-TL-002</v>
      </c>
      <c r="P308" s="12"/>
      <c r="Q308" s="974" t="s">
        <v>5039</v>
      </c>
      <c r="S308" s="12"/>
      <c r="T308" s="127" t="s">
        <v>4875</v>
      </c>
      <c r="U308" s="12"/>
      <c r="V308" s="12"/>
      <c r="W308" s="12"/>
      <c r="X308" s="12"/>
      <c r="Y308" s="12"/>
      <c r="Z308" s="25"/>
      <c r="AA308" s="25"/>
      <c r="AB308" s="25"/>
      <c r="AC308" s="25"/>
    </row>
    <row r="309" spans="1:29" ht="75" x14ac:dyDescent="0.25">
      <c r="A309" s="25"/>
      <c r="B309" s="25"/>
      <c r="C309" s="70"/>
      <c r="D309" s="70"/>
      <c r="E309" s="70"/>
      <c r="F309" s="70"/>
      <c r="G309" s="70"/>
      <c r="H309" s="70"/>
      <c r="I309" s="70">
        <v>5</v>
      </c>
      <c r="J309" s="70"/>
      <c r="K309" s="12" t="s">
        <v>4898</v>
      </c>
      <c r="L309" s="140" t="s">
        <v>4899</v>
      </c>
      <c r="M309" s="72" t="s">
        <v>4701</v>
      </c>
      <c r="N309" s="12" t="s">
        <v>4893</v>
      </c>
      <c r="O309" s="12"/>
      <c r="P309" s="12"/>
      <c r="Q309" s="12" t="s">
        <v>4900</v>
      </c>
      <c r="R309" s="12"/>
      <c r="S309" s="12" t="s">
        <v>4901</v>
      </c>
      <c r="T309" s="127" t="s">
        <v>4875</v>
      </c>
      <c r="U309" s="12"/>
      <c r="V309" s="12"/>
      <c r="W309" s="12"/>
      <c r="X309" s="12"/>
      <c r="Y309" s="12"/>
      <c r="Z309" s="25"/>
      <c r="AA309" s="25"/>
      <c r="AB309" s="25"/>
      <c r="AC309" s="25"/>
    </row>
    <row r="310" spans="1:29" x14ac:dyDescent="0.25">
      <c r="A310" s="25"/>
      <c r="B310" s="25"/>
      <c r="C310" s="70"/>
      <c r="D310" s="70"/>
      <c r="E310" s="70"/>
      <c r="F310" s="70"/>
      <c r="G310" s="70"/>
      <c r="H310" s="70"/>
      <c r="I310" s="70"/>
      <c r="J310" s="70"/>
      <c r="K310" s="12"/>
      <c r="L310" s="140"/>
      <c r="M310" s="72"/>
      <c r="N310" s="12"/>
      <c r="O310" s="12"/>
      <c r="P310" s="12"/>
      <c r="Q310" s="12"/>
      <c r="R310" s="12"/>
      <c r="S310" s="12"/>
      <c r="T310" s="127"/>
      <c r="U310" s="12"/>
      <c r="V310" s="12"/>
      <c r="W310" s="12"/>
      <c r="X310" s="12"/>
      <c r="Y310" s="12"/>
      <c r="Z310" s="25"/>
      <c r="AA310" s="25"/>
      <c r="AB310" s="25"/>
      <c r="AC310" s="25"/>
    </row>
    <row r="311" spans="1:29" ht="15.75" customHeight="1" x14ac:dyDescent="0.25">
      <c r="A311" s="25"/>
      <c r="B311" s="25"/>
      <c r="C311" s="70"/>
      <c r="D311" s="70"/>
      <c r="E311" s="70"/>
      <c r="F311" s="70"/>
      <c r="G311" s="182"/>
      <c r="H311" s="182"/>
      <c r="I311" s="182">
        <v>5</v>
      </c>
      <c r="J311" s="182"/>
      <c r="K311" s="140" t="s">
        <v>5040</v>
      </c>
      <c r="L311" s="474" t="s">
        <v>5041</v>
      </c>
      <c r="M311" s="72" t="s">
        <v>5042</v>
      </c>
      <c r="N311" s="184"/>
      <c r="O311" s="526"/>
      <c r="P311" s="184"/>
      <c r="Q311" s="184"/>
      <c r="R311" s="184"/>
      <c r="S311" s="184"/>
      <c r="T311" s="184" t="s">
        <v>5008</v>
      </c>
      <c r="U311" s="311"/>
      <c r="V311" s="311"/>
      <c r="W311" s="184"/>
      <c r="X311" s="184"/>
      <c r="Y311" s="184"/>
      <c r="Z311" s="25"/>
      <c r="AA311" s="25"/>
      <c r="AB311" s="25"/>
      <c r="AC311" s="25"/>
    </row>
    <row r="312" spans="1:29" ht="30" x14ac:dyDescent="0.25">
      <c r="A312" s="25"/>
      <c r="B312" s="25"/>
      <c r="C312" s="70"/>
      <c r="D312" s="70"/>
      <c r="E312" s="70"/>
      <c r="F312" s="70"/>
      <c r="G312" s="182"/>
      <c r="H312" s="182"/>
      <c r="I312" s="182"/>
      <c r="J312" s="182"/>
      <c r="K312" s="140" t="s">
        <v>5043</v>
      </c>
      <c r="L312" s="474"/>
      <c r="M312" s="72"/>
      <c r="N312" s="184"/>
      <c r="O312" s="526"/>
      <c r="P312" s="184"/>
      <c r="Q312" s="184"/>
      <c r="R312" s="184"/>
      <c r="S312" s="184"/>
      <c r="T312" s="184"/>
      <c r="U312" s="311"/>
      <c r="V312" s="311"/>
      <c r="W312" s="184"/>
      <c r="X312" s="184"/>
      <c r="Y312" s="184"/>
      <c r="Z312" s="25"/>
      <c r="AA312" s="25"/>
      <c r="AB312" s="25"/>
      <c r="AC312" s="25"/>
    </row>
    <row r="313" spans="1:29" ht="15.75" customHeight="1" x14ac:dyDescent="0.25">
      <c r="C313" s="70"/>
      <c r="D313" s="70"/>
      <c r="E313" s="70"/>
      <c r="F313" s="70"/>
      <c r="G313" s="1004"/>
      <c r="H313" s="1337" t="s">
        <v>5044</v>
      </c>
      <c r="I313" s="1337"/>
      <c r="J313" s="1337"/>
      <c r="K313" s="1337"/>
      <c r="L313" s="1338"/>
      <c r="M313" s="1006"/>
      <c r="N313" s="910"/>
      <c r="O313" s="750"/>
      <c r="P313" s="993"/>
      <c r="Q313" s="750"/>
      <c r="R313" s="993"/>
      <c r="S313" s="993"/>
      <c r="T313" s="993"/>
      <c r="U313" s="993"/>
      <c r="V313" s="993"/>
      <c r="W313" s="993"/>
      <c r="X313" s="993"/>
      <c r="Y313" s="993"/>
      <c r="Z313" s="68"/>
      <c r="AA313" s="68"/>
      <c r="AB313" s="68"/>
      <c r="AC313" s="68"/>
    </row>
    <row r="314" spans="1:29" ht="120" x14ac:dyDescent="0.25">
      <c r="A314" s="25"/>
      <c r="B314" s="25"/>
      <c r="C314" s="70"/>
      <c r="D314" s="70"/>
      <c r="E314" s="70"/>
      <c r="F314" s="70"/>
      <c r="G314" s="70"/>
      <c r="H314" s="70">
        <v>4</v>
      </c>
      <c r="I314" s="70"/>
      <c r="J314" s="70"/>
      <c r="K314" s="12" t="s">
        <v>5045</v>
      </c>
      <c r="L314" s="468"/>
      <c r="M314" s="72" t="s">
        <v>4701</v>
      </c>
      <c r="N314" s="12"/>
      <c r="O314" s="494"/>
      <c r="P314" s="12"/>
      <c r="Q314" s="12"/>
      <c r="R314" s="12"/>
      <c r="S314" s="12" t="s">
        <v>5046</v>
      </c>
      <c r="T314" s="127" t="s">
        <v>4875</v>
      </c>
      <c r="U314" s="26"/>
      <c r="V314" s="26"/>
      <c r="W314" s="12"/>
      <c r="X314" s="12"/>
      <c r="Y314" s="12"/>
      <c r="Z314" s="68"/>
      <c r="AA314" s="68"/>
      <c r="AB314" s="68"/>
      <c r="AC314" s="68"/>
    </row>
    <row r="315" spans="1:29" x14ac:dyDescent="0.25">
      <c r="A315" s="25"/>
      <c r="B315" s="25"/>
      <c r="C315" s="70"/>
      <c r="D315" s="70"/>
      <c r="E315" s="70"/>
      <c r="F315" s="70"/>
      <c r="G315" s="70"/>
      <c r="H315" s="70"/>
      <c r="I315" s="70"/>
      <c r="J315" s="70"/>
      <c r="K315" s="12" t="s">
        <v>5047</v>
      </c>
      <c r="L315" s="468"/>
      <c r="M315" s="72"/>
      <c r="N315" s="12"/>
      <c r="O315" s="494"/>
      <c r="P315" s="12"/>
      <c r="Q315" s="12"/>
      <c r="R315" s="12"/>
      <c r="S315" s="12"/>
      <c r="T315" s="127"/>
      <c r="U315" s="26"/>
      <c r="V315" s="26"/>
      <c r="W315" s="12"/>
      <c r="X315" s="12"/>
      <c r="Y315" s="12"/>
      <c r="Z315" s="68"/>
      <c r="AA315" s="68"/>
      <c r="AB315" s="68"/>
      <c r="AC315" s="68"/>
    </row>
    <row r="316" spans="1:29" ht="30" x14ac:dyDescent="0.25">
      <c r="A316" s="25"/>
      <c r="B316" s="25"/>
      <c r="C316" s="70"/>
      <c r="D316" s="70"/>
      <c r="E316" s="70"/>
      <c r="F316" s="70"/>
      <c r="G316" s="71">
        <v>3</v>
      </c>
      <c r="H316" s="1330" t="s">
        <v>5048</v>
      </c>
      <c r="I316" s="1295"/>
      <c r="J316" s="1295"/>
      <c r="K316" s="988"/>
      <c r="L316" s="989"/>
      <c r="M316" s="990"/>
      <c r="N316" s="499"/>
      <c r="O316" s="991" t="str">
        <f>HYPERLINK("http://wiki.academyofsports.online/tiki-index.php?page=Stellenanzeige-aufgeben-(0166)", "PP-Päd-001  (0166)")</f>
        <v>PP-Päd-001  (0166)</v>
      </c>
      <c r="P316" s="750"/>
      <c r="Q316" s="750"/>
      <c r="R316" s="750"/>
      <c r="S316" s="750"/>
      <c r="T316" s="750"/>
      <c r="U316" s="749"/>
      <c r="V316" s="749"/>
      <c r="W316" s="750"/>
      <c r="X316" s="750"/>
      <c r="Y316" s="750"/>
      <c r="Z316" s="68"/>
      <c r="AA316" s="68"/>
      <c r="AB316" s="68"/>
      <c r="AC316" s="68"/>
    </row>
    <row r="317" spans="1:29" ht="89.25" x14ac:dyDescent="0.25">
      <c r="A317" s="25"/>
      <c r="B317" s="25"/>
      <c r="C317" s="70"/>
      <c r="D317" s="70"/>
      <c r="E317" s="70"/>
      <c r="F317" s="70"/>
      <c r="G317" s="70"/>
      <c r="H317" s="535">
        <v>4</v>
      </c>
      <c r="I317" s="535"/>
      <c r="J317" s="535"/>
      <c r="K317" s="536" t="s">
        <v>5049</v>
      </c>
      <c r="L317" s="474" t="s">
        <v>5050</v>
      </c>
      <c r="M317" s="185" t="s">
        <v>4701</v>
      </c>
      <c r="N317" s="536" t="s">
        <v>5051</v>
      </c>
      <c r="O317" s="289"/>
      <c r="P317" s="127"/>
      <c r="Q317" s="12" t="s">
        <v>4985</v>
      </c>
      <c r="R317" s="127"/>
      <c r="S317" s="537" t="s">
        <v>4986</v>
      </c>
      <c r="T317" s="127" t="s">
        <v>4875</v>
      </c>
      <c r="U317" s="129"/>
      <c r="V317" s="129"/>
      <c r="W317" s="127"/>
      <c r="X317" s="127"/>
      <c r="Y317" s="127"/>
      <c r="Z317" s="68"/>
      <c r="AA317" s="68"/>
      <c r="AB317" s="68"/>
      <c r="AC317" s="68"/>
    </row>
    <row r="318" spans="1:29" ht="45" x14ac:dyDescent="0.25">
      <c r="A318" s="25"/>
      <c r="B318" s="25"/>
      <c r="C318" s="70"/>
      <c r="D318" s="70"/>
      <c r="E318" s="70"/>
      <c r="F318" s="70"/>
      <c r="G318" s="70"/>
      <c r="H318" s="134">
        <v>4</v>
      </c>
      <c r="I318" s="134"/>
      <c r="J318" s="134"/>
      <c r="K318" s="12" t="s">
        <v>5052</v>
      </c>
      <c r="L318" s="140" t="s">
        <v>5053</v>
      </c>
      <c r="M318" s="128" t="s">
        <v>4701</v>
      </c>
      <c r="N318" s="127"/>
      <c r="O318" s="494" t="s">
        <v>4987</v>
      </c>
      <c r="P318" s="127"/>
      <c r="Q318" s="127" t="s">
        <v>4988</v>
      </c>
      <c r="R318" s="127"/>
      <c r="S318" s="127"/>
      <c r="T318" s="127" t="s">
        <v>4813</v>
      </c>
      <c r="U318" s="127"/>
      <c r="V318" s="127"/>
      <c r="W318" s="127"/>
      <c r="X318" s="127"/>
      <c r="Y318" s="127"/>
      <c r="Z318" s="25"/>
      <c r="AA318" s="25"/>
      <c r="AB318" s="25"/>
      <c r="AC318" s="25"/>
    </row>
    <row r="319" spans="1:29" x14ac:dyDescent="0.25">
      <c r="A319" s="25"/>
      <c r="B319" s="25"/>
      <c r="C319" s="70"/>
      <c r="D319" s="70"/>
      <c r="E319" s="70"/>
      <c r="F319" s="70"/>
      <c r="G319" s="70"/>
      <c r="H319" s="966">
        <v>4</v>
      </c>
      <c r="I319" s="1331" t="s">
        <v>4640</v>
      </c>
      <c r="J319" s="1225"/>
      <c r="K319" s="1225"/>
      <c r="L319" s="1332"/>
      <c r="M319" s="1225"/>
      <c r="N319" s="1225"/>
      <c r="O319" s="1007" t="str">
        <f>HYPERLINK("http://wiki.academyofsports.online/tiki-index.php?page=Stellenanzeige-aufgeben-(0166)", "0166")</f>
        <v>0166</v>
      </c>
      <c r="P319" s="750"/>
      <c r="Q319" s="750"/>
      <c r="R319" s="750"/>
      <c r="S319" s="750"/>
      <c r="T319" s="993"/>
      <c r="U319" s="749"/>
      <c r="V319" s="749"/>
      <c r="W319" s="750"/>
      <c r="X319" s="750"/>
      <c r="Y319" s="750"/>
      <c r="Z319" s="981"/>
      <c r="AA319" s="981"/>
      <c r="AB319" s="981"/>
      <c r="AC319" s="981"/>
    </row>
    <row r="320" spans="1:29" ht="25.5" x14ac:dyDescent="0.25">
      <c r="A320" s="25"/>
      <c r="B320" s="25"/>
      <c r="C320" s="70"/>
      <c r="D320" s="70"/>
      <c r="E320" s="70"/>
      <c r="F320" s="70"/>
      <c r="G320" s="70"/>
      <c r="H320" s="70"/>
      <c r="I320" s="70">
        <v>5</v>
      </c>
      <c r="J320" s="70"/>
      <c r="K320" s="12" t="s">
        <v>5054</v>
      </c>
      <c r="L320" s="140" t="s">
        <v>5055</v>
      </c>
      <c r="M320" s="128" t="s">
        <v>4701</v>
      </c>
      <c r="N320" s="127" t="s">
        <v>5056</v>
      </c>
      <c r="O320" s="289" t="s">
        <v>4989</v>
      </c>
      <c r="P320" s="12"/>
      <c r="Q320" s="12" t="s">
        <v>4990</v>
      </c>
      <c r="R320" s="12"/>
      <c r="S320" s="12"/>
      <c r="T320" s="127"/>
      <c r="U320" s="26"/>
      <c r="V320" s="26"/>
      <c r="W320" s="12"/>
      <c r="X320" s="12"/>
      <c r="Y320" s="12"/>
      <c r="Z320" s="25"/>
      <c r="AA320" s="25"/>
      <c r="AB320" s="25"/>
      <c r="AC320" s="25"/>
    </row>
    <row r="321" spans="1:29" ht="45" x14ac:dyDescent="0.25">
      <c r="A321" s="25"/>
      <c r="B321" s="25"/>
      <c r="C321" s="70"/>
      <c r="D321" s="70"/>
      <c r="E321" s="70"/>
      <c r="F321" s="70"/>
      <c r="G321" s="70"/>
      <c r="H321" s="134"/>
      <c r="I321" s="134">
        <v>5</v>
      </c>
      <c r="J321" s="134"/>
      <c r="K321" s="12" t="s">
        <v>5057</v>
      </c>
      <c r="L321" s="140" t="s">
        <v>5058</v>
      </c>
      <c r="M321" s="72" t="s">
        <v>4851</v>
      </c>
      <c r="N321" s="127" t="s">
        <v>5056</v>
      </c>
      <c r="O321" s="289" t="s">
        <v>4989</v>
      </c>
      <c r="P321" s="127"/>
      <c r="Q321" s="127"/>
      <c r="R321" s="127"/>
      <c r="S321" s="127"/>
      <c r="T321" s="127" t="s">
        <v>4875</v>
      </c>
      <c r="U321" s="127"/>
      <c r="V321" s="127"/>
      <c r="W321" s="127"/>
      <c r="X321" s="127"/>
      <c r="Y321" s="127"/>
      <c r="Z321" s="25"/>
      <c r="AA321" s="25"/>
      <c r="AB321" s="25"/>
      <c r="AC321" s="25"/>
    </row>
    <row r="322" spans="1:29" ht="30" x14ac:dyDescent="0.25">
      <c r="A322" s="25"/>
      <c r="B322" s="25"/>
      <c r="C322" s="70"/>
      <c r="D322" s="70"/>
      <c r="E322" s="70"/>
      <c r="F322" s="70"/>
      <c r="G322" s="70"/>
      <c r="H322" s="70"/>
      <c r="I322" s="70">
        <v>5</v>
      </c>
      <c r="J322" s="70"/>
      <c r="K322" s="12" t="s">
        <v>5059</v>
      </c>
      <c r="L322" s="140" t="s">
        <v>5060</v>
      </c>
      <c r="M322" s="128" t="s">
        <v>969</v>
      </c>
      <c r="N322" s="127" t="s">
        <v>5056</v>
      </c>
      <c r="O322" s="494"/>
      <c r="P322" s="12"/>
      <c r="Q322" s="12" t="s">
        <v>4991</v>
      </c>
      <c r="R322" s="12"/>
      <c r="S322" s="12"/>
      <c r="T322" s="127" t="s">
        <v>4813</v>
      </c>
      <c r="U322" s="26"/>
      <c r="V322" s="26"/>
      <c r="W322" s="12"/>
      <c r="X322" s="12"/>
      <c r="Y322" s="12"/>
      <c r="Z322" s="25"/>
      <c r="AA322" s="25"/>
      <c r="AB322" s="25"/>
      <c r="AC322" s="25"/>
    </row>
    <row r="323" spans="1:29" ht="30" x14ac:dyDescent="0.25">
      <c r="A323" s="25"/>
      <c r="B323" s="25"/>
      <c r="C323" s="70"/>
      <c r="D323" s="70"/>
      <c r="E323" s="70"/>
      <c r="F323" s="70"/>
      <c r="G323" s="70"/>
      <c r="H323" s="70"/>
      <c r="I323" s="70">
        <v>5</v>
      </c>
      <c r="J323" s="70"/>
      <c r="K323" s="12" t="s">
        <v>5061</v>
      </c>
      <c r="L323" s="140" t="s">
        <v>5062</v>
      </c>
      <c r="M323" s="72" t="s">
        <v>4701</v>
      </c>
      <c r="N323" s="127" t="s">
        <v>5056</v>
      </c>
      <c r="O323" s="494"/>
      <c r="P323" s="12"/>
      <c r="Q323" s="12"/>
      <c r="R323" s="12"/>
      <c r="S323" s="12"/>
      <c r="T323" s="127"/>
      <c r="U323" s="26"/>
      <c r="V323" s="26"/>
      <c r="W323" s="12"/>
      <c r="X323" s="12"/>
      <c r="Y323" s="12"/>
      <c r="Z323" s="25"/>
      <c r="AA323" s="25"/>
      <c r="AB323" s="25"/>
      <c r="AC323" s="25"/>
    </row>
    <row r="324" spans="1:29" ht="45" x14ac:dyDescent="0.25">
      <c r="A324" s="25"/>
      <c r="B324" s="25"/>
      <c r="C324" s="70"/>
      <c r="D324" s="70"/>
      <c r="E324" s="70"/>
      <c r="F324" s="70"/>
      <c r="G324" s="70"/>
      <c r="H324" s="70"/>
      <c r="I324" s="70">
        <v>5</v>
      </c>
      <c r="J324" s="70"/>
      <c r="K324" s="12" t="s">
        <v>5063</v>
      </c>
      <c r="L324" s="140" t="s">
        <v>5064</v>
      </c>
      <c r="M324" s="72" t="s">
        <v>4701</v>
      </c>
      <c r="N324" s="12"/>
      <c r="O324" s="494"/>
      <c r="P324" s="12"/>
      <c r="Q324" s="12" t="s">
        <v>4992</v>
      </c>
      <c r="R324" s="12"/>
      <c r="S324" s="12" t="s">
        <v>4993</v>
      </c>
      <c r="T324" s="127"/>
      <c r="U324" s="26"/>
      <c r="V324" s="26"/>
      <c r="W324" s="12"/>
      <c r="X324" s="12"/>
      <c r="Y324" s="12"/>
      <c r="Z324" s="25"/>
      <c r="AA324" s="25"/>
      <c r="AB324" s="25"/>
      <c r="AC324" s="25"/>
    </row>
    <row r="325" spans="1:29" ht="16.5" customHeight="1" x14ac:dyDescent="0.25">
      <c r="A325" s="25"/>
      <c r="B325" s="25"/>
      <c r="C325" s="70"/>
      <c r="D325" s="70"/>
      <c r="E325" s="70"/>
      <c r="F325" s="70"/>
      <c r="G325" s="70"/>
      <c r="H325" s="966">
        <v>4</v>
      </c>
      <c r="I325" s="1333" t="s">
        <v>5065</v>
      </c>
      <c r="J325" s="1223"/>
      <c r="K325" s="1223"/>
      <c r="L325" s="1334"/>
      <c r="M325" s="1223"/>
      <c r="N325" s="1223"/>
      <c r="O325" s="991" t="str">
        <f>HYPERLINK("http://wiki.academyofsports.online/tiki-index.php?page=Bewerbungsprozess---Autor-(-PP-P%C3%A4d-004)", "PP-Päd-004")</f>
        <v>PP-Päd-004</v>
      </c>
      <c r="P325" s="750"/>
      <c r="Q325" s="750"/>
      <c r="R325" s="750"/>
      <c r="S325" s="750"/>
      <c r="T325" s="993"/>
      <c r="U325" s="749"/>
      <c r="V325" s="749"/>
      <c r="W325" s="750"/>
      <c r="X325" s="750"/>
      <c r="Y325" s="750"/>
      <c r="Z325" s="981"/>
      <c r="AA325" s="981"/>
      <c r="AB325" s="981"/>
      <c r="AC325" s="981"/>
    </row>
    <row r="326" spans="1:29" ht="60" x14ac:dyDescent="0.25">
      <c r="A326" s="25"/>
      <c r="B326" s="25"/>
      <c r="C326" s="12"/>
      <c r="D326" s="70"/>
      <c r="E326" s="70"/>
      <c r="F326" s="70"/>
      <c r="G326" s="70"/>
      <c r="H326" s="70"/>
      <c r="I326" s="70">
        <v>5</v>
      </c>
      <c r="J326" s="70"/>
      <c r="K326" s="12" t="s">
        <v>5066</v>
      </c>
      <c r="L326" s="140" t="s">
        <v>5067</v>
      </c>
      <c r="M326" s="128" t="s">
        <v>4701</v>
      </c>
      <c r="N326" s="12" t="s">
        <v>5056</v>
      </c>
      <c r="O326" s="494"/>
      <c r="P326" s="12"/>
      <c r="Q326" s="12" t="s">
        <v>4994</v>
      </c>
      <c r="R326" s="12"/>
      <c r="S326" s="12"/>
      <c r="T326" s="127" t="s">
        <v>4875</v>
      </c>
      <c r="U326" s="26" t="s">
        <v>31</v>
      </c>
      <c r="V326" s="26"/>
      <c r="W326" s="12"/>
      <c r="X326" s="12"/>
      <c r="Y326" s="12"/>
      <c r="Z326" s="25"/>
      <c r="AA326" s="25"/>
      <c r="AB326" s="25"/>
      <c r="AC326" s="25"/>
    </row>
    <row r="327" spans="1:29" ht="90" x14ac:dyDescent="0.25">
      <c r="A327" s="25"/>
      <c r="B327" s="25"/>
      <c r="C327" s="12"/>
      <c r="D327" s="70"/>
      <c r="E327" s="70"/>
      <c r="F327" s="70"/>
      <c r="G327" s="134"/>
      <c r="H327" s="134"/>
      <c r="I327" s="134">
        <v>5</v>
      </c>
      <c r="J327" s="134"/>
      <c r="K327" s="12" t="s">
        <v>5068</v>
      </c>
      <c r="L327" s="140" t="s">
        <v>5069</v>
      </c>
      <c r="M327" s="128" t="s">
        <v>4701</v>
      </c>
      <c r="N327" s="12" t="s">
        <v>5070</v>
      </c>
      <c r="O327" s="127"/>
      <c r="P327" s="127"/>
      <c r="Q327" s="127" t="s">
        <v>4995</v>
      </c>
      <c r="R327" s="127"/>
      <c r="S327" s="12"/>
      <c r="T327" s="129" t="s">
        <v>4813</v>
      </c>
      <c r="U327" s="129"/>
      <c r="V327" s="129"/>
      <c r="W327" s="127"/>
      <c r="X327" s="127"/>
      <c r="Y327" s="127"/>
      <c r="Z327" s="25"/>
      <c r="AA327" s="25"/>
      <c r="AB327" s="25"/>
      <c r="AC327" s="25"/>
    </row>
    <row r="328" spans="1:29" ht="45" x14ac:dyDescent="0.25">
      <c r="A328" s="25"/>
      <c r="B328" s="25"/>
      <c r="C328" s="70"/>
      <c r="D328" s="70"/>
      <c r="E328" s="70"/>
      <c r="F328" s="70"/>
      <c r="G328" s="134"/>
      <c r="H328" s="134"/>
      <c r="I328" s="134">
        <v>5</v>
      </c>
      <c r="J328" s="134"/>
      <c r="K328" s="12" t="s">
        <v>5071</v>
      </c>
      <c r="L328" s="140" t="s">
        <v>5072</v>
      </c>
      <c r="M328" s="128" t="s">
        <v>4701</v>
      </c>
      <c r="N328" s="12" t="s">
        <v>5073</v>
      </c>
      <c r="O328" s="289"/>
      <c r="P328" s="127"/>
      <c r="Q328" s="127"/>
      <c r="R328" s="127"/>
      <c r="S328" s="12"/>
      <c r="T328" s="129"/>
      <c r="U328" s="129"/>
      <c r="V328" s="129"/>
      <c r="W328" s="127"/>
      <c r="X328" s="127"/>
      <c r="Y328" s="127"/>
      <c r="Z328" s="25"/>
      <c r="AA328" s="25"/>
      <c r="AB328" s="25"/>
      <c r="AC328" s="25"/>
    </row>
    <row r="329" spans="1:29" ht="25.5" x14ac:dyDescent="0.25">
      <c r="A329" s="25"/>
      <c r="B329" s="25"/>
      <c r="C329" s="70"/>
      <c r="D329" s="70"/>
      <c r="E329" s="70"/>
      <c r="F329" s="70"/>
      <c r="G329" s="134"/>
      <c r="H329" s="134"/>
      <c r="I329" s="134">
        <v>5</v>
      </c>
      <c r="J329" s="134"/>
      <c r="K329" s="12" t="s">
        <v>5074</v>
      </c>
      <c r="L329" s="140" t="s">
        <v>5075</v>
      </c>
      <c r="M329" s="128" t="s">
        <v>4701</v>
      </c>
      <c r="N329" s="12"/>
      <c r="O329" s="127"/>
      <c r="P329" s="127"/>
      <c r="Q329" s="127" t="s">
        <v>4996</v>
      </c>
      <c r="R329" s="127"/>
      <c r="S329" s="12"/>
      <c r="T329" s="129" t="s">
        <v>4813</v>
      </c>
      <c r="U329" s="129"/>
      <c r="V329" s="129"/>
      <c r="W329" s="127"/>
      <c r="X329" s="127"/>
      <c r="Y329" s="127"/>
      <c r="Z329" s="25"/>
      <c r="AA329" s="25"/>
      <c r="AB329" s="25"/>
      <c r="AC329" s="25"/>
    </row>
    <row r="330" spans="1:29" ht="57.75" x14ac:dyDescent="0.25">
      <c r="A330" s="25"/>
      <c r="B330" s="25"/>
      <c r="C330" s="70"/>
      <c r="D330" s="70"/>
      <c r="E330" s="70"/>
      <c r="F330" s="70"/>
      <c r="G330" s="134"/>
      <c r="H330" s="134"/>
      <c r="I330" s="134">
        <v>5</v>
      </c>
      <c r="J330" s="134"/>
      <c r="K330" s="12" t="s">
        <v>5076</v>
      </c>
      <c r="L330" s="140" t="s">
        <v>5077</v>
      </c>
      <c r="M330" s="128" t="s">
        <v>4701</v>
      </c>
      <c r="N330" s="12"/>
      <c r="O330" s="127"/>
      <c r="P330" s="127"/>
      <c r="Q330" s="127" t="s">
        <v>4996</v>
      </c>
      <c r="R330" s="127"/>
      <c r="S330" s="12"/>
      <c r="T330" s="129" t="s">
        <v>4813</v>
      </c>
      <c r="U330" s="129"/>
      <c r="V330" s="129"/>
      <c r="W330" s="127"/>
      <c r="X330" s="127"/>
      <c r="Y330" s="127"/>
      <c r="Z330" s="25"/>
      <c r="AA330" s="25"/>
      <c r="AB330" s="25"/>
      <c r="AC330" s="25"/>
    </row>
    <row r="331" spans="1:29" ht="45" x14ac:dyDescent="0.25">
      <c r="A331" s="25"/>
      <c r="B331" s="25"/>
      <c r="C331" s="70"/>
      <c r="D331" s="70"/>
      <c r="E331" s="70"/>
      <c r="F331" s="70"/>
      <c r="G331" s="70"/>
      <c r="H331" s="402"/>
      <c r="I331" s="402">
        <v>5</v>
      </c>
      <c r="J331" s="402"/>
      <c r="K331" s="401" t="s">
        <v>5078</v>
      </c>
      <c r="L331" s="538" t="s">
        <v>5079</v>
      </c>
      <c r="M331" s="397" t="s">
        <v>4701</v>
      </c>
      <c r="N331" s="401" t="s">
        <v>5080</v>
      </c>
      <c r="O331" s="494"/>
      <c r="P331" s="12"/>
      <c r="Q331" s="12"/>
      <c r="R331" s="12"/>
      <c r="S331" s="12"/>
      <c r="T331" s="12" t="s">
        <v>4813</v>
      </c>
      <c r="U331" s="26"/>
      <c r="V331" s="26"/>
      <c r="W331" s="12"/>
      <c r="X331" s="12"/>
      <c r="Y331" s="12"/>
      <c r="Z331" s="25"/>
      <c r="AA331" s="25"/>
      <c r="AB331" s="25"/>
      <c r="AC331" s="25"/>
    </row>
    <row r="332" spans="1:29" x14ac:dyDescent="0.25">
      <c r="A332" s="25"/>
      <c r="B332" s="25"/>
      <c r="C332" s="70"/>
      <c r="D332" s="70"/>
      <c r="E332" s="70"/>
      <c r="F332" s="70"/>
      <c r="G332" s="70"/>
      <c r="H332" s="402"/>
      <c r="I332" s="402">
        <v>5</v>
      </c>
      <c r="J332" s="402"/>
      <c r="K332" s="401" t="s">
        <v>5081</v>
      </c>
      <c r="L332" s="538" t="s">
        <v>5082</v>
      </c>
      <c r="M332" s="397" t="s">
        <v>5083</v>
      </c>
      <c r="N332" s="401"/>
      <c r="O332" s="494"/>
      <c r="P332" s="12"/>
      <c r="Q332" s="12"/>
      <c r="R332" s="12"/>
      <c r="S332" s="12"/>
      <c r="T332" s="12" t="s">
        <v>4813</v>
      </c>
      <c r="U332" s="26"/>
      <c r="V332" s="26"/>
      <c r="W332" s="12"/>
      <c r="X332" s="12"/>
      <c r="Y332" s="12"/>
      <c r="Z332" s="25"/>
      <c r="AA332" s="25"/>
      <c r="AB332" s="25"/>
      <c r="AC332" s="25"/>
    </row>
    <row r="333" spans="1:29" ht="60" x14ac:dyDescent="0.25">
      <c r="A333" s="25"/>
      <c r="B333" s="25"/>
      <c r="C333" s="70"/>
      <c r="D333" s="70"/>
      <c r="E333" s="70"/>
      <c r="F333" s="70"/>
      <c r="G333" s="134"/>
      <c r="H333" s="134"/>
      <c r="I333" s="134">
        <v>5</v>
      </c>
      <c r="J333" s="134"/>
      <c r="K333" s="12" t="s">
        <v>5084</v>
      </c>
      <c r="L333" s="140" t="s">
        <v>5085</v>
      </c>
      <c r="M333" s="128" t="s">
        <v>4701</v>
      </c>
      <c r="N333" s="12" t="s">
        <v>5086</v>
      </c>
      <c r="O333" s="127"/>
      <c r="P333" s="127"/>
      <c r="Q333" s="127" t="s">
        <v>4997</v>
      </c>
      <c r="R333" s="127"/>
      <c r="S333" s="537" t="s">
        <v>4998</v>
      </c>
      <c r="T333" s="129"/>
      <c r="U333" s="129"/>
      <c r="V333" s="129"/>
      <c r="W333" s="127"/>
      <c r="X333" s="127"/>
      <c r="Y333" s="127"/>
      <c r="Z333" s="25"/>
      <c r="AA333" s="25"/>
      <c r="AB333" s="25"/>
      <c r="AC333" s="25"/>
    </row>
    <row r="334" spans="1:29" x14ac:dyDescent="0.25">
      <c r="A334" s="25"/>
      <c r="B334" s="25"/>
      <c r="C334" s="70"/>
      <c r="D334" s="70"/>
      <c r="E334" s="70"/>
      <c r="F334" s="70"/>
      <c r="G334" s="134"/>
      <c r="H334" s="134"/>
      <c r="I334" s="134">
        <v>5</v>
      </c>
      <c r="J334" s="134"/>
      <c r="K334" s="127" t="s">
        <v>5087</v>
      </c>
      <c r="L334" s="140" t="s">
        <v>5088</v>
      </c>
      <c r="M334" s="72" t="s">
        <v>5089</v>
      </c>
      <c r="N334" s="127"/>
      <c r="O334" s="127"/>
      <c r="P334" s="127"/>
      <c r="Q334" s="127"/>
      <c r="R334" s="127"/>
      <c r="S334" s="12"/>
      <c r="T334" s="129"/>
      <c r="U334" s="129"/>
      <c r="V334" s="129"/>
      <c r="W334" s="127"/>
      <c r="X334" s="127"/>
      <c r="Y334" s="127"/>
      <c r="Z334" s="25"/>
      <c r="AA334" s="25"/>
      <c r="AB334" s="25"/>
      <c r="AC334" s="25"/>
    </row>
    <row r="335" spans="1:29" ht="72" x14ac:dyDescent="0.25">
      <c r="A335" s="25"/>
      <c r="B335" s="25"/>
      <c r="C335" s="70"/>
      <c r="D335" s="70"/>
      <c r="E335" s="70"/>
      <c r="F335" s="70"/>
      <c r="G335" s="134"/>
      <c r="H335" s="134"/>
      <c r="I335" s="134"/>
      <c r="J335" s="134">
        <v>6</v>
      </c>
      <c r="K335" s="127" t="s">
        <v>5090</v>
      </c>
      <c r="L335" s="472" t="s">
        <v>5091</v>
      </c>
      <c r="M335" s="128" t="s">
        <v>4701</v>
      </c>
      <c r="N335" s="127" t="s">
        <v>5092</v>
      </c>
      <c r="O335" s="127"/>
      <c r="P335" s="127"/>
      <c r="Q335" s="127" t="s">
        <v>4999</v>
      </c>
      <c r="R335" s="127" t="s">
        <v>5000</v>
      </c>
      <c r="S335" s="12" t="s">
        <v>5001</v>
      </c>
      <c r="T335" s="129" t="s">
        <v>129</v>
      </c>
      <c r="U335" s="129"/>
      <c r="V335" s="129"/>
      <c r="W335" s="127"/>
      <c r="X335" s="127"/>
      <c r="Y335" s="127"/>
      <c r="Z335" s="25"/>
      <c r="AA335" s="25"/>
      <c r="AB335" s="25"/>
      <c r="AC335" s="25"/>
    </row>
    <row r="336" spans="1:29" ht="63.75" x14ac:dyDescent="0.25">
      <c r="A336" s="25"/>
      <c r="B336" s="25"/>
      <c r="C336" s="70"/>
      <c r="D336" s="70"/>
      <c r="E336" s="70"/>
      <c r="F336" s="70"/>
      <c r="G336" s="134"/>
      <c r="H336" s="134"/>
      <c r="I336" s="134"/>
      <c r="J336" s="134">
        <v>6</v>
      </c>
      <c r="K336" s="152" t="s">
        <v>5093</v>
      </c>
      <c r="L336" s="473" t="s">
        <v>5094</v>
      </c>
      <c r="M336" s="153" t="s">
        <v>4701</v>
      </c>
      <c r="N336" s="152" t="s">
        <v>5095</v>
      </c>
      <c r="O336" s="154"/>
      <c r="P336" s="152"/>
      <c r="Q336" s="152" t="s">
        <v>5002</v>
      </c>
      <c r="R336" s="152" t="s">
        <v>5003</v>
      </c>
      <c r="S336" s="152"/>
      <c r="T336" s="127" t="s">
        <v>4813</v>
      </c>
      <c r="U336" s="155"/>
      <c r="V336" s="155"/>
      <c r="W336" s="152"/>
      <c r="X336" s="152"/>
      <c r="Y336" s="152"/>
      <c r="Z336" s="25"/>
      <c r="AA336" s="25"/>
      <c r="AB336" s="25"/>
      <c r="AC336" s="25"/>
    </row>
    <row r="337" spans="1:29" ht="75" x14ac:dyDescent="0.25">
      <c r="A337" s="539"/>
      <c r="B337" s="539"/>
      <c r="C337" s="70"/>
      <c r="D337" s="367"/>
      <c r="E337" s="367"/>
      <c r="F337" s="367"/>
      <c r="G337" s="367"/>
      <c r="H337" s="367"/>
      <c r="I337" s="367"/>
      <c r="J337" s="367">
        <v>6</v>
      </c>
      <c r="K337" s="418" t="s">
        <v>5096</v>
      </c>
      <c r="L337" s="329" t="s">
        <v>5097</v>
      </c>
      <c r="M337" s="201" t="s">
        <v>5089</v>
      </c>
      <c r="N337" s="418" t="s">
        <v>5098</v>
      </c>
      <c r="O337" s="540"/>
      <c r="P337" s="418"/>
      <c r="Q337" s="418" t="s">
        <v>5004</v>
      </c>
      <c r="R337" s="418"/>
      <c r="S337" s="418"/>
      <c r="T337" s="541" t="s">
        <v>4875</v>
      </c>
      <c r="U337" s="542"/>
      <c r="V337" s="542"/>
      <c r="W337" s="418"/>
      <c r="X337" s="418"/>
      <c r="Y337" s="418"/>
      <c r="Z337" s="25"/>
      <c r="AA337" s="25"/>
      <c r="AB337" s="25"/>
      <c r="AC337" s="25"/>
    </row>
    <row r="338" spans="1:29" ht="45" x14ac:dyDescent="0.25">
      <c r="A338" s="539"/>
      <c r="B338" s="539"/>
      <c r="C338" s="70"/>
      <c r="D338" s="502"/>
      <c r="E338" s="502"/>
      <c r="F338" s="502"/>
      <c r="G338" s="502"/>
      <c r="H338" s="502"/>
      <c r="I338" s="502"/>
      <c r="J338" s="502">
        <v>6</v>
      </c>
      <c r="K338" s="994" t="s">
        <v>5099</v>
      </c>
      <c r="L338" s="468"/>
      <c r="M338" s="72" t="s">
        <v>5089</v>
      </c>
      <c r="N338" s="505"/>
      <c r="O338" s="506"/>
      <c r="P338" s="505"/>
      <c r="Q338" s="505"/>
      <c r="R338" s="505"/>
      <c r="S338" s="505" t="s">
        <v>5005</v>
      </c>
      <c r="T338" s="505"/>
      <c r="U338" s="507"/>
      <c r="V338" s="507"/>
      <c r="W338" s="505"/>
      <c r="X338" s="505"/>
      <c r="Y338" s="505"/>
      <c r="Z338" s="25"/>
      <c r="AA338" s="25"/>
      <c r="AB338" s="25"/>
      <c r="AC338" s="25"/>
    </row>
    <row r="339" spans="1:29" ht="60" x14ac:dyDescent="0.25">
      <c r="A339" s="539"/>
      <c r="B339" s="539"/>
      <c r="C339" s="70"/>
      <c r="D339" s="502"/>
      <c r="E339" s="502"/>
      <c r="F339" s="502"/>
      <c r="G339" s="502"/>
      <c r="H339" s="502"/>
      <c r="I339" s="70"/>
      <c r="J339" s="70">
        <v>6</v>
      </c>
      <c r="K339" s="12" t="s">
        <v>5100</v>
      </c>
      <c r="L339" s="140" t="s">
        <v>5101</v>
      </c>
      <c r="M339" s="72" t="s">
        <v>4701</v>
      </c>
      <c r="N339" s="12" t="s">
        <v>5098</v>
      </c>
      <c r="O339" s="506"/>
      <c r="P339" s="505"/>
      <c r="Q339" s="505"/>
      <c r="R339" s="505"/>
      <c r="S339" s="505"/>
      <c r="T339" s="543" t="s">
        <v>4875</v>
      </c>
      <c r="U339" s="507"/>
      <c r="V339" s="507"/>
      <c r="W339" s="505"/>
      <c r="X339" s="505"/>
      <c r="Y339" s="505"/>
      <c r="Z339" s="25"/>
      <c r="AA339" s="25"/>
      <c r="AB339" s="25"/>
      <c r="AC339" s="25"/>
    </row>
    <row r="340" spans="1:29" ht="15.75" customHeight="1" x14ac:dyDescent="0.25">
      <c r="A340" s="25"/>
      <c r="B340" s="25"/>
      <c r="C340" s="70"/>
      <c r="D340" s="192"/>
      <c r="E340" s="192"/>
      <c r="F340" s="192"/>
      <c r="G340" s="192"/>
      <c r="H340" s="192"/>
      <c r="I340" s="219"/>
      <c r="J340" s="219"/>
      <c r="K340" s="305" t="s">
        <v>5102</v>
      </c>
      <c r="L340" s="305" t="s">
        <v>5103</v>
      </c>
      <c r="M340" s="544" t="s">
        <v>4701</v>
      </c>
      <c r="N340" s="545" t="s">
        <v>5104</v>
      </c>
      <c r="O340" s="515"/>
      <c r="P340" s="63"/>
      <c r="Q340" s="63"/>
      <c r="R340" s="63"/>
      <c r="S340" s="63"/>
      <c r="T340" s="63"/>
      <c r="U340" s="99"/>
      <c r="V340" s="99"/>
      <c r="W340" s="63"/>
      <c r="X340" s="63"/>
      <c r="Y340" s="63"/>
      <c r="Z340" s="63"/>
      <c r="AA340" s="63"/>
      <c r="AB340" s="63"/>
      <c r="AC340" s="63"/>
    </row>
    <row r="341" spans="1:29" ht="15.75" customHeight="1" x14ac:dyDescent="0.25">
      <c r="A341" s="25"/>
      <c r="B341" s="25"/>
      <c r="C341" s="70"/>
      <c r="D341" s="192"/>
      <c r="E341" s="192"/>
      <c r="F341" s="192"/>
      <c r="G341" s="192"/>
      <c r="H341" s="192"/>
      <c r="I341" s="192"/>
      <c r="J341" s="192"/>
      <c r="K341" s="307" t="s">
        <v>5105</v>
      </c>
      <c r="L341" s="546" t="s">
        <v>5106</v>
      </c>
      <c r="M341" s="98" t="s">
        <v>4701</v>
      </c>
      <c r="N341" s="63"/>
      <c r="O341" s="515"/>
      <c r="P341" s="63"/>
      <c r="Q341" s="63"/>
      <c r="R341" s="63"/>
      <c r="S341" s="63"/>
      <c r="T341" s="63"/>
      <c r="U341" s="99"/>
      <c r="V341" s="99"/>
      <c r="W341" s="63"/>
      <c r="X341" s="63"/>
      <c r="Y341" s="63"/>
      <c r="Z341" s="63"/>
      <c r="AA341" s="63"/>
      <c r="AB341" s="63"/>
      <c r="AC341" s="63"/>
    </row>
    <row r="342" spans="1:29" ht="30" x14ac:dyDescent="0.25">
      <c r="A342" s="539"/>
      <c r="B342" s="539"/>
      <c r="C342" s="70"/>
      <c r="D342" s="502"/>
      <c r="E342" s="502"/>
      <c r="F342" s="502"/>
      <c r="G342" s="502"/>
      <c r="H342" s="502"/>
      <c r="I342" s="502">
        <v>5</v>
      </c>
      <c r="J342" s="502"/>
      <c r="K342" s="12" t="s">
        <v>5107</v>
      </c>
      <c r="L342" s="140"/>
      <c r="M342" s="72" t="s">
        <v>4851</v>
      </c>
      <c r="N342" s="505"/>
      <c r="O342" s="506"/>
      <c r="P342" s="505"/>
      <c r="Q342" s="505"/>
      <c r="R342" s="505"/>
      <c r="S342" s="505"/>
      <c r="T342" s="543"/>
      <c r="U342" s="507"/>
      <c r="V342" s="507"/>
      <c r="W342" s="505"/>
      <c r="X342" s="505"/>
      <c r="Y342" s="505"/>
      <c r="Z342" s="25"/>
      <c r="AA342" s="25"/>
      <c r="AB342" s="25"/>
      <c r="AC342" s="25"/>
    </row>
    <row r="343" spans="1:29" x14ac:dyDescent="0.25">
      <c r="A343" s="25"/>
      <c r="B343" s="25"/>
      <c r="C343" s="68"/>
      <c r="D343" s="68"/>
      <c r="E343" s="68"/>
      <c r="F343" s="68"/>
      <c r="G343" s="68"/>
      <c r="H343" s="68"/>
      <c r="I343" s="68"/>
      <c r="J343" s="68"/>
      <c r="K343" s="25"/>
      <c r="L343" s="470"/>
      <c r="M343" s="25"/>
      <c r="N343" s="25"/>
      <c r="O343" s="488"/>
      <c r="P343" s="25"/>
      <c r="Q343" s="25"/>
      <c r="R343" s="25"/>
      <c r="S343" s="25"/>
      <c r="T343" s="25"/>
      <c r="U343" s="25"/>
      <c r="V343" s="25"/>
      <c r="W343" s="25"/>
      <c r="X343" s="25"/>
      <c r="Y343" s="25"/>
      <c r="Z343" s="25"/>
      <c r="AA343" s="25"/>
      <c r="AB343" s="25"/>
      <c r="AC343" s="25"/>
    </row>
    <row r="344" spans="1:29" x14ac:dyDescent="0.25">
      <c r="A344" s="25"/>
      <c r="B344" s="25"/>
      <c r="C344" s="68"/>
      <c r="D344" s="68"/>
      <c r="E344" s="68"/>
      <c r="F344" s="68"/>
      <c r="G344" s="68"/>
      <c r="H344" s="68"/>
      <c r="I344" s="68"/>
      <c r="J344" s="68"/>
      <c r="K344" s="25"/>
      <c r="L344" s="470"/>
      <c r="M344" s="25"/>
      <c r="N344" s="25"/>
      <c r="O344" s="488"/>
      <c r="P344" s="25"/>
      <c r="Q344" s="25"/>
      <c r="R344" s="25"/>
      <c r="S344" s="25"/>
      <c r="T344" s="25"/>
      <c r="U344" s="25"/>
      <c r="V344" s="25"/>
      <c r="W344" s="25"/>
      <c r="X344" s="25"/>
      <c r="Y344" s="25"/>
      <c r="Z344" s="25"/>
      <c r="AA344" s="25"/>
      <c r="AB344" s="25"/>
      <c r="AC344" s="25"/>
    </row>
    <row r="345" spans="1:29" x14ac:dyDescent="0.25">
      <c r="A345" s="25"/>
      <c r="B345" s="25"/>
      <c r="C345" s="68"/>
      <c r="D345" s="68"/>
      <c r="E345" s="68"/>
      <c r="F345" s="68"/>
      <c r="G345" s="68"/>
      <c r="H345" s="68"/>
      <c r="I345" s="68"/>
      <c r="J345" s="68"/>
      <c r="K345" s="25"/>
      <c r="L345" s="470"/>
      <c r="M345" s="25"/>
      <c r="N345" s="25"/>
      <c r="O345" s="488"/>
      <c r="P345" s="25"/>
      <c r="Q345" s="25"/>
      <c r="R345" s="25"/>
      <c r="S345" s="25"/>
      <c r="T345" s="25"/>
      <c r="U345" s="25"/>
      <c r="V345" s="25"/>
      <c r="W345" s="25"/>
      <c r="X345" s="25"/>
      <c r="Y345" s="25"/>
      <c r="Z345" s="25"/>
      <c r="AA345" s="25"/>
      <c r="AB345" s="25"/>
      <c r="AC345" s="25"/>
    </row>
    <row r="346" spans="1:29" x14ac:dyDescent="0.25">
      <c r="A346" s="25"/>
      <c r="B346" s="25"/>
      <c r="C346" s="68"/>
      <c r="D346" s="68"/>
      <c r="E346" s="68"/>
      <c r="F346" s="68"/>
      <c r="G346" s="68"/>
      <c r="H346" s="68"/>
      <c r="I346" s="68"/>
      <c r="J346" s="68"/>
      <c r="K346" s="25"/>
      <c r="L346" s="470"/>
      <c r="M346" s="25"/>
      <c r="N346" s="25"/>
      <c r="O346" s="488"/>
      <c r="P346" s="25"/>
      <c r="Q346" s="25"/>
      <c r="R346" s="25"/>
      <c r="S346" s="25"/>
      <c r="T346" s="25"/>
      <c r="U346" s="25"/>
      <c r="V346" s="25"/>
      <c r="W346" s="25"/>
      <c r="X346" s="25"/>
      <c r="Y346" s="25"/>
      <c r="Z346" s="25"/>
      <c r="AA346" s="25"/>
      <c r="AB346" s="25"/>
      <c r="AC346" s="25"/>
    </row>
    <row r="347" spans="1:29" x14ac:dyDescent="0.25">
      <c r="A347" s="25"/>
      <c r="B347" s="25"/>
      <c r="C347" s="68"/>
      <c r="D347" s="68"/>
      <c r="E347" s="68"/>
      <c r="F347" s="68"/>
      <c r="G347" s="68"/>
      <c r="H347" s="68"/>
      <c r="I347" s="68"/>
      <c r="J347" s="68"/>
      <c r="K347" s="25"/>
      <c r="L347" s="470"/>
      <c r="M347" s="25"/>
      <c r="N347" s="25"/>
      <c r="O347" s="488"/>
      <c r="P347" s="25"/>
      <c r="Q347" s="25"/>
      <c r="R347" s="25"/>
      <c r="S347" s="25"/>
      <c r="T347" s="25"/>
      <c r="U347" s="25"/>
      <c r="V347" s="25"/>
      <c r="W347" s="25"/>
      <c r="X347" s="25"/>
      <c r="Y347" s="25"/>
      <c r="Z347" s="25"/>
      <c r="AA347" s="25"/>
      <c r="AB347" s="25"/>
      <c r="AC347" s="25"/>
    </row>
    <row r="348" spans="1:29" x14ac:dyDescent="0.25">
      <c r="A348" s="25"/>
      <c r="B348" s="25"/>
      <c r="C348" s="68"/>
      <c r="D348" s="68"/>
      <c r="E348" s="68"/>
      <c r="F348" s="68"/>
      <c r="G348" s="68"/>
      <c r="H348" s="68"/>
      <c r="I348" s="68"/>
      <c r="J348" s="68"/>
      <c r="K348" s="25"/>
      <c r="L348" s="470"/>
      <c r="M348" s="25"/>
      <c r="N348" s="25"/>
      <c r="O348" s="488"/>
      <c r="P348" s="25"/>
      <c r="Q348" s="25"/>
      <c r="R348" s="25"/>
      <c r="S348" s="25"/>
      <c r="T348" s="25"/>
      <c r="U348" s="25"/>
      <c r="V348" s="25"/>
      <c r="W348" s="25"/>
      <c r="X348" s="25"/>
      <c r="Y348" s="25"/>
      <c r="Z348" s="25"/>
      <c r="AA348" s="25"/>
      <c r="AB348" s="25"/>
      <c r="AC348" s="25"/>
    </row>
    <row r="349" spans="1:29" x14ac:dyDescent="0.25">
      <c r="A349" s="25"/>
      <c r="B349" s="25"/>
      <c r="C349" s="68"/>
      <c r="D349" s="68"/>
      <c r="E349" s="68"/>
      <c r="F349" s="68"/>
      <c r="G349" s="68"/>
      <c r="H349" s="68"/>
      <c r="I349" s="68"/>
      <c r="J349" s="68"/>
      <c r="K349" s="25"/>
      <c r="L349" s="470"/>
      <c r="M349" s="25"/>
      <c r="N349" s="25"/>
      <c r="O349" s="488"/>
      <c r="P349" s="25"/>
      <c r="Q349" s="25"/>
      <c r="R349" s="25"/>
      <c r="S349" s="25"/>
      <c r="T349" s="25"/>
      <c r="U349" s="25"/>
      <c r="V349" s="25"/>
      <c r="W349" s="25"/>
      <c r="X349" s="25"/>
      <c r="Y349" s="25"/>
      <c r="Z349" s="25"/>
      <c r="AA349" s="25"/>
      <c r="AB349" s="25"/>
      <c r="AC349" s="25"/>
    </row>
    <row r="350" spans="1:29" x14ac:dyDescent="0.25">
      <c r="A350" s="25"/>
      <c r="B350" s="25"/>
      <c r="C350" s="68"/>
      <c r="D350" s="68"/>
      <c r="E350" s="68"/>
      <c r="F350" s="68"/>
      <c r="G350" s="68"/>
      <c r="H350" s="68"/>
      <c r="I350" s="68"/>
      <c r="J350" s="68"/>
      <c r="K350" s="25"/>
      <c r="L350" s="470"/>
      <c r="M350" s="25"/>
      <c r="N350" s="25"/>
      <c r="O350" s="488"/>
      <c r="P350" s="25"/>
      <c r="Q350" s="25"/>
      <c r="R350" s="25"/>
      <c r="S350" s="25"/>
      <c r="T350" s="25"/>
      <c r="U350" s="25"/>
      <c r="V350" s="25"/>
      <c r="W350" s="25"/>
      <c r="X350" s="25"/>
      <c r="Y350" s="25"/>
      <c r="Z350" s="25"/>
      <c r="AA350" s="25"/>
      <c r="AB350" s="25"/>
      <c r="AC350" s="25"/>
    </row>
    <row r="351" spans="1:29" x14ac:dyDescent="0.25">
      <c r="A351" s="25"/>
      <c r="B351" s="25"/>
      <c r="C351" s="68"/>
      <c r="D351" s="68"/>
      <c r="E351" s="68"/>
      <c r="F351" s="68"/>
      <c r="G351" s="68"/>
      <c r="H351" s="68"/>
      <c r="I351" s="68"/>
      <c r="J351" s="68"/>
      <c r="K351" s="25"/>
      <c r="L351" s="470"/>
      <c r="M351" s="25"/>
      <c r="N351" s="25"/>
      <c r="O351" s="488"/>
      <c r="P351" s="25"/>
      <c r="Q351" s="25"/>
      <c r="R351" s="25"/>
      <c r="S351" s="25"/>
      <c r="T351" s="25"/>
      <c r="U351" s="25"/>
      <c r="V351" s="25"/>
      <c r="W351" s="25"/>
      <c r="X351" s="25"/>
      <c r="Y351" s="25"/>
      <c r="Z351" s="25"/>
      <c r="AA351" s="25"/>
      <c r="AB351" s="25"/>
      <c r="AC351" s="25"/>
    </row>
    <row r="352" spans="1:29" x14ac:dyDescent="0.25">
      <c r="A352" s="25"/>
      <c r="B352" s="25"/>
      <c r="C352" s="68"/>
      <c r="D352" s="68"/>
      <c r="E352" s="68"/>
      <c r="F352" s="68"/>
      <c r="G352" s="68"/>
      <c r="H352" s="68"/>
      <c r="I352" s="68"/>
      <c r="J352" s="68"/>
      <c r="K352" s="25"/>
      <c r="L352" s="470"/>
      <c r="M352" s="25"/>
      <c r="N352" s="25"/>
      <c r="O352" s="488"/>
      <c r="P352" s="25"/>
      <c r="Q352" s="25"/>
      <c r="R352" s="25"/>
      <c r="S352" s="25"/>
      <c r="T352" s="25"/>
      <c r="U352" s="25"/>
      <c r="V352" s="25"/>
      <c r="W352" s="25"/>
      <c r="X352" s="25"/>
      <c r="Y352" s="25"/>
      <c r="Z352" s="25"/>
      <c r="AA352" s="25"/>
      <c r="AB352" s="25"/>
      <c r="AC352" s="25"/>
    </row>
    <row r="353" spans="1:29" x14ac:dyDescent="0.25">
      <c r="A353" s="25"/>
      <c r="B353" s="25"/>
      <c r="C353" s="68"/>
      <c r="D353" s="68"/>
      <c r="E353" s="68"/>
      <c r="F353" s="68"/>
      <c r="G353" s="68"/>
      <c r="H353" s="68"/>
      <c r="I353" s="68"/>
      <c r="J353" s="68"/>
      <c r="K353" s="25"/>
      <c r="L353" s="470"/>
      <c r="M353" s="25"/>
      <c r="N353" s="25"/>
      <c r="O353" s="488"/>
      <c r="P353" s="25"/>
      <c r="Q353" s="25"/>
      <c r="R353" s="25"/>
      <c r="S353" s="25"/>
      <c r="T353" s="25"/>
      <c r="U353" s="25"/>
      <c r="V353" s="25"/>
      <c r="W353" s="25"/>
      <c r="X353" s="25"/>
      <c r="Y353" s="25"/>
      <c r="Z353" s="25"/>
      <c r="AA353" s="25"/>
      <c r="AB353" s="25"/>
      <c r="AC353" s="25"/>
    </row>
    <row r="354" spans="1:29" x14ac:dyDescent="0.25">
      <c r="A354" s="25"/>
      <c r="B354" s="25"/>
      <c r="C354" s="68"/>
      <c r="D354" s="68"/>
      <c r="E354" s="68"/>
      <c r="F354" s="68"/>
      <c r="G354" s="68"/>
      <c r="H354" s="68"/>
      <c r="I354" s="68"/>
      <c r="J354" s="68"/>
      <c r="K354" s="25"/>
      <c r="L354" s="470"/>
      <c r="M354" s="25"/>
      <c r="N354" s="25"/>
      <c r="O354" s="488"/>
      <c r="P354" s="25"/>
      <c r="Q354" s="25"/>
      <c r="R354" s="25"/>
      <c r="S354" s="25"/>
      <c r="T354" s="25"/>
      <c r="U354" s="25"/>
      <c r="V354" s="25"/>
      <c r="W354" s="25"/>
      <c r="X354" s="25"/>
      <c r="Y354" s="25"/>
      <c r="Z354" s="25"/>
      <c r="AA354" s="25"/>
      <c r="AB354" s="25"/>
      <c r="AC354" s="25"/>
    </row>
    <row r="355" spans="1:29" x14ac:dyDescent="0.25">
      <c r="A355" s="25"/>
      <c r="B355" s="25"/>
      <c r="C355" s="68"/>
      <c r="D355" s="68"/>
      <c r="E355" s="68"/>
      <c r="F355" s="68"/>
      <c r="G355" s="68"/>
      <c r="H355" s="68"/>
      <c r="I355" s="68"/>
      <c r="J355" s="68"/>
      <c r="K355" s="25"/>
      <c r="L355" s="470"/>
      <c r="M355" s="25"/>
      <c r="N355" s="25"/>
      <c r="O355" s="488"/>
      <c r="P355" s="25"/>
      <c r="Q355" s="25"/>
      <c r="R355" s="25"/>
      <c r="S355" s="25"/>
      <c r="T355" s="25"/>
      <c r="U355" s="25"/>
      <c r="V355" s="25"/>
      <c r="W355" s="25"/>
      <c r="X355" s="25"/>
      <c r="Y355" s="25"/>
      <c r="Z355" s="25"/>
      <c r="AA355" s="25"/>
      <c r="AB355" s="25"/>
      <c r="AC355" s="25"/>
    </row>
    <row r="356" spans="1:29" x14ac:dyDescent="0.25">
      <c r="A356" s="25"/>
      <c r="B356" s="25"/>
      <c r="C356" s="68"/>
      <c r="D356" s="68"/>
      <c r="E356" s="68"/>
      <c r="F356" s="68"/>
      <c r="G356" s="68"/>
      <c r="H356" s="68"/>
      <c r="I356" s="68"/>
      <c r="J356" s="68"/>
      <c r="K356" s="25"/>
      <c r="L356" s="470"/>
      <c r="M356" s="25"/>
      <c r="N356" s="25"/>
      <c r="O356" s="488"/>
      <c r="P356" s="25"/>
      <c r="Q356" s="25"/>
      <c r="R356" s="25"/>
      <c r="S356" s="25"/>
      <c r="T356" s="25"/>
      <c r="U356" s="25"/>
      <c r="V356" s="25"/>
      <c r="W356" s="25"/>
      <c r="X356" s="25"/>
      <c r="Y356" s="25"/>
      <c r="Z356" s="25"/>
      <c r="AA356" s="25"/>
      <c r="AB356" s="25"/>
      <c r="AC356" s="25"/>
    </row>
    <row r="357" spans="1:29" x14ac:dyDescent="0.25">
      <c r="A357" s="25"/>
      <c r="B357" s="25"/>
      <c r="C357" s="68"/>
      <c r="D357" s="68"/>
      <c r="E357" s="68"/>
      <c r="F357" s="68"/>
      <c r="G357" s="68"/>
      <c r="H357" s="68"/>
      <c r="I357" s="68"/>
      <c r="J357" s="68"/>
      <c r="K357" s="25"/>
      <c r="L357" s="470"/>
      <c r="M357" s="25"/>
      <c r="N357" s="25"/>
      <c r="O357" s="488"/>
      <c r="P357" s="25"/>
      <c r="Q357" s="25"/>
      <c r="R357" s="25"/>
      <c r="S357" s="25"/>
      <c r="T357" s="25"/>
      <c r="U357" s="25"/>
      <c r="V357" s="25"/>
      <c r="W357" s="25"/>
      <c r="X357" s="25"/>
      <c r="Y357" s="25"/>
      <c r="Z357" s="25"/>
      <c r="AA357" s="25"/>
      <c r="AB357" s="25"/>
      <c r="AC357" s="25"/>
    </row>
    <row r="358" spans="1:29" x14ac:dyDescent="0.25">
      <c r="A358" s="25"/>
      <c r="B358" s="25"/>
      <c r="C358" s="68"/>
      <c r="D358" s="68"/>
      <c r="E358" s="68"/>
      <c r="F358" s="68"/>
      <c r="G358" s="68"/>
      <c r="H358" s="68"/>
      <c r="I358" s="68"/>
      <c r="J358" s="68"/>
      <c r="K358" s="25"/>
      <c r="L358" s="470"/>
      <c r="M358" s="25"/>
      <c r="N358" s="25"/>
      <c r="O358" s="488"/>
      <c r="P358" s="25"/>
      <c r="Q358" s="25"/>
      <c r="R358" s="25"/>
      <c r="S358" s="25"/>
      <c r="T358" s="25"/>
      <c r="U358" s="25"/>
      <c r="V358" s="25"/>
      <c r="W358" s="25"/>
      <c r="X358" s="25"/>
      <c r="Y358" s="25"/>
      <c r="Z358" s="25"/>
      <c r="AA358" s="25"/>
      <c r="AB358" s="25"/>
      <c r="AC358" s="25"/>
    </row>
    <row r="359" spans="1:29" x14ac:dyDescent="0.25">
      <c r="A359" s="25"/>
      <c r="B359" s="25"/>
      <c r="C359" s="68"/>
      <c r="D359" s="68"/>
      <c r="E359" s="68"/>
      <c r="F359" s="68"/>
      <c r="G359" s="68"/>
      <c r="H359" s="68"/>
      <c r="I359" s="68"/>
      <c r="J359" s="68"/>
      <c r="K359" s="25"/>
      <c r="L359" s="470"/>
      <c r="M359" s="25"/>
      <c r="N359" s="25"/>
      <c r="O359" s="488"/>
      <c r="P359" s="25"/>
      <c r="Q359" s="25"/>
      <c r="R359" s="25"/>
      <c r="S359" s="25"/>
      <c r="T359" s="25"/>
      <c r="U359" s="25"/>
      <c r="V359" s="25"/>
      <c r="W359" s="25"/>
      <c r="X359" s="25"/>
      <c r="Y359" s="25"/>
      <c r="Z359" s="25"/>
      <c r="AA359" s="25"/>
      <c r="AB359" s="25"/>
      <c r="AC359" s="25"/>
    </row>
    <row r="360" spans="1:29" x14ac:dyDescent="0.25">
      <c r="A360" s="25"/>
      <c r="B360" s="25"/>
      <c r="C360" s="68"/>
      <c r="D360" s="68"/>
      <c r="E360" s="68"/>
      <c r="F360" s="68"/>
      <c r="G360" s="68"/>
      <c r="H360" s="68"/>
      <c r="I360" s="68"/>
      <c r="J360" s="68"/>
      <c r="K360" s="25"/>
      <c r="L360" s="470"/>
      <c r="M360" s="25"/>
      <c r="N360" s="25"/>
      <c r="O360" s="488"/>
      <c r="P360" s="25"/>
      <c r="Q360" s="25"/>
      <c r="R360" s="25"/>
      <c r="S360" s="25"/>
      <c r="T360" s="25"/>
      <c r="U360" s="25"/>
      <c r="V360" s="25"/>
      <c r="W360" s="25"/>
      <c r="X360" s="25"/>
      <c r="Y360" s="25"/>
      <c r="Z360" s="25"/>
      <c r="AA360" s="25"/>
      <c r="AB360" s="25"/>
      <c r="AC360" s="25"/>
    </row>
    <row r="361" spans="1:29" x14ac:dyDescent="0.25">
      <c r="A361" s="25"/>
      <c r="B361" s="25"/>
      <c r="C361" s="68"/>
      <c r="D361" s="68"/>
      <c r="E361" s="68"/>
      <c r="F361" s="68"/>
      <c r="G361" s="68"/>
      <c r="H361" s="68"/>
      <c r="I361" s="68"/>
      <c r="J361" s="68"/>
      <c r="K361" s="25"/>
      <c r="L361" s="470"/>
      <c r="M361" s="25"/>
      <c r="N361" s="25"/>
      <c r="O361" s="488"/>
      <c r="P361" s="25"/>
      <c r="Q361" s="25"/>
      <c r="R361" s="25"/>
      <c r="S361" s="25"/>
      <c r="T361" s="25"/>
      <c r="U361" s="25"/>
      <c r="V361" s="25"/>
      <c r="W361" s="25"/>
      <c r="X361" s="25"/>
      <c r="Y361" s="25"/>
      <c r="Z361" s="25"/>
      <c r="AA361" s="25"/>
      <c r="AB361" s="25"/>
      <c r="AC361" s="25"/>
    </row>
    <row r="362" spans="1:29" x14ac:dyDescent="0.25">
      <c r="A362" s="25"/>
      <c r="B362" s="25"/>
      <c r="C362" s="68"/>
      <c r="D362" s="68"/>
      <c r="E362" s="68"/>
      <c r="F362" s="68"/>
      <c r="G362" s="68"/>
      <c r="H362" s="68"/>
      <c r="I362" s="68"/>
      <c r="J362" s="68"/>
      <c r="K362" s="25"/>
      <c r="L362" s="470"/>
      <c r="M362" s="25"/>
      <c r="N362" s="25"/>
      <c r="O362" s="488"/>
      <c r="P362" s="25"/>
      <c r="Q362" s="25"/>
      <c r="R362" s="25"/>
      <c r="S362" s="25"/>
      <c r="T362" s="25"/>
      <c r="U362" s="25"/>
      <c r="V362" s="25"/>
      <c r="W362" s="25"/>
      <c r="X362" s="25"/>
      <c r="Y362" s="25"/>
      <c r="Z362" s="25"/>
      <c r="AA362" s="25"/>
      <c r="AB362" s="25"/>
      <c r="AC362" s="25"/>
    </row>
    <row r="363" spans="1:29" x14ac:dyDescent="0.25">
      <c r="A363" s="25"/>
      <c r="B363" s="25"/>
      <c r="C363" s="68"/>
      <c r="D363" s="68"/>
      <c r="E363" s="68"/>
      <c r="F363" s="68"/>
      <c r="G363" s="68"/>
      <c r="H363" s="68"/>
      <c r="I363" s="68"/>
      <c r="J363" s="68"/>
      <c r="K363" s="25"/>
      <c r="L363" s="470"/>
      <c r="M363" s="25"/>
      <c r="N363" s="25"/>
      <c r="O363" s="488"/>
      <c r="P363" s="25"/>
      <c r="Q363" s="25"/>
      <c r="R363" s="25"/>
      <c r="S363" s="25"/>
      <c r="T363" s="25"/>
      <c r="U363" s="25"/>
      <c r="V363" s="25"/>
      <c r="W363" s="25"/>
      <c r="X363" s="25"/>
      <c r="Y363" s="25"/>
      <c r="Z363" s="25"/>
      <c r="AA363" s="25"/>
      <c r="AB363" s="25"/>
      <c r="AC363" s="25"/>
    </row>
    <row r="364" spans="1:29" x14ac:dyDescent="0.25">
      <c r="A364" s="25"/>
      <c r="B364" s="25"/>
      <c r="C364" s="68"/>
      <c r="D364" s="68"/>
      <c r="E364" s="68"/>
      <c r="F364" s="68"/>
      <c r="G364" s="68"/>
      <c r="H364" s="68"/>
      <c r="I364" s="68"/>
      <c r="J364" s="68"/>
      <c r="K364" s="25"/>
      <c r="L364" s="470"/>
      <c r="M364" s="25"/>
      <c r="N364" s="25"/>
      <c r="O364" s="488"/>
      <c r="P364" s="25"/>
      <c r="Q364" s="25"/>
      <c r="R364" s="25"/>
      <c r="S364" s="25"/>
      <c r="T364" s="25"/>
      <c r="U364" s="25"/>
      <c r="V364" s="25"/>
      <c r="W364" s="25"/>
      <c r="X364" s="25"/>
      <c r="Y364" s="25"/>
      <c r="Z364" s="25"/>
      <c r="AA364" s="25"/>
      <c r="AB364" s="25"/>
      <c r="AC364" s="25"/>
    </row>
    <row r="365" spans="1:29" x14ac:dyDescent="0.25">
      <c r="A365" s="25"/>
      <c r="B365" s="25"/>
      <c r="C365" s="68"/>
      <c r="D365" s="68"/>
      <c r="E365" s="68"/>
      <c r="F365" s="68"/>
      <c r="G365" s="68"/>
      <c r="H365" s="68"/>
      <c r="I365" s="68"/>
      <c r="J365" s="68"/>
      <c r="K365" s="25"/>
      <c r="L365" s="470"/>
      <c r="M365" s="25"/>
      <c r="N365" s="25"/>
      <c r="O365" s="488"/>
      <c r="P365" s="25"/>
      <c r="Q365" s="25"/>
      <c r="R365" s="25"/>
      <c r="S365" s="25"/>
      <c r="T365" s="25"/>
      <c r="U365" s="25"/>
      <c r="V365" s="25"/>
      <c r="W365" s="25"/>
      <c r="X365" s="25"/>
      <c r="Y365" s="25"/>
      <c r="Z365" s="25"/>
      <c r="AA365" s="25"/>
      <c r="AB365" s="25"/>
      <c r="AC365" s="25"/>
    </row>
    <row r="366" spans="1:29" x14ac:dyDescent="0.25">
      <c r="A366" s="25"/>
      <c r="B366" s="25"/>
      <c r="C366" s="68"/>
      <c r="D366" s="68"/>
      <c r="E366" s="68"/>
      <c r="F366" s="68"/>
      <c r="G366" s="68"/>
      <c r="H366" s="68"/>
      <c r="I366" s="68"/>
      <c r="J366" s="68"/>
      <c r="K366" s="25"/>
      <c r="L366" s="470"/>
      <c r="M366" s="25"/>
      <c r="N366" s="25"/>
      <c r="O366" s="488"/>
      <c r="P366" s="25"/>
      <c r="Q366" s="25"/>
      <c r="R366" s="25"/>
      <c r="S366" s="25"/>
      <c r="T366" s="25"/>
      <c r="U366" s="25"/>
      <c r="V366" s="25"/>
      <c r="W366" s="25"/>
      <c r="X366" s="25"/>
      <c r="Y366" s="25"/>
      <c r="Z366" s="25"/>
      <c r="AA366" s="25"/>
      <c r="AB366" s="25"/>
      <c r="AC366" s="25"/>
    </row>
    <row r="367" spans="1:29" x14ac:dyDescent="0.25">
      <c r="A367" s="25"/>
      <c r="B367" s="25"/>
      <c r="C367" s="68"/>
      <c r="D367" s="68"/>
      <c r="E367" s="68"/>
      <c r="F367" s="68"/>
      <c r="G367" s="68"/>
      <c r="H367" s="68"/>
      <c r="I367" s="68"/>
      <c r="J367" s="68"/>
      <c r="K367" s="25"/>
      <c r="L367" s="470"/>
      <c r="M367" s="25"/>
      <c r="N367" s="25"/>
      <c r="O367" s="488"/>
      <c r="P367" s="25"/>
      <c r="Q367" s="25"/>
      <c r="R367" s="25"/>
      <c r="S367" s="25"/>
      <c r="T367" s="25"/>
      <c r="U367" s="25"/>
      <c r="V367" s="25"/>
      <c r="W367" s="25"/>
      <c r="X367" s="25"/>
      <c r="Y367" s="25"/>
      <c r="Z367" s="25"/>
      <c r="AA367" s="25"/>
      <c r="AB367" s="25"/>
      <c r="AC367" s="25"/>
    </row>
    <row r="368" spans="1:29" x14ac:dyDescent="0.25">
      <c r="A368" s="25"/>
      <c r="B368" s="25"/>
      <c r="C368" s="68"/>
      <c r="D368" s="68"/>
      <c r="E368" s="68"/>
      <c r="F368" s="68"/>
      <c r="G368" s="68"/>
      <c r="H368" s="68"/>
      <c r="I368" s="68"/>
      <c r="J368" s="68"/>
      <c r="K368" s="25"/>
      <c r="L368" s="470"/>
      <c r="M368" s="25"/>
      <c r="N368" s="25"/>
      <c r="O368" s="488"/>
      <c r="P368" s="25"/>
      <c r="Q368" s="25"/>
      <c r="R368" s="25"/>
      <c r="S368" s="25"/>
      <c r="T368" s="25"/>
      <c r="U368" s="25"/>
      <c r="V368" s="25"/>
      <c r="W368" s="25"/>
      <c r="X368" s="25"/>
      <c r="Y368" s="25"/>
      <c r="Z368" s="25"/>
      <c r="AA368" s="25"/>
      <c r="AB368" s="25"/>
      <c r="AC368" s="25"/>
    </row>
    <row r="369" spans="1:29" x14ac:dyDescent="0.25">
      <c r="A369" s="25"/>
      <c r="B369" s="25"/>
      <c r="C369" s="68"/>
      <c r="D369" s="68"/>
      <c r="E369" s="68"/>
      <c r="F369" s="68"/>
      <c r="G369" s="68"/>
      <c r="H369" s="68"/>
      <c r="I369" s="68"/>
      <c r="J369" s="68"/>
      <c r="K369" s="25"/>
      <c r="L369" s="470"/>
      <c r="M369" s="25"/>
      <c r="N369" s="25"/>
      <c r="O369" s="488"/>
      <c r="P369" s="25"/>
      <c r="Q369" s="25"/>
      <c r="R369" s="25"/>
      <c r="S369" s="25"/>
      <c r="T369" s="25"/>
      <c r="U369" s="25"/>
      <c r="V369" s="25"/>
      <c r="W369" s="25"/>
      <c r="X369" s="25"/>
      <c r="Y369" s="25"/>
      <c r="Z369" s="25"/>
      <c r="AA369" s="25"/>
      <c r="AB369" s="25"/>
      <c r="AC369" s="25"/>
    </row>
    <row r="370" spans="1:29" x14ac:dyDescent="0.25">
      <c r="A370" s="25"/>
      <c r="B370" s="25"/>
      <c r="C370" s="68"/>
      <c r="D370" s="68"/>
      <c r="E370" s="68"/>
      <c r="F370" s="68"/>
      <c r="G370" s="68"/>
      <c r="H370" s="68"/>
      <c r="I370" s="68"/>
      <c r="J370" s="68"/>
      <c r="K370" s="25"/>
      <c r="L370" s="470"/>
      <c r="M370" s="25"/>
      <c r="N370" s="25"/>
      <c r="O370" s="488"/>
      <c r="P370" s="25"/>
      <c r="Q370" s="25"/>
      <c r="R370" s="25"/>
      <c r="S370" s="25"/>
      <c r="T370" s="25"/>
      <c r="U370" s="25"/>
      <c r="V370" s="25"/>
      <c r="W370" s="25"/>
      <c r="X370" s="25"/>
      <c r="Y370" s="25"/>
      <c r="Z370" s="25"/>
      <c r="AA370" s="25"/>
      <c r="AB370" s="25"/>
      <c r="AC370" s="25"/>
    </row>
    <row r="371" spans="1:29" x14ac:dyDescent="0.25">
      <c r="A371" s="25"/>
      <c r="B371" s="25"/>
      <c r="C371" s="68"/>
      <c r="D371" s="68"/>
      <c r="E371" s="68"/>
      <c r="F371" s="68"/>
      <c r="G371" s="68"/>
      <c r="H371" s="68"/>
      <c r="I371" s="68"/>
      <c r="J371" s="68"/>
      <c r="K371" s="25"/>
      <c r="L371" s="470"/>
      <c r="M371" s="25"/>
      <c r="N371" s="25"/>
      <c r="O371" s="488"/>
      <c r="P371" s="25"/>
      <c r="Q371" s="25"/>
      <c r="R371" s="25"/>
      <c r="S371" s="25"/>
      <c r="T371" s="25"/>
      <c r="U371" s="25"/>
      <c r="V371" s="25"/>
      <c r="W371" s="25"/>
      <c r="X371" s="25"/>
      <c r="Y371" s="25"/>
      <c r="Z371" s="25"/>
      <c r="AA371" s="25"/>
      <c r="AB371" s="25"/>
      <c r="AC371" s="25"/>
    </row>
    <row r="372" spans="1:29" x14ac:dyDescent="0.25">
      <c r="A372" s="25"/>
      <c r="B372" s="25"/>
      <c r="C372" s="68"/>
      <c r="D372" s="68"/>
      <c r="E372" s="68"/>
      <c r="F372" s="68"/>
      <c r="G372" s="68"/>
      <c r="H372" s="68"/>
      <c r="I372" s="68"/>
      <c r="J372" s="68"/>
      <c r="K372" s="25"/>
      <c r="L372" s="470"/>
      <c r="M372" s="25"/>
      <c r="N372" s="25"/>
      <c r="O372" s="488"/>
      <c r="P372" s="25"/>
      <c r="Q372" s="25"/>
      <c r="R372" s="25"/>
      <c r="S372" s="25"/>
      <c r="T372" s="25"/>
      <c r="U372" s="25"/>
      <c r="V372" s="25"/>
      <c r="W372" s="25"/>
      <c r="X372" s="25"/>
      <c r="Y372" s="25"/>
      <c r="Z372" s="25"/>
      <c r="AA372" s="25"/>
      <c r="AB372" s="25"/>
      <c r="AC372" s="25"/>
    </row>
    <row r="373" spans="1:29" x14ac:dyDescent="0.25">
      <c r="A373" s="25"/>
      <c r="B373" s="25"/>
      <c r="C373" s="68"/>
      <c r="D373" s="68"/>
      <c r="E373" s="68"/>
      <c r="F373" s="68"/>
      <c r="G373" s="68"/>
      <c r="H373" s="68"/>
      <c r="I373" s="68"/>
      <c r="J373" s="68"/>
      <c r="K373" s="25"/>
      <c r="L373" s="470"/>
      <c r="M373" s="25"/>
      <c r="N373" s="25"/>
      <c r="O373" s="488"/>
      <c r="P373" s="25"/>
      <c r="Q373" s="25"/>
      <c r="R373" s="25"/>
      <c r="S373" s="25"/>
      <c r="T373" s="25"/>
      <c r="U373" s="25"/>
      <c r="V373" s="25"/>
      <c r="W373" s="25"/>
      <c r="X373" s="25"/>
      <c r="Y373" s="25"/>
      <c r="Z373" s="25"/>
      <c r="AA373" s="25"/>
      <c r="AB373" s="25"/>
      <c r="AC373" s="25"/>
    </row>
    <row r="374" spans="1:29" x14ac:dyDescent="0.25">
      <c r="A374" s="25"/>
      <c r="B374" s="25"/>
      <c r="C374" s="68"/>
      <c r="D374" s="68"/>
      <c r="E374" s="68"/>
      <c r="F374" s="68"/>
      <c r="G374" s="68"/>
      <c r="H374" s="68"/>
      <c r="I374" s="68"/>
      <c r="J374" s="68"/>
      <c r="K374" s="25"/>
      <c r="L374" s="470"/>
      <c r="M374" s="25"/>
      <c r="N374" s="25"/>
      <c r="O374" s="488"/>
      <c r="P374" s="25"/>
      <c r="Q374" s="25"/>
      <c r="R374" s="25"/>
      <c r="S374" s="25"/>
      <c r="T374" s="25"/>
      <c r="U374" s="25"/>
      <c r="V374" s="25"/>
      <c r="W374" s="25"/>
      <c r="X374" s="25"/>
      <c r="Y374" s="25"/>
      <c r="Z374" s="25"/>
      <c r="AA374" s="25"/>
      <c r="AB374" s="25"/>
      <c r="AC374" s="25"/>
    </row>
    <row r="375" spans="1:29" x14ac:dyDescent="0.25">
      <c r="A375" s="25"/>
      <c r="B375" s="25"/>
      <c r="C375" s="68"/>
      <c r="D375" s="68"/>
      <c r="E375" s="68"/>
      <c r="F375" s="68"/>
      <c r="G375" s="68"/>
      <c r="H375" s="68"/>
      <c r="I375" s="68"/>
      <c r="J375" s="68"/>
      <c r="K375" s="25"/>
      <c r="L375" s="470"/>
      <c r="M375" s="25"/>
      <c r="N375" s="25"/>
      <c r="O375" s="488"/>
      <c r="P375" s="25"/>
      <c r="Q375" s="25"/>
      <c r="R375" s="25"/>
      <c r="S375" s="25"/>
      <c r="T375" s="25"/>
      <c r="U375" s="25"/>
      <c r="V375" s="25"/>
      <c r="W375" s="25"/>
      <c r="X375" s="25"/>
      <c r="Y375" s="25"/>
      <c r="Z375" s="25"/>
      <c r="AA375" s="25"/>
      <c r="AB375" s="25"/>
      <c r="AC375" s="25"/>
    </row>
    <row r="376" spans="1:29" x14ac:dyDescent="0.25">
      <c r="A376" s="25"/>
      <c r="B376" s="25"/>
      <c r="C376" s="68"/>
      <c r="D376" s="68"/>
      <c r="E376" s="68"/>
      <c r="F376" s="68"/>
      <c r="G376" s="68"/>
      <c r="H376" s="68"/>
      <c r="I376" s="68"/>
      <c r="J376" s="68"/>
      <c r="K376" s="25"/>
      <c r="L376" s="470"/>
      <c r="M376" s="25"/>
      <c r="N376" s="25"/>
      <c r="O376" s="488"/>
      <c r="P376" s="25"/>
      <c r="Q376" s="25"/>
      <c r="R376" s="25"/>
      <c r="S376" s="25"/>
      <c r="T376" s="25"/>
      <c r="U376" s="25"/>
      <c r="V376" s="25"/>
      <c r="W376" s="25"/>
      <c r="X376" s="25"/>
      <c r="Y376" s="25"/>
      <c r="Z376" s="25"/>
      <c r="AA376" s="25"/>
      <c r="AB376" s="25"/>
      <c r="AC376" s="25"/>
    </row>
    <row r="377" spans="1:29" x14ac:dyDescent="0.25">
      <c r="A377" s="25"/>
      <c r="B377" s="25"/>
      <c r="C377" s="68"/>
      <c r="D377" s="68"/>
      <c r="E377" s="68"/>
      <c r="F377" s="68"/>
      <c r="G377" s="68"/>
      <c r="H377" s="68"/>
      <c r="I377" s="68"/>
      <c r="J377" s="68"/>
      <c r="K377" s="25"/>
      <c r="L377" s="470"/>
      <c r="M377" s="25"/>
      <c r="N377" s="25"/>
      <c r="O377" s="488"/>
      <c r="P377" s="25"/>
      <c r="Q377" s="25"/>
      <c r="R377" s="25"/>
      <c r="S377" s="25"/>
      <c r="T377" s="25"/>
      <c r="U377" s="25"/>
      <c r="V377" s="25"/>
      <c r="W377" s="25"/>
      <c r="X377" s="25"/>
      <c r="Y377" s="25"/>
      <c r="Z377" s="25"/>
      <c r="AA377" s="25"/>
      <c r="AB377" s="25"/>
      <c r="AC377" s="25"/>
    </row>
    <row r="378" spans="1:29" x14ac:dyDescent="0.25">
      <c r="A378" s="25"/>
      <c r="B378" s="25"/>
      <c r="C378" s="68"/>
      <c r="D378" s="68"/>
      <c r="E378" s="68"/>
      <c r="F378" s="68"/>
      <c r="G378" s="68"/>
      <c r="H378" s="68"/>
      <c r="I378" s="68"/>
      <c r="J378" s="68"/>
      <c r="K378" s="25"/>
      <c r="L378" s="470"/>
      <c r="M378" s="25"/>
      <c r="N378" s="25"/>
      <c r="O378" s="488"/>
      <c r="P378" s="25"/>
      <c r="Q378" s="25"/>
      <c r="R378" s="25"/>
      <c r="S378" s="25"/>
      <c r="T378" s="25"/>
      <c r="U378" s="25"/>
      <c r="V378" s="25"/>
      <c r="W378" s="25"/>
      <c r="X378" s="25"/>
      <c r="Y378" s="25"/>
      <c r="Z378" s="25"/>
      <c r="AA378" s="25"/>
      <c r="AB378" s="25"/>
      <c r="AC378" s="25"/>
    </row>
    <row r="379" spans="1:29" x14ac:dyDescent="0.25">
      <c r="A379" s="25"/>
      <c r="B379" s="25"/>
      <c r="C379" s="68"/>
      <c r="D379" s="68"/>
      <c r="E379" s="68"/>
      <c r="F379" s="68"/>
      <c r="G379" s="68"/>
      <c r="H379" s="68"/>
      <c r="I379" s="68"/>
      <c r="J379" s="68"/>
      <c r="K379" s="25"/>
      <c r="L379" s="470"/>
      <c r="M379" s="25"/>
      <c r="N379" s="25"/>
      <c r="O379" s="488"/>
      <c r="P379" s="25"/>
      <c r="Q379" s="25"/>
      <c r="R379" s="25"/>
      <c r="S379" s="25"/>
      <c r="T379" s="25"/>
      <c r="U379" s="25"/>
      <c r="V379" s="25"/>
      <c r="W379" s="25"/>
      <c r="X379" s="25"/>
      <c r="Y379" s="25"/>
      <c r="Z379" s="25"/>
      <c r="AA379" s="25"/>
      <c r="AB379" s="25"/>
      <c r="AC379" s="25"/>
    </row>
    <row r="380" spans="1:29" x14ac:dyDescent="0.25">
      <c r="A380" s="25"/>
      <c r="B380" s="25"/>
      <c r="C380" s="68"/>
      <c r="D380" s="68"/>
      <c r="E380" s="68"/>
      <c r="F380" s="68"/>
      <c r="G380" s="68"/>
      <c r="H380" s="68"/>
      <c r="I380" s="68"/>
      <c r="J380" s="68"/>
      <c r="K380" s="25"/>
      <c r="L380" s="470"/>
      <c r="M380" s="25"/>
      <c r="N380" s="25"/>
      <c r="O380" s="488"/>
      <c r="P380" s="25"/>
      <c r="Q380" s="25"/>
      <c r="R380" s="25"/>
      <c r="S380" s="25"/>
      <c r="T380" s="25"/>
      <c r="U380" s="25"/>
      <c r="V380" s="25"/>
      <c r="W380" s="25"/>
      <c r="X380" s="25"/>
      <c r="Y380" s="25"/>
      <c r="Z380" s="25"/>
      <c r="AA380" s="25"/>
      <c r="AB380" s="25"/>
      <c r="AC380" s="25"/>
    </row>
    <row r="381" spans="1:29" x14ac:dyDescent="0.25">
      <c r="A381" s="25"/>
      <c r="B381" s="25"/>
      <c r="C381" s="68"/>
      <c r="D381" s="68"/>
      <c r="E381" s="68"/>
      <c r="F381" s="68"/>
      <c r="G381" s="68"/>
      <c r="H381" s="68"/>
      <c r="I381" s="68"/>
      <c r="J381" s="68"/>
      <c r="K381" s="25"/>
      <c r="L381" s="470"/>
      <c r="M381" s="25"/>
      <c r="N381" s="25"/>
      <c r="O381" s="488"/>
      <c r="P381" s="25"/>
      <c r="Q381" s="25"/>
      <c r="R381" s="25"/>
      <c r="S381" s="25"/>
      <c r="T381" s="25"/>
      <c r="U381" s="25"/>
      <c r="V381" s="25"/>
      <c r="W381" s="25"/>
      <c r="X381" s="25"/>
      <c r="Y381" s="25"/>
      <c r="Z381" s="25"/>
      <c r="AA381" s="25"/>
      <c r="AB381" s="25"/>
      <c r="AC381" s="25"/>
    </row>
    <row r="382" spans="1:29" x14ac:dyDescent="0.25">
      <c r="A382" s="25"/>
      <c r="B382" s="25"/>
      <c r="C382" s="68"/>
      <c r="D382" s="68"/>
      <c r="E382" s="68"/>
      <c r="F382" s="68"/>
      <c r="G382" s="68"/>
      <c r="H382" s="68"/>
      <c r="I382" s="68"/>
      <c r="J382" s="68"/>
      <c r="K382" s="25"/>
      <c r="L382" s="470"/>
      <c r="M382" s="25"/>
      <c r="N382" s="25"/>
      <c r="O382" s="488"/>
      <c r="P382" s="25"/>
      <c r="Q382" s="25"/>
      <c r="R382" s="25"/>
      <c r="S382" s="25"/>
      <c r="T382" s="25"/>
      <c r="U382" s="25"/>
      <c r="V382" s="25"/>
      <c r="W382" s="25"/>
      <c r="X382" s="25"/>
      <c r="Y382" s="25"/>
      <c r="Z382" s="25"/>
      <c r="AA382" s="25"/>
      <c r="AB382" s="25"/>
      <c r="AC382" s="25"/>
    </row>
    <row r="383" spans="1:29" x14ac:dyDescent="0.25">
      <c r="A383" s="25"/>
      <c r="B383" s="25"/>
      <c r="C383" s="68"/>
      <c r="D383" s="68"/>
      <c r="E383" s="68"/>
      <c r="F383" s="68"/>
      <c r="G383" s="68"/>
      <c r="H383" s="68"/>
      <c r="I383" s="68"/>
      <c r="J383" s="68"/>
      <c r="K383" s="25"/>
      <c r="L383" s="470"/>
      <c r="M383" s="25"/>
      <c r="N383" s="25"/>
      <c r="O383" s="488"/>
      <c r="P383" s="25"/>
      <c r="Q383" s="25"/>
      <c r="R383" s="25"/>
      <c r="S383" s="25"/>
      <c r="T383" s="25"/>
      <c r="U383" s="25"/>
      <c r="V383" s="25"/>
      <c r="W383" s="25"/>
      <c r="X383" s="25"/>
      <c r="Y383" s="25"/>
      <c r="Z383" s="25"/>
      <c r="AA383" s="25"/>
      <c r="AB383" s="25"/>
      <c r="AC383" s="25"/>
    </row>
    <row r="384" spans="1:29" x14ac:dyDescent="0.25">
      <c r="A384" s="25"/>
      <c r="B384" s="25"/>
      <c r="C384" s="68"/>
      <c r="D384" s="68"/>
      <c r="E384" s="68"/>
      <c r="F384" s="68"/>
      <c r="G384" s="68"/>
      <c r="H384" s="68"/>
      <c r="I384" s="68"/>
      <c r="J384" s="68"/>
      <c r="K384" s="25"/>
      <c r="L384" s="470"/>
      <c r="M384" s="25"/>
      <c r="N384" s="25"/>
      <c r="O384" s="488"/>
      <c r="P384" s="25"/>
      <c r="Q384" s="25"/>
      <c r="R384" s="25"/>
      <c r="S384" s="25"/>
      <c r="T384" s="25"/>
      <c r="U384" s="25"/>
      <c r="V384" s="25"/>
      <c r="W384" s="25"/>
      <c r="X384" s="25"/>
      <c r="Y384" s="25"/>
      <c r="Z384" s="25"/>
      <c r="AA384" s="25"/>
      <c r="AB384" s="25"/>
      <c r="AC384" s="25"/>
    </row>
    <row r="385" spans="1:29" x14ac:dyDescent="0.25">
      <c r="A385" s="25"/>
      <c r="B385" s="25"/>
      <c r="C385" s="68"/>
      <c r="D385" s="68"/>
      <c r="E385" s="68"/>
      <c r="F385" s="68"/>
      <c r="G385" s="68"/>
      <c r="H385" s="68"/>
      <c r="I385" s="68"/>
      <c r="J385" s="68"/>
      <c r="K385" s="25"/>
      <c r="L385" s="470"/>
      <c r="M385" s="25"/>
      <c r="N385" s="25"/>
      <c r="O385" s="488"/>
      <c r="P385" s="25"/>
      <c r="Q385" s="25"/>
      <c r="R385" s="25"/>
      <c r="S385" s="25"/>
      <c r="T385" s="25"/>
      <c r="U385" s="25"/>
      <c r="V385" s="25"/>
      <c r="W385" s="25"/>
      <c r="X385" s="25"/>
      <c r="Y385" s="25"/>
      <c r="Z385" s="25"/>
      <c r="AA385" s="25"/>
      <c r="AB385" s="25"/>
      <c r="AC385" s="25"/>
    </row>
    <row r="386" spans="1:29" x14ac:dyDescent="0.25">
      <c r="A386" s="25"/>
      <c r="B386" s="25"/>
      <c r="C386" s="68"/>
      <c r="D386" s="68"/>
      <c r="E386" s="68"/>
      <c r="F386" s="68"/>
      <c r="G386" s="68"/>
      <c r="H386" s="68"/>
      <c r="I386" s="68"/>
      <c r="J386" s="68"/>
      <c r="K386" s="25"/>
      <c r="L386" s="470"/>
      <c r="M386" s="25"/>
      <c r="N386" s="25"/>
      <c r="O386" s="488"/>
      <c r="P386" s="25"/>
      <c r="Q386" s="25"/>
      <c r="R386" s="25"/>
      <c r="S386" s="25"/>
      <c r="T386" s="25"/>
      <c r="U386" s="25"/>
      <c r="V386" s="25"/>
      <c r="W386" s="25"/>
      <c r="X386" s="25"/>
      <c r="Y386" s="25"/>
      <c r="Z386" s="25"/>
      <c r="AA386" s="25"/>
      <c r="AB386" s="25"/>
      <c r="AC386" s="25"/>
    </row>
    <row r="387" spans="1:29" x14ac:dyDescent="0.25">
      <c r="A387" s="25"/>
      <c r="B387" s="25"/>
      <c r="C387" s="68"/>
      <c r="D387" s="68"/>
      <c r="E387" s="68"/>
      <c r="F387" s="68"/>
      <c r="G387" s="68"/>
      <c r="H387" s="68"/>
      <c r="I387" s="68"/>
      <c r="J387" s="68"/>
      <c r="K387" s="25"/>
      <c r="L387" s="470"/>
      <c r="M387" s="25"/>
      <c r="N387" s="25"/>
      <c r="O387" s="488"/>
      <c r="P387" s="25"/>
      <c r="Q387" s="25"/>
      <c r="R387" s="25"/>
      <c r="S387" s="25"/>
      <c r="T387" s="25"/>
      <c r="U387" s="25"/>
      <c r="V387" s="25"/>
      <c r="W387" s="25"/>
      <c r="X387" s="25"/>
      <c r="Y387" s="25"/>
      <c r="Z387" s="25"/>
      <c r="AA387" s="25"/>
      <c r="AB387" s="25"/>
      <c r="AC387" s="25"/>
    </row>
    <row r="388" spans="1:29" x14ac:dyDescent="0.25">
      <c r="A388" s="25"/>
      <c r="B388" s="25"/>
      <c r="C388" s="68"/>
      <c r="D388" s="68"/>
      <c r="E388" s="68"/>
      <c r="F388" s="68"/>
      <c r="G388" s="68"/>
      <c r="H388" s="68"/>
      <c r="I388" s="68"/>
      <c r="J388" s="68"/>
      <c r="K388" s="25"/>
      <c r="L388" s="470"/>
      <c r="M388" s="25"/>
      <c r="N388" s="25"/>
      <c r="O388" s="488"/>
      <c r="P388" s="25"/>
      <c r="Q388" s="25"/>
      <c r="R388" s="25"/>
      <c r="S388" s="25"/>
      <c r="T388" s="25"/>
      <c r="U388" s="25"/>
      <c r="V388" s="25"/>
      <c r="W388" s="25"/>
      <c r="X388" s="25"/>
      <c r="Y388" s="25"/>
      <c r="Z388" s="25"/>
      <c r="AA388" s="25"/>
      <c r="AB388" s="25"/>
      <c r="AC388" s="25"/>
    </row>
    <row r="389" spans="1:29" x14ac:dyDescent="0.25">
      <c r="A389" s="25"/>
      <c r="B389" s="25"/>
      <c r="C389" s="68"/>
      <c r="D389" s="68"/>
      <c r="E389" s="68"/>
      <c r="F389" s="68"/>
      <c r="G389" s="68"/>
      <c r="H389" s="68"/>
      <c r="I389" s="68"/>
      <c r="J389" s="68"/>
      <c r="K389" s="25"/>
      <c r="L389" s="470"/>
      <c r="M389" s="25"/>
      <c r="N389" s="25"/>
      <c r="O389" s="488"/>
      <c r="P389" s="25"/>
      <c r="Q389" s="25"/>
      <c r="R389" s="25"/>
      <c r="S389" s="25"/>
      <c r="T389" s="25"/>
      <c r="U389" s="25"/>
      <c r="V389" s="25"/>
      <c r="W389" s="25"/>
      <c r="X389" s="25"/>
      <c r="Y389" s="25"/>
      <c r="Z389" s="25"/>
      <c r="AA389" s="25"/>
      <c r="AB389" s="25"/>
      <c r="AC389" s="25"/>
    </row>
    <row r="390" spans="1:29" x14ac:dyDescent="0.25">
      <c r="A390" s="25"/>
      <c r="B390" s="25"/>
      <c r="C390" s="68"/>
      <c r="D390" s="68"/>
      <c r="E390" s="68"/>
      <c r="F390" s="68"/>
      <c r="G390" s="68"/>
      <c r="H390" s="68"/>
      <c r="I390" s="68"/>
      <c r="J390" s="68"/>
      <c r="K390" s="25"/>
      <c r="L390" s="470"/>
      <c r="M390" s="25"/>
      <c r="N390" s="25"/>
      <c r="O390" s="488"/>
      <c r="P390" s="25"/>
      <c r="Q390" s="25"/>
      <c r="R390" s="25"/>
      <c r="S390" s="25"/>
      <c r="T390" s="25"/>
      <c r="U390" s="25"/>
      <c r="V390" s="25"/>
      <c r="W390" s="25"/>
      <c r="X390" s="25"/>
      <c r="Y390" s="25"/>
      <c r="Z390" s="25"/>
      <c r="AA390" s="25"/>
      <c r="AB390" s="25"/>
      <c r="AC390" s="25"/>
    </row>
    <row r="391" spans="1:29" x14ac:dyDescent="0.25">
      <c r="A391" s="25"/>
      <c r="B391" s="25"/>
      <c r="C391" s="68"/>
      <c r="D391" s="68"/>
      <c r="E391" s="68"/>
      <c r="F391" s="68"/>
      <c r="G391" s="68"/>
      <c r="H391" s="68"/>
      <c r="I391" s="68"/>
      <c r="J391" s="68"/>
      <c r="K391" s="25"/>
      <c r="L391" s="470"/>
      <c r="M391" s="25"/>
      <c r="N391" s="25"/>
      <c r="O391" s="488"/>
      <c r="P391" s="25"/>
      <c r="Q391" s="25"/>
      <c r="R391" s="25"/>
      <c r="S391" s="25"/>
      <c r="T391" s="25"/>
      <c r="U391" s="25"/>
      <c r="V391" s="25"/>
      <c r="W391" s="25"/>
      <c r="X391" s="25"/>
      <c r="Y391" s="25"/>
      <c r="Z391" s="25"/>
      <c r="AA391" s="25"/>
      <c r="AB391" s="25"/>
      <c r="AC391" s="25"/>
    </row>
    <row r="392" spans="1:29" x14ac:dyDescent="0.25">
      <c r="A392" s="25"/>
      <c r="B392" s="25"/>
      <c r="C392" s="68"/>
      <c r="D392" s="68"/>
      <c r="E392" s="68"/>
      <c r="F392" s="68"/>
      <c r="G392" s="68"/>
      <c r="H392" s="68"/>
      <c r="I392" s="68"/>
      <c r="J392" s="68"/>
      <c r="K392" s="25"/>
      <c r="L392" s="470"/>
      <c r="M392" s="25"/>
      <c r="N392" s="25"/>
      <c r="O392" s="488"/>
      <c r="P392" s="25"/>
      <c r="Q392" s="25"/>
      <c r="R392" s="25"/>
      <c r="S392" s="25"/>
      <c r="T392" s="25"/>
      <c r="U392" s="25"/>
      <c r="V392" s="25"/>
      <c r="W392" s="25"/>
      <c r="X392" s="25"/>
      <c r="Y392" s="25"/>
      <c r="Z392" s="25"/>
      <c r="AA392" s="25"/>
      <c r="AB392" s="25"/>
      <c r="AC392" s="25"/>
    </row>
    <row r="393" spans="1:29" x14ac:dyDescent="0.25">
      <c r="A393" s="25"/>
      <c r="B393" s="25"/>
      <c r="C393" s="68"/>
      <c r="D393" s="68"/>
      <c r="E393" s="68"/>
      <c r="F393" s="68"/>
      <c r="G393" s="68"/>
      <c r="H393" s="68"/>
      <c r="I393" s="68"/>
      <c r="J393" s="68"/>
      <c r="K393" s="25"/>
      <c r="L393" s="470"/>
      <c r="M393" s="25"/>
      <c r="N393" s="25"/>
      <c r="O393" s="488"/>
      <c r="P393" s="25"/>
      <c r="Q393" s="25"/>
      <c r="R393" s="25"/>
      <c r="S393" s="25"/>
      <c r="T393" s="25"/>
      <c r="U393" s="25"/>
      <c r="V393" s="25"/>
      <c r="W393" s="25"/>
      <c r="X393" s="25"/>
      <c r="Y393" s="25"/>
      <c r="Z393" s="25"/>
      <c r="AA393" s="25"/>
      <c r="AB393" s="25"/>
      <c r="AC393" s="25"/>
    </row>
    <row r="394" spans="1:29" x14ac:dyDescent="0.25">
      <c r="A394" s="25"/>
      <c r="B394" s="25"/>
      <c r="C394" s="68"/>
      <c r="D394" s="68"/>
      <c r="E394" s="68"/>
      <c r="F394" s="68"/>
      <c r="G394" s="68"/>
      <c r="H394" s="68"/>
      <c r="I394" s="68"/>
      <c r="J394" s="68"/>
      <c r="K394" s="25"/>
      <c r="L394" s="470"/>
      <c r="M394" s="25"/>
      <c r="N394" s="25"/>
      <c r="O394" s="488"/>
      <c r="P394" s="25"/>
      <c r="Q394" s="25"/>
      <c r="R394" s="25"/>
      <c r="S394" s="25"/>
      <c r="T394" s="25"/>
      <c r="U394" s="25"/>
      <c r="V394" s="25"/>
      <c r="W394" s="25"/>
      <c r="X394" s="25"/>
      <c r="Y394" s="25"/>
      <c r="Z394" s="25"/>
      <c r="AA394" s="25"/>
      <c r="AB394" s="25"/>
      <c r="AC394" s="25"/>
    </row>
    <row r="395" spans="1:29" x14ac:dyDescent="0.25">
      <c r="A395" s="25"/>
      <c r="B395" s="25"/>
      <c r="C395" s="68"/>
      <c r="D395" s="68"/>
      <c r="E395" s="68"/>
      <c r="F395" s="68"/>
      <c r="G395" s="68"/>
      <c r="H395" s="68"/>
      <c r="I395" s="68"/>
      <c r="J395" s="68"/>
      <c r="K395" s="25"/>
      <c r="L395" s="470"/>
      <c r="M395" s="25"/>
      <c r="N395" s="25"/>
      <c r="O395" s="488"/>
      <c r="P395" s="25"/>
      <c r="Q395" s="25"/>
      <c r="R395" s="25"/>
      <c r="S395" s="25"/>
      <c r="T395" s="25"/>
      <c r="U395" s="25"/>
      <c r="V395" s="25"/>
      <c r="W395" s="25"/>
      <c r="X395" s="25"/>
      <c r="Y395" s="25"/>
      <c r="Z395" s="25"/>
      <c r="AA395" s="25"/>
      <c r="AB395" s="25"/>
      <c r="AC395" s="25"/>
    </row>
    <row r="396" spans="1:29" x14ac:dyDescent="0.25">
      <c r="A396" s="25"/>
      <c r="B396" s="25"/>
      <c r="C396" s="68"/>
      <c r="D396" s="68"/>
      <c r="E396" s="68"/>
      <c r="F396" s="68"/>
      <c r="G396" s="68"/>
      <c r="H396" s="68"/>
      <c r="I396" s="68"/>
      <c r="J396" s="68"/>
      <c r="K396" s="25"/>
      <c r="L396" s="470"/>
      <c r="M396" s="25"/>
      <c r="N396" s="25"/>
      <c r="O396" s="488"/>
      <c r="P396" s="25"/>
      <c r="Q396" s="25"/>
      <c r="R396" s="25"/>
      <c r="S396" s="25"/>
      <c r="T396" s="25"/>
      <c r="U396" s="25"/>
      <c r="V396" s="25"/>
      <c r="W396" s="25"/>
      <c r="X396" s="25"/>
      <c r="Y396" s="25"/>
      <c r="Z396" s="25"/>
      <c r="AA396" s="25"/>
      <c r="AB396" s="25"/>
      <c r="AC396" s="25"/>
    </row>
    <row r="397" spans="1:29" x14ac:dyDescent="0.25">
      <c r="A397" s="25"/>
      <c r="B397" s="25"/>
      <c r="C397" s="68"/>
      <c r="D397" s="68"/>
      <c r="E397" s="68"/>
      <c r="F397" s="68"/>
      <c r="G397" s="68"/>
      <c r="H397" s="68"/>
      <c r="I397" s="68"/>
      <c r="J397" s="68"/>
      <c r="K397" s="25"/>
      <c r="L397" s="470"/>
      <c r="M397" s="25"/>
      <c r="N397" s="25"/>
      <c r="O397" s="488"/>
      <c r="P397" s="25"/>
      <c r="Q397" s="25"/>
      <c r="R397" s="25"/>
      <c r="S397" s="25"/>
      <c r="T397" s="25"/>
      <c r="U397" s="25"/>
      <c r="V397" s="25"/>
      <c r="W397" s="25"/>
      <c r="X397" s="25"/>
      <c r="Y397" s="25"/>
      <c r="Z397" s="25"/>
      <c r="AA397" s="25"/>
      <c r="AB397" s="25"/>
      <c r="AC397" s="25"/>
    </row>
    <row r="398" spans="1:29" x14ac:dyDescent="0.25">
      <c r="A398" s="25"/>
      <c r="B398" s="25"/>
      <c r="C398" s="68"/>
      <c r="D398" s="68"/>
      <c r="E398" s="68"/>
      <c r="F398" s="68"/>
      <c r="G398" s="68"/>
      <c r="H398" s="68"/>
      <c r="I398" s="68"/>
      <c r="J398" s="68"/>
      <c r="K398" s="25"/>
      <c r="L398" s="470"/>
      <c r="M398" s="25"/>
      <c r="N398" s="25"/>
      <c r="O398" s="488"/>
      <c r="P398" s="25"/>
      <c r="Q398" s="25"/>
      <c r="R398" s="25"/>
      <c r="S398" s="25"/>
      <c r="T398" s="25"/>
      <c r="U398" s="25"/>
      <c r="V398" s="25"/>
      <c r="W398" s="25"/>
      <c r="X398" s="25"/>
      <c r="Y398" s="25"/>
      <c r="Z398" s="25"/>
      <c r="AA398" s="25"/>
      <c r="AB398" s="25"/>
      <c r="AC398" s="25"/>
    </row>
    <row r="399" spans="1:29" x14ac:dyDescent="0.25">
      <c r="A399" s="25"/>
      <c r="B399" s="25"/>
      <c r="C399" s="68"/>
      <c r="D399" s="68"/>
      <c r="E399" s="68"/>
      <c r="F399" s="68"/>
      <c r="G399" s="68"/>
      <c r="H399" s="68"/>
      <c r="I399" s="68"/>
      <c r="J399" s="68"/>
      <c r="K399" s="25"/>
      <c r="L399" s="470"/>
      <c r="M399" s="25"/>
      <c r="N399" s="25"/>
      <c r="O399" s="488"/>
      <c r="P399" s="25"/>
      <c r="Q399" s="25"/>
      <c r="R399" s="25"/>
      <c r="S399" s="25"/>
      <c r="T399" s="25"/>
      <c r="U399" s="25"/>
      <c r="V399" s="25"/>
      <c r="W399" s="25"/>
      <c r="X399" s="25"/>
      <c r="Y399" s="25"/>
      <c r="Z399" s="25"/>
      <c r="AA399" s="25"/>
      <c r="AB399" s="25"/>
      <c r="AC399" s="25"/>
    </row>
    <row r="400" spans="1:29" x14ac:dyDescent="0.25">
      <c r="A400" s="25"/>
      <c r="B400" s="25"/>
      <c r="C400" s="68"/>
      <c r="D400" s="68"/>
      <c r="E400" s="68"/>
      <c r="F400" s="68"/>
      <c r="G400" s="68"/>
      <c r="H400" s="68"/>
      <c r="I400" s="68"/>
      <c r="J400" s="68"/>
      <c r="K400" s="25"/>
      <c r="L400" s="470"/>
      <c r="M400" s="25"/>
      <c r="N400" s="25"/>
      <c r="O400" s="488"/>
      <c r="P400" s="25"/>
      <c r="Q400" s="25"/>
      <c r="R400" s="25"/>
      <c r="S400" s="25"/>
      <c r="T400" s="25"/>
      <c r="U400" s="25"/>
      <c r="V400" s="25"/>
      <c r="W400" s="25"/>
      <c r="X400" s="25"/>
      <c r="Y400" s="25"/>
      <c r="Z400" s="25"/>
      <c r="AA400" s="25"/>
      <c r="AB400" s="25"/>
      <c r="AC400" s="25"/>
    </row>
    <row r="401" spans="1:29" x14ac:dyDescent="0.25">
      <c r="A401" s="25"/>
      <c r="B401" s="25"/>
      <c r="C401" s="68"/>
      <c r="D401" s="68"/>
      <c r="E401" s="68"/>
      <c r="F401" s="68"/>
      <c r="G401" s="68"/>
      <c r="H401" s="68"/>
      <c r="I401" s="68"/>
      <c r="J401" s="68"/>
      <c r="K401" s="25"/>
      <c r="L401" s="470"/>
      <c r="M401" s="25"/>
      <c r="N401" s="25"/>
      <c r="O401" s="488"/>
      <c r="P401" s="25"/>
      <c r="Q401" s="25"/>
      <c r="R401" s="25"/>
      <c r="S401" s="25"/>
      <c r="T401" s="25"/>
      <c r="U401" s="25"/>
      <c r="V401" s="25"/>
      <c r="W401" s="25"/>
      <c r="X401" s="25"/>
      <c r="Y401" s="25"/>
      <c r="Z401" s="25"/>
      <c r="AA401" s="25"/>
      <c r="AB401" s="25"/>
      <c r="AC401" s="25"/>
    </row>
    <row r="402" spans="1:29" x14ac:dyDescent="0.25">
      <c r="A402" s="25"/>
      <c r="B402" s="25"/>
      <c r="C402" s="68"/>
      <c r="D402" s="68"/>
      <c r="E402" s="68"/>
      <c r="F402" s="68"/>
      <c r="G402" s="68"/>
      <c r="H402" s="68"/>
      <c r="I402" s="68"/>
      <c r="J402" s="68"/>
      <c r="K402" s="25"/>
      <c r="L402" s="470"/>
      <c r="M402" s="25"/>
      <c r="N402" s="25"/>
      <c r="O402" s="488"/>
      <c r="P402" s="25"/>
      <c r="Q402" s="25"/>
      <c r="R402" s="25"/>
      <c r="S402" s="25"/>
      <c r="T402" s="25"/>
      <c r="U402" s="25"/>
      <c r="V402" s="25"/>
      <c r="W402" s="25"/>
      <c r="X402" s="25"/>
      <c r="Y402" s="25"/>
      <c r="Z402" s="25"/>
      <c r="AA402" s="25"/>
      <c r="AB402" s="25"/>
      <c r="AC402" s="25"/>
    </row>
    <row r="403" spans="1:29" x14ac:dyDescent="0.25">
      <c r="A403" s="25"/>
      <c r="B403" s="25"/>
      <c r="C403" s="68"/>
      <c r="D403" s="68"/>
      <c r="E403" s="68"/>
      <c r="F403" s="68"/>
      <c r="G403" s="68"/>
      <c r="H403" s="68"/>
      <c r="I403" s="68"/>
      <c r="J403" s="68"/>
      <c r="K403" s="25"/>
      <c r="L403" s="470"/>
      <c r="M403" s="25"/>
      <c r="N403" s="25"/>
      <c r="O403" s="488"/>
      <c r="P403" s="25"/>
      <c r="Q403" s="25"/>
      <c r="R403" s="25"/>
      <c r="S403" s="25"/>
      <c r="T403" s="25"/>
      <c r="U403" s="25"/>
      <c r="V403" s="25"/>
      <c r="W403" s="25"/>
      <c r="X403" s="25"/>
      <c r="Y403" s="25"/>
      <c r="Z403" s="25"/>
      <c r="AA403" s="25"/>
      <c r="AB403" s="25"/>
      <c r="AC403" s="25"/>
    </row>
    <row r="404" spans="1:29" x14ac:dyDescent="0.25">
      <c r="A404" s="25"/>
      <c r="B404" s="25"/>
      <c r="C404" s="68"/>
      <c r="D404" s="68"/>
      <c r="E404" s="68"/>
      <c r="F404" s="68"/>
      <c r="G404" s="68"/>
      <c r="H404" s="68"/>
      <c r="I404" s="68"/>
      <c r="J404" s="68"/>
      <c r="K404" s="25"/>
      <c r="L404" s="470"/>
      <c r="M404" s="25"/>
      <c r="N404" s="25"/>
      <c r="O404" s="488"/>
      <c r="P404" s="25"/>
      <c r="Q404" s="25"/>
      <c r="R404" s="25"/>
      <c r="S404" s="25"/>
      <c r="T404" s="25"/>
      <c r="U404" s="25"/>
      <c r="V404" s="25"/>
      <c r="W404" s="25"/>
      <c r="X404" s="25"/>
      <c r="Y404" s="25"/>
      <c r="Z404" s="25"/>
      <c r="AA404" s="25"/>
      <c r="AB404" s="25"/>
      <c r="AC404" s="25"/>
    </row>
    <row r="405" spans="1:29" x14ac:dyDescent="0.25">
      <c r="A405" s="25"/>
      <c r="B405" s="25"/>
      <c r="C405" s="68"/>
      <c r="D405" s="68"/>
      <c r="E405" s="68"/>
      <c r="F405" s="68"/>
      <c r="G405" s="68"/>
      <c r="H405" s="68"/>
      <c r="I405" s="68"/>
      <c r="J405" s="68"/>
      <c r="K405" s="25"/>
      <c r="L405" s="470"/>
      <c r="M405" s="25"/>
      <c r="N405" s="25"/>
      <c r="O405" s="488"/>
      <c r="P405" s="25"/>
      <c r="Q405" s="25"/>
      <c r="R405" s="25"/>
      <c r="S405" s="25"/>
      <c r="T405" s="25"/>
      <c r="U405" s="25"/>
      <c r="V405" s="25"/>
      <c r="W405" s="25"/>
      <c r="X405" s="25"/>
      <c r="Y405" s="25"/>
      <c r="Z405" s="25"/>
      <c r="AA405" s="25"/>
      <c r="AB405" s="25"/>
      <c r="AC405" s="25"/>
    </row>
    <row r="406" spans="1:29" x14ac:dyDescent="0.25">
      <c r="A406" s="25"/>
      <c r="B406" s="25"/>
      <c r="C406" s="68"/>
      <c r="D406" s="68"/>
      <c r="E406" s="68"/>
      <c r="F406" s="68"/>
      <c r="G406" s="68"/>
      <c r="H406" s="68"/>
      <c r="I406" s="68"/>
      <c r="J406" s="68"/>
      <c r="K406" s="25"/>
      <c r="L406" s="470"/>
      <c r="M406" s="25"/>
      <c r="N406" s="25"/>
      <c r="O406" s="488"/>
      <c r="P406" s="25"/>
      <c r="Q406" s="25"/>
      <c r="R406" s="25"/>
      <c r="S406" s="25"/>
      <c r="T406" s="25"/>
      <c r="U406" s="25"/>
      <c r="V406" s="25"/>
      <c r="W406" s="25"/>
      <c r="X406" s="25"/>
      <c r="Y406" s="25"/>
      <c r="Z406" s="25"/>
      <c r="AA406" s="25"/>
      <c r="AB406" s="25"/>
      <c r="AC406" s="25"/>
    </row>
    <row r="407" spans="1:29" x14ac:dyDescent="0.25">
      <c r="A407" s="25"/>
      <c r="B407" s="25"/>
      <c r="C407" s="68"/>
      <c r="D407" s="68"/>
      <c r="E407" s="68"/>
      <c r="F407" s="68"/>
      <c r="G407" s="68"/>
      <c r="H407" s="68"/>
      <c r="I407" s="68"/>
      <c r="J407" s="68"/>
      <c r="K407" s="25"/>
      <c r="L407" s="470"/>
      <c r="M407" s="25"/>
      <c r="N407" s="25"/>
      <c r="O407" s="488"/>
      <c r="P407" s="25"/>
      <c r="Q407" s="25"/>
      <c r="R407" s="25"/>
      <c r="S407" s="25"/>
      <c r="T407" s="25"/>
      <c r="U407" s="25"/>
      <c r="V407" s="25"/>
      <c r="W407" s="25"/>
      <c r="X407" s="25"/>
      <c r="Y407" s="25"/>
      <c r="Z407" s="25"/>
      <c r="AA407" s="25"/>
      <c r="AB407" s="25"/>
      <c r="AC407" s="25"/>
    </row>
    <row r="408" spans="1:29" x14ac:dyDescent="0.25">
      <c r="A408" s="25"/>
      <c r="B408" s="25"/>
      <c r="C408" s="68"/>
      <c r="D408" s="68"/>
      <c r="E408" s="68"/>
      <c r="F408" s="68"/>
      <c r="G408" s="68"/>
      <c r="H408" s="68"/>
      <c r="I408" s="68"/>
      <c r="J408" s="68"/>
      <c r="K408" s="25"/>
      <c r="L408" s="470"/>
      <c r="M408" s="25"/>
      <c r="N408" s="25"/>
      <c r="O408" s="488"/>
      <c r="P408" s="25"/>
      <c r="Q408" s="25"/>
      <c r="R408" s="25"/>
      <c r="S408" s="25"/>
      <c r="T408" s="25"/>
      <c r="U408" s="25"/>
      <c r="V408" s="25"/>
      <c r="W408" s="25"/>
      <c r="X408" s="25"/>
      <c r="Y408" s="25"/>
      <c r="Z408" s="25"/>
      <c r="AA408" s="25"/>
      <c r="AB408" s="25"/>
      <c r="AC408" s="25"/>
    </row>
    <row r="409" spans="1:29" x14ac:dyDescent="0.25">
      <c r="A409" s="25"/>
      <c r="B409" s="25"/>
      <c r="C409" s="68"/>
      <c r="D409" s="68"/>
      <c r="E409" s="68"/>
      <c r="F409" s="68"/>
      <c r="G409" s="68"/>
      <c r="H409" s="68"/>
      <c r="I409" s="68"/>
      <c r="J409" s="68"/>
      <c r="K409" s="25"/>
      <c r="L409" s="470"/>
      <c r="M409" s="25"/>
      <c r="N409" s="25"/>
      <c r="O409" s="488"/>
      <c r="P409" s="25"/>
      <c r="Q409" s="25"/>
      <c r="R409" s="25"/>
      <c r="S409" s="25"/>
      <c r="T409" s="25"/>
      <c r="U409" s="25"/>
      <c r="V409" s="25"/>
      <c r="W409" s="25"/>
      <c r="X409" s="25"/>
      <c r="Y409" s="25"/>
      <c r="Z409" s="25"/>
      <c r="AA409" s="25"/>
      <c r="AB409" s="25"/>
      <c r="AC409" s="25"/>
    </row>
    <row r="410" spans="1:29" x14ac:dyDescent="0.25">
      <c r="A410" s="25"/>
      <c r="B410" s="25"/>
      <c r="C410" s="68"/>
      <c r="D410" s="68"/>
      <c r="E410" s="68"/>
      <c r="F410" s="68"/>
      <c r="G410" s="68"/>
      <c r="H410" s="68"/>
      <c r="I410" s="68"/>
      <c r="J410" s="68"/>
      <c r="K410" s="25"/>
      <c r="L410" s="470"/>
      <c r="M410" s="25"/>
      <c r="N410" s="25"/>
      <c r="O410" s="488"/>
      <c r="P410" s="25"/>
      <c r="Q410" s="25"/>
      <c r="R410" s="25"/>
      <c r="S410" s="25"/>
      <c r="T410" s="25"/>
      <c r="U410" s="25"/>
      <c r="V410" s="25"/>
      <c r="W410" s="25"/>
      <c r="X410" s="25"/>
      <c r="Y410" s="25"/>
      <c r="Z410" s="25"/>
      <c r="AA410" s="25"/>
      <c r="AB410" s="25"/>
      <c r="AC410" s="25"/>
    </row>
    <row r="411" spans="1:29" x14ac:dyDescent="0.25">
      <c r="A411" s="25"/>
      <c r="B411" s="25"/>
      <c r="C411" s="68"/>
      <c r="D411" s="68"/>
      <c r="E411" s="68"/>
      <c r="F411" s="68"/>
      <c r="G411" s="68"/>
      <c r="H411" s="68"/>
      <c r="I411" s="68"/>
      <c r="J411" s="68"/>
      <c r="K411" s="25"/>
      <c r="L411" s="470"/>
      <c r="M411" s="25"/>
      <c r="N411" s="25"/>
      <c r="O411" s="488"/>
      <c r="P411" s="25"/>
      <c r="Q411" s="25"/>
      <c r="R411" s="25"/>
      <c r="S411" s="25"/>
      <c r="T411" s="25"/>
      <c r="U411" s="25"/>
      <c r="V411" s="25"/>
      <c r="W411" s="25"/>
      <c r="X411" s="25"/>
      <c r="Y411" s="25"/>
      <c r="Z411" s="25"/>
      <c r="AA411" s="25"/>
      <c r="AB411" s="25"/>
      <c r="AC411" s="25"/>
    </row>
    <row r="412" spans="1:29" x14ac:dyDescent="0.25">
      <c r="A412" s="25"/>
      <c r="B412" s="25"/>
      <c r="C412" s="68"/>
      <c r="D412" s="68"/>
      <c r="E412" s="68"/>
      <c r="F412" s="68"/>
      <c r="G412" s="68"/>
      <c r="H412" s="68"/>
      <c r="I412" s="68"/>
      <c r="J412" s="68"/>
      <c r="K412" s="25"/>
      <c r="L412" s="470"/>
      <c r="M412" s="25"/>
      <c r="N412" s="25"/>
      <c r="O412" s="488"/>
      <c r="P412" s="25"/>
      <c r="Q412" s="25"/>
      <c r="R412" s="25"/>
      <c r="S412" s="25"/>
      <c r="T412" s="25"/>
      <c r="U412" s="25"/>
      <c r="V412" s="25"/>
      <c r="W412" s="25"/>
      <c r="X412" s="25"/>
      <c r="Y412" s="25"/>
      <c r="Z412" s="25"/>
      <c r="AA412" s="25"/>
      <c r="AB412" s="25"/>
      <c r="AC412" s="25"/>
    </row>
    <row r="413" spans="1:29" x14ac:dyDescent="0.25">
      <c r="A413" s="25"/>
      <c r="B413" s="25"/>
      <c r="C413" s="68"/>
      <c r="D413" s="68"/>
      <c r="E413" s="68"/>
      <c r="F413" s="68"/>
      <c r="G413" s="68"/>
      <c r="H413" s="68"/>
      <c r="I413" s="68"/>
      <c r="J413" s="68"/>
      <c r="K413" s="25"/>
      <c r="L413" s="470"/>
      <c r="M413" s="25"/>
      <c r="N413" s="25"/>
      <c r="O413" s="488"/>
      <c r="P413" s="25"/>
      <c r="Q413" s="25"/>
      <c r="R413" s="25"/>
      <c r="S413" s="25"/>
      <c r="T413" s="25"/>
      <c r="U413" s="25"/>
      <c r="V413" s="25"/>
      <c r="W413" s="25"/>
      <c r="X413" s="25"/>
      <c r="Y413" s="25"/>
      <c r="Z413" s="25"/>
      <c r="AA413" s="25"/>
      <c r="AB413" s="25"/>
      <c r="AC413" s="25"/>
    </row>
    <row r="414" spans="1:29" x14ac:dyDescent="0.25">
      <c r="A414" s="25"/>
      <c r="B414" s="25"/>
      <c r="C414" s="68"/>
      <c r="D414" s="68"/>
      <c r="E414" s="68"/>
      <c r="F414" s="68"/>
      <c r="G414" s="68"/>
      <c r="H414" s="68"/>
      <c r="I414" s="68"/>
      <c r="J414" s="68"/>
      <c r="K414" s="25"/>
      <c r="L414" s="470"/>
      <c r="M414" s="25"/>
      <c r="N414" s="25"/>
      <c r="O414" s="488"/>
      <c r="P414" s="25"/>
      <c r="Q414" s="25"/>
      <c r="R414" s="25"/>
      <c r="S414" s="25"/>
      <c r="T414" s="25"/>
      <c r="U414" s="25"/>
      <c r="V414" s="25"/>
      <c r="W414" s="25"/>
      <c r="X414" s="25"/>
      <c r="Y414" s="25"/>
      <c r="Z414" s="25"/>
      <c r="AA414" s="25"/>
      <c r="AB414" s="25"/>
      <c r="AC414" s="25"/>
    </row>
    <row r="415" spans="1:29" x14ac:dyDescent="0.25">
      <c r="A415" s="25"/>
      <c r="B415" s="25"/>
      <c r="C415" s="68"/>
      <c r="D415" s="68"/>
      <c r="E415" s="68"/>
      <c r="F415" s="68"/>
      <c r="G415" s="68"/>
      <c r="H415" s="68"/>
      <c r="I415" s="68"/>
      <c r="J415" s="68"/>
      <c r="K415" s="25"/>
      <c r="L415" s="470"/>
      <c r="M415" s="25"/>
      <c r="N415" s="25"/>
      <c r="O415" s="488"/>
      <c r="P415" s="25"/>
      <c r="Q415" s="25"/>
      <c r="R415" s="25"/>
      <c r="S415" s="25"/>
      <c r="T415" s="25"/>
      <c r="U415" s="25"/>
      <c r="V415" s="25"/>
      <c r="W415" s="25"/>
      <c r="X415" s="25"/>
      <c r="Y415" s="25"/>
      <c r="Z415" s="25"/>
      <c r="AA415" s="25"/>
      <c r="AB415" s="25"/>
      <c r="AC415" s="25"/>
    </row>
    <row r="416" spans="1:29" x14ac:dyDescent="0.25">
      <c r="A416" s="25"/>
      <c r="B416" s="25"/>
      <c r="C416" s="68"/>
      <c r="D416" s="68"/>
      <c r="E416" s="68"/>
      <c r="F416" s="68"/>
      <c r="G416" s="68"/>
      <c r="H416" s="68"/>
      <c r="I416" s="68"/>
      <c r="J416" s="68"/>
      <c r="K416" s="25"/>
      <c r="L416" s="470"/>
      <c r="M416" s="25"/>
      <c r="N416" s="25"/>
      <c r="O416" s="488"/>
      <c r="P416" s="25"/>
      <c r="Q416" s="25"/>
      <c r="R416" s="25"/>
      <c r="S416" s="25"/>
      <c r="T416" s="25"/>
      <c r="U416" s="25"/>
      <c r="V416" s="25"/>
      <c r="W416" s="25"/>
      <c r="X416" s="25"/>
      <c r="Y416" s="25"/>
      <c r="Z416" s="25"/>
      <c r="AA416" s="25"/>
      <c r="AB416" s="25"/>
      <c r="AC416" s="25"/>
    </row>
    <row r="417" spans="1:29" x14ac:dyDescent="0.25">
      <c r="A417" s="25"/>
      <c r="B417" s="25"/>
      <c r="C417" s="68"/>
      <c r="D417" s="68"/>
      <c r="E417" s="68"/>
      <c r="F417" s="68"/>
      <c r="G417" s="68"/>
      <c r="H417" s="68"/>
      <c r="I417" s="68"/>
      <c r="J417" s="68"/>
      <c r="K417" s="25"/>
      <c r="L417" s="470"/>
      <c r="M417" s="25"/>
      <c r="N417" s="25"/>
      <c r="O417" s="488"/>
      <c r="P417" s="25"/>
      <c r="Q417" s="25"/>
      <c r="R417" s="25"/>
      <c r="S417" s="25"/>
      <c r="T417" s="25"/>
      <c r="U417" s="25"/>
      <c r="V417" s="25"/>
      <c r="W417" s="25"/>
      <c r="X417" s="25"/>
      <c r="Y417" s="25"/>
      <c r="Z417" s="25"/>
      <c r="AA417" s="25"/>
      <c r="AB417" s="25"/>
      <c r="AC417" s="25"/>
    </row>
    <row r="418" spans="1:29" x14ac:dyDescent="0.25">
      <c r="A418" s="25"/>
      <c r="B418" s="25"/>
      <c r="C418" s="68"/>
      <c r="D418" s="68"/>
      <c r="E418" s="68"/>
      <c r="F418" s="68"/>
      <c r="G418" s="68"/>
      <c r="H418" s="68"/>
      <c r="I418" s="68"/>
      <c r="J418" s="68"/>
      <c r="K418" s="25"/>
      <c r="L418" s="470"/>
      <c r="M418" s="25"/>
      <c r="N418" s="25"/>
      <c r="O418" s="488"/>
      <c r="P418" s="25"/>
      <c r="Q418" s="25"/>
      <c r="R418" s="25"/>
      <c r="S418" s="25"/>
      <c r="T418" s="25"/>
      <c r="U418" s="25"/>
      <c r="V418" s="25"/>
      <c r="W418" s="25"/>
      <c r="X418" s="25"/>
      <c r="Y418" s="25"/>
      <c r="Z418" s="25"/>
      <c r="AA418" s="25"/>
      <c r="AB418" s="25"/>
      <c r="AC418" s="25"/>
    </row>
    <row r="419" spans="1:29" x14ac:dyDescent="0.25">
      <c r="A419" s="25"/>
      <c r="B419" s="25"/>
      <c r="C419" s="68"/>
      <c r="D419" s="68"/>
      <c r="E419" s="68"/>
      <c r="F419" s="68"/>
      <c r="G419" s="68"/>
      <c r="H419" s="68"/>
      <c r="I419" s="68"/>
      <c r="J419" s="68"/>
      <c r="K419" s="25"/>
      <c r="L419" s="470"/>
      <c r="M419" s="25"/>
      <c r="N419" s="25"/>
      <c r="O419" s="488"/>
      <c r="P419" s="25"/>
      <c r="Q419" s="25"/>
      <c r="R419" s="25"/>
      <c r="S419" s="25"/>
      <c r="T419" s="25"/>
      <c r="U419" s="25"/>
      <c r="V419" s="25"/>
      <c r="W419" s="25"/>
      <c r="X419" s="25"/>
      <c r="Y419" s="25"/>
      <c r="Z419" s="25"/>
      <c r="AA419" s="25"/>
      <c r="AB419" s="25"/>
      <c r="AC419" s="25"/>
    </row>
    <row r="420" spans="1:29" x14ac:dyDescent="0.25">
      <c r="A420" s="25"/>
      <c r="B420" s="25"/>
      <c r="C420" s="68"/>
      <c r="D420" s="68"/>
      <c r="E420" s="68"/>
      <c r="F420" s="68"/>
      <c r="G420" s="68"/>
      <c r="H420" s="68"/>
      <c r="I420" s="68"/>
      <c r="J420" s="68"/>
      <c r="K420" s="25"/>
      <c r="L420" s="470"/>
      <c r="M420" s="25"/>
      <c r="N420" s="25"/>
      <c r="O420" s="488"/>
      <c r="P420" s="25"/>
      <c r="Q420" s="25"/>
      <c r="R420" s="25"/>
      <c r="S420" s="25"/>
      <c r="T420" s="25"/>
      <c r="U420" s="25"/>
      <c r="V420" s="25"/>
      <c r="W420" s="25"/>
      <c r="X420" s="25"/>
      <c r="Y420" s="25"/>
      <c r="Z420" s="25"/>
      <c r="AA420" s="25"/>
      <c r="AB420" s="25"/>
      <c r="AC420" s="25"/>
    </row>
    <row r="421" spans="1:29" x14ac:dyDescent="0.25">
      <c r="A421" s="25"/>
      <c r="B421" s="25"/>
      <c r="C421" s="68"/>
      <c r="D421" s="68"/>
      <c r="E421" s="68"/>
      <c r="F421" s="68"/>
      <c r="G421" s="68"/>
      <c r="H421" s="68"/>
      <c r="I421" s="68"/>
      <c r="J421" s="68"/>
      <c r="K421" s="25"/>
      <c r="L421" s="470"/>
      <c r="M421" s="25"/>
      <c r="N421" s="25"/>
      <c r="O421" s="488"/>
      <c r="P421" s="25"/>
      <c r="Q421" s="25"/>
      <c r="R421" s="25"/>
      <c r="S421" s="25"/>
      <c r="T421" s="25"/>
      <c r="U421" s="25"/>
      <c r="V421" s="25"/>
      <c r="W421" s="25"/>
      <c r="X421" s="25"/>
      <c r="Y421" s="25"/>
      <c r="Z421" s="25"/>
      <c r="AA421" s="25"/>
      <c r="AB421" s="25"/>
      <c r="AC421" s="25"/>
    </row>
    <row r="422" spans="1:29" x14ac:dyDescent="0.25">
      <c r="A422" s="25"/>
      <c r="B422" s="25"/>
      <c r="C422" s="68"/>
      <c r="D422" s="68"/>
      <c r="E422" s="68"/>
      <c r="F422" s="68"/>
      <c r="G422" s="68"/>
      <c r="H422" s="68"/>
      <c r="I422" s="68"/>
      <c r="J422" s="68"/>
      <c r="K422" s="25"/>
      <c r="L422" s="470"/>
      <c r="M422" s="25"/>
      <c r="N422" s="25"/>
      <c r="O422" s="488"/>
      <c r="P422" s="25"/>
      <c r="Q422" s="25"/>
      <c r="R422" s="25"/>
      <c r="S422" s="25"/>
      <c r="T422" s="25"/>
      <c r="U422" s="25"/>
      <c r="V422" s="25"/>
      <c r="W422" s="25"/>
      <c r="X422" s="25"/>
      <c r="Y422" s="25"/>
      <c r="Z422" s="25"/>
      <c r="AA422" s="25"/>
      <c r="AB422" s="25"/>
      <c r="AC422" s="25"/>
    </row>
    <row r="423" spans="1:29" x14ac:dyDescent="0.25">
      <c r="A423" s="25"/>
      <c r="B423" s="25"/>
      <c r="C423" s="68"/>
      <c r="D423" s="68"/>
      <c r="E423" s="68"/>
      <c r="F423" s="68"/>
      <c r="G423" s="68"/>
      <c r="H423" s="68"/>
      <c r="I423" s="68"/>
      <c r="J423" s="68"/>
      <c r="K423" s="25"/>
      <c r="L423" s="470"/>
      <c r="M423" s="25"/>
      <c r="N423" s="25"/>
      <c r="O423" s="488"/>
      <c r="P423" s="25"/>
      <c r="Q423" s="25"/>
      <c r="R423" s="25"/>
      <c r="S423" s="25"/>
      <c r="T423" s="25"/>
      <c r="U423" s="25"/>
      <c r="V423" s="25"/>
      <c r="W423" s="25"/>
      <c r="X423" s="25"/>
      <c r="Y423" s="25"/>
      <c r="Z423" s="25"/>
      <c r="AA423" s="25"/>
      <c r="AB423" s="25"/>
      <c r="AC423" s="25"/>
    </row>
    <row r="424" spans="1:29" x14ac:dyDescent="0.25">
      <c r="A424" s="25"/>
      <c r="B424" s="25"/>
      <c r="C424" s="68"/>
      <c r="D424" s="68"/>
      <c r="E424" s="68"/>
      <c r="F424" s="68"/>
      <c r="G424" s="68"/>
      <c r="H424" s="68"/>
      <c r="I424" s="68"/>
      <c r="J424" s="68"/>
      <c r="K424" s="25"/>
      <c r="L424" s="470"/>
      <c r="M424" s="25"/>
      <c r="N424" s="25"/>
      <c r="O424" s="488"/>
      <c r="P424" s="25"/>
      <c r="Q424" s="25"/>
      <c r="R424" s="25"/>
      <c r="S424" s="25"/>
      <c r="T424" s="25"/>
      <c r="U424" s="25"/>
      <c r="V424" s="25"/>
      <c r="W424" s="25"/>
      <c r="X424" s="25"/>
      <c r="Y424" s="25"/>
      <c r="Z424" s="25"/>
      <c r="AA424" s="25"/>
      <c r="AB424" s="25"/>
      <c r="AC424" s="25"/>
    </row>
    <row r="425" spans="1:29" x14ac:dyDescent="0.25">
      <c r="A425" s="25"/>
      <c r="B425" s="25"/>
      <c r="C425" s="68"/>
      <c r="D425" s="68"/>
      <c r="E425" s="68"/>
      <c r="F425" s="68"/>
      <c r="G425" s="68"/>
      <c r="H425" s="68"/>
      <c r="I425" s="68"/>
      <c r="J425" s="68"/>
      <c r="K425" s="25"/>
      <c r="L425" s="470"/>
      <c r="M425" s="25"/>
      <c r="N425" s="25"/>
      <c r="O425" s="488"/>
      <c r="P425" s="25"/>
      <c r="Q425" s="25"/>
      <c r="R425" s="25"/>
      <c r="S425" s="25"/>
      <c r="T425" s="25"/>
      <c r="U425" s="25"/>
      <c r="V425" s="25"/>
      <c r="W425" s="25"/>
      <c r="X425" s="25"/>
      <c r="Y425" s="25"/>
      <c r="Z425" s="25"/>
      <c r="AA425" s="25"/>
      <c r="AB425" s="25"/>
      <c r="AC425" s="25"/>
    </row>
    <row r="426" spans="1:29" x14ac:dyDescent="0.25">
      <c r="A426" s="25"/>
      <c r="B426" s="25"/>
      <c r="C426" s="68"/>
      <c r="D426" s="68"/>
      <c r="E426" s="68"/>
      <c r="F426" s="68"/>
      <c r="G426" s="68"/>
      <c r="H426" s="68"/>
      <c r="I426" s="68"/>
      <c r="J426" s="68"/>
      <c r="K426" s="25"/>
      <c r="L426" s="470"/>
      <c r="M426" s="25"/>
      <c r="N426" s="25"/>
      <c r="O426" s="488"/>
      <c r="P426" s="25"/>
      <c r="Q426" s="25"/>
      <c r="R426" s="25"/>
      <c r="S426" s="25"/>
      <c r="T426" s="25"/>
      <c r="U426" s="25"/>
      <c r="V426" s="25"/>
      <c r="W426" s="25"/>
      <c r="X426" s="25"/>
      <c r="Y426" s="25"/>
      <c r="Z426" s="25"/>
      <c r="AA426" s="25"/>
      <c r="AB426" s="25"/>
      <c r="AC426" s="25"/>
    </row>
    <row r="427" spans="1:29" x14ac:dyDescent="0.25">
      <c r="A427" s="25"/>
      <c r="B427" s="25"/>
      <c r="C427" s="68"/>
      <c r="D427" s="68"/>
      <c r="E427" s="68"/>
      <c r="F427" s="68"/>
      <c r="G427" s="68"/>
      <c r="H427" s="68"/>
      <c r="I427" s="68"/>
      <c r="J427" s="68"/>
      <c r="K427" s="25"/>
      <c r="L427" s="470"/>
      <c r="M427" s="25"/>
      <c r="N427" s="25"/>
      <c r="O427" s="488"/>
      <c r="P427" s="25"/>
      <c r="Q427" s="25"/>
      <c r="R427" s="25"/>
      <c r="S427" s="25"/>
      <c r="T427" s="25"/>
      <c r="U427" s="25"/>
      <c r="V427" s="25"/>
      <c r="W427" s="25"/>
      <c r="X427" s="25"/>
      <c r="Y427" s="25"/>
      <c r="Z427" s="25"/>
      <c r="AA427" s="25"/>
      <c r="AB427" s="25"/>
      <c r="AC427" s="25"/>
    </row>
    <row r="428" spans="1:29" x14ac:dyDescent="0.25">
      <c r="A428" s="25"/>
      <c r="B428" s="25"/>
      <c r="C428" s="68"/>
      <c r="D428" s="68"/>
      <c r="E428" s="68"/>
      <c r="F428" s="68"/>
      <c r="G428" s="68"/>
      <c r="H428" s="68"/>
      <c r="I428" s="68"/>
      <c r="J428" s="68"/>
      <c r="K428" s="25"/>
      <c r="L428" s="470"/>
      <c r="M428" s="25"/>
      <c r="N428" s="25"/>
      <c r="O428" s="488"/>
      <c r="P428" s="25"/>
      <c r="Q428" s="25"/>
      <c r="R428" s="25"/>
      <c r="S428" s="25"/>
      <c r="T428" s="25"/>
      <c r="U428" s="25"/>
      <c r="V428" s="25"/>
      <c r="W428" s="25"/>
      <c r="X428" s="25"/>
      <c r="Y428" s="25"/>
      <c r="Z428" s="25"/>
      <c r="AA428" s="25"/>
      <c r="AB428" s="25"/>
      <c r="AC428" s="25"/>
    </row>
    <row r="429" spans="1:29" x14ac:dyDescent="0.25">
      <c r="A429" s="25"/>
      <c r="B429" s="25"/>
      <c r="C429" s="68"/>
      <c r="D429" s="68"/>
      <c r="E429" s="68"/>
      <c r="F429" s="68"/>
      <c r="G429" s="68"/>
      <c r="H429" s="68"/>
      <c r="I429" s="68"/>
      <c r="J429" s="68"/>
      <c r="K429" s="25"/>
      <c r="L429" s="470"/>
      <c r="M429" s="25"/>
      <c r="N429" s="25"/>
      <c r="O429" s="488"/>
      <c r="P429" s="25"/>
      <c r="Q429" s="25"/>
      <c r="R429" s="25"/>
      <c r="S429" s="25"/>
      <c r="T429" s="25"/>
      <c r="U429" s="25"/>
      <c r="V429" s="25"/>
      <c r="W429" s="25"/>
      <c r="X429" s="25"/>
      <c r="Y429" s="25"/>
      <c r="Z429" s="25"/>
      <c r="AA429" s="25"/>
      <c r="AB429" s="25"/>
      <c r="AC429" s="25"/>
    </row>
    <row r="430" spans="1:29" x14ac:dyDescent="0.25">
      <c r="A430" s="25"/>
      <c r="B430" s="25"/>
      <c r="C430" s="68"/>
      <c r="D430" s="68"/>
      <c r="E430" s="68"/>
      <c r="F430" s="68"/>
      <c r="G430" s="68"/>
      <c r="H430" s="68"/>
      <c r="I430" s="68"/>
      <c r="J430" s="68"/>
      <c r="K430" s="25"/>
      <c r="L430" s="470"/>
      <c r="M430" s="25"/>
      <c r="N430" s="25"/>
      <c r="O430" s="488"/>
      <c r="P430" s="25"/>
      <c r="Q430" s="25"/>
      <c r="R430" s="25"/>
      <c r="S430" s="25"/>
      <c r="T430" s="25"/>
      <c r="U430" s="25"/>
      <c r="V430" s="25"/>
      <c r="W430" s="25"/>
      <c r="X430" s="25"/>
      <c r="Y430" s="25"/>
      <c r="Z430" s="25"/>
      <c r="AA430" s="25"/>
      <c r="AB430" s="25"/>
      <c r="AC430" s="25"/>
    </row>
    <row r="431" spans="1:29" x14ac:dyDescent="0.25">
      <c r="A431" s="25"/>
      <c r="B431" s="25"/>
      <c r="C431" s="68"/>
      <c r="D431" s="68"/>
      <c r="E431" s="68"/>
      <c r="F431" s="68"/>
      <c r="G431" s="68"/>
      <c r="H431" s="68"/>
      <c r="I431" s="68"/>
      <c r="J431" s="68"/>
      <c r="K431" s="25"/>
      <c r="L431" s="470"/>
      <c r="M431" s="25"/>
      <c r="N431" s="25"/>
      <c r="O431" s="488"/>
      <c r="P431" s="25"/>
      <c r="Q431" s="25"/>
      <c r="R431" s="25"/>
      <c r="S431" s="25"/>
      <c r="T431" s="25"/>
      <c r="U431" s="25"/>
      <c r="V431" s="25"/>
      <c r="W431" s="25"/>
      <c r="X431" s="25"/>
      <c r="Y431" s="25"/>
      <c r="Z431" s="25"/>
      <c r="AA431" s="25"/>
      <c r="AB431" s="25"/>
      <c r="AC431" s="25"/>
    </row>
    <row r="432" spans="1:29" x14ac:dyDescent="0.25">
      <c r="A432" s="25"/>
      <c r="B432" s="25"/>
      <c r="C432" s="68"/>
      <c r="D432" s="68"/>
      <c r="E432" s="68"/>
      <c r="F432" s="68"/>
      <c r="G432" s="68"/>
      <c r="H432" s="68"/>
      <c r="I432" s="68"/>
      <c r="J432" s="68"/>
      <c r="K432" s="25"/>
      <c r="L432" s="470"/>
      <c r="M432" s="25"/>
      <c r="N432" s="25"/>
      <c r="O432" s="488"/>
      <c r="P432" s="25"/>
      <c r="Q432" s="25"/>
      <c r="R432" s="25"/>
      <c r="S432" s="25"/>
      <c r="T432" s="25"/>
      <c r="U432" s="25"/>
      <c r="V432" s="25"/>
      <c r="W432" s="25"/>
      <c r="X432" s="25"/>
      <c r="Y432" s="25"/>
      <c r="Z432" s="25"/>
      <c r="AA432" s="25"/>
      <c r="AB432" s="25"/>
      <c r="AC432" s="25"/>
    </row>
    <row r="433" spans="1:29" x14ac:dyDescent="0.25">
      <c r="A433" s="25"/>
      <c r="B433" s="25"/>
      <c r="C433" s="68"/>
      <c r="D433" s="68"/>
      <c r="E433" s="68"/>
      <c r="F433" s="68"/>
      <c r="G433" s="68"/>
      <c r="H433" s="68"/>
      <c r="I433" s="68"/>
      <c r="J433" s="68"/>
      <c r="K433" s="25"/>
      <c r="L433" s="470"/>
      <c r="M433" s="25"/>
      <c r="N433" s="25"/>
      <c r="O433" s="488"/>
      <c r="P433" s="25"/>
      <c r="Q433" s="25"/>
      <c r="R433" s="25"/>
      <c r="S433" s="25"/>
      <c r="T433" s="25"/>
      <c r="U433" s="25"/>
      <c r="V433" s="25"/>
      <c r="W433" s="25"/>
      <c r="X433" s="25"/>
      <c r="Y433" s="25"/>
      <c r="Z433" s="25"/>
      <c r="AA433" s="25"/>
      <c r="AB433" s="25"/>
      <c r="AC433" s="25"/>
    </row>
    <row r="434" spans="1:29" x14ac:dyDescent="0.25">
      <c r="A434" s="25"/>
      <c r="B434" s="25"/>
      <c r="C434" s="68"/>
      <c r="D434" s="68"/>
      <c r="E434" s="68"/>
      <c r="F434" s="68"/>
      <c r="G434" s="68"/>
      <c r="H434" s="68"/>
      <c r="I434" s="68"/>
      <c r="J434" s="68"/>
      <c r="K434" s="25"/>
      <c r="L434" s="470"/>
      <c r="M434" s="25"/>
      <c r="N434" s="25"/>
      <c r="O434" s="488"/>
      <c r="P434" s="25"/>
      <c r="Q434" s="25"/>
      <c r="R434" s="25"/>
      <c r="S434" s="25"/>
      <c r="T434" s="25"/>
      <c r="U434" s="25"/>
      <c r="V434" s="25"/>
      <c r="W434" s="25"/>
      <c r="X434" s="25"/>
      <c r="Y434" s="25"/>
      <c r="Z434" s="25"/>
      <c r="AA434" s="25"/>
      <c r="AB434" s="25"/>
      <c r="AC434" s="25"/>
    </row>
    <row r="435" spans="1:29" x14ac:dyDescent="0.25">
      <c r="A435" s="25"/>
      <c r="B435" s="25"/>
      <c r="C435" s="68"/>
      <c r="D435" s="68"/>
      <c r="E435" s="68"/>
      <c r="F435" s="68"/>
      <c r="G435" s="68"/>
      <c r="H435" s="68"/>
      <c r="I435" s="68"/>
      <c r="J435" s="68"/>
      <c r="K435" s="25"/>
      <c r="L435" s="470"/>
      <c r="M435" s="25"/>
      <c r="N435" s="25"/>
      <c r="O435" s="488"/>
      <c r="P435" s="25"/>
      <c r="Q435" s="25"/>
      <c r="R435" s="25"/>
      <c r="S435" s="25"/>
      <c r="T435" s="25"/>
      <c r="U435" s="25"/>
      <c r="V435" s="25"/>
      <c r="W435" s="25"/>
      <c r="X435" s="25"/>
      <c r="Y435" s="25"/>
      <c r="Z435" s="25"/>
      <c r="AA435" s="25"/>
      <c r="AB435" s="25"/>
      <c r="AC435" s="25"/>
    </row>
    <row r="436" spans="1:29" x14ac:dyDescent="0.25">
      <c r="A436" s="25"/>
      <c r="B436" s="25"/>
      <c r="C436" s="68"/>
      <c r="D436" s="68"/>
      <c r="E436" s="68"/>
      <c r="F436" s="68"/>
      <c r="G436" s="68"/>
      <c r="H436" s="68"/>
      <c r="I436" s="68"/>
      <c r="J436" s="68"/>
      <c r="K436" s="25"/>
      <c r="L436" s="470"/>
      <c r="M436" s="25"/>
      <c r="N436" s="25"/>
      <c r="O436" s="488"/>
      <c r="P436" s="25"/>
      <c r="Q436" s="25"/>
      <c r="R436" s="25"/>
      <c r="S436" s="25"/>
      <c r="T436" s="25"/>
      <c r="U436" s="25"/>
      <c r="V436" s="25"/>
      <c r="W436" s="25"/>
      <c r="X436" s="25"/>
      <c r="Y436" s="25"/>
      <c r="Z436" s="25"/>
      <c r="AA436" s="25"/>
      <c r="AB436" s="25"/>
      <c r="AC436" s="25"/>
    </row>
    <row r="437" spans="1:29" x14ac:dyDescent="0.25">
      <c r="A437" s="25"/>
      <c r="B437" s="25"/>
      <c r="C437" s="68"/>
      <c r="D437" s="68"/>
      <c r="E437" s="68"/>
      <c r="F437" s="68"/>
      <c r="G437" s="68"/>
      <c r="H437" s="68"/>
      <c r="I437" s="68"/>
      <c r="J437" s="68"/>
      <c r="K437" s="25"/>
      <c r="L437" s="470"/>
      <c r="M437" s="25"/>
      <c r="N437" s="25"/>
      <c r="O437" s="488"/>
      <c r="P437" s="25"/>
      <c r="Q437" s="25"/>
      <c r="R437" s="25"/>
      <c r="S437" s="25"/>
      <c r="T437" s="25"/>
      <c r="U437" s="25"/>
      <c r="V437" s="25"/>
      <c r="W437" s="25"/>
      <c r="X437" s="25"/>
      <c r="Y437" s="25"/>
      <c r="Z437" s="25"/>
      <c r="AA437" s="25"/>
      <c r="AB437" s="25"/>
      <c r="AC437" s="25"/>
    </row>
    <row r="438" spans="1:29" x14ac:dyDescent="0.25">
      <c r="A438" s="25"/>
      <c r="B438" s="25"/>
      <c r="C438" s="68"/>
      <c r="D438" s="68"/>
      <c r="E438" s="68"/>
      <c r="F438" s="68"/>
      <c r="G438" s="68"/>
      <c r="H438" s="68"/>
      <c r="I438" s="68"/>
      <c r="J438" s="68"/>
      <c r="K438" s="25"/>
      <c r="L438" s="470"/>
      <c r="M438" s="25"/>
      <c r="N438" s="25"/>
      <c r="O438" s="488"/>
      <c r="P438" s="25"/>
      <c r="Q438" s="25"/>
      <c r="R438" s="25"/>
      <c r="S438" s="25"/>
      <c r="T438" s="25"/>
      <c r="U438" s="25"/>
      <c r="V438" s="25"/>
      <c r="W438" s="25"/>
      <c r="X438" s="25"/>
      <c r="Y438" s="25"/>
      <c r="Z438" s="25"/>
      <c r="AA438" s="25"/>
      <c r="AB438" s="25"/>
      <c r="AC438" s="25"/>
    </row>
    <row r="439" spans="1:29" x14ac:dyDescent="0.25">
      <c r="A439" s="25"/>
      <c r="B439" s="25"/>
      <c r="C439" s="68"/>
      <c r="D439" s="68"/>
      <c r="E439" s="68"/>
      <c r="F439" s="68"/>
      <c r="G439" s="68"/>
      <c r="H439" s="68"/>
      <c r="I439" s="68"/>
      <c r="J439" s="68"/>
      <c r="K439" s="25"/>
      <c r="L439" s="470"/>
      <c r="M439" s="25"/>
      <c r="N439" s="25"/>
      <c r="O439" s="488"/>
      <c r="P439" s="25"/>
      <c r="Q439" s="25"/>
      <c r="R439" s="25"/>
      <c r="S439" s="25"/>
      <c r="T439" s="25"/>
      <c r="U439" s="25"/>
      <c r="V439" s="25"/>
      <c r="W439" s="25"/>
      <c r="X439" s="25"/>
      <c r="Y439" s="25"/>
      <c r="Z439" s="25"/>
      <c r="AA439" s="25"/>
      <c r="AB439" s="25"/>
      <c r="AC439" s="25"/>
    </row>
    <row r="440" spans="1:29" x14ac:dyDescent="0.25">
      <c r="A440" s="25"/>
      <c r="B440" s="25"/>
      <c r="C440" s="68"/>
      <c r="D440" s="68"/>
      <c r="E440" s="68"/>
      <c r="F440" s="68"/>
      <c r="G440" s="68"/>
      <c r="H440" s="68"/>
      <c r="I440" s="68"/>
      <c r="J440" s="68"/>
      <c r="K440" s="25"/>
      <c r="L440" s="470"/>
      <c r="M440" s="25"/>
      <c r="N440" s="25"/>
      <c r="O440" s="488"/>
      <c r="P440" s="25"/>
      <c r="Q440" s="25"/>
      <c r="R440" s="25"/>
      <c r="S440" s="25"/>
      <c r="T440" s="25"/>
      <c r="U440" s="25"/>
      <c r="V440" s="25"/>
      <c r="W440" s="25"/>
      <c r="X440" s="25"/>
      <c r="Y440" s="25"/>
      <c r="Z440" s="25"/>
      <c r="AA440" s="25"/>
      <c r="AB440" s="25"/>
      <c r="AC440" s="25"/>
    </row>
    <row r="441" spans="1:29" x14ac:dyDescent="0.25">
      <c r="A441" s="25"/>
      <c r="B441" s="25"/>
      <c r="C441" s="68"/>
      <c r="D441" s="68"/>
      <c r="E441" s="68"/>
      <c r="F441" s="68"/>
      <c r="G441" s="68"/>
      <c r="H441" s="68"/>
      <c r="I441" s="68"/>
      <c r="J441" s="68"/>
      <c r="K441" s="25"/>
      <c r="L441" s="470"/>
      <c r="M441" s="25"/>
      <c r="N441" s="25"/>
      <c r="O441" s="488"/>
      <c r="P441" s="25"/>
      <c r="Q441" s="25"/>
      <c r="R441" s="25"/>
      <c r="S441" s="25"/>
      <c r="T441" s="25"/>
      <c r="U441" s="25"/>
      <c r="V441" s="25"/>
      <c r="W441" s="25"/>
      <c r="X441" s="25"/>
      <c r="Y441" s="25"/>
      <c r="Z441" s="25"/>
      <c r="AA441" s="25"/>
      <c r="AB441" s="25"/>
      <c r="AC441" s="25"/>
    </row>
    <row r="442" spans="1:29" x14ac:dyDescent="0.25">
      <c r="A442" s="25"/>
      <c r="B442" s="25"/>
      <c r="C442" s="68"/>
      <c r="D442" s="68"/>
      <c r="E442" s="68"/>
      <c r="F442" s="68"/>
      <c r="G442" s="68"/>
      <c r="H442" s="68"/>
      <c r="I442" s="68"/>
      <c r="J442" s="68"/>
      <c r="K442" s="25"/>
      <c r="L442" s="470"/>
      <c r="M442" s="25"/>
      <c r="N442" s="25"/>
      <c r="O442" s="488"/>
      <c r="P442" s="25"/>
      <c r="Q442" s="25"/>
      <c r="R442" s="25"/>
      <c r="S442" s="25"/>
      <c r="T442" s="25"/>
      <c r="U442" s="25"/>
      <c r="V442" s="25"/>
      <c r="W442" s="25"/>
      <c r="X442" s="25"/>
      <c r="Y442" s="25"/>
      <c r="Z442" s="25"/>
      <c r="AA442" s="25"/>
      <c r="AB442" s="25"/>
      <c r="AC442" s="25"/>
    </row>
    <row r="443" spans="1:29" x14ac:dyDescent="0.25">
      <c r="A443" s="25"/>
      <c r="B443" s="25"/>
      <c r="C443" s="68"/>
      <c r="D443" s="68"/>
      <c r="E443" s="68"/>
      <c r="F443" s="68"/>
      <c r="G443" s="68"/>
      <c r="H443" s="68"/>
      <c r="I443" s="68"/>
      <c r="J443" s="68"/>
      <c r="K443" s="25"/>
      <c r="L443" s="470"/>
      <c r="M443" s="25"/>
      <c r="N443" s="25"/>
      <c r="O443" s="488"/>
      <c r="P443" s="25"/>
      <c r="Q443" s="25"/>
      <c r="R443" s="25"/>
      <c r="S443" s="25"/>
      <c r="T443" s="25"/>
      <c r="U443" s="25"/>
      <c r="V443" s="25"/>
      <c r="W443" s="25"/>
      <c r="X443" s="25"/>
      <c r="Y443" s="25"/>
      <c r="Z443" s="25"/>
      <c r="AA443" s="25"/>
      <c r="AB443" s="25"/>
      <c r="AC443" s="25"/>
    </row>
    <row r="444" spans="1:29" x14ac:dyDescent="0.25">
      <c r="A444" s="25"/>
      <c r="B444" s="25"/>
      <c r="C444" s="68"/>
      <c r="D444" s="68"/>
      <c r="E444" s="68"/>
      <c r="F444" s="68"/>
      <c r="G444" s="68"/>
      <c r="H444" s="68"/>
      <c r="I444" s="68"/>
      <c r="J444" s="68"/>
      <c r="K444" s="25"/>
      <c r="L444" s="470"/>
      <c r="M444" s="25"/>
      <c r="N444" s="25"/>
      <c r="O444" s="488"/>
      <c r="P444" s="25"/>
      <c r="Q444" s="25"/>
      <c r="R444" s="25"/>
      <c r="S444" s="25"/>
      <c r="T444" s="25"/>
      <c r="U444" s="25"/>
      <c r="V444" s="25"/>
      <c r="W444" s="25"/>
      <c r="X444" s="25"/>
      <c r="Y444" s="25"/>
      <c r="Z444" s="25"/>
      <c r="AA444" s="25"/>
      <c r="AB444" s="25"/>
      <c r="AC444" s="25"/>
    </row>
    <row r="445" spans="1:29" x14ac:dyDescent="0.25">
      <c r="A445" s="25"/>
      <c r="B445" s="25"/>
      <c r="C445" s="68"/>
      <c r="D445" s="68"/>
      <c r="E445" s="68"/>
      <c r="F445" s="68"/>
      <c r="G445" s="68"/>
      <c r="H445" s="68"/>
      <c r="I445" s="68"/>
      <c r="J445" s="68"/>
      <c r="K445" s="25"/>
      <c r="L445" s="470"/>
      <c r="M445" s="25"/>
      <c r="N445" s="25"/>
      <c r="O445" s="488"/>
      <c r="P445" s="25"/>
      <c r="Q445" s="25"/>
      <c r="R445" s="25"/>
      <c r="S445" s="25"/>
      <c r="T445" s="25"/>
      <c r="U445" s="25"/>
      <c r="V445" s="25"/>
      <c r="W445" s="25"/>
      <c r="X445" s="25"/>
      <c r="Y445" s="25"/>
      <c r="Z445" s="25"/>
      <c r="AA445" s="25"/>
      <c r="AB445" s="25"/>
      <c r="AC445" s="25"/>
    </row>
    <row r="446" spans="1:29" x14ac:dyDescent="0.25">
      <c r="A446" s="25"/>
      <c r="B446" s="25"/>
      <c r="C446" s="68"/>
      <c r="D446" s="68"/>
      <c r="E446" s="68"/>
      <c r="F446" s="68"/>
      <c r="G446" s="68"/>
      <c r="H446" s="68"/>
      <c r="I446" s="68"/>
      <c r="J446" s="68"/>
      <c r="K446" s="25"/>
      <c r="L446" s="470"/>
      <c r="M446" s="25"/>
      <c r="N446" s="25"/>
      <c r="O446" s="488"/>
      <c r="P446" s="25"/>
      <c r="Q446" s="25"/>
      <c r="R446" s="25"/>
      <c r="S446" s="25"/>
      <c r="T446" s="25"/>
      <c r="U446" s="25"/>
      <c r="V446" s="25"/>
      <c r="W446" s="25"/>
      <c r="X446" s="25"/>
      <c r="Y446" s="25"/>
      <c r="Z446" s="25"/>
      <c r="AA446" s="25"/>
      <c r="AB446" s="25"/>
      <c r="AC446" s="25"/>
    </row>
    <row r="447" spans="1:29" x14ac:dyDescent="0.25">
      <c r="A447" s="25"/>
      <c r="B447" s="25"/>
      <c r="C447" s="68"/>
      <c r="D447" s="68"/>
      <c r="E447" s="68"/>
      <c r="F447" s="68"/>
      <c r="G447" s="68"/>
      <c r="H447" s="68"/>
      <c r="I447" s="68"/>
      <c r="J447" s="68"/>
      <c r="K447" s="25"/>
      <c r="L447" s="470"/>
      <c r="M447" s="25"/>
      <c r="N447" s="25"/>
      <c r="O447" s="488"/>
      <c r="P447" s="25"/>
      <c r="Q447" s="25"/>
      <c r="R447" s="25"/>
      <c r="S447" s="25"/>
      <c r="T447" s="25"/>
      <c r="U447" s="25"/>
      <c r="V447" s="25"/>
      <c r="W447" s="25"/>
      <c r="X447" s="25"/>
      <c r="Y447" s="25"/>
      <c r="Z447" s="25"/>
      <c r="AA447" s="25"/>
      <c r="AB447" s="25"/>
      <c r="AC447" s="25"/>
    </row>
    <row r="448" spans="1:29" x14ac:dyDescent="0.25">
      <c r="A448" s="25"/>
      <c r="B448" s="25"/>
      <c r="C448" s="68"/>
      <c r="D448" s="68"/>
      <c r="E448" s="68"/>
      <c r="F448" s="68"/>
      <c r="G448" s="68"/>
      <c r="H448" s="68"/>
      <c r="I448" s="68"/>
      <c r="J448" s="68"/>
      <c r="K448" s="25"/>
      <c r="L448" s="470"/>
      <c r="M448" s="25"/>
      <c r="N448" s="25"/>
      <c r="O448" s="488"/>
      <c r="P448" s="25"/>
      <c r="Q448" s="25"/>
      <c r="R448" s="25"/>
      <c r="S448" s="25"/>
      <c r="T448" s="25"/>
      <c r="U448" s="25"/>
      <c r="V448" s="25"/>
      <c r="W448" s="25"/>
      <c r="X448" s="25"/>
      <c r="Y448" s="25"/>
      <c r="Z448" s="25"/>
      <c r="AA448" s="25"/>
      <c r="AB448" s="25"/>
      <c r="AC448" s="25"/>
    </row>
    <row r="449" spans="1:29" x14ac:dyDescent="0.25">
      <c r="A449" s="25"/>
      <c r="B449" s="25"/>
      <c r="C449" s="68"/>
      <c r="D449" s="68"/>
      <c r="E449" s="68"/>
      <c r="F449" s="68"/>
      <c r="G449" s="68"/>
      <c r="H449" s="68"/>
      <c r="I449" s="68"/>
      <c r="J449" s="68"/>
      <c r="K449" s="25"/>
      <c r="L449" s="470"/>
      <c r="M449" s="25"/>
      <c r="N449" s="25"/>
      <c r="O449" s="488"/>
      <c r="P449" s="25"/>
      <c r="Q449" s="25"/>
      <c r="R449" s="25"/>
      <c r="S449" s="25"/>
      <c r="T449" s="25"/>
      <c r="U449" s="25"/>
      <c r="V449" s="25"/>
      <c r="W449" s="25"/>
      <c r="X449" s="25"/>
      <c r="Y449" s="25"/>
      <c r="Z449" s="25"/>
      <c r="AA449" s="25"/>
      <c r="AB449" s="25"/>
      <c r="AC449" s="25"/>
    </row>
    <row r="450" spans="1:29" x14ac:dyDescent="0.25">
      <c r="A450" s="25"/>
      <c r="B450" s="25"/>
      <c r="C450" s="68"/>
      <c r="D450" s="68"/>
      <c r="E450" s="68"/>
      <c r="F450" s="68"/>
      <c r="G450" s="68"/>
      <c r="H450" s="68"/>
      <c r="I450" s="68"/>
      <c r="J450" s="68"/>
      <c r="K450" s="25"/>
      <c r="L450" s="470"/>
      <c r="M450" s="25"/>
      <c r="N450" s="25"/>
      <c r="O450" s="488"/>
      <c r="P450" s="25"/>
      <c r="Q450" s="25"/>
      <c r="R450" s="25"/>
      <c r="S450" s="25"/>
      <c r="T450" s="25"/>
      <c r="U450" s="25"/>
      <c r="V450" s="25"/>
      <c r="W450" s="25"/>
      <c r="X450" s="25"/>
      <c r="Y450" s="25"/>
      <c r="Z450" s="25"/>
      <c r="AA450" s="25"/>
      <c r="AB450" s="25"/>
      <c r="AC450" s="25"/>
    </row>
    <row r="451" spans="1:29" x14ac:dyDescent="0.25">
      <c r="A451" s="25"/>
      <c r="B451" s="25"/>
      <c r="C451" s="68"/>
      <c r="D451" s="68"/>
      <c r="E451" s="68"/>
      <c r="F451" s="68"/>
      <c r="G451" s="68"/>
      <c r="H451" s="68"/>
      <c r="I451" s="68"/>
      <c r="J451" s="68"/>
      <c r="K451" s="25"/>
      <c r="L451" s="470"/>
      <c r="M451" s="25"/>
      <c r="N451" s="25"/>
      <c r="O451" s="488"/>
      <c r="P451" s="25"/>
      <c r="Q451" s="25"/>
      <c r="R451" s="25"/>
      <c r="S451" s="25"/>
      <c r="T451" s="25"/>
      <c r="U451" s="25"/>
      <c r="V451" s="25"/>
      <c r="W451" s="25"/>
      <c r="X451" s="25"/>
      <c r="Y451" s="25"/>
      <c r="Z451" s="25"/>
      <c r="AA451" s="25"/>
      <c r="AB451" s="25"/>
      <c r="AC451" s="25"/>
    </row>
    <row r="452" spans="1:29" x14ac:dyDescent="0.25">
      <c r="A452" s="25"/>
      <c r="B452" s="25"/>
      <c r="C452" s="68"/>
      <c r="D452" s="68"/>
      <c r="E452" s="68"/>
      <c r="F452" s="68"/>
      <c r="G452" s="68"/>
      <c r="H452" s="68"/>
      <c r="I452" s="68"/>
      <c r="J452" s="68"/>
      <c r="K452" s="25"/>
      <c r="L452" s="470"/>
      <c r="M452" s="25"/>
      <c r="N452" s="25"/>
      <c r="O452" s="488"/>
      <c r="P452" s="25"/>
      <c r="Q452" s="25"/>
      <c r="R452" s="25"/>
      <c r="S452" s="25"/>
      <c r="T452" s="25"/>
      <c r="U452" s="25"/>
      <c r="V452" s="25"/>
      <c r="W452" s="25"/>
      <c r="X452" s="25"/>
      <c r="Y452" s="25"/>
      <c r="Z452" s="25"/>
      <c r="AA452" s="25"/>
      <c r="AB452" s="25"/>
      <c r="AC452" s="25"/>
    </row>
    <row r="453" spans="1:29" x14ac:dyDescent="0.25">
      <c r="A453" s="25"/>
      <c r="B453" s="25"/>
      <c r="C453" s="68"/>
      <c r="D453" s="68"/>
      <c r="E453" s="68"/>
      <c r="F453" s="68"/>
      <c r="G453" s="68"/>
      <c r="H453" s="68"/>
      <c r="I453" s="68"/>
      <c r="J453" s="68"/>
      <c r="K453" s="25"/>
      <c r="L453" s="470"/>
      <c r="M453" s="25"/>
      <c r="N453" s="25"/>
      <c r="O453" s="488"/>
      <c r="P453" s="25"/>
      <c r="Q453" s="25"/>
      <c r="R453" s="25"/>
      <c r="S453" s="25"/>
      <c r="T453" s="25"/>
      <c r="U453" s="25"/>
      <c r="V453" s="25"/>
      <c r="W453" s="25"/>
      <c r="X453" s="25"/>
      <c r="Y453" s="25"/>
      <c r="Z453" s="25"/>
      <c r="AA453" s="25"/>
      <c r="AB453" s="25"/>
      <c r="AC453" s="25"/>
    </row>
    <row r="454" spans="1:29" x14ac:dyDescent="0.25">
      <c r="A454" s="25"/>
      <c r="B454" s="25"/>
      <c r="C454" s="68"/>
      <c r="D454" s="68"/>
      <c r="E454" s="68"/>
      <c r="F454" s="68"/>
      <c r="G454" s="68"/>
      <c r="H454" s="68"/>
      <c r="I454" s="68"/>
      <c r="J454" s="68"/>
      <c r="K454" s="25"/>
      <c r="L454" s="470"/>
      <c r="M454" s="25"/>
      <c r="N454" s="25"/>
      <c r="O454" s="488"/>
      <c r="P454" s="25"/>
      <c r="Q454" s="25"/>
      <c r="R454" s="25"/>
      <c r="S454" s="25"/>
      <c r="T454" s="25"/>
      <c r="U454" s="25"/>
      <c r="V454" s="25"/>
      <c r="W454" s="25"/>
      <c r="X454" s="25"/>
      <c r="Y454" s="25"/>
      <c r="Z454" s="25"/>
      <c r="AA454" s="25"/>
      <c r="AB454" s="25"/>
      <c r="AC454" s="25"/>
    </row>
    <row r="455" spans="1:29" x14ac:dyDescent="0.25">
      <c r="A455" s="25"/>
      <c r="B455" s="25"/>
      <c r="C455" s="68"/>
      <c r="D455" s="68"/>
      <c r="E455" s="68"/>
      <c r="F455" s="68"/>
      <c r="G455" s="68"/>
      <c r="H455" s="68"/>
      <c r="I455" s="68"/>
      <c r="J455" s="68"/>
      <c r="K455" s="25"/>
      <c r="L455" s="470"/>
      <c r="M455" s="25"/>
      <c r="N455" s="25"/>
      <c r="O455" s="488"/>
      <c r="P455" s="25"/>
      <c r="Q455" s="25"/>
      <c r="R455" s="25"/>
      <c r="S455" s="25"/>
      <c r="T455" s="25"/>
      <c r="U455" s="25"/>
      <c r="V455" s="25"/>
      <c r="W455" s="25"/>
      <c r="X455" s="25"/>
      <c r="Y455" s="25"/>
      <c r="Z455" s="25"/>
      <c r="AA455" s="25"/>
      <c r="AB455" s="25"/>
      <c r="AC455" s="25"/>
    </row>
    <row r="456" spans="1:29" x14ac:dyDescent="0.25">
      <c r="A456" s="25"/>
      <c r="B456" s="25"/>
      <c r="C456" s="68"/>
      <c r="D456" s="68"/>
      <c r="E456" s="68"/>
      <c r="F456" s="68"/>
      <c r="G456" s="68"/>
      <c r="H456" s="68"/>
      <c r="I456" s="68"/>
      <c r="J456" s="68"/>
      <c r="K456" s="25"/>
      <c r="L456" s="470"/>
      <c r="M456" s="25"/>
      <c r="N456" s="25"/>
      <c r="O456" s="488"/>
      <c r="P456" s="25"/>
      <c r="Q456" s="25"/>
      <c r="R456" s="25"/>
      <c r="S456" s="25"/>
      <c r="T456" s="25"/>
      <c r="U456" s="25"/>
      <c r="V456" s="25"/>
      <c r="W456" s="25"/>
      <c r="X456" s="25"/>
      <c r="Y456" s="25"/>
      <c r="Z456" s="25"/>
      <c r="AA456" s="25"/>
      <c r="AB456" s="25"/>
      <c r="AC456" s="25"/>
    </row>
    <row r="457" spans="1:29" x14ac:dyDescent="0.25">
      <c r="A457" s="25"/>
      <c r="B457" s="25"/>
      <c r="C457" s="68"/>
      <c r="D457" s="68"/>
      <c r="E457" s="68"/>
      <c r="F457" s="68"/>
      <c r="G457" s="68"/>
      <c r="H457" s="68"/>
      <c r="I457" s="68"/>
      <c r="J457" s="68"/>
      <c r="K457" s="25"/>
      <c r="L457" s="470"/>
      <c r="M457" s="25"/>
      <c r="N457" s="25"/>
      <c r="O457" s="488"/>
      <c r="P457" s="25"/>
      <c r="Q457" s="25"/>
      <c r="R457" s="25"/>
      <c r="S457" s="25"/>
      <c r="T457" s="25"/>
      <c r="U457" s="25"/>
      <c r="V457" s="25"/>
      <c r="W457" s="25"/>
      <c r="X457" s="25"/>
      <c r="Y457" s="25"/>
      <c r="Z457" s="25"/>
      <c r="AA457" s="25"/>
      <c r="AB457" s="25"/>
      <c r="AC457" s="25"/>
    </row>
    <row r="458" spans="1:29" x14ac:dyDescent="0.25">
      <c r="A458" s="25"/>
      <c r="B458" s="25"/>
      <c r="C458" s="68"/>
      <c r="D458" s="68"/>
      <c r="E458" s="68"/>
      <c r="F458" s="68"/>
      <c r="G458" s="68"/>
      <c r="H458" s="68"/>
      <c r="I458" s="68"/>
      <c r="J458" s="68"/>
      <c r="K458" s="25"/>
      <c r="L458" s="470"/>
      <c r="M458" s="25"/>
      <c r="N458" s="25"/>
      <c r="O458" s="488"/>
      <c r="P458" s="25"/>
      <c r="Q458" s="25"/>
      <c r="R458" s="25"/>
      <c r="S458" s="25"/>
      <c r="T458" s="25"/>
      <c r="U458" s="25"/>
      <c r="V458" s="25"/>
      <c r="W458" s="25"/>
      <c r="X458" s="25"/>
      <c r="Y458" s="25"/>
      <c r="Z458" s="25"/>
      <c r="AA458" s="25"/>
      <c r="AB458" s="25"/>
      <c r="AC458" s="25"/>
    </row>
    <row r="459" spans="1:29" x14ac:dyDescent="0.25">
      <c r="A459" s="25"/>
      <c r="B459" s="25"/>
      <c r="C459" s="68"/>
      <c r="D459" s="68"/>
      <c r="E459" s="68"/>
      <c r="F459" s="68"/>
      <c r="G459" s="68"/>
      <c r="H459" s="68"/>
      <c r="I459" s="68"/>
      <c r="J459" s="68"/>
      <c r="K459" s="25"/>
      <c r="L459" s="470"/>
      <c r="M459" s="25"/>
      <c r="N459" s="25"/>
      <c r="O459" s="488"/>
      <c r="P459" s="25"/>
      <c r="Q459" s="25"/>
      <c r="R459" s="25"/>
      <c r="S459" s="25"/>
      <c r="T459" s="25"/>
      <c r="U459" s="25"/>
      <c r="V459" s="25"/>
      <c r="W459" s="25"/>
      <c r="X459" s="25"/>
      <c r="Y459" s="25"/>
      <c r="Z459" s="25"/>
      <c r="AA459" s="25"/>
      <c r="AB459" s="25"/>
      <c r="AC459" s="25"/>
    </row>
    <row r="460" spans="1:29" x14ac:dyDescent="0.25">
      <c r="A460" s="25"/>
      <c r="B460" s="25"/>
      <c r="C460" s="68"/>
      <c r="D460" s="68"/>
      <c r="E460" s="68"/>
      <c r="F460" s="68"/>
      <c r="G460" s="68"/>
      <c r="H460" s="68"/>
      <c r="I460" s="68"/>
      <c r="J460" s="68"/>
      <c r="K460" s="25"/>
      <c r="L460" s="470"/>
      <c r="M460" s="25"/>
      <c r="N460" s="25"/>
      <c r="O460" s="488"/>
      <c r="P460" s="25"/>
      <c r="Q460" s="25"/>
      <c r="R460" s="25"/>
      <c r="S460" s="25"/>
      <c r="T460" s="25"/>
      <c r="U460" s="25"/>
      <c r="V460" s="25"/>
      <c r="W460" s="25"/>
      <c r="X460" s="25"/>
      <c r="Y460" s="25"/>
      <c r="Z460" s="25"/>
      <c r="AA460" s="25"/>
      <c r="AB460" s="25"/>
      <c r="AC460" s="25"/>
    </row>
    <row r="461" spans="1:29" x14ac:dyDescent="0.25">
      <c r="A461" s="25"/>
      <c r="B461" s="25"/>
      <c r="C461" s="68"/>
      <c r="D461" s="68"/>
      <c r="E461" s="68"/>
      <c r="F461" s="68"/>
      <c r="G461" s="68"/>
      <c r="H461" s="68"/>
      <c r="I461" s="68"/>
      <c r="J461" s="68"/>
      <c r="K461" s="25"/>
      <c r="L461" s="470"/>
      <c r="M461" s="25"/>
      <c r="N461" s="25"/>
      <c r="O461" s="488"/>
      <c r="P461" s="25"/>
      <c r="Q461" s="25"/>
      <c r="R461" s="25"/>
      <c r="S461" s="25"/>
      <c r="T461" s="25"/>
      <c r="U461" s="25"/>
      <c r="V461" s="25"/>
      <c r="W461" s="25"/>
      <c r="X461" s="25"/>
      <c r="Y461" s="25"/>
      <c r="Z461" s="25"/>
      <c r="AA461" s="25"/>
      <c r="AB461" s="25"/>
      <c r="AC461" s="25"/>
    </row>
    <row r="462" spans="1:29" x14ac:dyDescent="0.25">
      <c r="A462" s="25"/>
      <c r="B462" s="25"/>
      <c r="C462" s="68"/>
      <c r="D462" s="68"/>
      <c r="E462" s="68"/>
      <c r="F462" s="68"/>
      <c r="G462" s="68"/>
      <c r="H462" s="68"/>
      <c r="I462" s="68"/>
      <c r="J462" s="68"/>
      <c r="K462" s="25"/>
      <c r="L462" s="470"/>
      <c r="M462" s="25"/>
      <c r="N462" s="25"/>
      <c r="O462" s="488"/>
      <c r="P462" s="25"/>
      <c r="Q462" s="25"/>
      <c r="R462" s="25"/>
      <c r="S462" s="25"/>
      <c r="T462" s="25"/>
      <c r="U462" s="25"/>
      <c r="V462" s="25"/>
      <c r="W462" s="25"/>
      <c r="X462" s="25"/>
      <c r="Y462" s="25"/>
      <c r="Z462" s="25"/>
      <c r="AA462" s="25"/>
      <c r="AB462" s="25"/>
      <c r="AC462" s="25"/>
    </row>
    <row r="463" spans="1:29" x14ac:dyDescent="0.25">
      <c r="A463" s="25"/>
      <c r="B463" s="25"/>
      <c r="C463" s="68"/>
      <c r="D463" s="68"/>
      <c r="E463" s="68"/>
      <c r="F463" s="68"/>
      <c r="G463" s="68"/>
      <c r="H463" s="68"/>
      <c r="I463" s="68"/>
      <c r="J463" s="68"/>
      <c r="K463" s="25"/>
      <c r="L463" s="470"/>
      <c r="M463" s="25"/>
      <c r="N463" s="25"/>
      <c r="O463" s="488"/>
      <c r="P463" s="25"/>
      <c r="Q463" s="25"/>
      <c r="R463" s="25"/>
      <c r="S463" s="25"/>
      <c r="T463" s="25"/>
      <c r="U463" s="25"/>
      <c r="V463" s="25"/>
      <c r="W463" s="25"/>
      <c r="X463" s="25"/>
      <c r="Y463" s="25"/>
      <c r="Z463" s="25"/>
      <c r="AA463" s="25"/>
      <c r="AB463" s="25"/>
      <c r="AC463" s="25"/>
    </row>
    <row r="464" spans="1:29" x14ac:dyDescent="0.25">
      <c r="A464" s="25"/>
      <c r="B464" s="25"/>
      <c r="C464" s="68"/>
      <c r="D464" s="68"/>
      <c r="E464" s="68"/>
      <c r="F464" s="68"/>
      <c r="G464" s="68"/>
      <c r="H464" s="68"/>
      <c r="I464" s="68"/>
      <c r="J464" s="68"/>
      <c r="K464" s="25"/>
      <c r="L464" s="470"/>
      <c r="M464" s="25"/>
      <c r="N464" s="25"/>
      <c r="O464" s="488"/>
      <c r="P464" s="25"/>
      <c r="Q464" s="25"/>
      <c r="R464" s="25"/>
      <c r="S464" s="25"/>
      <c r="T464" s="25"/>
      <c r="U464" s="25"/>
      <c r="V464" s="25"/>
      <c r="W464" s="25"/>
      <c r="X464" s="25"/>
      <c r="Y464" s="25"/>
      <c r="Z464" s="25"/>
      <c r="AA464" s="25"/>
      <c r="AB464" s="25"/>
      <c r="AC464" s="25"/>
    </row>
    <row r="465" spans="1:29" x14ac:dyDescent="0.25">
      <c r="A465" s="25"/>
      <c r="B465" s="25"/>
      <c r="C465" s="68"/>
      <c r="D465" s="68"/>
      <c r="E465" s="68"/>
      <c r="F465" s="68"/>
      <c r="G465" s="68"/>
      <c r="H465" s="68"/>
      <c r="I465" s="68"/>
      <c r="J465" s="68"/>
      <c r="K465" s="25"/>
      <c r="L465" s="470"/>
      <c r="M465" s="25"/>
      <c r="N465" s="25"/>
      <c r="O465" s="488"/>
      <c r="P465" s="25"/>
      <c r="Q465" s="25"/>
      <c r="R465" s="25"/>
      <c r="S465" s="25"/>
      <c r="T465" s="25"/>
      <c r="U465" s="25"/>
      <c r="V465" s="25"/>
      <c r="W465" s="25"/>
      <c r="X465" s="25"/>
      <c r="Y465" s="25"/>
      <c r="Z465" s="25"/>
      <c r="AA465" s="25"/>
      <c r="AB465" s="25"/>
      <c r="AC465" s="25"/>
    </row>
    <row r="466" spans="1:29" x14ac:dyDescent="0.25">
      <c r="A466" s="25"/>
      <c r="B466" s="25"/>
      <c r="C466" s="68"/>
      <c r="D466" s="68"/>
      <c r="E466" s="68"/>
      <c r="F466" s="68"/>
      <c r="G466" s="68"/>
      <c r="H466" s="68"/>
      <c r="I466" s="68"/>
      <c r="J466" s="68"/>
      <c r="K466" s="25"/>
      <c r="L466" s="470"/>
      <c r="M466" s="25"/>
      <c r="N466" s="25"/>
      <c r="O466" s="488"/>
      <c r="P466" s="25"/>
      <c r="Q466" s="25"/>
      <c r="R466" s="25"/>
      <c r="S466" s="25"/>
      <c r="T466" s="25"/>
      <c r="U466" s="25"/>
      <c r="V466" s="25"/>
      <c r="W466" s="25"/>
      <c r="X466" s="25"/>
      <c r="Y466" s="25"/>
      <c r="Z466" s="25"/>
      <c r="AA466" s="25"/>
      <c r="AB466" s="25"/>
      <c r="AC466" s="25"/>
    </row>
    <row r="467" spans="1:29" x14ac:dyDescent="0.25">
      <c r="A467" s="25"/>
      <c r="B467" s="25"/>
      <c r="C467" s="68"/>
      <c r="D467" s="68"/>
      <c r="E467" s="68"/>
      <c r="F467" s="68"/>
      <c r="G467" s="68"/>
      <c r="H467" s="68"/>
      <c r="I467" s="68"/>
      <c r="J467" s="68"/>
      <c r="K467" s="25"/>
      <c r="L467" s="470"/>
      <c r="M467" s="25"/>
      <c r="N467" s="25"/>
      <c r="O467" s="488"/>
      <c r="P467" s="25"/>
      <c r="Q467" s="25"/>
      <c r="R467" s="25"/>
      <c r="S467" s="25"/>
      <c r="T467" s="25"/>
      <c r="U467" s="25"/>
      <c r="V467" s="25"/>
      <c r="W467" s="25"/>
      <c r="X467" s="25"/>
      <c r="Y467" s="25"/>
      <c r="Z467" s="25"/>
      <c r="AA467" s="25"/>
      <c r="AB467" s="25"/>
      <c r="AC467" s="25"/>
    </row>
    <row r="468" spans="1:29" x14ac:dyDescent="0.25">
      <c r="A468" s="25"/>
      <c r="B468" s="25"/>
      <c r="C468" s="68"/>
      <c r="D468" s="68"/>
      <c r="E468" s="68"/>
      <c r="F468" s="68"/>
      <c r="G468" s="68"/>
      <c r="H468" s="68"/>
      <c r="I468" s="68"/>
      <c r="J468" s="68"/>
      <c r="K468" s="25"/>
      <c r="L468" s="470"/>
      <c r="M468" s="25"/>
      <c r="N468" s="25"/>
      <c r="O468" s="488"/>
      <c r="P468" s="25"/>
      <c r="Q468" s="25"/>
      <c r="R468" s="25"/>
      <c r="S468" s="25"/>
      <c r="T468" s="25"/>
      <c r="U468" s="25"/>
      <c r="V468" s="25"/>
      <c r="W468" s="25"/>
      <c r="X468" s="25"/>
      <c r="Y468" s="25"/>
      <c r="Z468" s="25"/>
      <c r="AA468" s="25"/>
      <c r="AB468" s="25"/>
      <c r="AC468" s="25"/>
    </row>
    <row r="469" spans="1:29" x14ac:dyDescent="0.25">
      <c r="A469" s="25"/>
      <c r="B469" s="25"/>
      <c r="C469" s="68"/>
      <c r="D469" s="68"/>
      <c r="E469" s="68"/>
      <c r="F469" s="68"/>
      <c r="G469" s="68"/>
      <c r="H469" s="68"/>
      <c r="I469" s="68"/>
      <c r="J469" s="68"/>
      <c r="K469" s="25"/>
      <c r="L469" s="470"/>
      <c r="M469" s="25"/>
      <c r="N469" s="25"/>
      <c r="O469" s="488"/>
      <c r="P469" s="25"/>
      <c r="Q469" s="25"/>
      <c r="R469" s="25"/>
      <c r="S469" s="25"/>
      <c r="T469" s="25"/>
      <c r="U469" s="25"/>
      <c r="V469" s="25"/>
      <c r="W469" s="25"/>
      <c r="X469" s="25"/>
      <c r="Y469" s="25"/>
      <c r="Z469" s="25"/>
      <c r="AA469" s="25"/>
      <c r="AB469" s="25"/>
      <c r="AC469" s="25"/>
    </row>
    <row r="470" spans="1:29" x14ac:dyDescent="0.25">
      <c r="A470" s="25"/>
      <c r="B470" s="25"/>
      <c r="C470" s="68"/>
      <c r="D470" s="68"/>
      <c r="E470" s="68"/>
      <c r="F470" s="68"/>
      <c r="G470" s="68"/>
      <c r="H470" s="68"/>
      <c r="I470" s="68"/>
      <c r="J470" s="68"/>
      <c r="K470" s="25"/>
      <c r="L470" s="470"/>
      <c r="M470" s="25"/>
      <c r="N470" s="25"/>
      <c r="O470" s="488"/>
      <c r="P470" s="25"/>
      <c r="Q470" s="25"/>
      <c r="R470" s="25"/>
      <c r="S470" s="25"/>
      <c r="T470" s="25"/>
      <c r="U470" s="25"/>
      <c r="V470" s="25"/>
      <c r="W470" s="25"/>
      <c r="X470" s="25"/>
      <c r="Y470" s="25"/>
      <c r="Z470" s="25"/>
      <c r="AA470" s="25"/>
      <c r="AB470" s="25"/>
      <c r="AC470" s="25"/>
    </row>
    <row r="471" spans="1:29" x14ac:dyDescent="0.25">
      <c r="A471" s="25"/>
      <c r="B471" s="25"/>
      <c r="C471" s="68"/>
      <c r="D471" s="68"/>
      <c r="E471" s="68"/>
      <c r="F471" s="68"/>
      <c r="G471" s="68"/>
      <c r="H471" s="68"/>
      <c r="I471" s="68"/>
      <c r="J471" s="68"/>
      <c r="K471" s="25"/>
      <c r="L471" s="470"/>
      <c r="M471" s="25"/>
      <c r="N471" s="25"/>
      <c r="O471" s="488"/>
      <c r="P471" s="25"/>
      <c r="Q471" s="25"/>
      <c r="R471" s="25"/>
      <c r="S471" s="25"/>
      <c r="T471" s="25"/>
      <c r="U471" s="25"/>
      <c r="V471" s="25"/>
      <c r="W471" s="25"/>
      <c r="X471" s="25"/>
      <c r="Y471" s="25"/>
      <c r="Z471" s="25"/>
      <c r="AA471" s="25"/>
      <c r="AB471" s="25"/>
      <c r="AC471" s="25"/>
    </row>
    <row r="472" spans="1:29" x14ac:dyDescent="0.25">
      <c r="A472" s="25"/>
      <c r="B472" s="25"/>
      <c r="C472" s="68"/>
      <c r="D472" s="68"/>
      <c r="E472" s="68"/>
      <c r="F472" s="68"/>
      <c r="G472" s="68"/>
      <c r="H472" s="68"/>
      <c r="I472" s="68"/>
      <c r="J472" s="68"/>
      <c r="K472" s="25"/>
      <c r="L472" s="470"/>
      <c r="M472" s="25"/>
      <c r="N472" s="25"/>
      <c r="O472" s="488"/>
      <c r="P472" s="25"/>
      <c r="Q472" s="25"/>
      <c r="R472" s="25"/>
      <c r="S472" s="25"/>
      <c r="T472" s="25"/>
      <c r="U472" s="25"/>
      <c r="V472" s="25"/>
      <c r="W472" s="25"/>
      <c r="X472" s="25"/>
      <c r="Y472" s="25"/>
      <c r="Z472" s="25"/>
      <c r="AA472" s="25"/>
      <c r="AB472" s="25"/>
      <c r="AC472" s="25"/>
    </row>
    <row r="473" spans="1:29" x14ac:dyDescent="0.25">
      <c r="A473" s="25"/>
      <c r="B473" s="25"/>
      <c r="C473" s="68"/>
      <c r="D473" s="68"/>
      <c r="E473" s="68"/>
      <c r="F473" s="68"/>
      <c r="G473" s="68"/>
      <c r="H473" s="68"/>
      <c r="I473" s="68"/>
      <c r="J473" s="68"/>
      <c r="K473" s="25"/>
      <c r="L473" s="470"/>
      <c r="M473" s="25"/>
      <c r="N473" s="25"/>
      <c r="O473" s="488"/>
      <c r="P473" s="25"/>
      <c r="Q473" s="25"/>
      <c r="R473" s="25"/>
      <c r="S473" s="25"/>
      <c r="T473" s="25"/>
      <c r="U473" s="25"/>
      <c r="V473" s="25"/>
      <c r="W473" s="25"/>
      <c r="X473" s="25"/>
      <c r="Y473" s="25"/>
      <c r="Z473" s="25"/>
      <c r="AA473" s="25"/>
      <c r="AB473" s="25"/>
      <c r="AC473" s="25"/>
    </row>
    <row r="474" spans="1:29" x14ac:dyDescent="0.25">
      <c r="A474" s="25"/>
      <c r="B474" s="25"/>
      <c r="C474" s="68"/>
      <c r="D474" s="68"/>
      <c r="E474" s="68"/>
      <c r="F474" s="68"/>
      <c r="G474" s="68"/>
      <c r="H474" s="68"/>
      <c r="I474" s="68"/>
      <c r="J474" s="68"/>
      <c r="K474" s="25"/>
      <c r="L474" s="470"/>
      <c r="M474" s="25"/>
      <c r="N474" s="25"/>
      <c r="O474" s="488"/>
      <c r="P474" s="25"/>
      <c r="Q474" s="25"/>
      <c r="R474" s="25"/>
      <c r="S474" s="25"/>
      <c r="T474" s="25"/>
      <c r="U474" s="25"/>
      <c r="V474" s="25"/>
      <c r="W474" s="25"/>
      <c r="X474" s="25"/>
      <c r="Y474" s="25"/>
      <c r="Z474" s="25"/>
      <c r="AA474" s="25"/>
      <c r="AB474" s="25"/>
      <c r="AC474" s="25"/>
    </row>
    <row r="475" spans="1:29" x14ac:dyDescent="0.25">
      <c r="A475" s="25"/>
      <c r="B475" s="25"/>
      <c r="C475" s="68"/>
      <c r="D475" s="68"/>
      <c r="E475" s="68"/>
      <c r="F475" s="68"/>
      <c r="G475" s="68"/>
      <c r="H475" s="68"/>
      <c r="I475" s="68"/>
      <c r="J475" s="68"/>
      <c r="K475" s="25"/>
      <c r="L475" s="470"/>
      <c r="M475" s="25"/>
      <c r="N475" s="25"/>
      <c r="O475" s="488"/>
      <c r="P475" s="25"/>
      <c r="Q475" s="25"/>
      <c r="R475" s="25"/>
      <c r="S475" s="25"/>
      <c r="T475" s="25"/>
      <c r="U475" s="25"/>
      <c r="V475" s="25"/>
      <c r="W475" s="25"/>
      <c r="X475" s="25"/>
      <c r="Y475" s="25"/>
      <c r="Z475" s="25"/>
      <c r="AA475" s="25"/>
      <c r="AB475" s="25"/>
      <c r="AC475" s="25"/>
    </row>
    <row r="476" spans="1:29" x14ac:dyDescent="0.25">
      <c r="A476" s="25"/>
      <c r="B476" s="25"/>
      <c r="C476" s="68"/>
      <c r="D476" s="68"/>
      <c r="E476" s="68"/>
      <c r="F476" s="68"/>
      <c r="G476" s="68"/>
      <c r="H476" s="68"/>
      <c r="I476" s="68"/>
      <c r="J476" s="68"/>
      <c r="K476" s="25"/>
      <c r="L476" s="470"/>
      <c r="M476" s="25"/>
      <c r="N476" s="25"/>
      <c r="O476" s="488"/>
      <c r="P476" s="25"/>
      <c r="Q476" s="25"/>
      <c r="R476" s="25"/>
      <c r="S476" s="25"/>
      <c r="T476" s="25"/>
      <c r="U476" s="25"/>
      <c r="V476" s="25"/>
      <c r="W476" s="25"/>
      <c r="X476" s="25"/>
      <c r="Y476" s="25"/>
      <c r="Z476" s="25"/>
      <c r="AA476" s="25"/>
      <c r="AB476" s="25"/>
      <c r="AC476" s="25"/>
    </row>
    <row r="477" spans="1:29" x14ac:dyDescent="0.25">
      <c r="A477" s="25"/>
      <c r="B477" s="25"/>
      <c r="C477" s="68"/>
      <c r="D477" s="68"/>
      <c r="E477" s="68"/>
      <c r="F477" s="68"/>
      <c r="G477" s="68"/>
      <c r="H477" s="68"/>
      <c r="I477" s="68"/>
      <c r="J477" s="68"/>
      <c r="K477" s="25"/>
      <c r="L477" s="470"/>
      <c r="M477" s="25"/>
      <c r="N477" s="25"/>
      <c r="O477" s="488"/>
      <c r="P477" s="25"/>
      <c r="Q477" s="25"/>
      <c r="R477" s="25"/>
      <c r="S477" s="25"/>
      <c r="T477" s="25"/>
      <c r="U477" s="25"/>
      <c r="V477" s="25"/>
      <c r="W477" s="25"/>
      <c r="X477" s="25"/>
      <c r="Y477" s="25"/>
      <c r="Z477" s="25"/>
      <c r="AA477" s="25"/>
      <c r="AB477" s="25"/>
      <c r="AC477" s="25"/>
    </row>
    <row r="478" spans="1:29" x14ac:dyDescent="0.25">
      <c r="A478" s="25"/>
      <c r="B478" s="25"/>
      <c r="C478" s="68"/>
      <c r="D478" s="68"/>
      <c r="E478" s="68"/>
      <c r="F478" s="68"/>
      <c r="G478" s="68"/>
      <c r="H478" s="68"/>
      <c r="I478" s="68"/>
      <c r="J478" s="68"/>
      <c r="K478" s="25"/>
      <c r="L478" s="470"/>
      <c r="M478" s="25"/>
      <c r="N478" s="25"/>
      <c r="O478" s="488"/>
      <c r="P478" s="25"/>
      <c r="Q478" s="25"/>
      <c r="R478" s="25"/>
      <c r="S478" s="25"/>
      <c r="T478" s="25"/>
      <c r="U478" s="25"/>
      <c r="V478" s="25"/>
      <c r="W478" s="25"/>
      <c r="X478" s="25"/>
      <c r="Y478" s="25"/>
      <c r="Z478" s="25"/>
      <c r="AA478" s="25"/>
      <c r="AB478" s="25"/>
      <c r="AC478" s="25"/>
    </row>
    <row r="479" spans="1:29" x14ac:dyDescent="0.25">
      <c r="A479" s="25"/>
      <c r="B479" s="25"/>
      <c r="C479" s="68"/>
      <c r="D479" s="68"/>
      <c r="E479" s="68"/>
      <c r="F479" s="68"/>
      <c r="G479" s="68"/>
      <c r="H479" s="68"/>
      <c r="I479" s="68"/>
      <c r="J479" s="68"/>
      <c r="K479" s="25"/>
      <c r="L479" s="470"/>
      <c r="M479" s="25"/>
      <c r="N479" s="25"/>
      <c r="O479" s="488"/>
      <c r="P479" s="25"/>
      <c r="Q479" s="25"/>
      <c r="R479" s="25"/>
      <c r="S479" s="25"/>
      <c r="T479" s="25"/>
      <c r="U479" s="25"/>
      <c r="V479" s="25"/>
      <c r="W479" s="25"/>
      <c r="X479" s="25"/>
      <c r="Y479" s="25"/>
      <c r="Z479" s="25"/>
      <c r="AA479" s="25"/>
      <c r="AB479" s="25"/>
      <c r="AC479" s="25"/>
    </row>
    <row r="480" spans="1:29" x14ac:dyDescent="0.25">
      <c r="A480" s="25"/>
      <c r="B480" s="25"/>
      <c r="C480" s="68"/>
      <c r="D480" s="68"/>
      <c r="E480" s="68"/>
      <c r="F480" s="68"/>
      <c r="G480" s="68"/>
      <c r="H480" s="68"/>
      <c r="I480" s="68"/>
      <c r="J480" s="68"/>
      <c r="K480" s="25"/>
      <c r="L480" s="470"/>
      <c r="M480" s="25"/>
      <c r="N480" s="25"/>
      <c r="O480" s="488"/>
      <c r="P480" s="25"/>
      <c r="Q480" s="25"/>
      <c r="R480" s="25"/>
      <c r="S480" s="25"/>
      <c r="T480" s="25"/>
      <c r="U480" s="25"/>
      <c r="V480" s="25"/>
      <c r="W480" s="25"/>
      <c r="X480" s="25"/>
      <c r="Y480" s="25"/>
      <c r="Z480" s="25"/>
      <c r="AA480" s="25"/>
      <c r="AB480" s="25"/>
      <c r="AC480" s="25"/>
    </row>
    <row r="481" spans="1:29" x14ac:dyDescent="0.25">
      <c r="A481" s="25"/>
      <c r="B481" s="25"/>
      <c r="C481" s="68"/>
      <c r="D481" s="68"/>
      <c r="E481" s="68"/>
      <c r="F481" s="68"/>
      <c r="G481" s="68"/>
      <c r="H481" s="68"/>
      <c r="I481" s="68"/>
      <c r="J481" s="68"/>
      <c r="K481" s="25"/>
      <c r="L481" s="470"/>
      <c r="M481" s="25"/>
      <c r="N481" s="25"/>
      <c r="O481" s="488"/>
      <c r="P481" s="25"/>
      <c r="Q481" s="25"/>
      <c r="R481" s="25"/>
      <c r="S481" s="25"/>
      <c r="T481" s="25"/>
      <c r="U481" s="25"/>
      <c r="V481" s="25"/>
      <c r="W481" s="25"/>
      <c r="X481" s="25"/>
      <c r="Y481" s="25"/>
      <c r="Z481" s="25"/>
      <c r="AA481" s="25"/>
      <c r="AB481" s="25"/>
      <c r="AC481" s="25"/>
    </row>
    <row r="482" spans="1:29" x14ac:dyDescent="0.25">
      <c r="A482" s="25"/>
      <c r="B482" s="25"/>
      <c r="C482" s="68"/>
      <c r="D482" s="68"/>
      <c r="E482" s="68"/>
      <c r="F482" s="68"/>
      <c r="G482" s="68"/>
      <c r="H482" s="68"/>
      <c r="I482" s="68"/>
      <c r="J482" s="68"/>
      <c r="K482" s="25"/>
      <c r="L482" s="470"/>
      <c r="M482" s="25"/>
      <c r="N482" s="25"/>
      <c r="O482" s="488"/>
      <c r="P482" s="25"/>
      <c r="Q482" s="25"/>
      <c r="R482" s="25"/>
      <c r="S482" s="25"/>
      <c r="T482" s="25"/>
      <c r="U482" s="25"/>
      <c r="V482" s="25"/>
      <c r="W482" s="25"/>
      <c r="X482" s="25"/>
      <c r="Y482" s="25"/>
      <c r="Z482" s="25"/>
      <c r="AA482" s="25"/>
      <c r="AB482" s="25"/>
      <c r="AC482" s="25"/>
    </row>
    <row r="483" spans="1:29" x14ac:dyDescent="0.25">
      <c r="A483" s="25"/>
      <c r="B483" s="25"/>
      <c r="C483" s="68"/>
      <c r="D483" s="68"/>
      <c r="E483" s="68"/>
      <c r="F483" s="68"/>
      <c r="G483" s="68"/>
      <c r="H483" s="68"/>
      <c r="I483" s="68"/>
      <c r="J483" s="68"/>
      <c r="K483" s="25"/>
      <c r="L483" s="470"/>
      <c r="M483" s="25"/>
      <c r="N483" s="25"/>
      <c r="O483" s="488"/>
      <c r="P483" s="25"/>
      <c r="Q483" s="25"/>
      <c r="R483" s="25"/>
      <c r="S483" s="25"/>
      <c r="T483" s="25"/>
      <c r="U483" s="25"/>
      <c r="V483" s="25"/>
      <c r="W483" s="25"/>
      <c r="X483" s="25"/>
      <c r="Y483" s="25"/>
      <c r="Z483" s="25"/>
      <c r="AA483" s="25"/>
      <c r="AB483" s="25"/>
      <c r="AC483" s="25"/>
    </row>
    <row r="484" spans="1:29" x14ac:dyDescent="0.25">
      <c r="A484" s="25"/>
      <c r="B484" s="25"/>
      <c r="C484" s="68"/>
      <c r="D484" s="68"/>
      <c r="E484" s="68"/>
      <c r="F484" s="68"/>
      <c r="G484" s="68"/>
      <c r="H484" s="68"/>
      <c r="I484" s="68"/>
      <c r="J484" s="68"/>
      <c r="K484" s="25"/>
      <c r="L484" s="470"/>
      <c r="M484" s="25"/>
      <c r="N484" s="25"/>
      <c r="O484" s="488"/>
      <c r="P484" s="25"/>
      <c r="Q484" s="25"/>
      <c r="R484" s="25"/>
      <c r="S484" s="25"/>
      <c r="T484" s="25"/>
      <c r="U484" s="25"/>
      <c r="V484" s="25"/>
      <c r="W484" s="25"/>
      <c r="X484" s="25"/>
      <c r="Y484" s="25"/>
      <c r="Z484" s="25"/>
      <c r="AA484" s="25"/>
      <c r="AB484" s="25"/>
      <c r="AC484" s="25"/>
    </row>
    <row r="485" spans="1:29" x14ac:dyDescent="0.25">
      <c r="A485" s="25"/>
      <c r="B485" s="25"/>
      <c r="C485" s="68"/>
      <c r="D485" s="68"/>
      <c r="E485" s="68"/>
      <c r="F485" s="68"/>
      <c r="G485" s="68"/>
      <c r="H485" s="68"/>
      <c r="I485" s="68"/>
      <c r="J485" s="68"/>
      <c r="K485" s="25"/>
      <c r="L485" s="470"/>
      <c r="M485" s="25"/>
      <c r="N485" s="25"/>
      <c r="O485" s="488"/>
      <c r="P485" s="25"/>
      <c r="Q485" s="25"/>
      <c r="R485" s="25"/>
      <c r="S485" s="25"/>
      <c r="T485" s="25"/>
      <c r="U485" s="25"/>
      <c r="V485" s="25"/>
      <c r="W485" s="25"/>
      <c r="X485" s="25"/>
      <c r="Y485" s="25"/>
      <c r="Z485" s="25"/>
      <c r="AA485" s="25"/>
      <c r="AB485" s="25"/>
      <c r="AC485" s="25"/>
    </row>
    <row r="486" spans="1:29" x14ac:dyDescent="0.25">
      <c r="A486" s="25"/>
      <c r="B486" s="25"/>
      <c r="C486" s="68"/>
      <c r="D486" s="68"/>
      <c r="E486" s="68"/>
      <c r="F486" s="68"/>
      <c r="G486" s="68"/>
      <c r="H486" s="68"/>
      <c r="I486" s="68"/>
      <c r="J486" s="68"/>
      <c r="K486" s="25"/>
      <c r="L486" s="470"/>
      <c r="M486" s="25"/>
      <c r="N486" s="25"/>
      <c r="O486" s="488"/>
      <c r="P486" s="25"/>
      <c r="Q486" s="25"/>
      <c r="R486" s="25"/>
      <c r="S486" s="25"/>
      <c r="T486" s="25"/>
      <c r="U486" s="25"/>
      <c r="V486" s="25"/>
      <c r="W486" s="25"/>
      <c r="X486" s="25"/>
      <c r="Y486" s="25"/>
      <c r="Z486" s="25"/>
      <c r="AA486" s="25"/>
      <c r="AB486" s="25"/>
      <c r="AC486" s="25"/>
    </row>
    <row r="487" spans="1:29" x14ac:dyDescent="0.25">
      <c r="A487" s="25"/>
      <c r="B487" s="25"/>
      <c r="C487" s="68"/>
      <c r="D487" s="68"/>
      <c r="E487" s="68"/>
      <c r="F487" s="68"/>
      <c r="G487" s="68"/>
      <c r="H487" s="68"/>
      <c r="I487" s="68"/>
      <c r="J487" s="68"/>
      <c r="K487" s="25"/>
      <c r="L487" s="470"/>
      <c r="M487" s="25"/>
      <c r="N487" s="25"/>
      <c r="O487" s="488"/>
      <c r="P487" s="25"/>
      <c r="Q487" s="25"/>
      <c r="R487" s="25"/>
      <c r="S487" s="25"/>
      <c r="T487" s="25"/>
      <c r="U487" s="25"/>
      <c r="V487" s="25"/>
      <c r="W487" s="25"/>
      <c r="X487" s="25"/>
      <c r="Y487" s="25"/>
      <c r="Z487" s="25"/>
      <c r="AA487" s="25"/>
      <c r="AB487" s="25"/>
      <c r="AC487" s="25"/>
    </row>
    <row r="488" spans="1:29" x14ac:dyDescent="0.25">
      <c r="A488" s="25"/>
      <c r="B488" s="25"/>
      <c r="C488" s="68"/>
      <c r="D488" s="68"/>
      <c r="E488" s="68"/>
      <c r="F488" s="68"/>
      <c r="G488" s="68"/>
      <c r="H488" s="68"/>
      <c r="I488" s="68"/>
      <c r="J488" s="68"/>
      <c r="K488" s="25"/>
      <c r="L488" s="470"/>
      <c r="M488" s="25"/>
      <c r="N488" s="25"/>
      <c r="O488" s="488"/>
      <c r="P488" s="25"/>
      <c r="Q488" s="25"/>
      <c r="R488" s="25"/>
      <c r="S488" s="25"/>
      <c r="T488" s="25"/>
      <c r="U488" s="25"/>
      <c r="V488" s="25"/>
      <c r="W488" s="25"/>
      <c r="X488" s="25"/>
      <c r="Y488" s="25"/>
      <c r="Z488" s="25"/>
      <c r="AA488" s="25"/>
      <c r="AB488" s="25"/>
      <c r="AC488" s="25"/>
    </row>
    <row r="489" spans="1:29" x14ac:dyDescent="0.25">
      <c r="A489" s="25"/>
      <c r="B489" s="25"/>
      <c r="C489" s="68"/>
      <c r="D489" s="68"/>
      <c r="E489" s="68"/>
      <c r="F489" s="68"/>
      <c r="G489" s="68"/>
      <c r="H489" s="68"/>
      <c r="I489" s="68"/>
      <c r="J489" s="68"/>
      <c r="K489" s="25"/>
      <c r="L489" s="470"/>
      <c r="M489" s="25"/>
      <c r="N489" s="25"/>
      <c r="O489" s="488"/>
      <c r="P489" s="25"/>
      <c r="Q489" s="25"/>
      <c r="R489" s="25"/>
      <c r="S489" s="25"/>
      <c r="T489" s="25"/>
      <c r="U489" s="25"/>
      <c r="V489" s="25"/>
      <c r="W489" s="25"/>
      <c r="X489" s="25"/>
      <c r="Y489" s="25"/>
      <c r="Z489" s="25"/>
      <c r="AA489" s="25"/>
      <c r="AB489" s="25"/>
      <c r="AC489" s="25"/>
    </row>
    <row r="490" spans="1:29" x14ac:dyDescent="0.25">
      <c r="A490" s="25"/>
      <c r="B490" s="25"/>
      <c r="C490" s="68"/>
      <c r="D490" s="68"/>
      <c r="E490" s="68"/>
      <c r="F490" s="68"/>
      <c r="G490" s="68"/>
      <c r="H490" s="68"/>
      <c r="I490" s="68"/>
      <c r="J490" s="68"/>
      <c r="K490" s="25"/>
      <c r="L490" s="470"/>
      <c r="M490" s="25"/>
      <c r="N490" s="25"/>
      <c r="O490" s="488"/>
      <c r="P490" s="25"/>
      <c r="Q490" s="25"/>
      <c r="R490" s="25"/>
      <c r="S490" s="25"/>
      <c r="T490" s="25"/>
      <c r="U490" s="25"/>
      <c r="V490" s="25"/>
      <c r="W490" s="25"/>
      <c r="X490" s="25"/>
      <c r="Y490" s="25"/>
      <c r="Z490" s="25"/>
      <c r="AA490" s="25"/>
      <c r="AB490" s="25"/>
      <c r="AC490" s="25"/>
    </row>
    <row r="491" spans="1:29" x14ac:dyDescent="0.25">
      <c r="A491" s="25"/>
      <c r="B491" s="25"/>
      <c r="C491" s="68"/>
      <c r="D491" s="68"/>
      <c r="E491" s="68"/>
      <c r="F491" s="68"/>
      <c r="G491" s="68"/>
      <c r="H491" s="68"/>
      <c r="I491" s="68"/>
      <c r="J491" s="68"/>
      <c r="K491" s="25"/>
      <c r="L491" s="470"/>
      <c r="M491" s="25"/>
      <c r="N491" s="25"/>
      <c r="O491" s="488"/>
      <c r="P491" s="25"/>
      <c r="Q491" s="25"/>
      <c r="R491" s="25"/>
      <c r="S491" s="25"/>
      <c r="T491" s="25"/>
      <c r="U491" s="25"/>
      <c r="V491" s="25"/>
      <c r="W491" s="25"/>
      <c r="X491" s="25"/>
      <c r="Y491" s="25"/>
      <c r="Z491" s="25"/>
      <c r="AA491" s="25"/>
      <c r="AB491" s="25"/>
      <c r="AC491" s="25"/>
    </row>
    <row r="492" spans="1:29" x14ac:dyDescent="0.25">
      <c r="A492" s="25"/>
      <c r="B492" s="25"/>
      <c r="C492" s="68"/>
      <c r="D492" s="68"/>
      <c r="E492" s="68"/>
      <c r="F492" s="68"/>
      <c r="G492" s="68"/>
      <c r="H492" s="68"/>
      <c r="I492" s="68"/>
      <c r="J492" s="68"/>
      <c r="K492" s="25"/>
      <c r="L492" s="470"/>
      <c r="M492" s="25"/>
      <c r="N492" s="25"/>
      <c r="O492" s="488"/>
      <c r="P492" s="25"/>
      <c r="Q492" s="25"/>
      <c r="R492" s="25"/>
      <c r="S492" s="25"/>
      <c r="T492" s="25"/>
      <c r="U492" s="25"/>
      <c r="V492" s="25"/>
      <c r="W492" s="25"/>
      <c r="X492" s="25"/>
      <c r="Y492" s="25"/>
      <c r="Z492" s="25"/>
      <c r="AA492" s="25"/>
      <c r="AB492" s="25"/>
      <c r="AC492" s="25"/>
    </row>
    <row r="493" spans="1:29" x14ac:dyDescent="0.25">
      <c r="A493" s="25"/>
      <c r="B493" s="25"/>
      <c r="C493" s="68"/>
      <c r="D493" s="68"/>
      <c r="E493" s="68"/>
      <c r="F493" s="68"/>
      <c r="G493" s="68"/>
      <c r="H493" s="68"/>
      <c r="I493" s="68"/>
      <c r="J493" s="68"/>
      <c r="K493" s="25"/>
      <c r="L493" s="470"/>
      <c r="M493" s="25"/>
      <c r="N493" s="25"/>
      <c r="O493" s="488"/>
      <c r="P493" s="25"/>
      <c r="Q493" s="25"/>
      <c r="R493" s="25"/>
      <c r="S493" s="25"/>
      <c r="T493" s="25"/>
      <c r="U493" s="25"/>
      <c r="V493" s="25"/>
      <c r="W493" s="25"/>
      <c r="X493" s="25"/>
      <c r="Y493" s="25"/>
      <c r="Z493" s="25"/>
      <c r="AA493" s="25"/>
      <c r="AB493" s="25"/>
      <c r="AC493" s="25"/>
    </row>
    <row r="494" spans="1:29" x14ac:dyDescent="0.25">
      <c r="A494" s="25"/>
      <c r="B494" s="25"/>
      <c r="C494" s="68"/>
      <c r="D494" s="68"/>
      <c r="E494" s="68"/>
      <c r="F494" s="68"/>
      <c r="G494" s="68"/>
      <c r="H494" s="68"/>
      <c r="I494" s="68"/>
      <c r="J494" s="68"/>
      <c r="K494" s="25"/>
      <c r="L494" s="470"/>
      <c r="M494" s="25"/>
      <c r="N494" s="25"/>
      <c r="O494" s="488"/>
      <c r="P494" s="25"/>
      <c r="Q494" s="25"/>
      <c r="R494" s="25"/>
      <c r="S494" s="25"/>
      <c r="T494" s="25"/>
      <c r="U494" s="25"/>
      <c r="V494" s="25"/>
      <c r="W494" s="25"/>
      <c r="X494" s="25"/>
      <c r="Y494" s="25"/>
      <c r="Z494" s="25"/>
      <c r="AA494" s="25"/>
      <c r="AB494" s="25"/>
      <c r="AC494" s="25"/>
    </row>
    <row r="495" spans="1:29" x14ac:dyDescent="0.25">
      <c r="A495" s="25"/>
      <c r="B495" s="25"/>
      <c r="C495" s="68"/>
      <c r="D495" s="68"/>
      <c r="E495" s="68"/>
      <c r="F495" s="68"/>
      <c r="G495" s="68"/>
      <c r="H495" s="68"/>
      <c r="I495" s="68"/>
      <c r="J495" s="68"/>
      <c r="K495" s="25"/>
      <c r="L495" s="470"/>
      <c r="M495" s="25"/>
      <c r="N495" s="25"/>
      <c r="O495" s="488"/>
      <c r="P495" s="25"/>
      <c r="Q495" s="25"/>
      <c r="R495" s="25"/>
      <c r="S495" s="25"/>
      <c r="T495" s="25"/>
      <c r="U495" s="25"/>
      <c r="V495" s="25"/>
      <c r="W495" s="25"/>
      <c r="X495" s="25"/>
      <c r="Y495" s="25"/>
      <c r="Z495" s="25"/>
      <c r="AA495" s="25"/>
      <c r="AB495" s="25"/>
      <c r="AC495" s="25"/>
    </row>
    <row r="496" spans="1:29" x14ac:dyDescent="0.25">
      <c r="A496" s="25"/>
      <c r="B496" s="25"/>
      <c r="C496" s="68"/>
      <c r="D496" s="68"/>
      <c r="E496" s="68"/>
      <c r="F496" s="68"/>
      <c r="G496" s="68"/>
      <c r="H496" s="68"/>
      <c r="I496" s="68"/>
      <c r="J496" s="68"/>
      <c r="K496" s="25"/>
      <c r="L496" s="470"/>
      <c r="M496" s="25"/>
      <c r="N496" s="25"/>
      <c r="O496" s="488"/>
      <c r="P496" s="25"/>
      <c r="Q496" s="25"/>
      <c r="R496" s="25"/>
      <c r="S496" s="25"/>
      <c r="T496" s="25"/>
      <c r="U496" s="25"/>
      <c r="V496" s="25"/>
      <c r="W496" s="25"/>
      <c r="X496" s="25"/>
      <c r="Y496" s="25"/>
      <c r="Z496" s="25"/>
      <c r="AA496" s="25"/>
      <c r="AB496" s="25"/>
      <c r="AC496" s="25"/>
    </row>
    <row r="497" spans="1:29" x14ac:dyDescent="0.25">
      <c r="A497" s="25"/>
      <c r="B497" s="25"/>
      <c r="C497" s="68"/>
      <c r="D497" s="68"/>
      <c r="E497" s="68"/>
      <c r="F497" s="68"/>
      <c r="G497" s="68"/>
      <c r="H497" s="68"/>
      <c r="I497" s="68"/>
      <c r="J497" s="68"/>
      <c r="K497" s="25"/>
      <c r="L497" s="470"/>
      <c r="M497" s="25"/>
      <c r="N497" s="25"/>
      <c r="O497" s="488"/>
      <c r="P497" s="25"/>
      <c r="Q497" s="25"/>
      <c r="R497" s="25"/>
      <c r="S497" s="25"/>
      <c r="T497" s="25"/>
      <c r="U497" s="25"/>
      <c r="V497" s="25"/>
      <c r="W497" s="25"/>
      <c r="X497" s="25"/>
      <c r="Y497" s="25"/>
      <c r="Z497" s="25"/>
      <c r="AA497" s="25"/>
      <c r="AB497" s="25"/>
      <c r="AC497" s="25"/>
    </row>
    <row r="498" spans="1:29" x14ac:dyDescent="0.25">
      <c r="A498" s="25"/>
      <c r="B498" s="25"/>
      <c r="C498" s="68"/>
      <c r="D498" s="68"/>
      <c r="E498" s="68"/>
      <c r="F498" s="68"/>
      <c r="G498" s="68"/>
      <c r="H498" s="68"/>
      <c r="I498" s="68"/>
      <c r="J498" s="68"/>
      <c r="K498" s="25"/>
      <c r="L498" s="470"/>
      <c r="M498" s="25"/>
      <c r="N498" s="25"/>
      <c r="O498" s="488"/>
      <c r="P498" s="25"/>
      <c r="Q498" s="25"/>
      <c r="R498" s="25"/>
      <c r="S498" s="25"/>
      <c r="T498" s="25"/>
      <c r="U498" s="25"/>
      <c r="V498" s="25"/>
      <c r="W498" s="25"/>
      <c r="X498" s="25"/>
      <c r="Y498" s="25"/>
      <c r="Z498" s="25"/>
      <c r="AA498" s="25"/>
      <c r="AB498" s="25"/>
      <c r="AC498" s="25"/>
    </row>
    <row r="499" spans="1:29" x14ac:dyDescent="0.25">
      <c r="A499" s="25"/>
      <c r="B499" s="25"/>
      <c r="C499" s="68"/>
      <c r="D499" s="68"/>
      <c r="E499" s="68"/>
      <c r="F499" s="68"/>
      <c r="G499" s="68"/>
      <c r="H499" s="68"/>
      <c r="I499" s="68"/>
      <c r="J499" s="68"/>
      <c r="K499" s="25"/>
      <c r="L499" s="470"/>
      <c r="M499" s="25"/>
      <c r="N499" s="25"/>
      <c r="O499" s="488"/>
      <c r="P499" s="25"/>
      <c r="Q499" s="25"/>
      <c r="R499" s="25"/>
      <c r="S499" s="25"/>
      <c r="T499" s="25"/>
      <c r="U499" s="25"/>
      <c r="V499" s="25"/>
      <c r="W499" s="25"/>
      <c r="X499" s="25"/>
      <c r="Y499" s="25"/>
      <c r="Z499" s="25"/>
      <c r="AA499" s="25"/>
      <c r="AB499" s="25"/>
      <c r="AC499" s="25"/>
    </row>
    <row r="500" spans="1:29" x14ac:dyDescent="0.25">
      <c r="A500" s="25"/>
      <c r="B500" s="25"/>
      <c r="C500" s="68"/>
      <c r="D500" s="68"/>
      <c r="E500" s="68"/>
      <c r="F500" s="68"/>
      <c r="G500" s="68"/>
      <c r="H500" s="68"/>
      <c r="I500" s="68"/>
      <c r="J500" s="68"/>
      <c r="K500" s="25"/>
      <c r="L500" s="470"/>
      <c r="M500" s="25"/>
      <c r="N500" s="25"/>
      <c r="O500" s="488"/>
      <c r="P500" s="25"/>
      <c r="Q500" s="25"/>
      <c r="R500" s="25"/>
      <c r="S500" s="25"/>
      <c r="T500" s="25"/>
      <c r="U500" s="25"/>
      <c r="V500" s="25"/>
      <c r="W500" s="25"/>
      <c r="X500" s="25"/>
      <c r="Y500" s="25"/>
      <c r="Z500" s="25"/>
      <c r="AA500" s="25"/>
      <c r="AB500" s="25"/>
      <c r="AC500" s="25"/>
    </row>
    <row r="501" spans="1:29" x14ac:dyDescent="0.25">
      <c r="A501" s="25"/>
      <c r="B501" s="25"/>
      <c r="C501" s="68"/>
      <c r="D501" s="68"/>
      <c r="E501" s="68"/>
      <c r="F501" s="68"/>
      <c r="G501" s="68"/>
      <c r="H501" s="68"/>
      <c r="I501" s="68"/>
      <c r="J501" s="68"/>
      <c r="K501" s="25"/>
      <c r="L501" s="470"/>
      <c r="M501" s="25"/>
      <c r="N501" s="25"/>
      <c r="O501" s="488"/>
      <c r="P501" s="25"/>
      <c r="Q501" s="25"/>
      <c r="R501" s="25"/>
      <c r="S501" s="25"/>
      <c r="T501" s="25"/>
      <c r="U501" s="25"/>
      <c r="V501" s="25"/>
      <c r="W501" s="25"/>
      <c r="X501" s="25"/>
      <c r="Y501" s="25"/>
      <c r="Z501" s="25"/>
      <c r="AA501" s="25"/>
      <c r="AB501" s="25"/>
      <c r="AC501" s="25"/>
    </row>
    <row r="502" spans="1:29" x14ac:dyDescent="0.25">
      <c r="A502" s="25"/>
      <c r="B502" s="25"/>
      <c r="C502" s="68"/>
      <c r="D502" s="68"/>
      <c r="E502" s="68"/>
      <c r="F502" s="68"/>
      <c r="G502" s="68"/>
      <c r="H502" s="68"/>
      <c r="I502" s="68"/>
      <c r="J502" s="68"/>
      <c r="K502" s="25"/>
      <c r="L502" s="470"/>
      <c r="M502" s="25"/>
      <c r="N502" s="25"/>
      <c r="O502" s="488"/>
      <c r="P502" s="25"/>
      <c r="Q502" s="25"/>
      <c r="R502" s="25"/>
      <c r="S502" s="25"/>
      <c r="T502" s="25"/>
      <c r="U502" s="25"/>
      <c r="V502" s="25"/>
      <c r="W502" s="25"/>
      <c r="X502" s="25"/>
      <c r="Y502" s="25"/>
      <c r="Z502" s="25"/>
      <c r="AA502" s="25"/>
      <c r="AB502" s="25"/>
      <c r="AC502" s="25"/>
    </row>
    <row r="503" spans="1:29" x14ac:dyDescent="0.25">
      <c r="A503" s="25"/>
      <c r="B503" s="25"/>
      <c r="C503" s="68"/>
      <c r="D503" s="68"/>
      <c r="E503" s="68"/>
      <c r="F503" s="68"/>
      <c r="G503" s="68"/>
      <c r="H503" s="68"/>
      <c r="I503" s="68"/>
      <c r="J503" s="68"/>
      <c r="K503" s="25"/>
      <c r="L503" s="470"/>
      <c r="M503" s="25"/>
      <c r="N503" s="25"/>
      <c r="O503" s="488"/>
      <c r="P503" s="25"/>
      <c r="Q503" s="25"/>
      <c r="R503" s="25"/>
      <c r="S503" s="25"/>
      <c r="T503" s="25"/>
      <c r="U503" s="25"/>
      <c r="V503" s="25"/>
      <c r="W503" s="25"/>
      <c r="X503" s="25"/>
      <c r="Y503" s="25"/>
      <c r="Z503" s="25"/>
      <c r="AA503" s="25"/>
      <c r="AB503" s="25"/>
      <c r="AC503" s="25"/>
    </row>
    <row r="504" spans="1:29" x14ac:dyDescent="0.25">
      <c r="A504" s="25"/>
      <c r="B504" s="25"/>
      <c r="C504" s="68"/>
      <c r="D504" s="68"/>
      <c r="E504" s="68"/>
      <c r="F504" s="68"/>
      <c r="G504" s="68"/>
      <c r="H504" s="68"/>
      <c r="I504" s="68"/>
      <c r="J504" s="68"/>
      <c r="K504" s="25"/>
      <c r="L504" s="470"/>
      <c r="M504" s="25"/>
      <c r="N504" s="25"/>
      <c r="O504" s="488"/>
      <c r="P504" s="25"/>
      <c r="Q504" s="25"/>
      <c r="R504" s="25"/>
      <c r="S504" s="25"/>
      <c r="T504" s="25"/>
      <c r="U504" s="25"/>
      <c r="V504" s="25"/>
      <c r="W504" s="25"/>
      <c r="X504" s="25"/>
      <c r="Y504" s="25"/>
      <c r="Z504" s="25"/>
      <c r="AA504" s="25"/>
      <c r="AB504" s="25"/>
      <c r="AC504" s="25"/>
    </row>
    <row r="505" spans="1:29" x14ac:dyDescent="0.25">
      <c r="A505" s="25"/>
      <c r="B505" s="25"/>
      <c r="C505" s="68"/>
      <c r="D505" s="68"/>
      <c r="E505" s="68"/>
      <c r="F505" s="68"/>
      <c r="G505" s="68"/>
      <c r="H505" s="68"/>
      <c r="I505" s="68"/>
      <c r="J505" s="68"/>
      <c r="K505" s="25"/>
      <c r="L505" s="470"/>
      <c r="M505" s="25"/>
      <c r="N505" s="25"/>
      <c r="O505" s="488"/>
      <c r="P505" s="25"/>
      <c r="Q505" s="25"/>
      <c r="R505" s="25"/>
      <c r="S505" s="25"/>
      <c r="T505" s="25"/>
      <c r="U505" s="25"/>
      <c r="V505" s="25"/>
      <c r="W505" s="25"/>
      <c r="X505" s="25"/>
      <c r="Y505" s="25"/>
      <c r="Z505" s="25"/>
      <c r="AA505" s="25"/>
      <c r="AB505" s="25"/>
      <c r="AC505" s="25"/>
    </row>
    <row r="506" spans="1:29" x14ac:dyDescent="0.25">
      <c r="A506" s="25"/>
      <c r="B506" s="25"/>
      <c r="C506" s="68"/>
      <c r="D506" s="68"/>
      <c r="E506" s="68"/>
      <c r="F506" s="68"/>
      <c r="G506" s="68"/>
      <c r="H506" s="68"/>
      <c r="I506" s="68"/>
      <c r="J506" s="68"/>
      <c r="K506" s="25"/>
      <c r="L506" s="470"/>
      <c r="M506" s="25"/>
      <c r="N506" s="25"/>
      <c r="O506" s="488"/>
      <c r="P506" s="25"/>
      <c r="Q506" s="25"/>
      <c r="R506" s="25"/>
      <c r="S506" s="25"/>
      <c r="T506" s="25"/>
      <c r="U506" s="25"/>
      <c r="V506" s="25"/>
      <c r="W506" s="25"/>
      <c r="X506" s="25"/>
      <c r="Y506" s="25"/>
      <c r="Z506" s="25"/>
      <c r="AA506" s="25"/>
      <c r="AB506" s="25"/>
      <c r="AC506" s="25"/>
    </row>
    <row r="507" spans="1:29" x14ac:dyDescent="0.25">
      <c r="A507" s="25"/>
      <c r="B507" s="25"/>
      <c r="C507" s="68"/>
      <c r="D507" s="68"/>
      <c r="E507" s="68"/>
      <c r="F507" s="68"/>
      <c r="G507" s="68"/>
      <c r="H507" s="68"/>
      <c r="I507" s="68"/>
      <c r="J507" s="68"/>
      <c r="K507" s="25"/>
      <c r="L507" s="470"/>
      <c r="M507" s="25"/>
      <c r="N507" s="25"/>
      <c r="O507" s="488"/>
      <c r="P507" s="25"/>
      <c r="Q507" s="25"/>
      <c r="R507" s="25"/>
      <c r="S507" s="25"/>
      <c r="T507" s="25"/>
      <c r="U507" s="25"/>
      <c r="V507" s="25"/>
      <c r="W507" s="25"/>
      <c r="X507" s="25"/>
      <c r="Y507" s="25"/>
      <c r="Z507" s="25"/>
      <c r="AA507" s="25"/>
      <c r="AB507" s="25"/>
      <c r="AC507" s="25"/>
    </row>
    <row r="508" spans="1:29" x14ac:dyDescent="0.25">
      <c r="A508" s="25"/>
      <c r="B508" s="25"/>
      <c r="C508" s="68"/>
      <c r="D508" s="68"/>
      <c r="E508" s="68"/>
      <c r="F508" s="68"/>
      <c r="G508" s="68"/>
      <c r="H508" s="68"/>
      <c r="I508" s="68"/>
      <c r="J508" s="68"/>
      <c r="K508" s="25"/>
      <c r="L508" s="470"/>
      <c r="M508" s="25"/>
      <c r="N508" s="25"/>
      <c r="O508" s="488"/>
      <c r="P508" s="25"/>
      <c r="Q508" s="25"/>
      <c r="R508" s="25"/>
      <c r="S508" s="25"/>
      <c r="T508" s="25"/>
      <c r="U508" s="25"/>
      <c r="V508" s="25"/>
      <c r="W508" s="25"/>
      <c r="X508" s="25"/>
      <c r="Y508" s="25"/>
      <c r="Z508" s="25"/>
      <c r="AA508" s="25"/>
      <c r="AB508" s="25"/>
      <c r="AC508" s="25"/>
    </row>
    <row r="509" spans="1:29" x14ac:dyDescent="0.25">
      <c r="A509" s="25"/>
      <c r="B509" s="25"/>
      <c r="C509" s="68"/>
      <c r="D509" s="68"/>
      <c r="E509" s="68"/>
      <c r="F509" s="68"/>
      <c r="G509" s="68"/>
      <c r="H509" s="68"/>
      <c r="I509" s="68"/>
      <c r="J509" s="68"/>
      <c r="K509" s="25"/>
      <c r="L509" s="470"/>
      <c r="M509" s="25"/>
      <c r="N509" s="25"/>
      <c r="O509" s="488"/>
      <c r="P509" s="25"/>
      <c r="Q509" s="25"/>
      <c r="R509" s="25"/>
      <c r="S509" s="25"/>
      <c r="T509" s="25"/>
      <c r="U509" s="25"/>
      <c r="V509" s="25"/>
      <c r="W509" s="25"/>
      <c r="X509" s="25"/>
      <c r="Y509" s="25"/>
      <c r="Z509" s="25"/>
      <c r="AA509" s="25"/>
      <c r="AB509" s="25"/>
      <c r="AC509" s="25"/>
    </row>
    <row r="510" spans="1:29" x14ac:dyDescent="0.25">
      <c r="A510" s="25"/>
      <c r="B510" s="25"/>
      <c r="C510" s="68"/>
      <c r="D510" s="68"/>
      <c r="E510" s="68"/>
      <c r="F510" s="68"/>
      <c r="G510" s="68"/>
      <c r="H510" s="68"/>
      <c r="I510" s="68"/>
      <c r="J510" s="68"/>
      <c r="K510" s="25"/>
      <c r="L510" s="470"/>
      <c r="M510" s="25"/>
      <c r="N510" s="25"/>
      <c r="O510" s="488"/>
      <c r="P510" s="25"/>
      <c r="Q510" s="25"/>
      <c r="R510" s="25"/>
      <c r="S510" s="25"/>
      <c r="T510" s="25"/>
      <c r="U510" s="25"/>
      <c r="V510" s="25"/>
      <c r="W510" s="25"/>
      <c r="X510" s="25"/>
      <c r="Y510" s="25"/>
      <c r="Z510" s="25"/>
      <c r="AA510" s="25"/>
      <c r="AB510" s="25"/>
      <c r="AC510" s="25"/>
    </row>
    <row r="511" spans="1:29" x14ac:dyDescent="0.25">
      <c r="A511" s="25"/>
      <c r="B511" s="25"/>
      <c r="C511" s="68"/>
      <c r="D511" s="68"/>
      <c r="E511" s="68"/>
      <c r="F511" s="68"/>
      <c r="G511" s="68"/>
      <c r="H511" s="68"/>
      <c r="I511" s="68"/>
      <c r="J511" s="68"/>
      <c r="K511" s="25"/>
      <c r="L511" s="470"/>
      <c r="M511" s="25"/>
      <c r="N511" s="25"/>
      <c r="O511" s="488"/>
      <c r="P511" s="25"/>
      <c r="Q511" s="25"/>
      <c r="R511" s="25"/>
      <c r="S511" s="25"/>
      <c r="T511" s="25"/>
      <c r="U511" s="25"/>
      <c r="V511" s="25"/>
      <c r="W511" s="25"/>
      <c r="X511" s="25"/>
      <c r="Y511" s="25"/>
      <c r="Z511" s="25"/>
      <c r="AA511" s="25"/>
      <c r="AB511" s="25"/>
      <c r="AC511" s="25"/>
    </row>
    <row r="512" spans="1:29" x14ac:dyDescent="0.25">
      <c r="A512" s="25"/>
      <c r="B512" s="25"/>
      <c r="C512" s="68"/>
      <c r="D512" s="68"/>
      <c r="E512" s="68"/>
      <c r="F512" s="68"/>
      <c r="G512" s="68"/>
      <c r="H512" s="68"/>
      <c r="I512" s="68"/>
      <c r="J512" s="68"/>
      <c r="K512" s="25"/>
      <c r="L512" s="470"/>
      <c r="M512" s="25"/>
      <c r="N512" s="25"/>
      <c r="O512" s="488"/>
      <c r="P512" s="25"/>
      <c r="Q512" s="25"/>
      <c r="R512" s="25"/>
      <c r="S512" s="25"/>
      <c r="T512" s="25"/>
      <c r="U512" s="25"/>
      <c r="V512" s="25"/>
      <c r="W512" s="25"/>
      <c r="X512" s="25"/>
      <c r="Y512" s="25"/>
      <c r="Z512" s="25"/>
      <c r="AA512" s="25"/>
      <c r="AB512" s="25"/>
      <c r="AC512" s="25"/>
    </row>
    <row r="513" spans="1:29" x14ac:dyDescent="0.25">
      <c r="A513" s="25"/>
      <c r="B513" s="25"/>
      <c r="C513" s="68"/>
      <c r="D513" s="68"/>
      <c r="E513" s="68"/>
      <c r="F513" s="68"/>
      <c r="G513" s="68"/>
      <c r="H513" s="68"/>
      <c r="I513" s="68"/>
      <c r="J513" s="68"/>
      <c r="K513" s="25"/>
      <c r="L513" s="470"/>
      <c r="M513" s="25"/>
      <c r="N513" s="25"/>
      <c r="O513" s="488"/>
      <c r="P513" s="25"/>
      <c r="Q513" s="25"/>
      <c r="R513" s="25"/>
      <c r="S513" s="25"/>
      <c r="T513" s="25"/>
      <c r="U513" s="25"/>
      <c r="V513" s="25"/>
      <c r="W513" s="25"/>
      <c r="X513" s="25"/>
      <c r="Y513" s="25"/>
      <c r="Z513" s="25"/>
      <c r="AA513" s="25"/>
      <c r="AB513" s="25"/>
      <c r="AC513" s="25"/>
    </row>
    <row r="514" spans="1:29" x14ac:dyDescent="0.25">
      <c r="A514" s="25"/>
      <c r="B514" s="25"/>
      <c r="C514" s="68"/>
      <c r="D514" s="68"/>
      <c r="E514" s="68"/>
      <c r="F514" s="68"/>
      <c r="G514" s="68"/>
      <c r="H514" s="68"/>
      <c r="I514" s="68"/>
      <c r="J514" s="68"/>
      <c r="K514" s="25"/>
      <c r="L514" s="470"/>
      <c r="M514" s="25"/>
      <c r="N514" s="25"/>
      <c r="O514" s="488"/>
      <c r="P514" s="25"/>
      <c r="Q514" s="25"/>
      <c r="R514" s="25"/>
      <c r="S514" s="25"/>
      <c r="T514" s="25"/>
      <c r="U514" s="25"/>
      <c r="V514" s="25"/>
      <c r="W514" s="25"/>
      <c r="X514" s="25"/>
      <c r="Y514" s="25"/>
      <c r="Z514" s="25"/>
      <c r="AA514" s="25"/>
      <c r="AB514" s="25"/>
      <c r="AC514" s="25"/>
    </row>
    <row r="515" spans="1:29" x14ac:dyDescent="0.25">
      <c r="A515" s="25"/>
      <c r="B515" s="25"/>
      <c r="C515" s="68"/>
      <c r="D515" s="68"/>
      <c r="E515" s="68"/>
      <c r="F515" s="68"/>
      <c r="G515" s="68"/>
      <c r="H515" s="68"/>
      <c r="I515" s="68"/>
      <c r="J515" s="68"/>
      <c r="K515" s="25"/>
      <c r="L515" s="470"/>
      <c r="M515" s="25"/>
      <c r="N515" s="25"/>
      <c r="O515" s="488"/>
      <c r="P515" s="25"/>
      <c r="Q515" s="25"/>
      <c r="R515" s="25"/>
      <c r="S515" s="25"/>
      <c r="T515" s="25"/>
      <c r="U515" s="25"/>
      <c r="V515" s="25"/>
      <c r="W515" s="25"/>
      <c r="X515" s="25"/>
      <c r="Y515" s="25"/>
      <c r="Z515" s="25"/>
      <c r="AA515" s="25"/>
      <c r="AB515" s="25"/>
      <c r="AC515" s="25"/>
    </row>
    <row r="516" spans="1:29" x14ac:dyDescent="0.25">
      <c r="A516" s="25"/>
      <c r="B516" s="25"/>
      <c r="C516" s="68"/>
      <c r="D516" s="68"/>
      <c r="E516" s="68"/>
      <c r="F516" s="68"/>
      <c r="G516" s="68"/>
      <c r="H516" s="68"/>
      <c r="I516" s="68"/>
      <c r="J516" s="68"/>
      <c r="K516" s="25"/>
      <c r="L516" s="470"/>
      <c r="M516" s="25"/>
      <c r="N516" s="25"/>
      <c r="O516" s="488"/>
      <c r="P516" s="25"/>
      <c r="Q516" s="25"/>
      <c r="R516" s="25"/>
      <c r="S516" s="25"/>
      <c r="T516" s="25"/>
      <c r="U516" s="25"/>
      <c r="V516" s="25"/>
      <c r="W516" s="25"/>
      <c r="X516" s="25"/>
      <c r="Y516" s="25"/>
      <c r="Z516" s="25"/>
      <c r="AA516" s="25"/>
      <c r="AB516" s="25"/>
      <c r="AC516" s="25"/>
    </row>
    <row r="517" spans="1:29" x14ac:dyDescent="0.25">
      <c r="A517" s="25"/>
      <c r="B517" s="25"/>
      <c r="C517" s="68"/>
      <c r="D517" s="68"/>
      <c r="E517" s="68"/>
      <c r="F517" s="68"/>
      <c r="G517" s="68"/>
      <c r="H517" s="68"/>
      <c r="I517" s="68"/>
      <c r="J517" s="68"/>
      <c r="K517" s="25"/>
      <c r="L517" s="470"/>
      <c r="M517" s="25"/>
      <c r="N517" s="25"/>
      <c r="O517" s="488"/>
      <c r="P517" s="25"/>
      <c r="Q517" s="25"/>
      <c r="R517" s="25"/>
      <c r="S517" s="25"/>
      <c r="T517" s="25"/>
      <c r="U517" s="25"/>
      <c r="V517" s="25"/>
      <c r="W517" s="25"/>
      <c r="X517" s="25"/>
      <c r="Y517" s="25"/>
      <c r="Z517" s="25"/>
      <c r="AA517" s="25"/>
      <c r="AB517" s="25"/>
      <c r="AC517" s="25"/>
    </row>
    <row r="518" spans="1:29" x14ac:dyDescent="0.25">
      <c r="A518" s="25"/>
      <c r="B518" s="25"/>
      <c r="C518" s="68"/>
      <c r="D518" s="68"/>
      <c r="E518" s="68"/>
      <c r="F518" s="68"/>
      <c r="G518" s="68"/>
      <c r="H518" s="68"/>
      <c r="I518" s="68"/>
      <c r="J518" s="68"/>
      <c r="K518" s="25"/>
      <c r="L518" s="470"/>
      <c r="M518" s="25"/>
      <c r="N518" s="25"/>
      <c r="O518" s="488"/>
      <c r="P518" s="25"/>
      <c r="Q518" s="25"/>
      <c r="R518" s="25"/>
      <c r="S518" s="25"/>
      <c r="T518" s="25"/>
      <c r="U518" s="25"/>
      <c r="V518" s="25"/>
      <c r="W518" s="25"/>
      <c r="X518" s="25"/>
      <c r="Y518" s="25"/>
      <c r="Z518" s="25"/>
      <c r="AA518" s="25"/>
      <c r="AB518" s="25"/>
      <c r="AC518" s="25"/>
    </row>
    <row r="519" spans="1:29" x14ac:dyDescent="0.25">
      <c r="A519" s="25"/>
      <c r="B519" s="25"/>
      <c r="C519" s="68"/>
      <c r="D519" s="68"/>
      <c r="E519" s="68"/>
      <c r="F519" s="68"/>
      <c r="G519" s="68"/>
      <c r="H519" s="68"/>
      <c r="I519" s="68"/>
      <c r="J519" s="68"/>
      <c r="K519" s="25"/>
      <c r="L519" s="470"/>
      <c r="M519" s="25"/>
      <c r="N519" s="25"/>
      <c r="O519" s="488"/>
      <c r="P519" s="25"/>
      <c r="Q519" s="25"/>
      <c r="R519" s="25"/>
      <c r="S519" s="25"/>
      <c r="T519" s="25"/>
      <c r="U519" s="25"/>
      <c r="V519" s="25"/>
      <c r="W519" s="25"/>
      <c r="X519" s="25"/>
      <c r="Y519" s="25"/>
      <c r="Z519" s="25"/>
      <c r="AA519" s="25"/>
      <c r="AB519" s="25"/>
      <c r="AC519" s="25"/>
    </row>
    <row r="520" spans="1:29" x14ac:dyDescent="0.25">
      <c r="A520" s="25"/>
      <c r="B520" s="25"/>
      <c r="C520" s="68"/>
      <c r="D520" s="68"/>
      <c r="E520" s="68"/>
      <c r="F520" s="68"/>
      <c r="G520" s="68"/>
      <c r="H520" s="68"/>
      <c r="I520" s="68"/>
      <c r="J520" s="68"/>
      <c r="K520" s="25"/>
      <c r="L520" s="470"/>
      <c r="M520" s="25"/>
      <c r="N520" s="25"/>
      <c r="O520" s="488"/>
      <c r="P520" s="25"/>
      <c r="Q520" s="25"/>
      <c r="R520" s="25"/>
      <c r="S520" s="25"/>
      <c r="T520" s="25"/>
      <c r="U520" s="25"/>
      <c r="V520" s="25"/>
      <c r="W520" s="25"/>
      <c r="X520" s="25"/>
      <c r="Y520" s="25"/>
      <c r="Z520" s="25"/>
      <c r="AA520" s="25"/>
      <c r="AB520" s="25"/>
      <c r="AC520" s="25"/>
    </row>
    <row r="521" spans="1:29" x14ac:dyDescent="0.25">
      <c r="A521" s="25"/>
      <c r="B521" s="25"/>
      <c r="C521" s="68"/>
      <c r="D521" s="68"/>
      <c r="E521" s="68"/>
      <c r="F521" s="68"/>
      <c r="G521" s="68"/>
      <c r="H521" s="68"/>
      <c r="I521" s="68"/>
      <c r="J521" s="68"/>
      <c r="K521" s="25"/>
      <c r="L521" s="470"/>
      <c r="M521" s="25"/>
      <c r="N521" s="25"/>
      <c r="O521" s="488"/>
      <c r="P521" s="25"/>
      <c r="Q521" s="25"/>
      <c r="R521" s="25"/>
      <c r="S521" s="25"/>
      <c r="T521" s="25"/>
      <c r="U521" s="25"/>
      <c r="V521" s="25"/>
      <c r="W521" s="25"/>
      <c r="X521" s="25"/>
      <c r="Y521" s="25"/>
      <c r="Z521" s="25"/>
      <c r="AA521" s="25"/>
      <c r="AB521" s="25"/>
      <c r="AC521" s="25"/>
    </row>
    <row r="522" spans="1:29" x14ac:dyDescent="0.25">
      <c r="A522" s="25"/>
      <c r="B522" s="25"/>
      <c r="C522" s="68"/>
      <c r="D522" s="68"/>
      <c r="E522" s="68"/>
      <c r="F522" s="68"/>
      <c r="G522" s="68"/>
      <c r="H522" s="68"/>
      <c r="I522" s="68"/>
      <c r="J522" s="68"/>
      <c r="K522" s="25"/>
      <c r="L522" s="470"/>
      <c r="M522" s="25"/>
      <c r="N522" s="25"/>
      <c r="O522" s="488"/>
      <c r="P522" s="25"/>
      <c r="Q522" s="25"/>
      <c r="R522" s="25"/>
      <c r="S522" s="25"/>
      <c r="T522" s="25"/>
      <c r="U522" s="25"/>
      <c r="V522" s="25"/>
      <c r="W522" s="25"/>
      <c r="X522" s="25"/>
      <c r="Y522" s="25"/>
      <c r="Z522" s="25"/>
      <c r="AA522" s="25"/>
      <c r="AB522" s="25"/>
      <c r="AC522" s="25"/>
    </row>
    <row r="523" spans="1:29" x14ac:dyDescent="0.25">
      <c r="A523" s="25"/>
      <c r="B523" s="25"/>
      <c r="C523" s="68"/>
      <c r="D523" s="68"/>
      <c r="E523" s="68"/>
      <c r="F523" s="68"/>
      <c r="G523" s="68"/>
      <c r="H523" s="68"/>
      <c r="I523" s="68"/>
      <c r="J523" s="68"/>
      <c r="K523" s="25"/>
      <c r="L523" s="470"/>
      <c r="M523" s="25"/>
      <c r="N523" s="25"/>
      <c r="O523" s="488"/>
      <c r="P523" s="25"/>
      <c r="Q523" s="25"/>
      <c r="R523" s="25"/>
      <c r="S523" s="25"/>
      <c r="T523" s="25"/>
      <c r="U523" s="25"/>
      <c r="V523" s="25"/>
      <c r="W523" s="25"/>
      <c r="X523" s="25"/>
      <c r="Y523" s="25"/>
      <c r="Z523" s="25"/>
      <c r="AA523" s="25"/>
      <c r="AB523" s="25"/>
      <c r="AC523" s="25"/>
    </row>
    <row r="524" spans="1:29" x14ac:dyDescent="0.25">
      <c r="A524" s="25"/>
      <c r="B524" s="25"/>
      <c r="C524" s="68"/>
      <c r="D524" s="68"/>
      <c r="E524" s="68"/>
      <c r="F524" s="68"/>
      <c r="G524" s="68"/>
      <c r="H524" s="68"/>
      <c r="I524" s="68"/>
      <c r="J524" s="68"/>
      <c r="K524" s="25"/>
      <c r="L524" s="470"/>
      <c r="M524" s="25"/>
      <c r="N524" s="25"/>
      <c r="O524" s="488"/>
      <c r="P524" s="25"/>
      <c r="Q524" s="25"/>
      <c r="R524" s="25"/>
      <c r="S524" s="25"/>
      <c r="T524" s="25"/>
      <c r="U524" s="25"/>
      <c r="V524" s="25"/>
      <c r="W524" s="25"/>
      <c r="X524" s="25"/>
      <c r="Y524" s="25"/>
      <c r="Z524" s="25"/>
      <c r="AA524" s="25"/>
      <c r="AB524" s="25"/>
      <c r="AC524" s="25"/>
    </row>
    <row r="525" spans="1:29" x14ac:dyDescent="0.25">
      <c r="A525" s="25"/>
      <c r="B525" s="25"/>
      <c r="C525" s="68"/>
      <c r="D525" s="68"/>
      <c r="E525" s="68"/>
      <c r="F525" s="68"/>
      <c r="G525" s="68"/>
      <c r="H525" s="68"/>
      <c r="I525" s="68"/>
      <c r="J525" s="68"/>
      <c r="K525" s="25"/>
      <c r="L525" s="470"/>
      <c r="M525" s="25"/>
      <c r="N525" s="25"/>
      <c r="O525" s="488"/>
      <c r="P525" s="25"/>
      <c r="Q525" s="25"/>
      <c r="R525" s="25"/>
      <c r="S525" s="25"/>
      <c r="T525" s="25"/>
      <c r="U525" s="25"/>
      <c r="V525" s="25"/>
      <c r="W525" s="25"/>
      <c r="X525" s="25"/>
      <c r="Y525" s="25"/>
      <c r="Z525" s="25"/>
      <c r="AA525" s="25"/>
      <c r="AB525" s="25"/>
      <c r="AC525" s="25"/>
    </row>
    <row r="526" spans="1:29" x14ac:dyDescent="0.25">
      <c r="A526" s="25"/>
      <c r="B526" s="25"/>
      <c r="C526" s="68"/>
      <c r="D526" s="68"/>
      <c r="E526" s="68"/>
      <c r="F526" s="68"/>
      <c r="G526" s="68"/>
      <c r="H526" s="68"/>
      <c r="I526" s="68"/>
      <c r="J526" s="68"/>
      <c r="K526" s="25"/>
      <c r="L526" s="470"/>
      <c r="M526" s="25"/>
      <c r="N526" s="25"/>
      <c r="O526" s="488"/>
      <c r="P526" s="25"/>
      <c r="Q526" s="25"/>
      <c r="R526" s="25"/>
      <c r="S526" s="25"/>
      <c r="T526" s="25"/>
      <c r="U526" s="25"/>
      <c r="V526" s="25"/>
      <c r="W526" s="25"/>
      <c r="X526" s="25"/>
      <c r="Y526" s="25"/>
      <c r="Z526" s="25"/>
      <c r="AA526" s="25"/>
      <c r="AB526" s="25"/>
      <c r="AC526" s="25"/>
    </row>
    <row r="527" spans="1:29" x14ac:dyDescent="0.25">
      <c r="A527" s="25"/>
      <c r="B527" s="25"/>
      <c r="C527" s="68"/>
      <c r="D527" s="68"/>
      <c r="E527" s="68"/>
      <c r="F527" s="68"/>
      <c r="G527" s="68"/>
      <c r="H527" s="68"/>
      <c r="I527" s="68"/>
      <c r="J527" s="68"/>
      <c r="K527" s="25"/>
      <c r="L527" s="470"/>
      <c r="M527" s="25"/>
      <c r="N527" s="25"/>
      <c r="O527" s="488"/>
      <c r="P527" s="25"/>
      <c r="Q527" s="25"/>
      <c r="R527" s="25"/>
      <c r="S527" s="25"/>
      <c r="T527" s="25"/>
      <c r="U527" s="25"/>
      <c r="V527" s="25"/>
      <c r="W527" s="25"/>
      <c r="X527" s="25"/>
      <c r="Y527" s="25"/>
      <c r="Z527" s="25"/>
      <c r="AA527" s="25"/>
      <c r="AB527" s="25"/>
      <c r="AC527" s="25"/>
    </row>
    <row r="528" spans="1:29" x14ac:dyDescent="0.25">
      <c r="A528" s="25"/>
      <c r="B528" s="25"/>
      <c r="C528" s="68"/>
      <c r="D528" s="68"/>
      <c r="E528" s="68"/>
      <c r="F528" s="68"/>
      <c r="G528" s="68"/>
      <c r="H528" s="68"/>
      <c r="I528" s="68"/>
      <c r="J528" s="68"/>
      <c r="K528" s="25"/>
      <c r="L528" s="470"/>
      <c r="M528" s="25"/>
      <c r="N528" s="25"/>
      <c r="O528" s="488"/>
      <c r="P528" s="25"/>
      <c r="Q528" s="25"/>
      <c r="R528" s="25"/>
      <c r="S528" s="25"/>
      <c r="T528" s="25"/>
      <c r="U528" s="25"/>
      <c r="V528" s="25"/>
      <c r="W528" s="25"/>
      <c r="X528" s="25"/>
      <c r="Y528" s="25"/>
      <c r="Z528" s="25"/>
      <c r="AA528" s="25"/>
      <c r="AB528" s="25"/>
      <c r="AC528" s="25"/>
    </row>
    <row r="529" spans="1:29" x14ac:dyDescent="0.25">
      <c r="A529" s="25"/>
      <c r="B529" s="25"/>
      <c r="C529" s="68"/>
      <c r="D529" s="68"/>
      <c r="E529" s="68"/>
      <c r="F529" s="68"/>
      <c r="G529" s="68"/>
      <c r="H529" s="68"/>
      <c r="I529" s="68"/>
      <c r="J529" s="68"/>
      <c r="K529" s="25"/>
      <c r="L529" s="470"/>
      <c r="M529" s="25"/>
      <c r="N529" s="25"/>
      <c r="O529" s="488"/>
      <c r="P529" s="25"/>
      <c r="Q529" s="25"/>
      <c r="R529" s="25"/>
      <c r="S529" s="25"/>
      <c r="T529" s="25"/>
      <c r="U529" s="25"/>
      <c r="V529" s="25"/>
      <c r="W529" s="25"/>
      <c r="X529" s="25"/>
      <c r="Y529" s="25"/>
      <c r="Z529" s="25"/>
      <c r="AA529" s="25"/>
      <c r="AB529" s="25"/>
      <c r="AC529" s="25"/>
    </row>
    <row r="530" spans="1:29" x14ac:dyDescent="0.25">
      <c r="A530" s="25"/>
      <c r="B530" s="25"/>
      <c r="C530" s="68"/>
      <c r="D530" s="68"/>
      <c r="E530" s="68"/>
      <c r="F530" s="68"/>
      <c r="G530" s="68"/>
      <c r="H530" s="68"/>
      <c r="I530" s="68"/>
      <c r="J530" s="68"/>
      <c r="K530" s="25"/>
      <c r="L530" s="470"/>
      <c r="M530" s="25"/>
      <c r="N530" s="25"/>
      <c r="O530" s="488"/>
      <c r="P530" s="25"/>
      <c r="Q530" s="25"/>
      <c r="R530" s="25"/>
      <c r="S530" s="25"/>
      <c r="T530" s="25"/>
      <c r="U530" s="25"/>
      <c r="V530" s="25"/>
      <c r="W530" s="25"/>
      <c r="X530" s="25"/>
      <c r="Y530" s="25"/>
      <c r="Z530" s="25"/>
      <c r="AA530" s="25"/>
      <c r="AB530" s="25"/>
      <c r="AC530" s="25"/>
    </row>
    <row r="531" spans="1:29" x14ac:dyDescent="0.25">
      <c r="A531" s="25"/>
      <c r="B531" s="25"/>
      <c r="C531" s="68"/>
      <c r="D531" s="68"/>
      <c r="E531" s="68"/>
      <c r="F531" s="68"/>
      <c r="G531" s="68"/>
      <c r="H531" s="68"/>
      <c r="I531" s="68"/>
      <c r="J531" s="68"/>
      <c r="K531" s="25"/>
      <c r="L531" s="470"/>
      <c r="M531" s="25"/>
      <c r="N531" s="25"/>
      <c r="O531" s="488"/>
      <c r="P531" s="25"/>
      <c r="Q531" s="25"/>
      <c r="R531" s="25"/>
      <c r="S531" s="25"/>
      <c r="T531" s="25"/>
      <c r="U531" s="25"/>
      <c r="V531" s="25"/>
      <c r="W531" s="25"/>
      <c r="X531" s="25"/>
      <c r="Y531" s="25"/>
      <c r="Z531" s="25"/>
      <c r="AA531" s="25"/>
      <c r="AB531" s="25"/>
      <c r="AC531" s="25"/>
    </row>
    <row r="532" spans="1:29" x14ac:dyDescent="0.25">
      <c r="A532" s="25"/>
      <c r="B532" s="25"/>
      <c r="C532" s="68"/>
      <c r="D532" s="68"/>
      <c r="E532" s="68"/>
      <c r="F532" s="68"/>
      <c r="G532" s="68"/>
      <c r="H532" s="68"/>
      <c r="I532" s="68"/>
      <c r="J532" s="68"/>
      <c r="K532" s="25"/>
      <c r="L532" s="470"/>
      <c r="M532" s="25"/>
      <c r="N532" s="25"/>
      <c r="O532" s="488"/>
      <c r="P532" s="25"/>
      <c r="Q532" s="25"/>
      <c r="R532" s="25"/>
      <c r="S532" s="25"/>
      <c r="T532" s="25"/>
      <c r="U532" s="25"/>
      <c r="V532" s="25"/>
      <c r="W532" s="25"/>
      <c r="X532" s="25"/>
      <c r="Y532" s="25"/>
      <c r="Z532" s="25"/>
      <c r="AA532" s="25"/>
      <c r="AB532" s="25"/>
      <c r="AC532" s="25"/>
    </row>
    <row r="533" spans="1:29" x14ac:dyDescent="0.25">
      <c r="A533" s="25"/>
      <c r="B533" s="25"/>
      <c r="C533" s="68"/>
      <c r="D533" s="68"/>
      <c r="E533" s="68"/>
      <c r="F533" s="68"/>
      <c r="G533" s="68"/>
      <c r="H533" s="68"/>
      <c r="I533" s="68"/>
      <c r="J533" s="68"/>
      <c r="K533" s="25"/>
      <c r="L533" s="470"/>
      <c r="M533" s="25"/>
      <c r="N533" s="25"/>
      <c r="O533" s="488"/>
      <c r="P533" s="25"/>
      <c r="Q533" s="25"/>
      <c r="R533" s="25"/>
      <c r="S533" s="25"/>
      <c r="T533" s="25"/>
      <c r="U533" s="25"/>
      <c r="V533" s="25"/>
      <c r="W533" s="25"/>
      <c r="X533" s="25"/>
      <c r="Y533" s="25"/>
      <c r="Z533" s="25"/>
      <c r="AA533" s="25"/>
      <c r="AB533" s="25"/>
      <c r="AC533" s="25"/>
    </row>
    <row r="534" spans="1:29" x14ac:dyDescent="0.25">
      <c r="A534" s="25"/>
      <c r="B534" s="25"/>
      <c r="C534" s="68"/>
      <c r="D534" s="68"/>
      <c r="E534" s="68"/>
      <c r="F534" s="68"/>
      <c r="G534" s="68"/>
      <c r="H534" s="68"/>
      <c r="I534" s="68"/>
      <c r="J534" s="68"/>
      <c r="K534" s="25"/>
      <c r="L534" s="470"/>
      <c r="M534" s="25"/>
      <c r="N534" s="25"/>
      <c r="O534" s="488"/>
      <c r="P534" s="25"/>
      <c r="Q534" s="25"/>
      <c r="R534" s="25"/>
      <c r="S534" s="25"/>
      <c r="T534" s="25"/>
      <c r="U534" s="25"/>
      <c r="V534" s="25"/>
      <c r="W534" s="25"/>
      <c r="X534" s="25"/>
      <c r="Y534" s="25"/>
      <c r="Z534" s="25"/>
      <c r="AA534" s="25"/>
      <c r="AB534" s="25"/>
      <c r="AC534" s="25"/>
    </row>
    <row r="535" spans="1:29" x14ac:dyDescent="0.25">
      <c r="A535" s="25"/>
      <c r="B535" s="25"/>
      <c r="C535" s="68"/>
      <c r="D535" s="68"/>
      <c r="E535" s="68"/>
      <c r="F535" s="68"/>
      <c r="G535" s="68"/>
      <c r="H535" s="68"/>
      <c r="I535" s="68"/>
      <c r="J535" s="68"/>
      <c r="K535" s="25"/>
      <c r="L535" s="470"/>
      <c r="M535" s="25"/>
      <c r="N535" s="25"/>
      <c r="O535" s="488"/>
      <c r="P535" s="25"/>
      <c r="Q535" s="25"/>
      <c r="R535" s="25"/>
      <c r="S535" s="25"/>
      <c r="T535" s="25"/>
      <c r="U535" s="25"/>
      <c r="V535" s="25"/>
      <c r="W535" s="25"/>
      <c r="X535" s="25"/>
      <c r="Y535" s="25"/>
      <c r="Z535" s="25"/>
      <c r="AA535" s="25"/>
      <c r="AB535" s="25"/>
      <c r="AC535" s="25"/>
    </row>
    <row r="536" spans="1:29" x14ac:dyDescent="0.25">
      <c r="A536" s="25"/>
      <c r="B536" s="25"/>
      <c r="C536" s="68"/>
      <c r="D536" s="68"/>
      <c r="E536" s="68"/>
      <c r="F536" s="68"/>
      <c r="G536" s="68"/>
      <c r="H536" s="68"/>
      <c r="I536" s="68"/>
      <c r="J536" s="68"/>
      <c r="K536" s="25"/>
      <c r="L536" s="470"/>
      <c r="M536" s="25"/>
      <c r="N536" s="25"/>
      <c r="O536" s="488"/>
      <c r="P536" s="25"/>
      <c r="Q536" s="25"/>
      <c r="R536" s="25"/>
      <c r="S536" s="25"/>
      <c r="T536" s="25"/>
      <c r="U536" s="25"/>
      <c r="V536" s="25"/>
      <c r="W536" s="25"/>
      <c r="X536" s="25"/>
      <c r="Y536" s="25"/>
      <c r="Z536" s="25"/>
      <c r="AA536" s="25"/>
      <c r="AB536" s="25"/>
      <c r="AC536" s="25"/>
    </row>
    <row r="537" spans="1:29" x14ac:dyDescent="0.25">
      <c r="A537" s="25"/>
      <c r="B537" s="25"/>
      <c r="C537" s="68"/>
      <c r="D537" s="68"/>
      <c r="E537" s="68"/>
      <c r="F537" s="68"/>
      <c r="G537" s="68"/>
      <c r="H537" s="68"/>
      <c r="I537" s="68"/>
      <c r="J537" s="68"/>
      <c r="K537" s="25"/>
      <c r="L537" s="470"/>
      <c r="M537" s="25"/>
      <c r="N537" s="25"/>
      <c r="O537" s="488"/>
      <c r="P537" s="25"/>
      <c r="Q537" s="25"/>
      <c r="R537" s="25"/>
      <c r="S537" s="25"/>
      <c r="T537" s="25"/>
      <c r="U537" s="25"/>
      <c r="V537" s="25"/>
      <c r="W537" s="25"/>
      <c r="X537" s="25"/>
      <c r="Y537" s="25"/>
      <c r="Z537" s="25"/>
      <c r="AA537" s="25"/>
      <c r="AB537" s="25"/>
      <c r="AC537" s="25"/>
    </row>
    <row r="538" spans="1:29" x14ac:dyDescent="0.25">
      <c r="A538" s="25"/>
      <c r="B538" s="25"/>
      <c r="C538" s="68"/>
      <c r="D538" s="68"/>
      <c r="E538" s="68"/>
      <c r="F538" s="68"/>
      <c r="G538" s="68"/>
      <c r="H538" s="68"/>
      <c r="I538" s="68"/>
      <c r="J538" s="68"/>
      <c r="K538" s="25"/>
      <c r="L538" s="470"/>
      <c r="M538" s="25"/>
      <c r="N538" s="25"/>
      <c r="O538" s="488"/>
      <c r="P538" s="25"/>
      <c r="Q538" s="25"/>
      <c r="R538" s="25"/>
      <c r="S538" s="25"/>
      <c r="T538" s="25"/>
      <c r="U538" s="25"/>
      <c r="V538" s="25"/>
      <c r="W538" s="25"/>
      <c r="X538" s="25"/>
      <c r="Y538" s="25"/>
      <c r="Z538" s="25"/>
      <c r="AA538" s="25"/>
      <c r="AB538" s="25"/>
      <c r="AC538" s="25"/>
    </row>
    <row r="539" spans="1:29" x14ac:dyDescent="0.25">
      <c r="A539" s="25"/>
      <c r="B539" s="25"/>
      <c r="C539" s="68"/>
      <c r="D539" s="68"/>
      <c r="E539" s="68"/>
      <c r="F539" s="68"/>
      <c r="G539" s="68"/>
      <c r="H539" s="68"/>
      <c r="I539" s="68"/>
      <c r="J539" s="68"/>
      <c r="K539" s="25"/>
      <c r="L539" s="470"/>
      <c r="M539" s="25"/>
      <c r="N539" s="25"/>
      <c r="O539" s="488"/>
      <c r="P539" s="25"/>
      <c r="Q539" s="25"/>
      <c r="R539" s="25"/>
      <c r="S539" s="25"/>
      <c r="T539" s="25"/>
      <c r="U539" s="25"/>
      <c r="V539" s="25"/>
      <c r="W539" s="25"/>
      <c r="X539" s="25"/>
      <c r="Y539" s="25"/>
      <c r="Z539" s="25"/>
      <c r="AA539" s="25"/>
      <c r="AB539" s="25"/>
      <c r="AC539" s="25"/>
    </row>
    <row r="540" spans="1:29" x14ac:dyDescent="0.25">
      <c r="A540" s="25"/>
      <c r="B540" s="25"/>
      <c r="C540" s="68"/>
      <c r="D540" s="68"/>
      <c r="E540" s="68"/>
      <c r="F540" s="68"/>
      <c r="G540" s="68"/>
      <c r="H540" s="68"/>
      <c r="I540" s="68"/>
      <c r="J540" s="68"/>
      <c r="K540" s="25"/>
      <c r="L540" s="470"/>
      <c r="M540" s="25"/>
      <c r="N540" s="25"/>
      <c r="O540" s="488"/>
      <c r="P540" s="25"/>
      <c r="Q540" s="25"/>
      <c r="R540" s="25"/>
      <c r="S540" s="25"/>
      <c r="T540" s="25"/>
      <c r="U540" s="25"/>
      <c r="V540" s="25"/>
      <c r="W540" s="25"/>
      <c r="X540" s="25"/>
      <c r="Y540" s="25"/>
      <c r="Z540" s="25"/>
      <c r="AA540" s="25"/>
      <c r="AB540" s="25"/>
      <c r="AC540" s="25"/>
    </row>
    <row r="541" spans="1:29" x14ac:dyDescent="0.25">
      <c r="A541" s="25"/>
      <c r="B541" s="25"/>
      <c r="C541" s="68"/>
      <c r="D541" s="68"/>
      <c r="E541" s="68"/>
      <c r="F541" s="68"/>
      <c r="G541" s="68"/>
      <c r="H541" s="68"/>
      <c r="I541" s="68"/>
      <c r="J541" s="68"/>
      <c r="K541" s="25"/>
      <c r="L541" s="470"/>
      <c r="M541" s="25"/>
      <c r="N541" s="25"/>
      <c r="O541" s="488"/>
      <c r="P541" s="25"/>
      <c r="Q541" s="25"/>
      <c r="R541" s="25"/>
      <c r="S541" s="25"/>
      <c r="T541" s="25"/>
      <c r="U541" s="25"/>
      <c r="V541" s="25"/>
      <c r="W541" s="25"/>
      <c r="X541" s="25"/>
      <c r="Y541" s="25"/>
      <c r="Z541" s="25"/>
      <c r="AA541" s="25"/>
      <c r="AB541" s="25"/>
      <c r="AC541" s="25"/>
    </row>
    <row r="542" spans="1:29" x14ac:dyDescent="0.25">
      <c r="A542" s="25"/>
      <c r="B542" s="25"/>
      <c r="C542" s="68"/>
      <c r="D542" s="68"/>
      <c r="E542" s="68"/>
      <c r="F542" s="68"/>
      <c r="G542" s="68"/>
      <c r="H542" s="68"/>
      <c r="I542" s="68"/>
      <c r="J542" s="68"/>
      <c r="K542" s="25"/>
      <c r="L542" s="470"/>
      <c r="M542" s="25"/>
      <c r="N542" s="25"/>
      <c r="O542" s="488"/>
      <c r="P542" s="25"/>
      <c r="Q542" s="25"/>
      <c r="R542" s="25"/>
      <c r="S542" s="25"/>
      <c r="T542" s="25"/>
      <c r="U542" s="25"/>
      <c r="V542" s="25"/>
      <c r="W542" s="25"/>
      <c r="X542" s="25"/>
      <c r="Y542" s="25"/>
      <c r="Z542" s="25"/>
      <c r="AA542" s="25"/>
      <c r="AB542" s="25"/>
      <c r="AC542" s="25"/>
    </row>
  </sheetData>
  <mergeCells count="64">
    <mergeCell ref="H313:L313"/>
    <mergeCell ref="H316:J316"/>
    <mergeCell ref="I319:N319"/>
    <mergeCell ref="I325:N325"/>
    <mergeCell ref="H284:N284"/>
    <mergeCell ref="H290:N290"/>
    <mergeCell ref="G296:Y296"/>
    <mergeCell ref="H297:K297"/>
    <mergeCell ref="H298:L298"/>
    <mergeCell ref="H260:N260"/>
    <mergeCell ref="H265:K265"/>
    <mergeCell ref="H281:N281"/>
    <mergeCell ref="H282:N282"/>
    <mergeCell ref="H283:N283"/>
    <mergeCell ref="G207:Y207"/>
    <mergeCell ref="H220:J220"/>
    <mergeCell ref="I223:N223"/>
    <mergeCell ref="I229:N229"/>
    <mergeCell ref="H249:N249"/>
    <mergeCell ref="G190:Y190"/>
    <mergeCell ref="H191:Y191"/>
    <mergeCell ref="K192:AC192"/>
    <mergeCell ref="H199:P199"/>
    <mergeCell ref="I202:L202"/>
    <mergeCell ref="H159:M159"/>
    <mergeCell ref="H168:M168"/>
    <mergeCell ref="H172:N172"/>
    <mergeCell ref="H176:N176"/>
    <mergeCell ref="H180:N180"/>
    <mergeCell ref="G123:Y123"/>
    <mergeCell ref="G134:Y134"/>
    <mergeCell ref="G151:Y151"/>
    <mergeCell ref="H153:N153"/>
    <mergeCell ref="H156:M156"/>
    <mergeCell ref="F95:Y95"/>
    <mergeCell ref="F103:K103"/>
    <mergeCell ref="G104:Y104"/>
    <mergeCell ref="H105:N105"/>
    <mergeCell ref="H119:N119"/>
    <mergeCell ref="G72:Y72"/>
    <mergeCell ref="F74:Y74"/>
    <mergeCell ref="G75:Y75"/>
    <mergeCell ref="G84:Y84"/>
    <mergeCell ref="E93:J93"/>
    <mergeCell ref="F50:Y50"/>
    <mergeCell ref="G51:Y51"/>
    <mergeCell ref="G60:Y60"/>
    <mergeCell ref="F62:Y62"/>
    <mergeCell ref="G63:Y63"/>
    <mergeCell ref="G38:Y38"/>
    <mergeCell ref="F40:Y40"/>
    <mergeCell ref="G41:Y41"/>
    <mergeCell ref="G42:K42"/>
    <mergeCell ref="G48:Y48"/>
    <mergeCell ref="G19:K19"/>
    <mergeCell ref="H21:Z21"/>
    <mergeCell ref="G24:Y24"/>
    <mergeCell ref="F26:Y26"/>
    <mergeCell ref="G27:Y27"/>
    <mergeCell ref="D8:Y8"/>
    <mergeCell ref="E10:Y10"/>
    <mergeCell ref="F12:Y12"/>
    <mergeCell ref="G13:Y13"/>
    <mergeCell ref="G17:K17"/>
  </mergeCells>
  <conditionalFormatting sqref="V1:Y8 T9:Y20 U21:Z21 T22:Y85 V86:Y93 T94:Y99 T100:AA100 T101:Y342 U343:Y542">
    <cfRule type="containsText" dxfId="7" priority="1" operator="containsText" text="ja">
      <formula>NOT(ISERROR(SEARCH(("ja"),(V1))))</formula>
    </cfRule>
    <cfRule type="containsText" dxfId="6" priority="2" operator="containsText" text="nein">
      <formula>NOT(ISERROR(SEARCH(("nein"),(V1))))</formula>
    </cfRule>
  </conditionalFormatting>
  <dataValidations count="4">
    <dataValidation type="list" errorStyle="warning" showErrorMessage="1" sqref="A11 A14:A16 A18 A20 A22 A29:A31 A33 A35:A36 A43:A47 A52:A59 A64:A67 A76:A80 A81:A185" xr:uid="{00000000-0002-0000-1200-000000000000}">
      <formula1>"ja,nein"</formula1>
    </dataValidation>
    <dataValidation type="list" errorStyle="warning" showErrorMessage="1" sqref="Y96:Y97 Y99 Y101:Y103 Y105:Y107 Y110:Y112 Y115:Y118 Y241:Y243 Y246 Y249:Y251 Y282 Y290 Y337:Y339 Y342 Y14:Y16" xr:uid="{00000000-0002-0000-1200-000001000000}">
      <formula1>",Ready, CICD"</formula1>
    </dataValidation>
    <dataValidation type="list" errorStyle="warning" showErrorMessage="1" sqref="U96:V97 U99:V99 U101:V103 U105:V118 U135:V146 U153:V189 U192:V193 U195:V196 U201:V204 U208:V213 U220:V246 U249:V253 U256:V265 U267:V276 U277:V295 U297:V342 U14:V18 U19:V20 U22:V23 U25:V25 U28:V37 G13:Y13 F12:Y12 H21:Z21 F26:Y26 F40:Y40 U42:V47 F50:Y50 U52:V59 F62:Y62 U64:V71 F74:Y74 U76:V83 G24:Y24 G27:Y27 G38:Y38 G41:Y41 G48:Y48 G51:Y51 G60:Y60 G63:Y63 G72:Y72 G75:Y75 G84:Y84 U39:V39 U49:V49 U61:V61 U73:V73 U85:V85" xr:uid="{00000000-0002-0000-1200-000002000000}">
      <formula1>"unbestimmt, ja, nein"</formula1>
    </dataValidation>
    <dataValidation type="list" errorStyle="warning" showErrorMessage="1" sqref="B11 B14:B16 B18 B20 B22 B29:B31 B33 B35:B36 B43:B47 B52:B59 B64:B67 B76:B80 B81:B185" xr:uid="{00000000-0002-0000-1200-000003000000}">
      <formula1>"ELA,Meistertask,Cleverreach,Synology,Miro,Google,WhatsApp,Canva,Adobe,Contao,Wiki,ecoDMS,Wiki,Facebook,Instagram,TikTok,LinkedIn,Youtube,Xing,X,SalesForce,Lexware,Volksbank,Articulate,Outlook,easy2book,Domainfactory,1&amp;1"</formula1>
    </dataValidation>
  </dataValidations>
  <pageMargins left="0.75" right="0.75" top="1" bottom="1" header="0.5" footer="0.5"/>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442"/>
  <sheetViews>
    <sheetView workbookViewId="0"/>
  </sheetViews>
  <sheetFormatPr baseColWidth="10" defaultColWidth="14.5703125" defaultRowHeight="15" x14ac:dyDescent="0.25"/>
  <cols>
    <col min="1" max="1" width="11.42578125" customWidth="1"/>
    <col min="2" max="2" width="10.7109375" customWidth="1"/>
    <col min="3" max="3" width="7.42578125" customWidth="1"/>
    <col min="4" max="4" width="3.42578125" customWidth="1"/>
    <col min="5" max="5" width="4" customWidth="1"/>
    <col min="6" max="9" width="3.42578125" customWidth="1"/>
    <col min="10" max="10" width="42.7109375" customWidth="1"/>
    <col min="11" max="11" width="59" customWidth="1"/>
    <col min="12" max="12" width="23.7109375" customWidth="1"/>
    <col min="13" max="13" width="20.7109375" customWidth="1"/>
    <col min="14" max="15" width="17" customWidth="1"/>
    <col min="16" max="16" width="21.5703125" customWidth="1"/>
    <col min="17" max="17" width="17" customWidth="1"/>
    <col min="18" max="18" width="47.28515625" customWidth="1"/>
    <col min="20" max="20" width="14.42578125" customWidth="1"/>
    <col min="21" max="21" width="13.85546875" customWidth="1"/>
    <col min="22" max="23" width="31.85546875" customWidth="1"/>
    <col min="24" max="24" width="14.42578125" customWidth="1"/>
  </cols>
  <sheetData>
    <row r="1" spans="1:28" x14ac:dyDescent="0.25">
      <c r="A1" s="14"/>
      <c r="B1" s="14"/>
      <c r="D1" s="13"/>
      <c r="E1" s="13"/>
      <c r="F1" s="13"/>
      <c r="G1" s="13"/>
      <c r="L1" s="14"/>
      <c r="M1" s="14"/>
      <c r="N1" s="14"/>
      <c r="O1" s="14"/>
      <c r="P1" s="14"/>
      <c r="Q1" s="14"/>
      <c r="R1" s="14"/>
      <c r="S1" s="14"/>
      <c r="T1" s="14"/>
      <c r="U1" s="14"/>
      <c r="V1" s="14"/>
      <c r="W1" s="14"/>
      <c r="X1" s="14"/>
      <c r="Y1" s="14"/>
      <c r="Z1" s="14"/>
      <c r="AA1" s="14"/>
      <c r="AB1" s="14"/>
    </row>
    <row r="2" spans="1:28" x14ac:dyDescent="0.25">
      <c r="A2" s="14"/>
      <c r="B2" s="14"/>
      <c r="D2" s="13"/>
      <c r="E2" s="13"/>
      <c r="F2" s="13"/>
      <c r="G2" s="13"/>
      <c r="I2" s="736"/>
      <c r="J2" t="s">
        <v>2547</v>
      </c>
      <c r="P2" s="14"/>
      <c r="Q2" s="14"/>
      <c r="R2" s="14"/>
      <c r="S2" s="14"/>
      <c r="T2" s="14"/>
      <c r="U2" s="14"/>
      <c r="V2" s="14"/>
      <c r="W2" s="14"/>
      <c r="X2" s="14"/>
      <c r="Y2" s="14"/>
      <c r="Z2" s="14"/>
      <c r="AA2" s="14"/>
      <c r="AB2" s="14"/>
    </row>
    <row r="3" spans="1:28" x14ac:dyDescent="0.25">
      <c r="A3" s="14"/>
      <c r="B3" s="14"/>
      <c r="D3" s="13"/>
      <c r="E3" s="13"/>
      <c r="F3" s="13"/>
      <c r="G3" s="13"/>
      <c r="I3" s="43"/>
      <c r="J3" s="44" t="s">
        <v>2548</v>
      </c>
      <c r="P3" s="14"/>
      <c r="Q3" s="14"/>
      <c r="R3" s="14"/>
      <c r="S3" s="14"/>
      <c r="T3" s="14"/>
      <c r="U3" s="14"/>
      <c r="V3" s="14"/>
      <c r="W3" s="14"/>
      <c r="X3" s="14"/>
      <c r="Y3" s="14"/>
      <c r="Z3" s="14"/>
      <c r="AA3" s="14"/>
      <c r="AB3" s="14"/>
    </row>
    <row r="4" spans="1:28" x14ac:dyDescent="0.25">
      <c r="A4" s="14"/>
      <c r="B4" s="14"/>
      <c r="D4" s="13"/>
      <c r="E4" s="13"/>
      <c r="F4" s="13"/>
      <c r="G4" s="13"/>
      <c r="I4" s="42"/>
      <c r="J4" t="s">
        <v>2</v>
      </c>
      <c r="P4" s="14"/>
      <c r="Q4" s="14"/>
      <c r="R4" s="14"/>
      <c r="S4" s="14"/>
      <c r="T4" s="14"/>
      <c r="U4" s="14"/>
      <c r="V4" s="14"/>
      <c r="W4" s="14"/>
      <c r="X4" s="14"/>
      <c r="Y4" s="14"/>
      <c r="Z4" s="14"/>
      <c r="AA4" s="14"/>
      <c r="AB4" s="14"/>
    </row>
    <row r="5" spans="1:28" x14ac:dyDescent="0.25">
      <c r="A5" s="14"/>
      <c r="B5" s="14"/>
      <c r="D5" s="13"/>
      <c r="E5" s="13"/>
      <c r="F5" s="13"/>
      <c r="G5" s="13"/>
      <c r="I5" s="106"/>
      <c r="J5" t="s">
        <v>3</v>
      </c>
      <c r="P5" s="14"/>
      <c r="Q5" s="14"/>
      <c r="R5" s="14"/>
      <c r="S5" s="14"/>
      <c r="T5" s="14"/>
      <c r="U5" s="14"/>
      <c r="V5" s="14"/>
      <c r="W5" s="14"/>
      <c r="X5" s="14"/>
      <c r="Y5" s="14"/>
      <c r="Z5" s="14"/>
      <c r="AA5" s="14"/>
      <c r="AB5" s="14"/>
    </row>
    <row r="6" spans="1:28" x14ac:dyDescent="0.25">
      <c r="A6" s="14"/>
      <c r="B6" s="14"/>
      <c r="D6" s="13"/>
      <c r="E6" s="13"/>
      <c r="F6" s="13"/>
      <c r="G6" s="13"/>
      <c r="H6" s="13"/>
      <c r="I6" s="121"/>
      <c r="J6" t="s">
        <v>4</v>
      </c>
      <c r="P6" s="14"/>
      <c r="Q6" s="14"/>
      <c r="R6" s="14"/>
      <c r="S6" s="14"/>
      <c r="T6" s="14"/>
      <c r="U6" s="14"/>
      <c r="V6" s="14"/>
      <c r="W6" s="14"/>
      <c r="X6" s="14"/>
      <c r="Y6" s="14"/>
      <c r="Z6" s="14"/>
      <c r="AA6" s="14"/>
      <c r="AB6" s="14"/>
    </row>
    <row r="7" spans="1:28" x14ac:dyDescent="0.25">
      <c r="A7" s="14"/>
      <c r="B7" s="14"/>
      <c r="D7" s="13"/>
      <c r="E7" s="13"/>
      <c r="F7" s="13"/>
      <c r="G7" s="13"/>
      <c r="H7" s="13"/>
      <c r="I7" s="13"/>
      <c r="J7" s="14"/>
      <c r="K7" s="14"/>
      <c r="L7" s="13"/>
      <c r="M7" s="14"/>
      <c r="N7" s="14"/>
      <c r="O7" s="14"/>
      <c r="P7" s="14"/>
      <c r="Q7" s="14"/>
      <c r="R7" s="14"/>
      <c r="S7" s="14"/>
      <c r="T7" s="14"/>
      <c r="U7" s="14"/>
      <c r="V7" s="14"/>
      <c r="W7" s="14"/>
      <c r="X7" s="14"/>
      <c r="Y7" s="14"/>
      <c r="Z7" s="14"/>
      <c r="AA7" s="14"/>
      <c r="AB7" s="14"/>
    </row>
    <row r="8" spans="1:28" x14ac:dyDescent="0.25">
      <c r="A8" s="122" t="s">
        <v>5</v>
      </c>
      <c r="B8" s="122" t="s">
        <v>6</v>
      </c>
      <c r="C8" s="838" t="s">
        <v>7</v>
      </c>
      <c r="D8" s="1237" t="s">
        <v>8</v>
      </c>
      <c r="E8" s="1238"/>
      <c r="F8" s="1238"/>
      <c r="G8" s="1238"/>
      <c r="H8" s="1238"/>
      <c r="I8" s="1239"/>
      <c r="J8" s="14"/>
      <c r="K8" s="14"/>
      <c r="L8" s="14"/>
      <c r="M8" s="14"/>
      <c r="N8" s="23"/>
      <c r="O8" s="14"/>
      <c r="P8" s="14"/>
      <c r="Q8" s="14"/>
      <c r="R8" s="14"/>
      <c r="S8" s="14"/>
      <c r="T8" s="14"/>
      <c r="U8" s="14"/>
      <c r="V8" s="14"/>
      <c r="W8" s="14"/>
      <c r="X8" s="14"/>
      <c r="Y8" s="14"/>
      <c r="Z8" s="14"/>
      <c r="AA8" s="14"/>
      <c r="AB8" s="14"/>
    </row>
    <row r="9" spans="1:28" ht="36.75" customHeight="1" x14ac:dyDescent="0.25">
      <c r="A9" s="7"/>
      <c r="B9" s="7"/>
      <c r="C9" s="7"/>
      <c r="D9" s="238" t="s">
        <v>9</v>
      </c>
      <c r="E9" s="238" t="s">
        <v>10</v>
      </c>
      <c r="F9" s="238" t="s">
        <v>11</v>
      </c>
      <c r="G9" s="238" t="s">
        <v>12</v>
      </c>
      <c r="H9" s="238" t="s">
        <v>13</v>
      </c>
      <c r="I9" s="238" t="s">
        <v>14</v>
      </c>
      <c r="J9" s="826" t="s">
        <v>15</v>
      </c>
      <c r="K9" s="738" t="s">
        <v>16</v>
      </c>
      <c r="L9" s="891" t="s">
        <v>17</v>
      </c>
      <c r="M9" s="828" t="s">
        <v>18</v>
      </c>
      <c r="N9" s="919" t="s">
        <v>19</v>
      </c>
      <c r="O9" s="37" t="s">
        <v>20</v>
      </c>
      <c r="P9" s="829" t="s">
        <v>21</v>
      </c>
      <c r="Q9" s="829" t="s">
        <v>22</v>
      </c>
      <c r="R9" s="829" t="s">
        <v>23</v>
      </c>
      <c r="S9" s="828" t="s">
        <v>24</v>
      </c>
      <c r="T9" s="828" t="s">
        <v>25</v>
      </c>
      <c r="U9" s="38" t="s">
        <v>26</v>
      </c>
      <c r="V9" s="39" t="s">
        <v>27</v>
      </c>
      <c r="W9" s="38" t="s">
        <v>28</v>
      </c>
      <c r="X9" s="38" t="s">
        <v>29</v>
      </c>
      <c r="Y9" s="13"/>
      <c r="Z9" s="13"/>
      <c r="AA9" s="13"/>
      <c r="AB9" s="13"/>
    </row>
    <row r="10" spans="1:28" ht="41.25" customHeight="1" x14ac:dyDescent="0.25">
      <c r="A10" s="742"/>
      <c r="B10" s="742"/>
      <c r="C10" s="358">
        <v>0</v>
      </c>
      <c r="D10" s="357" t="s">
        <v>4819</v>
      </c>
      <c r="E10" s="138"/>
      <c r="F10" s="138"/>
      <c r="G10" s="138"/>
      <c r="H10" s="138"/>
      <c r="I10" s="138"/>
      <c r="J10" s="138"/>
      <c r="K10" s="53"/>
      <c r="L10" s="53"/>
      <c r="M10" s="54"/>
      <c r="N10" s="55"/>
      <c r="O10" s="56"/>
      <c r="P10" s="54"/>
      <c r="Q10" s="54"/>
      <c r="R10" s="56"/>
      <c r="S10" s="53"/>
      <c r="T10" s="57"/>
      <c r="U10" s="57"/>
      <c r="V10" s="53"/>
      <c r="W10" s="53"/>
      <c r="X10" s="58"/>
      <c r="Y10" s="13"/>
      <c r="Z10" s="13"/>
      <c r="AA10" s="275"/>
      <c r="AB10" s="275"/>
    </row>
    <row r="11" spans="1:28" s="698" customFormat="1" ht="46.5" x14ac:dyDescent="0.35">
      <c r="A11" s="666" t="s">
        <v>1106</v>
      </c>
      <c r="B11" s="666" t="s">
        <v>32</v>
      </c>
      <c r="C11" s="683"/>
      <c r="D11" s="684"/>
      <c r="E11" s="685"/>
      <c r="F11" s="685" t="s">
        <v>91</v>
      </c>
      <c r="G11" s="686"/>
      <c r="H11" s="685"/>
      <c r="I11" s="685"/>
      <c r="J11" s="687" t="s">
        <v>4756</v>
      </c>
      <c r="K11" s="688" t="s">
        <v>5108</v>
      </c>
      <c r="L11" s="689" t="s">
        <v>4701</v>
      </c>
      <c r="M11" s="690"/>
      <c r="N11" s="691"/>
      <c r="O11" s="692"/>
      <c r="P11" s="690"/>
      <c r="Q11" s="690"/>
      <c r="R11" s="692"/>
      <c r="S11" s="693"/>
      <c r="T11" s="694"/>
      <c r="U11" s="694"/>
      <c r="V11" s="693"/>
      <c r="W11" s="693"/>
      <c r="X11" s="695"/>
      <c r="Y11" s="696"/>
      <c r="Z11" s="696"/>
      <c r="AA11" s="697"/>
      <c r="AB11" s="697"/>
    </row>
    <row r="12" spans="1:28" ht="41.25" customHeight="1" x14ac:dyDescent="0.25">
      <c r="A12" s="3"/>
      <c r="B12" s="3"/>
      <c r="C12" s="358">
        <v>0</v>
      </c>
      <c r="D12" s="357" t="s">
        <v>5109</v>
      </c>
      <c r="E12" s="138"/>
      <c r="F12" s="138"/>
      <c r="G12" s="138"/>
      <c r="H12" s="138"/>
      <c r="I12" s="138"/>
      <c r="J12" s="138"/>
      <c r="K12" s="53"/>
      <c r="L12" s="53"/>
      <c r="M12" s="54"/>
      <c r="N12" s="55"/>
      <c r="O12" s="56"/>
      <c r="P12" s="54"/>
      <c r="Q12" s="54"/>
      <c r="R12" s="56"/>
      <c r="S12" s="53"/>
      <c r="T12" s="57"/>
      <c r="U12" s="57"/>
      <c r="V12" s="53"/>
      <c r="W12" s="53"/>
      <c r="X12" s="58"/>
      <c r="Y12" s="13"/>
      <c r="Z12" s="13"/>
      <c r="AA12" s="275"/>
      <c r="AB12" s="275"/>
    </row>
    <row r="13" spans="1:28" ht="41.25" customHeight="1" x14ac:dyDescent="0.25">
      <c r="A13" s="3"/>
      <c r="B13" s="3"/>
      <c r="C13" s="302"/>
      <c r="D13" s="139">
        <v>1</v>
      </c>
      <c r="E13" s="1291" t="s">
        <v>5110</v>
      </c>
      <c r="F13" s="1291"/>
      <c r="G13" s="1291"/>
      <c r="H13" s="1291"/>
      <c r="I13" s="1291"/>
      <c r="J13" s="1291"/>
      <c r="K13" s="53" t="s">
        <v>4821</v>
      </c>
      <c r="L13" s="53"/>
      <c r="M13" s="54"/>
      <c r="N13" s="55"/>
      <c r="O13" s="56"/>
      <c r="P13" s="54"/>
      <c r="Q13" s="54"/>
      <c r="R13" s="56"/>
      <c r="S13" s="53"/>
      <c r="T13" s="57"/>
      <c r="U13" s="57"/>
      <c r="V13" s="53"/>
      <c r="W13" s="53"/>
      <c r="X13" s="58"/>
      <c r="Y13" s="13"/>
      <c r="Z13" s="13"/>
      <c r="AA13" s="275"/>
      <c r="AB13" s="275"/>
    </row>
    <row r="14" spans="1:28" ht="16.5" customHeight="1" x14ac:dyDescent="0.25">
      <c r="A14" s="3"/>
      <c r="B14" s="3"/>
      <c r="C14" s="654"/>
      <c r="D14" s="701"/>
      <c r="E14" s="1">
        <v>2</v>
      </c>
      <c r="F14" s="1"/>
      <c r="G14" s="702"/>
      <c r="H14" s="702"/>
      <c r="I14" s="702"/>
      <c r="J14" s="702" t="s">
        <v>5111</v>
      </c>
      <c r="K14" s="702"/>
      <c r="L14" s="703" t="s">
        <v>4701</v>
      </c>
      <c r="M14" s="702"/>
      <c r="N14" s="711"/>
      <c r="O14" s="702"/>
      <c r="P14" s="702"/>
      <c r="Q14" s="702"/>
      <c r="R14" s="702"/>
      <c r="S14" s="702"/>
      <c r="T14" s="702"/>
      <c r="U14" s="702"/>
      <c r="V14" s="711"/>
      <c r="W14" s="702"/>
      <c r="X14" s="702"/>
      <c r="Y14" s="277"/>
      <c r="Z14" s="277"/>
      <c r="AA14" s="277"/>
      <c r="AB14" s="277"/>
    </row>
    <row r="15" spans="1:28" ht="63" x14ac:dyDescent="0.25">
      <c r="A15" s="3" t="s">
        <v>1098</v>
      </c>
      <c r="B15" s="3" t="s">
        <v>37</v>
      </c>
      <c r="C15" s="654"/>
      <c r="D15" s="701"/>
      <c r="E15" s="1"/>
      <c r="F15" s="1"/>
      <c r="G15" s="702"/>
      <c r="H15" s="702"/>
      <c r="I15" s="702"/>
      <c r="J15" s="703" t="s">
        <v>5112</v>
      </c>
      <c r="K15" s="703" t="s">
        <v>5113</v>
      </c>
      <c r="L15" s="703" t="s">
        <v>4701</v>
      </c>
      <c r="M15" s="702"/>
      <c r="N15" s="711"/>
      <c r="O15" s="702"/>
      <c r="P15" s="702"/>
      <c r="Q15" s="702"/>
      <c r="R15" s="702"/>
      <c r="S15" s="702"/>
      <c r="T15" s="702"/>
      <c r="U15" s="702"/>
      <c r="V15" s="711"/>
      <c r="W15" s="702"/>
      <c r="X15" s="702"/>
      <c r="Y15" s="277"/>
      <c r="Z15" s="277"/>
      <c r="AA15" s="277"/>
      <c r="AB15" s="277"/>
    </row>
    <row r="16" spans="1:28" ht="47.25" x14ac:dyDescent="0.25">
      <c r="A16" s="3" t="s">
        <v>1098</v>
      </c>
      <c r="B16" s="3" t="s">
        <v>55</v>
      </c>
      <c r="C16" s="654"/>
      <c r="D16" s="701"/>
      <c r="E16" s="1"/>
      <c r="F16" s="1"/>
      <c r="G16" s="702"/>
      <c r="H16" s="702"/>
      <c r="I16" s="702"/>
      <c r="J16" s="703" t="s">
        <v>5114</v>
      </c>
      <c r="K16" s="703" t="s">
        <v>5115</v>
      </c>
      <c r="L16" s="703" t="s">
        <v>4701</v>
      </c>
      <c r="M16" s="702"/>
      <c r="N16" s="711"/>
      <c r="O16" s="702"/>
      <c r="P16" s="702"/>
      <c r="Q16" s="702"/>
      <c r="R16" s="702"/>
      <c r="S16" s="702"/>
      <c r="T16" s="702"/>
      <c r="U16" s="702"/>
      <c r="V16" s="711"/>
      <c r="W16" s="702"/>
      <c r="X16" s="702"/>
      <c r="Y16" s="277"/>
      <c r="Z16" s="277"/>
      <c r="AA16" s="277"/>
      <c r="AB16" s="277"/>
    </row>
    <row r="17" spans="1:31" ht="63" x14ac:dyDescent="0.25">
      <c r="A17" s="3" t="s">
        <v>1098</v>
      </c>
      <c r="B17" s="3" t="s">
        <v>35</v>
      </c>
      <c r="C17" s="654"/>
      <c r="D17" s="701"/>
      <c r="E17" s="1"/>
      <c r="F17" s="1"/>
      <c r="G17" s="702"/>
      <c r="H17" s="702"/>
      <c r="I17" s="702"/>
      <c r="J17" s="703" t="s">
        <v>5116</v>
      </c>
      <c r="K17" s="703" t="s">
        <v>5117</v>
      </c>
      <c r="L17" s="703" t="s">
        <v>4701</v>
      </c>
      <c r="M17" s="702"/>
      <c r="N17" s="711"/>
      <c r="O17" s="702"/>
      <c r="P17" s="702"/>
      <c r="Q17" s="702"/>
      <c r="R17" s="702"/>
      <c r="S17" s="702"/>
      <c r="T17" s="702"/>
      <c r="U17" s="702"/>
      <c r="V17" s="711"/>
      <c r="W17" s="702"/>
      <c r="X17" s="702"/>
      <c r="Y17" s="277"/>
      <c r="Z17" s="277"/>
      <c r="AA17" s="277"/>
      <c r="AB17" s="277"/>
    </row>
    <row r="18" spans="1:31" ht="16.5" customHeight="1" x14ac:dyDescent="0.25">
      <c r="A18" s="3" t="s">
        <v>1098</v>
      </c>
      <c r="B18" s="3" t="s">
        <v>35</v>
      </c>
      <c r="C18" s="654"/>
      <c r="D18" s="701"/>
      <c r="E18" s="1"/>
      <c r="F18" s="1"/>
      <c r="G18" s="702"/>
      <c r="H18" s="702"/>
      <c r="I18" s="702"/>
      <c r="J18" s="703" t="s">
        <v>5118</v>
      </c>
      <c r="K18" s="703" t="s">
        <v>5119</v>
      </c>
      <c r="L18" s="703" t="s">
        <v>5120</v>
      </c>
      <c r="M18" s="702"/>
      <c r="N18" s="711"/>
      <c r="O18" s="702"/>
      <c r="P18" s="702"/>
      <c r="Q18" s="702"/>
      <c r="R18" s="702"/>
      <c r="S18" s="702"/>
      <c r="T18" s="702"/>
      <c r="U18" s="702"/>
      <c r="V18" s="711"/>
      <c r="W18" s="702"/>
      <c r="X18" s="702"/>
      <c r="Y18" s="277"/>
      <c r="Z18" s="277"/>
      <c r="AA18" s="277"/>
      <c r="AB18" s="277"/>
    </row>
    <row r="19" spans="1:31" ht="63" x14ac:dyDescent="0.25">
      <c r="A19" s="3" t="s">
        <v>1098</v>
      </c>
      <c r="B19" s="3" t="s">
        <v>35</v>
      </c>
      <c r="C19" s="654"/>
      <c r="D19" s="701"/>
      <c r="E19" s="1">
        <v>2</v>
      </c>
      <c r="F19" s="1"/>
      <c r="G19" s="702"/>
      <c r="H19" s="702"/>
      <c r="I19" s="702"/>
      <c r="J19" s="703" t="s">
        <v>5121</v>
      </c>
      <c r="K19" s="703" t="s">
        <v>5122</v>
      </c>
      <c r="L19" s="703" t="s">
        <v>4701</v>
      </c>
      <c r="M19" s="702"/>
      <c r="N19" s="711"/>
      <c r="O19" s="702"/>
      <c r="P19" s="702"/>
      <c r="Q19" s="702"/>
      <c r="R19" s="702"/>
      <c r="S19" s="702"/>
      <c r="T19" s="702"/>
      <c r="U19" s="702"/>
      <c r="V19" s="711"/>
      <c r="W19" s="702"/>
      <c r="X19" s="702"/>
      <c r="Y19" s="277"/>
      <c r="Z19" s="277"/>
      <c r="AA19" s="277"/>
      <c r="AB19" s="277"/>
    </row>
    <row r="20" spans="1:31" ht="16.5" customHeight="1" x14ac:dyDescent="0.25">
      <c r="A20" s="276"/>
      <c r="B20" s="276"/>
      <c r="C20" s="276"/>
      <c r="D20" s="277"/>
      <c r="G20" s="278"/>
      <c r="H20" s="278"/>
      <c r="I20" s="278"/>
      <c r="J20" s="374"/>
      <c r="K20" s="374"/>
      <c r="L20" s="374"/>
      <c r="M20" s="278"/>
      <c r="N20" s="279"/>
      <c r="O20" s="278"/>
      <c r="P20" s="278"/>
      <c r="Q20" s="278"/>
      <c r="R20" s="278"/>
      <c r="S20" s="278"/>
      <c r="T20" s="278"/>
      <c r="U20" s="278"/>
      <c r="V20" s="278"/>
      <c r="W20" s="278"/>
      <c r="X20" s="278"/>
      <c r="Y20" s="277"/>
      <c r="Z20" s="277"/>
      <c r="AA20" s="277"/>
      <c r="AB20" s="277"/>
    </row>
    <row r="21" spans="1:31" ht="41.25" customHeight="1" x14ac:dyDescent="0.25">
      <c r="A21" s="302"/>
      <c r="B21" s="302"/>
      <c r="C21" s="302"/>
      <c r="D21" s="139">
        <v>1</v>
      </c>
      <c r="E21" s="1291" t="s">
        <v>5123</v>
      </c>
      <c r="F21" s="1291"/>
      <c r="G21" s="1291"/>
      <c r="H21" s="1291"/>
      <c r="I21" s="1291"/>
      <c r="J21" s="1291"/>
      <c r="K21" s="53"/>
      <c r="L21" s="53"/>
      <c r="M21" s="54"/>
      <c r="N21" s="55"/>
      <c r="O21" s="56"/>
      <c r="P21" s="54"/>
      <c r="Q21" s="54"/>
      <c r="R21" s="56"/>
      <c r="S21" s="53"/>
      <c r="T21" s="57"/>
      <c r="U21" s="57"/>
      <c r="V21" s="53"/>
      <c r="W21" s="53"/>
      <c r="X21" s="58"/>
      <c r="Y21" s="13"/>
      <c r="Z21" s="13"/>
      <c r="AA21" s="275"/>
      <c r="AB21" s="275"/>
    </row>
    <row r="22" spans="1:31" s="698" customFormat="1" ht="16.5" customHeight="1" x14ac:dyDescent="0.25">
      <c r="A22" s="666" t="s">
        <v>1106</v>
      </c>
      <c r="B22" s="666" t="s">
        <v>32</v>
      </c>
      <c r="D22" s="696"/>
      <c r="G22" s="699"/>
      <c r="H22" s="699"/>
      <c r="I22" s="699"/>
      <c r="J22" s="689" t="s">
        <v>5124</v>
      </c>
      <c r="K22" s="689" t="s">
        <v>5125</v>
      </c>
      <c r="L22" s="689" t="s">
        <v>4701</v>
      </c>
      <c r="M22" s="699"/>
      <c r="N22" s="700"/>
      <c r="O22" s="699"/>
      <c r="P22" s="699"/>
      <c r="Q22" s="699"/>
      <c r="R22" s="699"/>
      <c r="S22" s="699"/>
      <c r="T22" s="699"/>
      <c r="U22" s="699"/>
      <c r="V22" s="699"/>
      <c r="W22" s="699"/>
      <c r="X22" s="699"/>
      <c r="Y22" s="13"/>
      <c r="Z22" s="13"/>
      <c r="AA22" s="275"/>
      <c r="AB22" s="275"/>
      <c r="AC22"/>
      <c r="AD22"/>
      <c r="AE22"/>
    </row>
    <row r="23" spans="1:31" s="698" customFormat="1" ht="16.5" customHeight="1" x14ac:dyDescent="0.25">
      <c r="A23" s="666" t="s">
        <v>1106</v>
      </c>
      <c r="B23" s="666" t="s">
        <v>32</v>
      </c>
      <c r="D23" s="696"/>
      <c r="G23" s="699"/>
      <c r="H23" s="699"/>
      <c r="I23" s="699"/>
      <c r="J23" s="689" t="s">
        <v>5126</v>
      </c>
      <c r="K23" s="689" t="s">
        <v>5127</v>
      </c>
      <c r="L23" s="689" t="s">
        <v>5089</v>
      </c>
      <c r="M23" s="699"/>
      <c r="N23" s="700"/>
      <c r="O23" s="699"/>
      <c r="P23" s="699"/>
      <c r="Q23" s="699"/>
      <c r="R23" s="699"/>
      <c r="S23" s="699"/>
      <c r="T23" s="699"/>
      <c r="U23" s="699"/>
      <c r="V23" s="699"/>
      <c r="W23" s="699"/>
      <c r="X23" s="699"/>
      <c r="Y23" s="13"/>
      <c r="Z23" s="13"/>
      <c r="AA23" s="275"/>
      <c r="AB23" s="275"/>
      <c r="AC23"/>
      <c r="AD23"/>
      <c r="AE23"/>
    </row>
    <row r="24" spans="1:31" ht="41.25" customHeight="1" x14ac:dyDescent="0.25">
      <c r="A24" s="302"/>
      <c r="B24" s="302"/>
      <c r="C24" s="302"/>
      <c r="D24" s="139">
        <v>1</v>
      </c>
      <c r="E24" s="1291" t="s">
        <v>4144</v>
      </c>
      <c r="F24" s="1291"/>
      <c r="G24" s="1291"/>
      <c r="H24" s="1291"/>
      <c r="I24" s="1291"/>
      <c r="J24" s="1291"/>
      <c r="K24" s="53"/>
      <c r="L24" s="53"/>
      <c r="M24" s="54"/>
      <c r="N24" s="55"/>
      <c r="O24" s="56"/>
      <c r="P24" s="54"/>
      <c r="Q24" s="54"/>
      <c r="R24" s="56"/>
      <c r="S24" s="53"/>
      <c r="T24" s="57"/>
      <c r="U24" s="57"/>
      <c r="V24" s="53"/>
      <c r="W24" s="53"/>
      <c r="X24" s="58"/>
      <c r="Y24" s="13"/>
      <c r="Z24" s="13"/>
      <c r="AA24" s="275"/>
      <c r="AB24" s="275"/>
    </row>
    <row r="25" spans="1:31" s="698" customFormat="1" ht="31.5" x14ac:dyDescent="0.25">
      <c r="A25" s="666" t="s">
        <v>1106</v>
      </c>
      <c r="B25" s="666" t="s">
        <v>32</v>
      </c>
      <c r="D25" s="696"/>
      <c r="G25" s="699"/>
      <c r="H25" s="699"/>
      <c r="I25" s="699"/>
      <c r="J25" s="689" t="s">
        <v>5128</v>
      </c>
      <c r="K25" s="689" t="s">
        <v>5129</v>
      </c>
      <c r="L25" s="689"/>
      <c r="M25" s="699"/>
      <c r="N25" s="700"/>
      <c r="O25" s="699"/>
      <c r="P25" s="699"/>
      <c r="Q25" s="699"/>
      <c r="R25" s="699"/>
      <c r="S25" s="699"/>
      <c r="T25" s="699"/>
      <c r="U25" s="699"/>
      <c r="V25" s="699"/>
      <c r="W25" s="699"/>
      <c r="X25" s="699"/>
      <c r="Y25" s="13"/>
      <c r="Z25" s="13"/>
      <c r="AA25" s="275"/>
      <c r="AB25" s="275"/>
      <c r="AC25"/>
      <c r="AD25"/>
      <c r="AE25"/>
    </row>
    <row r="26" spans="1:31" s="698" customFormat="1" ht="31.5" x14ac:dyDescent="0.25">
      <c r="A26" s="666" t="s">
        <v>1106</v>
      </c>
      <c r="B26" s="666" t="s">
        <v>32</v>
      </c>
      <c r="D26" s="696"/>
      <c r="G26" s="699"/>
      <c r="H26" s="699"/>
      <c r="I26" s="699"/>
      <c r="J26" s="689" t="s">
        <v>5130</v>
      </c>
      <c r="K26" s="689" t="s">
        <v>5131</v>
      </c>
      <c r="L26" s="689" t="s">
        <v>4701</v>
      </c>
      <c r="M26" s="699"/>
      <c r="N26" s="700"/>
      <c r="O26" s="699"/>
      <c r="P26" s="699"/>
      <c r="Q26" s="699"/>
      <c r="R26" s="699"/>
      <c r="S26" s="699"/>
      <c r="T26" s="699"/>
      <c r="U26" s="699"/>
      <c r="V26" s="699"/>
      <c r="W26" s="699"/>
      <c r="X26" s="699"/>
      <c r="Y26" s="13"/>
      <c r="Z26" s="13"/>
      <c r="AA26" s="275"/>
      <c r="AB26" s="275"/>
      <c r="AC26"/>
      <c r="AD26"/>
      <c r="AE26"/>
    </row>
    <row r="27" spans="1:31" s="698" customFormat="1" ht="63" x14ac:dyDescent="0.25">
      <c r="A27" s="666" t="s">
        <v>1106</v>
      </c>
      <c r="B27" s="666" t="s">
        <v>32</v>
      </c>
      <c r="D27" s="696"/>
      <c r="G27" s="699"/>
      <c r="H27" s="699"/>
      <c r="I27" s="699"/>
      <c r="J27" s="689" t="s">
        <v>5132</v>
      </c>
      <c r="K27" s="689" t="s">
        <v>5133</v>
      </c>
      <c r="L27" s="689" t="s">
        <v>4701</v>
      </c>
      <c r="M27" s="699"/>
      <c r="N27" s="700"/>
      <c r="O27" s="699"/>
      <c r="P27" s="699"/>
      <c r="Q27" s="699"/>
      <c r="R27" s="699"/>
      <c r="S27" s="699"/>
      <c r="T27" s="699"/>
      <c r="U27" s="699"/>
      <c r="V27" s="699"/>
      <c r="W27" s="699"/>
      <c r="X27" s="699"/>
      <c r="Y27" s="13"/>
      <c r="Z27" s="13"/>
      <c r="AA27" s="275"/>
      <c r="AB27" s="275"/>
      <c r="AC27"/>
      <c r="AD27"/>
      <c r="AE27"/>
    </row>
    <row r="28" spans="1:31" s="698" customFormat="1" ht="94.5" x14ac:dyDescent="0.25">
      <c r="A28" s="666" t="s">
        <v>1106</v>
      </c>
      <c r="B28" s="666" t="s">
        <v>32</v>
      </c>
      <c r="D28" s="696"/>
      <c r="G28" s="699"/>
      <c r="H28" s="699"/>
      <c r="I28" s="699"/>
      <c r="J28" s="689" t="s">
        <v>5134</v>
      </c>
      <c r="K28" s="689" t="s">
        <v>5135</v>
      </c>
      <c r="L28" s="689" t="s">
        <v>4701</v>
      </c>
      <c r="M28" s="699"/>
      <c r="N28" s="700"/>
      <c r="O28" s="699"/>
      <c r="P28" s="699"/>
      <c r="Q28" s="699"/>
      <c r="R28" s="699"/>
      <c r="S28" s="699"/>
      <c r="T28" s="699"/>
      <c r="U28" s="699"/>
      <c r="V28" s="699"/>
      <c r="W28" s="699"/>
      <c r="X28" s="699"/>
      <c r="Y28" s="13"/>
      <c r="Z28" s="13"/>
      <c r="AA28" s="275"/>
      <c r="AB28" s="275"/>
      <c r="AC28"/>
      <c r="AD28"/>
      <c r="AE28"/>
    </row>
    <row r="29" spans="1:31" s="698" customFormat="1" ht="33" customHeight="1" x14ac:dyDescent="0.25">
      <c r="A29" s="666" t="s">
        <v>1106</v>
      </c>
      <c r="B29" s="666" t="s">
        <v>32</v>
      </c>
      <c r="D29" s="696"/>
      <c r="G29" s="699"/>
      <c r="H29" s="699"/>
      <c r="I29" s="699"/>
      <c r="J29" s="689" t="s">
        <v>5136</v>
      </c>
      <c r="K29" s="689" t="s">
        <v>5137</v>
      </c>
      <c r="L29" s="689" t="s">
        <v>4701</v>
      </c>
      <c r="M29" s="699"/>
      <c r="N29" s="700"/>
      <c r="O29" s="699"/>
      <c r="P29" s="699"/>
      <c r="Q29" s="699"/>
      <c r="R29" s="699"/>
      <c r="S29" s="699"/>
      <c r="T29" s="699"/>
      <c r="U29" s="699"/>
      <c r="V29" s="699"/>
      <c r="W29" s="699"/>
      <c r="X29" s="699"/>
      <c r="Y29" s="13"/>
      <c r="Z29" s="13"/>
      <c r="AA29" s="275"/>
      <c r="AB29" s="275"/>
      <c r="AC29"/>
      <c r="AD29"/>
      <c r="AE29"/>
    </row>
    <row r="30" spans="1:31" ht="18.75" x14ac:dyDescent="0.25">
      <c r="A30" s="735"/>
      <c r="B30" s="735"/>
      <c r="C30" s="735"/>
      <c r="D30" s="1008">
        <v>1</v>
      </c>
      <c r="E30" s="1346" t="s">
        <v>5138</v>
      </c>
      <c r="F30" s="1346"/>
      <c r="G30" s="1346"/>
      <c r="H30" s="1346"/>
      <c r="I30" s="1346"/>
      <c r="J30" s="1346"/>
      <c r="K30" s="942"/>
      <c r="L30" s="942"/>
      <c r="M30" s="1009"/>
      <c r="N30" s="1010"/>
      <c r="O30" s="1011"/>
      <c r="P30" s="1009"/>
      <c r="Q30" s="1009"/>
      <c r="R30" s="1011"/>
      <c r="S30" s="942"/>
      <c r="T30" s="1012"/>
      <c r="U30" s="1012"/>
      <c r="V30" s="942"/>
      <c r="W30" s="942"/>
      <c r="X30" s="943"/>
      <c r="Y30" s="13"/>
      <c r="Z30" s="13"/>
      <c r="AA30" s="275"/>
      <c r="AB30" s="275"/>
    </row>
    <row r="31" spans="1:31" ht="15.75" x14ac:dyDescent="0.25">
      <c r="A31" s="3"/>
      <c r="B31" s="3"/>
      <c r="C31" s="654"/>
      <c r="D31" s="701"/>
      <c r="E31" s="1">
        <v>2</v>
      </c>
      <c r="F31" s="1"/>
      <c r="G31" s="702"/>
      <c r="H31" s="702"/>
      <c r="I31" s="702"/>
      <c r="J31" s="703" t="s">
        <v>5139</v>
      </c>
      <c r="K31" s="703"/>
      <c r="L31" s="703"/>
      <c r="M31" s="278"/>
      <c r="N31" s="279"/>
      <c r="O31" s="278"/>
      <c r="P31" s="278"/>
      <c r="Q31" s="278"/>
      <c r="R31" s="278"/>
      <c r="S31" s="278"/>
      <c r="T31" s="278"/>
      <c r="U31" s="278"/>
      <c r="V31" s="278"/>
      <c r="W31" s="278"/>
      <c r="X31" s="278"/>
      <c r="Y31" s="13"/>
      <c r="Z31" s="13"/>
      <c r="AA31" s="275"/>
      <c r="AB31" s="275"/>
    </row>
    <row r="32" spans="1:31" ht="31.5" x14ac:dyDescent="0.25">
      <c r="A32" s="3"/>
      <c r="B32" s="3"/>
      <c r="C32" s="654"/>
      <c r="D32" s="701"/>
      <c r="E32" s="1"/>
      <c r="F32" s="1">
        <v>3</v>
      </c>
      <c r="G32" s="702"/>
      <c r="H32" s="702"/>
      <c r="I32" s="702"/>
      <c r="J32" s="703" t="s">
        <v>5130</v>
      </c>
      <c r="K32" s="703" t="s">
        <v>5140</v>
      </c>
      <c r="L32" s="703" t="s">
        <v>4701</v>
      </c>
      <c r="M32" s="278"/>
      <c r="N32" s="279"/>
      <c r="O32" s="278"/>
      <c r="P32" s="278"/>
      <c r="Q32" s="278"/>
      <c r="R32" s="278"/>
      <c r="S32" s="278"/>
      <c r="T32" s="278"/>
      <c r="U32" s="278"/>
      <c r="V32" s="278"/>
      <c r="W32" s="278"/>
      <c r="X32" s="278"/>
      <c r="Y32" s="13"/>
      <c r="Z32" s="13"/>
      <c r="AA32" s="275"/>
      <c r="AB32" s="275"/>
    </row>
    <row r="33" spans="1:31" ht="31.5" x14ac:dyDescent="0.25">
      <c r="A33" s="3"/>
      <c r="B33" s="3"/>
      <c r="C33" s="654"/>
      <c r="D33" s="701"/>
      <c r="E33" s="1"/>
      <c r="F33" s="1">
        <v>3</v>
      </c>
      <c r="G33" s="702"/>
      <c r="H33" s="702"/>
      <c r="I33" s="702"/>
      <c r="J33" s="703" t="s">
        <v>5141</v>
      </c>
      <c r="K33" s="703" t="s">
        <v>5142</v>
      </c>
      <c r="L33" s="703" t="s">
        <v>5143</v>
      </c>
      <c r="M33" s="278"/>
      <c r="N33" s="279"/>
      <c r="O33" s="278"/>
      <c r="P33" s="278"/>
      <c r="Q33" s="278"/>
      <c r="R33" s="278"/>
      <c r="S33" s="278"/>
      <c r="T33" s="278"/>
      <c r="U33" s="278"/>
      <c r="V33" s="278"/>
      <c r="W33" s="278"/>
      <c r="X33" s="278"/>
      <c r="Y33" s="13"/>
      <c r="Z33" s="13"/>
      <c r="AA33" s="275"/>
      <c r="AB33" s="275"/>
    </row>
    <row r="34" spans="1:31" ht="47.25" x14ac:dyDescent="0.25">
      <c r="A34" s="3"/>
      <c r="B34" s="3"/>
      <c r="C34" s="654"/>
      <c r="D34" s="701"/>
      <c r="E34" s="1">
        <v>2</v>
      </c>
      <c r="F34" s="1"/>
      <c r="G34" s="702"/>
      <c r="H34" s="702"/>
      <c r="I34" s="702"/>
      <c r="J34" s="703" t="s">
        <v>5144</v>
      </c>
      <c r="K34" s="703" t="s">
        <v>5145</v>
      </c>
      <c r="L34" s="703" t="s">
        <v>5146</v>
      </c>
      <c r="M34" s="278"/>
      <c r="N34" s="279"/>
      <c r="O34" s="278"/>
      <c r="P34" s="278"/>
      <c r="Q34" s="278"/>
      <c r="R34" s="278"/>
      <c r="S34" s="278"/>
      <c r="T34" s="278"/>
      <c r="U34" s="278"/>
      <c r="V34" s="278"/>
      <c r="W34" s="278"/>
      <c r="X34" s="278"/>
      <c r="Y34" s="13"/>
      <c r="Z34" s="13"/>
      <c r="AA34" s="275"/>
      <c r="AB34" s="275"/>
    </row>
    <row r="35" spans="1:31" ht="38.25" x14ac:dyDescent="0.25">
      <c r="A35" s="735"/>
      <c r="B35" s="735"/>
      <c r="C35" s="735"/>
      <c r="D35" s="1008">
        <v>1</v>
      </c>
      <c r="E35" s="1346" t="s">
        <v>5147</v>
      </c>
      <c r="F35" s="1346"/>
      <c r="G35" s="1346"/>
      <c r="H35" s="1346"/>
      <c r="I35" s="1346"/>
      <c r="J35" s="1346"/>
      <c r="K35" s="942" t="s">
        <v>4821</v>
      </c>
      <c r="L35" s="942"/>
      <c r="M35" s="1009"/>
      <c r="N35" s="1010"/>
      <c r="O35" s="1011"/>
      <c r="P35" s="1009"/>
      <c r="Q35" s="1009"/>
      <c r="R35" s="1011"/>
      <c r="S35" s="942"/>
      <c r="T35" s="1012"/>
      <c r="U35" s="1012"/>
      <c r="V35" s="942"/>
      <c r="W35" s="942"/>
      <c r="X35" s="943"/>
      <c r="Y35" s="13"/>
      <c r="Z35" s="13"/>
      <c r="AA35" s="275"/>
      <c r="AB35" s="275"/>
    </row>
    <row r="36" spans="1:31" ht="31.5" x14ac:dyDescent="0.25">
      <c r="A36" s="3"/>
      <c r="B36" s="3"/>
      <c r="C36" s="654"/>
      <c r="D36" s="701"/>
      <c r="E36" s="1"/>
      <c r="F36" s="1"/>
      <c r="G36" s="702"/>
      <c r="H36" s="702"/>
      <c r="I36" s="702"/>
      <c r="J36" s="703" t="s">
        <v>5148</v>
      </c>
      <c r="K36" s="703" t="s">
        <v>5149</v>
      </c>
      <c r="L36" s="703" t="s">
        <v>4701</v>
      </c>
      <c r="M36" s="278"/>
      <c r="N36" s="279"/>
      <c r="O36" s="278"/>
      <c r="P36" s="278"/>
      <c r="Q36" s="278"/>
      <c r="R36" s="278"/>
      <c r="S36" s="278"/>
      <c r="T36" s="278"/>
      <c r="U36" s="278"/>
      <c r="V36" s="278"/>
      <c r="W36" s="278"/>
      <c r="X36" s="278"/>
      <c r="Y36" s="13"/>
      <c r="Z36" s="13"/>
      <c r="AA36" s="275"/>
      <c r="AB36" s="275"/>
    </row>
    <row r="37" spans="1:31" ht="31.5" x14ac:dyDescent="0.25">
      <c r="A37" s="3"/>
      <c r="B37" s="3"/>
      <c r="C37" s="654"/>
      <c r="D37" s="701"/>
      <c r="E37" s="1"/>
      <c r="F37" s="1"/>
      <c r="G37" s="702"/>
      <c r="H37" s="702"/>
      <c r="I37" s="702"/>
      <c r="J37" s="703" t="s">
        <v>5150</v>
      </c>
      <c r="K37" s="703" t="s">
        <v>5151</v>
      </c>
      <c r="L37" s="703" t="s">
        <v>5143</v>
      </c>
      <c r="M37" s="278"/>
      <c r="N37" s="279"/>
      <c r="O37" s="278"/>
      <c r="P37" s="278"/>
      <c r="Q37" s="278"/>
      <c r="R37" s="278"/>
      <c r="S37" s="278"/>
      <c r="T37" s="278"/>
      <c r="U37" s="278"/>
      <c r="V37" s="278"/>
      <c r="W37" s="278"/>
      <c r="X37" s="278"/>
      <c r="Y37" s="13"/>
      <c r="Z37" s="13"/>
      <c r="AA37" s="275"/>
      <c r="AB37" s="275"/>
    </row>
    <row r="38" spans="1:31" ht="15.75" x14ac:dyDescent="0.25">
      <c r="A38" s="3"/>
      <c r="B38" s="3"/>
      <c r="C38" s="654"/>
      <c r="D38" s="701"/>
      <c r="E38" s="1"/>
      <c r="F38" s="1"/>
      <c r="G38" s="702"/>
      <c r="H38" s="702"/>
      <c r="I38" s="702"/>
      <c r="J38" s="703" t="s">
        <v>5152</v>
      </c>
      <c r="K38" s="703" t="s">
        <v>5153</v>
      </c>
      <c r="L38" s="703" t="s">
        <v>4701</v>
      </c>
      <c r="M38" s="278"/>
      <c r="N38" s="279"/>
      <c r="O38" s="278"/>
      <c r="P38" s="278"/>
      <c r="Q38" s="278"/>
      <c r="R38" s="278"/>
      <c r="S38" s="278"/>
      <c r="T38" s="278"/>
      <c r="U38" s="278"/>
      <c r="V38" s="278"/>
      <c r="W38" s="278"/>
      <c r="X38" s="278"/>
      <c r="Y38" s="13"/>
      <c r="Z38" s="13"/>
      <c r="AA38" s="275"/>
      <c r="AB38" s="275"/>
    </row>
    <row r="39" spans="1:31" ht="38.25" x14ac:dyDescent="0.25">
      <c r="A39" s="735"/>
      <c r="B39" s="735"/>
      <c r="C39" s="735"/>
      <c r="D39" s="1008">
        <v>1</v>
      </c>
      <c r="E39" s="1346" t="s">
        <v>5154</v>
      </c>
      <c r="F39" s="1346"/>
      <c r="G39" s="1346"/>
      <c r="H39" s="1346"/>
      <c r="I39" s="1346"/>
      <c r="J39" s="1346"/>
      <c r="K39" s="942" t="s">
        <v>4821</v>
      </c>
      <c r="L39" s="942"/>
      <c r="M39" s="1009"/>
      <c r="N39" s="1010"/>
      <c r="O39" s="1011"/>
      <c r="P39" s="1009"/>
      <c r="Q39" s="1009"/>
      <c r="R39" s="1011"/>
      <c r="S39" s="942"/>
      <c r="T39" s="1012"/>
      <c r="U39" s="1012"/>
      <c r="V39" s="942"/>
      <c r="W39" s="942"/>
      <c r="X39" s="943"/>
      <c r="Y39" s="13"/>
      <c r="Z39" s="13"/>
      <c r="AA39" s="275"/>
      <c r="AB39" s="275"/>
    </row>
    <row r="40" spans="1:31" ht="31.5" x14ac:dyDescent="0.25">
      <c r="A40" s="3"/>
      <c r="B40" s="3"/>
      <c r="C40" s="654"/>
      <c r="D40" s="701"/>
      <c r="E40" s="1"/>
      <c r="F40" s="1"/>
      <c r="G40" s="702"/>
      <c r="H40" s="702"/>
      <c r="I40" s="702"/>
      <c r="J40" s="703" t="s">
        <v>5155</v>
      </c>
      <c r="K40" s="703" t="s">
        <v>5156</v>
      </c>
      <c r="L40" s="1013" t="s">
        <v>5157</v>
      </c>
      <c r="M40" s="278"/>
      <c r="N40" s="279"/>
      <c r="O40" s="278"/>
      <c r="P40" s="278"/>
      <c r="Q40" s="278"/>
      <c r="R40" s="278"/>
      <c r="S40" s="278"/>
      <c r="T40" s="278"/>
      <c r="U40" s="278"/>
      <c r="V40" s="278"/>
      <c r="W40" s="278"/>
      <c r="X40" s="278"/>
      <c r="Y40" s="13"/>
      <c r="Z40" s="13"/>
      <c r="AA40" s="275"/>
      <c r="AB40" s="275"/>
    </row>
    <row r="41" spans="1:31" ht="15.75" x14ac:dyDescent="0.25">
      <c r="A41" s="3"/>
      <c r="B41" s="3"/>
      <c r="C41" s="654"/>
      <c r="D41" s="701"/>
      <c r="E41" s="1"/>
      <c r="F41" s="1"/>
      <c r="G41" s="702"/>
      <c r="H41" s="702"/>
      <c r="I41" s="702"/>
      <c r="J41" s="703" t="s">
        <v>5158</v>
      </c>
      <c r="K41" s="702"/>
      <c r="L41" s="1014" t="s">
        <v>5143</v>
      </c>
      <c r="M41" s="278"/>
      <c r="N41" s="279"/>
      <c r="O41" s="278"/>
      <c r="P41" s="278"/>
      <c r="Q41" s="278"/>
      <c r="R41" s="278"/>
      <c r="S41" s="278"/>
      <c r="T41" s="278"/>
      <c r="U41" s="278"/>
      <c r="V41" s="278"/>
      <c r="W41" s="278"/>
      <c r="X41" s="278"/>
      <c r="Y41" s="13"/>
      <c r="Z41" s="13"/>
      <c r="AA41" s="275"/>
      <c r="AB41" s="275"/>
    </row>
    <row r="42" spans="1:31" ht="15.75" x14ac:dyDescent="0.25">
      <c r="A42" s="3"/>
      <c r="B42" s="3"/>
      <c r="C42" s="654"/>
      <c r="D42" s="701"/>
      <c r="E42" s="1"/>
      <c r="F42" s="1"/>
      <c r="G42" s="702"/>
      <c r="H42" s="702"/>
      <c r="I42" s="702"/>
      <c r="J42" s="703"/>
      <c r="K42" s="702"/>
      <c r="L42" s="702"/>
      <c r="M42" s="278"/>
      <c r="N42" s="279"/>
      <c r="O42" s="278"/>
      <c r="P42" s="278"/>
      <c r="Q42" s="278"/>
      <c r="R42" s="278"/>
      <c r="S42" s="278"/>
      <c r="T42" s="278"/>
      <c r="U42" s="278"/>
      <c r="V42" s="278"/>
      <c r="W42" s="278"/>
      <c r="X42" s="278"/>
      <c r="Y42" s="13"/>
      <c r="Z42" s="13"/>
      <c r="AA42" s="275"/>
      <c r="AB42" s="275"/>
    </row>
    <row r="43" spans="1:31" ht="38.25" x14ac:dyDescent="0.25">
      <c r="A43" s="302"/>
      <c r="B43" s="302"/>
      <c r="C43" s="302"/>
      <c r="D43" s="139">
        <v>1</v>
      </c>
      <c r="E43" s="1291" t="s">
        <v>5159</v>
      </c>
      <c r="F43" s="1291"/>
      <c r="G43" s="1291"/>
      <c r="H43" s="1291"/>
      <c r="I43" s="1291"/>
      <c r="J43" s="1291"/>
      <c r="K43" s="53" t="s">
        <v>4821</v>
      </c>
      <c r="L43" s="53"/>
      <c r="M43" s="54"/>
      <c r="N43" s="55"/>
      <c r="O43" s="56"/>
      <c r="P43" s="54"/>
      <c r="Q43" s="54"/>
      <c r="R43" s="56"/>
      <c r="S43" s="53"/>
      <c r="T43" s="57"/>
      <c r="U43" s="57"/>
      <c r="V43" s="53"/>
      <c r="W43" s="53"/>
      <c r="X43" s="58"/>
      <c r="Y43" s="13"/>
      <c r="Z43" s="13"/>
      <c r="AA43" s="275"/>
      <c r="AB43" s="275"/>
    </row>
    <row r="44" spans="1:31" ht="31.5" x14ac:dyDescent="0.25">
      <c r="A44" s="3" t="s">
        <v>1098</v>
      </c>
      <c r="B44" s="3" t="s">
        <v>35</v>
      </c>
      <c r="C44" s="654"/>
      <c r="D44" s="701"/>
      <c r="E44" s="1"/>
      <c r="F44" s="1"/>
      <c r="G44" s="702"/>
      <c r="H44" s="702"/>
      <c r="I44" s="702"/>
      <c r="J44" s="703" t="s">
        <v>5160</v>
      </c>
      <c r="K44" s="703" t="s">
        <v>5161</v>
      </c>
      <c r="L44" s="703" t="s">
        <v>4701</v>
      </c>
      <c r="M44" s="278"/>
      <c r="N44" s="279"/>
      <c r="O44" s="278"/>
      <c r="P44" s="278"/>
      <c r="Q44" s="278"/>
      <c r="R44" s="278"/>
      <c r="S44" s="278"/>
      <c r="T44" s="278"/>
      <c r="U44" s="278"/>
      <c r="V44" s="278"/>
      <c r="W44" s="278"/>
      <c r="X44" s="278"/>
      <c r="Y44" s="13"/>
      <c r="Z44" s="13"/>
      <c r="AA44" s="275"/>
      <c r="AB44" s="275"/>
    </row>
    <row r="45" spans="1:31" ht="47.25" x14ac:dyDescent="0.25">
      <c r="A45" s="3" t="s">
        <v>1098</v>
      </c>
      <c r="B45" s="3" t="s">
        <v>35</v>
      </c>
      <c r="C45" s="654"/>
      <c r="D45" s="701"/>
      <c r="E45" s="1"/>
      <c r="F45" s="1"/>
      <c r="G45" s="702"/>
      <c r="H45" s="702"/>
      <c r="I45" s="702"/>
      <c r="J45" s="703" t="s">
        <v>5162</v>
      </c>
      <c r="K45" s="703" t="s">
        <v>5163</v>
      </c>
      <c r="L45" s="703" t="s">
        <v>5021</v>
      </c>
      <c r="M45" s="278"/>
      <c r="N45" s="279"/>
      <c r="O45" s="278"/>
      <c r="P45" s="278"/>
      <c r="Q45" s="278"/>
      <c r="R45" s="278"/>
      <c r="S45" s="278"/>
      <c r="T45" s="278"/>
      <c r="U45" s="278"/>
      <c r="V45" s="278"/>
      <c r="W45" s="278"/>
      <c r="X45" s="278"/>
      <c r="Y45" s="13"/>
      <c r="Z45" s="13"/>
      <c r="AA45" s="275"/>
      <c r="AB45" s="275"/>
    </row>
    <row r="46" spans="1:31" s="698" customFormat="1" ht="31.5" x14ac:dyDescent="0.25">
      <c r="A46" s="666" t="s">
        <v>1106</v>
      </c>
      <c r="B46" s="666" t="s">
        <v>32</v>
      </c>
      <c r="C46" s="707"/>
      <c r="D46" s="708"/>
      <c r="E46" s="707"/>
      <c r="F46" s="707"/>
      <c r="G46" s="709"/>
      <c r="H46" s="709"/>
      <c r="I46" s="709"/>
      <c r="J46" s="710" t="s">
        <v>5164</v>
      </c>
      <c r="K46" s="710" t="s">
        <v>5165</v>
      </c>
      <c r="L46" s="710"/>
      <c r="M46" s="699"/>
      <c r="N46" s="700"/>
      <c r="O46" s="699"/>
      <c r="P46" s="699"/>
      <c r="Q46" s="699"/>
      <c r="R46" s="699"/>
      <c r="S46" s="699"/>
      <c r="T46" s="699"/>
      <c r="U46" s="699"/>
      <c r="V46" s="699"/>
      <c r="W46" s="699"/>
      <c r="X46" s="699"/>
      <c r="Y46" s="13"/>
      <c r="Z46" s="13"/>
      <c r="AA46" s="275"/>
      <c r="AB46" s="275"/>
      <c r="AC46"/>
      <c r="AD46"/>
      <c r="AE46"/>
    </row>
    <row r="47" spans="1:31" ht="31.5" x14ac:dyDescent="0.25">
      <c r="A47" s="3" t="s">
        <v>1098</v>
      </c>
      <c r="B47" s="3" t="s">
        <v>35</v>
      </c>
      <c r="C47" s="654"/>
      <c r="D47" s="701"/>
      <c r="E47" s="1"/>
      <c r="F47" s="1"/>
      <c r="G47" s="702"/>
      <c r="H47" s="702"/>
      <c r="I47" s="702"/>
      <c r="J47" s="703" t="s">
        <v>5166</v>
      </c>
      <c r="K47" s="703" t="s">
        <v>5167</v>
      </c>
      <c r="L47" s="702"/>
      <c r="M47" s="278"/>
      <c r="N47" s="279"/>
      <c r="O47" s="278"/>
      <c r="P47" s="278"/>
      <c r="Q47" s="278"/>
      <c r="R47" s="278"/>
      <c r="S47" s="278"/>
      <c r="T47" s="278"/>
      <c r="U47" s="278"/>
      <c r="V47" s="278"/>
      <c r="W47" s="278"/>
      <c r="X47" s="278"/>
      <c r="Y47" s="13"/>
      <c r="Z47" s="13"/>
      <c r="AA47" s="275"/>
      <c r="AB47" s="275"/>
    </row>
    <row r="48" spans="1:31" ht="31.5" x14ac:dyDescent="0.25">
      <c r="A48" s="3" t="s">
        <v>1098</v>
      </c>
      <c r="B48" s="3"/>
      <c r="C48" s="654"/>
      <c r="D48" s="701"/>
      <c r="E48" s="1"/>
      <c r="F48" s="1"/>
      <c r="G48" s="702"/>
      <c r="H48" s="702"/>
      <c r="I48" s="702"/>
      <c r="J48" s="703" t="s">
        <v>5168</v>
      </c>
      <c r="K48" s="703" t="s">
        <v>5169</v>
      </c>
      <c r="L48" s="702"/>
      <c r="M48" s="278"/>
      <c r="N48" s="279"/>
      <c r="O48" s="278"/>
      <c r="P48" s="278"/>
      <c r="Q48" s="278"/>
      <c r="R48" s="278"/>
      <c r="S48" s="278"/>
      <c r="T48" s="278"/>
      <c r="U48" s="278"/>
      <c r="V48" s="278"/>
      <c r="W48" s="278"/>
      <c r="X48" s="278"/>
      <c r="Y48" s="13"/>
      <c r="Z48" s="13"/>
      <c r="AA48" s="275"/>
      <c r="AB48" s="275"/>
    </row>
    <row r="49" spans="1:31" ht="38.25" x14ac:dyDescent="0.25">
      <c r="A49" s="302"/>
      <c r="B49" s="302"/>
      <c r="C49" s="302"/>
      <c r="D49" s="139">
        <v>1</v>
      </c>
      <c r="E49" s="1291" t="s">
        <v>1348</v>
      </c>
      <c r="F49" s="1291"/>
      <c r="G49" s="1291"/>
      <c r="H49" s="1291"/>
      <c r="I49" s="1291"/>
      <c r="J49" s="1291"/>
      <c r="K49" s="53" t="s">
        <v>4821</v>
      </c>
      <c r="L49" s="53"/>
      <c r="M49" s="54"/>
      <c r="N49" s="55"/>
      <c r="O49" s="56"/>
      <c r="P49" s="54"/>
      <c r="Q49" s="54"/>
      <c r="R49" s="56"/>
      <c r="S49" s="53"/>
      <c r="T49" s="57"/>
      <c r="U49" s="57"/>
      <c r="V49" s="53"/>
      <c r="W49" s="53"/>
      <c r="X49" s="58"/>
      <c r="Y49" s="13"/>
      <c r="Z49" s="13"/>
      <c r="AA49" s="275"/>
      <c r="AB49" s="275"/>
    </row>
    <row r="50" spans="1:31" ht="15.75" x14ac:dyDescent="0.25">
      <c r="A50" s="3" t="s">
        <v>1098</v>
      </c>
      <c r="B50" s="3"/>
      <c r="C50" s="654"/>
      <c r="D50" s="701"/>
      <c r="E50" s="1"/>
      <c r="F50" s="1"/>
      <c r="G50" s="702"/>
      <c r="H50" s="702"/>
      <c r="I50" s="702"/>
      <c r="J50" s="703" t="s">
        <v>5170</v>
      </c>
      <c r="K50" s="703" t="s">
        <v>5171</v>
      </c>
      <c r="L50" s="702"/>
      <c r="M50" s="278"/>
      <c r="N50" s="279"/>
      <c r="O50" s="278"/>
      <c r="P50" s="278"/>
      <c r="Q50" s="278"/>
      <c r="R50" s="278"/>
      <c r="S50" s="278"/>
      <c r="T50" s="278"/>
      <c r="U50" s="278"/>
      <c r="V50" s="278"/>
      <c r="W50" s="278"/>
      <c r="X50" s="278"/>
      <c r="Y50" s="13"/>
      <c r="Z50" s="13"/>
      <c r="AA50" s="275"/>
      <c r="AB50" s="275"/>
    </row>
    <row r="51" spans="1:31" s="698" customFormat="1" ht="31.5" x14ac:dyDescent="0.25">
      <c r="A51" s="666" t="s">
        <v>1106</v>
      </c>
      <c r="B51" s="666" t="s">
        <v>32</v>
      </c>
      <c r="C51" s="707"/>
      <c r="D51" s="708"/>
      <c r="E51" s="707"/>
      <c r="F51" s="707"/>
      <c r="G51" s="709"/>
      <c r="H51" s="709"/>
      <c r="I51" s="709"/>
      <c r="J51" s="710" t="s">
        <v>5172</v>
      </c>
      <c r="K51" s="710" t="s">
        <v>5173</v>
      </c>
      <c r="L51" s="709"/>
      <c r="M51" s="699"/>
      <c r="N51" s="700"/>
      <c r="O51" s="699"/>
      <c r="P51" s="699"/>
      <c r="Q51" s="699"/>
      <c r="R51" s="699"/>
      <c r="S51" s="699"/>
      <c r="T51" s="699"/>
      <c r="U51" s="699"/>
      <c r="V51" s="699"/>
      <c r="W51" s="699"/>
      <c r="X51" s="699"/>
      <c r="Y51" s="13"/>
      <c r="Z51" s="13"/>
      <c r="AA51" s="275"/>
      <c r="AB51" s="275"/>
      <c r="AC51"/>
      <c r="AD51"/>
      <c r="AE51"/>
    </row>
    <row r="52" spans="1:31" ht="15.75" x14ac:dyDescent="0.25">
      <c r="A52" s="3" t="s">
        <v>1098</v>
      </c>
      <c r="B52" s="3"/>
      <c r="C52" s="654"/>
      <c r="D52" s="701"/>
      <c r="E52" s="1"/>
      <c r="F52" s="1"/>
      <c r="G52" s="702"/>
      <c r="H52" s="702"/>
      <c r="I52" s="702"/>
      <c r="J52" s="703" t="s">
        <v>5174</v>
      </c>
      <c r="K52" s="703" t="s">
        <v>5175</v>
      </c>
      <c r="L52" s="702"/>
      <c r="M52" s="278"/>
      <c r="N52" s="279"/>
      <c r="O52" s="278"/>
      <c r="P52" s="278"/>
      <c r="Q52" s="278"/>
      <c r="R52" s="278"/>
      <c r="S52" s="278"/>
      <c r="T52" s="278"/>
      <c r="U52" s="278"/>
      <c r="V52" s="278"/>
      <c r="W52" s="278"/>
      <c r="X52" s="278"/>
      <c r="Y52" s="13"/>
      <c r="Z52" s="13"/>
      <c r="AA52" s="275"/>
      <c r="AB52" s="275"/>
    </row>
    <row r="53" spans="1:31" ht="15.75" x14ac:dyDescent="0.25">
      <c r="A53" s="3" t="s">
        <v>1098</v>
      </c>
      <c r="B53" s="3"/>
      <c r="C53" s="654"/>
      <c r="D53" s="701"/>
      <c r="E53" s="1"/>
      <c r="F53" s="1"/>
      <c r="G53" s="702"/>
      <c r="H53" s="702"/>
      <c r="I53" s="702"/>
      <c r="J53" s="703" t="s">
        <v>5176</v>
      </c>
      <c r="K53" s="703"/>
      <c r="L53" s="702"/>
      <c r="M53" s="278"/>
      <c r="N53" s="279"/>
      <c r="O53" s="278"/>
      <c r="P53" s="278"/>
      <c r="Q53" s="278"/>
      <c r="R53" s="278"/>
      <c r="S53" s="278"/>
      <c r="T53" s="278"/>
      <c r="U53" s="278"/>
      <c r="V53" s="278"/>
      <c r="W53" s="278"/>
      <c r="X53" s="278"/>
      <c r="Y53" s="13"/>
      <c r="Z53" s="13"/>
      <c r="AA53" s="275"/>
      <c r="AB53" s="275"/>
    </row>
    <row r="54" spans="1:31" ht="16.5" customHeight="1" x14ac:dyDescent="0.25">
      <c r="A54" s="3"/>
      <c r="B54" s="3"/>
      <c r="C54" s="654"/>
      <c r="D54" s="701"/>
      <c r="E54" s="1"/>
      <c r="F54" s="1"/>
      <c r="G54" s="702"/>
      <c r="H54" s="702"/>
      <c r="I54" s="702"/>
      <c r="J54" s="703"/>
      <c r="K54" s="703"/>
      <c r="L54" s="702"/>
      <c r="M54" s="278"/>
      <c r="N54" s="279"/>
      <c r="O54" s="278"/>
      <c r="P54" s="278"/>
      <c r="Q54" s="278"/>
      <c r="R54" s="278"/>
      <c r="S54" s="278"/>
      <c r="T54" s="278"/>
      <c r="U54" s="278"/>
      <c r="V54" s="278"/>
      <c r="W54" s="278"/>
      <c r="X54" s="278"/>
      <c r="Y54" s="13"/>
      <c r="Z54" s="13"/>
      <c r="AA54" s="275"/>
      <c r="AB54" s="275"/>
    </row>
    <row r="55" spans="1:31" s="106" customFormat="1" ht="16.5" customHeight="1" x14ac:dyDescent="0.25">
      <c r="A55" s="704"/>
      <c r="B55" s="704"/>
      <c r="C55" s="704"/>
      <c r="D55" s="705"/>
      <c r="E55" s="704"/>
      <c r="F55" s="704"/>
      <c r="G55" s="706"/>
      <c r="H55" s="706"/>
      <c r="I55" s="706"/>
      <c r="J55" s="1015"/>
      <c r="K55" s="706"/>
      <c r="L55" s="706"/>
      <c r="M55" s="404"/>
      <c r="N55" s="405"/>
      <c r="O55" s="404"/>
      <c r="P55" s="404"/>
      <c r="Q55" s="404"/>
      <c r="R55" s="404"/>
      <c r="S55" s="404"/>
      <c r="T55" s="404"/>
      <c r="U55" s="404"/>
      <c r="V55" s="404"/>
      <c r="W55" s="404"/>
      <c r="X55" s="404"/>
      <c r="Y55" s="13"/>
      <c r="Z55" s="13"/>
      <c r="AA55" s="275"/>
      <c r="AB55" s="275"/>
      <c r="AC55"/>
      <c r="AD55"/>
      <c r="AE55"/>
    </row>
    <row r="56" spans="1:31" ht="16.5" customHeight="1" x14ac:dyDescent="0.25">
      <c r="A56" s="3"/>
      <c r="B56" s="3"/>
      <c r="C56" s="654"/>
      <c r="D56" s="701"/>
      <c r="E56" s="1"/>
      <c r="F56" s="1"/>
      <c r="G56" s="702"/>
      <c r="H56" s="702"/>
      <c r="I56" s="702"/>
      <c r="J56" s="703" t="s">
        <v>5177</v>
      </c>
      <c r="K56" s="702" t="s">
        <v>5178</v>
      </c>
      <c r="L56" s="702"/>
      <c r="M56" s="278"/>
      <c r="N56" s="279"/>
      <c r="O56" s="278"/>
      <c r="P56" s="278"/>
      <c r="Q56" s="278"/>
      <c r="R56" s="278"/>
      <c r="S56" s="278"/>
      <c r="T56" s="278"/>
      <c r="U56" s="278"/>
      <c r="V56" s="278"/>
      <c r="W56" s="278"/>
      <c r="X56" s="278"/>
      <c r="Y56" s="13"/>
      <c r="Z56" s="13"/>
      <c r="AA56" s="275"/>
      <c r="AB56" s="275"/>
    </row>
    <row r="57" spans="1:31" ht="16.5" customHeight="1" x14ac:dyDescent="0.25">
      <c r="A57" s="3"/>
      <c r="B57" s="3"/>
      <c r="C57" s="654"/>
      <c r="D57" s="701"/>
      <c r="E57" s="1"/>
      <c r="F57" s="1"/>
      <c r="G57" s="702"/>
      <c r="H57" s="702"/>
      <c r="I57" s="702"/>
      <c r="J57" s="702"/>
      <c r="K57" s="702"/>
      <c r="L57" s="702"/>
      <c r="M57" s="278"/>
      <c r="N57" s="279"/>
      <c r="O57" s="278"/>
      <c r="P57" s="278"/>
      <c r="Q57" s="278"/>
      <c r="R57" s="278"/>
      <c r="S57" s="278"/>
      <c r="T57" s="278"/>
      <c r="U57" s="278"/>
      <c r="V57" s="278"/>
      <c r="W57" s="278"/>
      <c r="X57" s="278"/>
      <c r="Y57" s="13"/>
      <c r="Z57" s="13"/>
      <c r="AA57" s="275"/>
      <c r="AB57" s="275"/>
    </row>
    <row r="58" spans="1:31" ht="30" x14ac:dyDescent="0.25">
      <c r="A58" s="351"/>
      <c r="B58" s="351"/>
      <c r="C58" s="903"/>
      <c r="D58" s="841"/>
      <c r="E58" s="841"/>
      <c r="F58" s="1016">
        <v>3</v>
      </c>
      <c r="G58" s="1347" t="s">
        <v>5048</v>
      </c>
      <c r="H58" s="1348"/>
      <c r="I58" s="1348"/>
      <c r="J58" s="1018"/>
      <c r="K58" s="1018"/>
      <c r="L58" s="752"/>
      <c r="M58" s="283"/>
      <c r="N58" s="1019" t="str">
        <f>HYPERLINK("http://wiki.academyofsports.online/tiki-index.php?page=Stellenanzeige-aufgeben-(0166)", "PP-Päd-001  (0166)")</f>
        <v>PP-Päd-001  (0166)</v>
      </c>
      <c r="O58" s="902"/>
      <c r="P58" s="902"/>
      <c r="Q58" s="902"/>
      <c r="R58" s="902"/>
      <c r="S58" s="902"/>
      <c r="T58" s="1020"/>
      <c r="U58" s="1020"/>
      <c r="V58" s="902"/>
      <c r="W58" s="902"/>
      <c r="X58" s="902"/>
      <c r="Y58" s="13"/>
      <c r="Z58" s="13"/>
      <c r="AA58" s="275"/>
      <c r="AB58" s="275"/>
    </row>
    <row r="59" spans="1:31" ht="51.75" x14ac:dyDescent="0.25">
      <c r="A59" s="3"/>
      <c r="B59" s="3"/>
      <c r="C59" s="1"/>
      <c r="D59" s="11"/>
      <c r="E59" s="11"/>
      <c r="F59" s="11"/>
      <c r="G59" s="235">
        <v>4</v>
      </c>
      <c r="H59" s="235"/>
      <c r="I59" s="235"/>
      <c r="J59" s="236" t="s">
        <v>5049</v>
      </c>
      <c r="K59" s="82" t="s">
        <v>5050</v>
      </c>
      <c r="L59" s="237" t="s">
        <v>4701</v>
      </c>
      <c r="M59" s="236" t="s">
        <v>5051</v>
      </c>
      <c r="N59" s="149"/>
      <c r="O59" s="24"/>
      <c r="P59" s="6" t="s">
        <v>4985</v>
      </c>
      <c r="Q59" s="24"/>
      <c r="R59" s="150" t="s">
        <v>4986</v>
      </c>
      <c r="S59" s="24" t="s">
        <v>4875</v>
      </c>
      <c r="T59" s="151"/>
      <c r="U59" s="151"/>
      <c r="V59" s="24"/>
      <c r="W59" s="24"/>
      <c r="X59" s="24"/>
      <c r="Y59" s="13"/>
      <c r="Z59" s="13"/>
      <c r="AA59" s="275"/>
      <c r="AB59" s="275"/>
    </row>
    <row r="60" spans="1:31" ht="45" x14ac:dyDescent="0.25">
      <c r="A60" s="3"/>
      <c r="B60" s="3"/>
      <c r="C60" s="1"/>
      <c r="D60" s="11"/>
      <c r="E60" s="11"/>
      <c r="F60" s="11"/>
      <c r="G60" s="28">
        <v>4</v>
      </c>
      <c r="H60" s="28"/>
      <c r="I60" s="28"/>
      <c r="J60" s="6" t="s">
        <v>5052</v>
      </c>
      <c r="K60" s="6" t="s">
        <v>5053</v>
      </c>
      <c r="L60" s="27" t="s">
        <v>4701</v>
      </c>
      <c r="M60" s="24"/>
      <c r="N60" s="22" t="s">
        <v>4987</v>
      </c>
      <c r="O60" s="24"/>
      <c r="P60" s="24" t="s">
        <v>4988</v>
      </c>
      <c r="Q60" s="24"/>
      <c r="R60" s="24"/>
      <c r="S60" s="24" t="s">
        <v>4813</v>
      </c>
      <c r="T60" s="24"/>
      <c r="U60" s="24"/>
      <c r="V60" s="24"/>
      <c r="W60" s="24"/>
      <c r="X60" s="24"/>
      <c r="Y60" s="13"/>
      <c r="Z60" s="13"/>
      <c r="AA60" s="275"/>
      <c r="AB60" s="275"/>
    </row>
    <row r="61" spans="1:31" x14ac:dyDescent="0.25">
      <c r="A61" s="351"/>
      <c r="B61" s="351"/>
      <c r="C61" s="903"/>
      <c r="D61" s="841"/>
      <c r="E61" s="841"/>
      <c r="F61" s="841"/>
      <c r="G61" s="841">
        <v>4</v>
      </c>
      <c r="H61" s="1349" t="s">
        <v>4640</v>
      </c>
      <c r="I61" s="1230"/>
      <c r="J61" s="1230"/>
      <c r="K61" s="1230"/>
      <c r="L61" s="1230"/>
      <c r="M61" s="1230"/>
      <c r="N61" s="1021" t="str">
        <f>HYPERLINK("http://wiki.academyofsports.online/tiki-index.php?page=Stellenanzeige-aufgeben-(0166)", "0166")</f>
        <v>0166</v>
      </c>
      <c r="O61" s="902"/>
      <c r="P61" s="902"/>
      <c r="Q61" s="902"/>
      <c r="R61" s="902"/>
      <c r="S61" s="1022"/>
      <c r="T61" s="1020"/>
      <c r="U61" s="1020"/>
      <c r="V61" s="902"/>
      <c r="W61" s="902"/>
      <c r="X61" s="902"/>
      <c r="Y61" s="13"/>
      <c r="Z61" s="13"/>
      <c r="AA61" s="275"/>
      <c r="AB61" s="275"/>
    </row>
    <row r="62" spans="1:31" ht="30" x14ac:dyDescent="0.25">
      <c r="A62" s="3"/>
      <c r="B62" s="3"/>
      <c r="C62" s="1"/>
      <c r="D62" s="11"/>
      <c r="E62" s="11"/>
      <c r="F62" s="11"/>
      <c r="G62" s="11"/>
      <c r="H62" s="11">
        <v>5</v>
      </c>
      <c r="I62" s="11"/>
      <c r="J62" s="6" t="s">
        <v>5054</v>
      </c>
      <c r="K62" s="6" t="s">
        <v>5055</v>
      </c>
      <c r="L62" s="27" t="s">
        <v>4701</v>
      </c>
      <c r="M62" s="24" t="s">
        <v>5056</v>
      </c>
      <c r="N62" s="24" t="s">
        <v>4989</v>
      </c>
      <c r="O62" s="6"/>
      <c r="P62" s="6" t="s">
        <v>4990</v>
      </c>
      <c r="Q62" s="6"/>
      <c r="R62" s="6"/>
      <c r="S62" s="24"/>
      <c r="T62" s="16"/>
      <c r="U62" s="16"/>
      <c r="V62" s="6"/>
      <c r="W62" s="6"/>
      <c r="X62" s="6"/>
      <c r="Y62" s="13"/>
      <c r="Z62" s="13"/>
      <c r="AA62" s="275"/>
      <c r="AB62" s="275"/>
    </row>
    <row r="63" spans="1:31" ht="45" x14ac:dyDescent="0.25">
      <c r="A63" s="3"/>
      <c r="B63" s="3"/>
      <c r="C63" s="1"/>
      <c r="D63" s="11"/>
      <c r="E63" s="11"/>
      <c r="F63" s="11"/>
      <c r="G63" s="28"/>
      <c r="H63" s="28">
        <v>5</v>
      </c>
      <c r="I63" s="28"/>
      <c r="J63" s="6" t="s">
        <v>5057</v>
      </c>
      <c r="K63" s="6" t="s">
        <v>5058</v>
      </c>
      <c r="L63" s="8" t="s">
        <v>4851</v>
      </c>
      <c r="M63" s="24" t="s">
        <v>5056</v>
      </c>
      <c r="N63" s="24" t="s">
        <v>4989</v>
      </c>
      <c r="O63" s="24"/>
      <c r="P63" s="24"/>
      <c r="Q63" s="24"/>
      <c r="R63" s="24"/>
      <c r="S63" s="24" t="s">
        <v>4875</v>
      </c>
      <c r="T63" s="24"/>
      <c r="U63" s="24"/>
      <c r="V63" s="24"/>
      <c r="W63" s="24"/>
      <c r="X63" s="24"/>
      <c r="Y63" s="13"/>
      <c r="Z63" s="13"/>
      <c r="AA63" s="275"/>
      <c r="AB63" s="275"/>
    </row>
    <row r="64" spans="1:31" ht="30" x14ac:dyDescent="0.25">
      <c r="A64" s="3"/>
      <c r="B64" s="3"/>
      <c r="C64" s="1"/>
      <c r="D64" s="11"/>
      <c r="E64" s="11"/>
      <c r="F64" s="11"/>
      <c r="G64" s="11"/>
      <c r="H64" s="11">
        <v>5</v>
      </c>
      <c r="I64" s="11"/>
      <c r="J64" s="6" t="s">
        <v>5059</v>
      </c>
      <c r="K64" s="6" t="s">
        <v>5060</v>
      </c>
      <c r="L64" s="27" t="s">
        <v>969</v>
      </c>
      <c r="M64" s="24" t="s">
        <v>5056</v>
      </c>
      <c r="N64" s="22"/>
      <c r="O64" s="6"/>
      <c r="P64" s="6" t="s">
        <v>4991</v>
      </c>
      <c r="Q64" s="6"/>
      <c r="R64" s="6"/>
      <c r="S64" s="24" t="s">
        <v>4813</v>
      </c>
      <c r="T64" s="16"/>
      <c r="U64" s="16"/>
      <c r="V64" s="6"/>
      <c r="W64" s="6"/>
      <c r="X64" s="6"/>
      <c r="Y64" s="13"/>
      <c r="Z64" s="13"/>
      <c r="AA64" s="275"/>
      <c r="AB64" s="275"/>
    </row>
    <row r="65" spans="1:28" ht="30" x14ac:dyDescent="0.25">
      <c r="A65" s="3"/>
      <c r="B65" s="3"/>
      <c r="C65" s="1"/>
      <c r="D65" s="11"/>
      <c r="E65" s="11"/>
      <c r="F65" s="11"/>
      <c r="G65" s="11"/>
      <c r="H65" s="11">
        <v>5</v>
      </c>
      <c r="I65" s="11"/>
      <c r="J65" s="6" t="s">
        <v>5061</v>
      </c>
      <c r="K65" s="6" t="s">
        <v>5062</v>
      </c>
      <c r="L65" s="8" t="s">
        <v>4701</v>
      </c>
      <c r="M65" s="24" t="s">
        <v>5056</v>
      </c>
      <c r="N65" s="22"/>
      <c r="O65" s="6"/>
      <c r="P65" s="6"/>
      <c r="Q65" s="6"/>
      <c r="R65" s="6"/>
      <c r="S65" s="24"/>
      <c r="T65" s="16"/>
      <c r="U65" s="16"/>
      <c r="V65" s="6"/>
      <c r="W65" s="6"/>
      <c r="X65" s="6"/>
      <c r="Y65" s="13"/>
      <c r="Z65" s="13"/>
      <c r="AA65" s="275"/>
      <c r="AB65" s="275"/>
    </row>
    <row r="66" spans="1:28" ht="30" x14ac:dyDescent="0.25">
      <c r="A66" s="3"/>
      <c r="B66" s="3"/>
      <c r="C66" s="1"/>
      <c r="D66" s="11"/>
      <c r="E66" s="11"/>
      <c r="F66" s="11"/>
      <c r="G66" s="11"/>
      <c r="H66" s="11">
        <v>5</v>
      </c>
      <c r="I66" s="11"/>
      <c r="J66" s="6" t="s">
        <v>5063</v>
      </c>
      <c r="K66" s="6" t="s">
        <v>5064</v>
      </c>
      <c r="L66" s="8" t="s">
        <v>4701</v>
      </c>
      <c r="M66" s="6"/>
      <c r="N66" s="22"/>
      <c r="O66" s="6"/>
      <c r="P66" s="6" t="s">
        <v>4992</v>
      </c>
      <c r="Q66" s="6"/>
      <c r="R66" s="6" t="s">
        <v>4993</v>
      </c>
      <c r="S66" s="24"/>
      <c r="T66" s="16"/>
      <c r="U66" s="16"/>
      <c r="V66" s="6"/>
      <c r="W66" s="6"/>
      <c r="X66" s="6"/>
      <c r="Y66" s="13"/>
      <c r="Z66" s="13"/>
      <c r="AA66" s="275"/>
      <c r="AB66" s="275"/>
    </row>
    <row r="67" spans="1:28" ht="16.5" customHeight="1" x14ac:dyDescent="0.25">
      <c r="A67" s="841"/>
      <c r="B67" s="841"/>
      <c r="C67" s="841"/>
      <c r="D67" s="841"/>
      <c r="E67" s="841"/>
      <c r="F67" s="841"/>
      <c r="G67" s="841">
        <v>4</v>
      </c>
      <c r="H67" s="1350" t="s">
        <v>5065</v>
      </c>
      <c r="I67" s="1231"/>
      <c r="J67" s="1231"/>
      <c r="K67" s="1231"/>
      <c r="L67" s="1231"/>
      <c r="M67" s="1231"/>
      <c r="N67" s="1019" t="str">
        <f>HYPERLINK("http://wiki.academyofsports.online/tiki-index.php?page=Bewerbungsprozess---Autor-(-PP-P%C3%A4d-004)", "PP-Päd-004")</f>
        <v>PP-Päd-004</v>
      </c>
      <c r="O67" s="902"/>
      <c r="P67" s="902"/>
      <c r="Q67" s="902"/>
      <c r="R67" s="902"/>
      <c r="S67" s="1022"/>
      <c r="T67" s="1020"/>
      <c r="U67" s="1020"/>
      <c r="V67" s="902"/>
      <c r="W67" s="902"/>
      <c r="X67" s="902"/>
      <c r="Y67" s="13"/>
      <c r="Z67" s="13"/>
      <c r="AA67" s="275"/>
      <c r="AB67" s="275"/>
    </row>
    <row r="68" spans="1:28" ht="60" x14ac:dyDescent="0.25">
      <c r="A68" s="3"/>
      <c r="B68" s="3"/>
      <c r="C68" s="1"/>
      <c r="D68" s="11"/>
      <c r="E68" s="11"/>
      <c r="F68" s="11"/>
      <c r="G68" s="11"/>
      <c r="H68" s="11">
        <v>5</v>
      </c>
      <c r="I68" s="11"/>
      <c r="J68" s="6" t="s">
        <v>5066</v>
      </c>
      <c r="K68" s="6" t="s">
        <v>5067</v>
      </c>
      <c r="L68" s="27" t="s">
        <v>4701</v>
      </c>
      <c r="M68" s="6" t="s">
        <v>5056</v>
      </c>
      <c r="N68" s="22"/>
      <c r="O68" s="6"/>
      <c r="P68" s="6" t="s">
        <v>4994</v>
      </c>
      <c r="Q68" s="6"/>
      <c r="R68" s="6"/>
      <c r="S68" s="24" t="s">
        <v>4875</v>
      </c>
      <c r="T68" s="16" t="s">
        <v>31</v>
      </c>
      <c r="U68" s="16"/>
      <c r="V68" s="6"/>
      <c r="W68" s="6"/>
      <c r="X68" s="6"/>
      <c r="Y68" s="13"/>
      <c r="Z68" s="13"/>
      <c r="AA68" s="275"/>
      <c r="AB68" s="275"/>
    </row>
    <row r="69" spans="1:28" ht="90" x14ac:dyDescent="0.25">
      <c r="A69" s="3"/>
      <c r="B69" s="3"/>
      <c r="C69" s="1"/>
      <c r="D69" s="11"/>
      <c r="E69" s="11"/>
      <c r="F69" s="134"/>
      <c r="G69" s="134"/>
      <c r="H69" s="134">
        <v>5</v>
      </c>
      <c r="I69" s="134"/>
      <c r="J69" s="12" t="s">
        <v>5068</v>
      </c>
      <c r="K69" s="12" t="s">
        <v>5069</v>
      </c>
      <c r="L69" s="27" t="s">
        <v>4701</v>
      </c>
      <c r="M69" s="12" t="s">
        <v>5070</v>
      </c>
      <c r="N69" s="127"/>
      <c r="O69" s="127"/>
      <c r="P69" s="127" t="s">
        <v>4995</v>
      </c>
      <c r="Q69" s="127"/>
      <c r="R69" s="12"/>
      <c r="S69" s="129" t="s">
        <v>4813</v>
      </c>
      <c r="T69" s="129"/>
      <c r="U69" s="129"/>
      <c r="V69" s="127"/>
      <c r="W69" s="127"/>
      <c r="X69" s="127"/>
      <c r="Y69" s="13"/>
      <c r="Z69" s="13"/>
      <c r="AA69" s="275"/>
      <c r="AB69" s="275"/>
    </row>
    <row r="70" spans="1:28" ht="45" x14ac:dyDescent="0.25">
      <c r="A70" s="3"/>
      <c r="B70" s="3"/>
      <c r="C70" s="1"/>
      <c r="D70" s="11"/>
      <c r="E70" s="11"/>
      <c r="F70" s="134"/>
      <c r="G70" s="134"/>
      <c r="H70" s="134">
        <v>5</v>
      </c>
      <c r="I70" s="134"/>
      <c r="J70" s="12" t="s">
        <v>5071</v>
      </c>
      <c r="K70" s="12" t="s">
        <v>5072</v>
      </c>
      <c r="L70" s="27" t="s">
        <v>4701</v>
      </c>
      <c r="M70" s="12" t="s">
        <v>5073</v>
      </c>
      <c r="N70" s="127"/>
      <c r="O70" s="127"/>
      <c r="P70" s="127"/>
      <c r="Q70" s="127"/>
      <c r="R70" s="12"/>
      <c r="S70" s="129"/>
      <c r="T70" s="129"/>
      <c r="U70" s="129"/>
      <c r="V70" s="127"/>
      <c r="W70" s="127"/>
      <c r="X70" s="127"/>
      <c r="Y70" s="13"/>
      <c r="Z70" s="13"/>
      <c r="AA70" s="275"/>
      <c r="AB70" s="275"/>
    </row>
    <row r="71" spans="1:28" ht="25.5" x14ac:dyDescent="0.25">
      <c r="A71" s="3"/>
      <c r="B71" s="3"/>
      <c r="C71" s="1"/>
      <c r="D71" s="11"/>
      <c r="E71" s="11"/>
      <c r="F71" s="134"/>
      <c r="G71" s="134"/>
      <c r="H71" s="134">
        <v>5</v>
      </c>
      <c r="I71" s="134"/>
      <c r="J71" s="12" t="s">
        <v>5074</v>
      </c>
      <c r="K71" s="12" t="s">
        <v>5075</v>
      </c>
      <c r="L71" s="27" t="s">
        <v>4701</v>
      </c>
      <c r="M71" s="12"/>
      <c r="N71" s="127"/>
      <c r="O71" s="127"/>
      <c r="P71" s="127" t="s">
        <v>4996</v>
      </c>
      <c r="Q71" s="127"/>
      <c r="R71" s="12"/>
      <c r="S71" s="129" t="s">
        <v>4813</v>
      </c>
      <c r="T71" s="129"/>
      <c r="U71" s="129"/>
      <c r="V71" s="127"/>
      <c r="W71" s="127"/>
      <c r="X71" s="127"/>
      <c r="Y71" s="13"/>
      <c r="Z71" s="13"/>
      <c r="AA71" s="275"/>
      <c r="AB71" s="275"/>
    </row>
    <row r="72" spans="1:28" ht="57.75" x14ac:dyDescent="0.25">
      <c r="A72" s="3"/>
      <c r="B72" s="3"/>
      <c r="C72" s="1"/>
      <c r="D72" s="11"/>
      <c r="E72" s="11"/>
      <c r="F72" s="134"/>
      <c r="G72" s="134"/>
      <c r="H72" s="134">
        <v>5</v>
      </c>
      <c r="I72" s="134"/>
      <c r="J72" s="12" t="s">
        <v>5076</v>
      </c>
      <c r="K72" s="12" t="s">
        <v>5077</v>
      </c>
      <c r="L72" s="27" t="s">
        <v>4701</v>
      </c>
      <c r="M72" s="12"/>
      <c r="N72" s="127"/>
      <c r="O72" s="127"/>
      <c r="P72" s="127" t="s">
        <v>4996</v>
      </c>
      <c r="Q72" s="127"/>
      <c r="R72" s="12"/>
      <c r="S72" s="129" t="s">
        <v>4813</v>
      </c>
      <c r="T72" s="129"/>
      <c r="U72" s="129"/>
      <c r="V72" s="127"/>
      <c r="W72" s="127"/>
      <c r="X72" s="127"/>
      <c r="Y72" s="13"/>
      <c r="Z72" s="13"/>
      <c r="AA72" s="275"/>
      <c r="AB72" s="275"/>
    </row>
    <row r="73" spans="1:28" ht="45" x14ac:dyDescent="0.25">
      <c r="A73" s="3"/>
      <c r="B73" s="3"/>
      <c r="C73" s="1"/>
      <c r="D73" s="11"/>
      <c r="E73" s="11"/>
      <c r="F73" s="11"/>
      <c r="G73" s="40"/>
      <c r="H73" s="40">
        <v>5</v>
      </c>
      <c r="I73" s="40"/>
      <c r="J73" s="49" t="s">
        <v>5078</v>
      </c>
      <c r="K73" s="49" t="s">
        <v>5079</v>
      </c>
      <c r="L73" s="50" t="s">
        <v>4701</v>
      </c>
      <c r="M73" s="49" t="s">
        <v>5080</v>
      </c>
      <c r="N73" s="22"/>
      <c r="O73" s="6"/>
      <c r="P73" s="6"/>
      <c r="Q73" s="6"/>
      <c r="R73" s="6"/>
      <c r="S73" s="6" t="s">
        <v>4813</v>
      </c>
      <c r="T73" s="16"/>
      <c r="U73" s="16"/>
      <c r="V73" s="6"/>
      <c r="W73" s="6"/>
      <c r="X73" s="6"/>
      <c r="Y73" s="13"/>
      <c r="Z73" s="13"/>
      <c r="AA73" s="275"/>
      <c r="AB73" s="275"/>
    </row>
    <row r="74" spans="1:28" x14ac:dyDescent="0.25">
      <c r="A74" s="3"/>
      <c r="B74" s="3"/>
      <c r="C74" s="1"/>
      <c r="D74" s="11"/>
      <c r="E74" s="11"/>
      <c r="F74" s="11"/>
      <c r="G74" s="40"/>
      <c r="H74" s="40">
        <v>5</v>
      </c>
      <c r="I74" s="40"/>
      <c r="J74" s="49" t="s">
        <v>5081</v>
      </c>
      <c r="K74" s="49" t="s">
        <v>5082</v>
      </c>
      <c r="L74" s="50" t="s">
        <v>5083</v>
      </c>
      <c r="M74" s="49"/>
      <c r="N74" s="22"/>
      <c r="O74" s="6"/>
      <c r="P74" s="6"/>
      <c r="Q74" s="6"/>
      <c r="R74" s="6"/>
      <c r="S74" s="6" t="s">
        <v>4813</v>
      </c>
      <c r="T74" s="16"/>
      <c r="U74" s="16"/>
      <c r="V74" s="6"/>
      <c r="W74" s="6"/>
      <c r="X74" s="6"/>
      <c r="Y74" s="13"/>
      <c r="Z74" s="13"/>
      <c r="AA74" s="275"/>
      <c r="AB74" s="275"/>
    </row>
    <row r="75" spans="1:28" ht="60" x14ac:dyDescent="0.25">
      <c r="A75" s="3"/>
      <c r="B75" s="3"/>
      <c r="C75" s="1"/>
      <c r="D75" s="11"/>
      <c r="E75" s="11"/>
      <c r="F75" s="134"/>
      <c r="G75" s="134"/>
      <c r="H75" s="134">
        <v>5</v>
      </c>
      <c r="I75" s="134"/>
      <c r="J75" s="12" t="s">
        <v>5084</v>
      </c>
      <c r="K75" s="12" t="s">
        <v>5085</v>
      </c>
      <c r="L75" s="27" t="s">
        <v>4701</v>
      </c>
      <c r="M75" s="12" t="s">
        <v>5086</v>
      </c>
      <c r="N75" s="127"/>
      <c r="O75" s="127"/>
      <c r="P75" s="127" t="s">
        <v>4997</v>
      </c>
      <c r="Q75" s="127"/>
      <c r="R75" s="150" t="s">
        <v>4998</v>
      </c>
      <c r="S75" s="129"/>
      <c r="T75" s="129"/>
      <c r="U75" s="129"/>
      <c r="V75" s="127"/>
      <c r="W75" s="127"/>
      <c r="X75" s="127"/>
      <c r="Y75" s="13"/>
      <c r="Z75" s="13"/>
      <c r="AA75" s="275"/>
      <c r="AB75" s="275"/>
    </row>
    <row r="76" spans="1:28" x14ac:dyDescent="0.25">
      <c r="A76" s="3"/>
      <c r="B76" s="3"/>
      <c r="C76" s="1"/>
      <c r="D76" s="11"/>
      <c r="E76" s="11"/>
      <c r="F76" s="134"/>
      <c r="G76" s="134"/>
      <c r="H76" s="134">
        <v>5</v>
      </c>
      <c r="I76" s="134"/>
      <c r="J76" s="127" t="s">
        <v>5087</v>
      </c>
      <c r="K76" s="12" t="s">
        <v>5088</v>
      </c>
      <c r="L76" s="72" t="s">
        <v>5089</v>
      </c>
      <c r="M76" s="127"/>
      <c r="N76" s="127"/>
      <c r="O76" s="127"/>
      <c r="P76" s="127"/>
      <c r="Q76" s="127"/>
      <c r="R76" s="12"/>
      <c r="S76" s="129"/>
      <c r="T76" s="129"/>
      <c r="U76" s="129"/>
      <c r="V76" s="127"/>
      <c r="W76" s="127"/>
      <c r="X76" s="127"/>
      <c r="Y76" s="13"/>
      <c r="Z76" s="13"/>
      <c r="AA76" s="275"/>
      <c r="AB76" s="275"/>
    </row>
    <row r="77" spans="1:28" ht="72" x14ac:dyDescent="0.25">
      <c r="A77" s="3"/>
      <c r="B77" s="3"/>
      <c r="C77" s="1"/>
      <c r="D77" s="11"/>
      <c r="E77" s="11"/>
      <c r="F77" s="134"/>
      <c r="G77" s="134"/>
      <c r="H77" s="134"/>
      <c r="I77" s="134">
        <v>6</v>
      </c>
      <c r="J77" s="127" t="s">
        <v>5090</v>
      </c>
      <c r="K77" s="127" t="s">
        <v>5091</v>
      </c>
      <c r="L77" s="128" t="s">
        <v>4701</v>
      </c>
      <c r="M77" s="127" t="s">
        <v>5092</v>
      </c>
      <c r="N77" s="127"/>
      <c r="O77" s="127"/>
      <c r="P77" s="127" t="s">
        <v>4999</v>
      </c>
      <c r="Q77" s="127" t="s">
        <v>5000</v>
      </c>
      <c r="R77" s="12" t="s">
        <v>5001</v>
      </c>
      <c r="S77" s="129" t="s">
        <v>129</v>
      </c>
      <c r="T77" s="129"/>
      <c r="U77" s="129"/>
      <c r="V77" s="127"/>
      <c r="W77" s="127"/>
      <c r="X77" s="127"/>
      <c r="Y77" s="13"/>
      <c r="Z77" s="13"/>
      <c r="AA77" s="275"/>
      <c r="AB77" s="275"/>
    </row>
    <row r="78" spans="1:28" ht="63.75" x14ac:dyDescent="0.25">
      <c r="A78" s="3"/>
      <c r="B78" s="3"/>
      <c r="C78" s="1"/>
      <c r="D78" s="11"/>
      <c r="E78" s="11"/>
      <c r="F78" s="134"/>
      <c r="G78" s="134"/>
      <c r="H78" s="134"/>
      <c r="I78" s="134">
        <v>6</v>
      </c>
      <c r="J78" s="152" t="s">
        <v>5093</v>
      </c>
      <c r="K78" s="152" t="s">
        <v>5094</v>
      </c>
      <c r="L78" s="153" t="s">
        <v>4701</v>
      </c>
      <c r="M78" s="152" t="s">
        <v>5095</v>
      </c>
      <c r="N78" s="154"/>
      <c r="O78" s="152"/>
      <c r="P78" s="152" t="s">
        <v>5002</v>
      </c>
      <c r="Q78" s="152" t="s">
        <v>5003</v>
      </c>
      <c r="R78" s="152"/>
      <c r="S78" s="24" t="s">
        <v>4813</v>
      </c>
      <c r="T78" s="155"/>
      <c r="U78" s="155"/>
      <c r="V78" s="152"/>
      <c r="W78" s="152"/>
      <c r="X78" s="152"/>
      <c r="Y78" s="13"/>
      <c r="Z78" s="13"/>
      <c r="AA78" s="275"/>
      <c r="AB78" s="275"/>
    </row>
    <row r="79" spans="1:28" ht="75" x14ac:dyDescent="0.25">
      <c r="A79" s="3"/>
      <c r="B79" s="3"/>
      <c r="C79" s="1"/>
      <c r="D79" s="135"/>
      <c r="E79" s="135"/>
      <c r="F79" s="135"/>
      <c r="G79" s="135"/>
      <c r="H79" s="135"/>
      <c r="I79" s="135">
        <v>6</v>
      </c>
      <c r="J79" s="156" t="s">
        <v>5096</v>
      </c>
      <c r="K79" s="156" t="s">
        <v>5097</v>
      </c>
      <c r="L79" s="157" t="s">
        <v>5089</v>
      </c>
      <c r="M79" s="156" t="s">
        <v>5098</v>
      </c>
      <c r="N79" s="158"/>
      <c r="O79" s="156"/>
      <c r="P79" s="156" t="s">
        <v>5004</v>
      </c>
      <c r="Q79" s="156"/>
      <c r="R79" s="156"/>
      <c r="S79" s="159" t="s">
        <v>4875</v>
      </c>
      <c r="T79" s="160"/>
      <c r="U79" s="160"/>
      <c r="V79" s="156"/>
      <c r="W79" s="156"/>
      <c r="X79" s="156"/>
      <c r="Y79" s="13"/>
      <c r="Z79" s="13"/>
      <c r="AA79" s="275"/>
      <c r="AB79" s="275"/>
    </row>
    <row r="80" spans="1:28" ht="30" x14ac:dyDescent="0.25">
      <c r="A80" s="3"/>
      <c r="B80" s="3"/>
      <c r="C80" s="1"/>
      <c r="D80" s="136"/>
      <c r="E80" s="136"/>
      <c r="F80" s="136"/>
      <c r="G80" s="136"/>
      <c r="H80" s="136"/>
      <c r="I80" s="136">
        <v>6</v>
      </c>
      <c r="J80" s="1023" t="s">
        <v>5099</v>
      </c>
      <c r="K80" s="1"/>
      <c r="L80" s="8" t="s">
        <v>5089</v>
      </c>
      <c r="M80" s="131"/>
      <c r="N80" s="132"/>
      <c r="O80" s="131"/>
      <c r="P80" s="131"/>
      <c r="Q80" s="131"/>
      <c r="R80" s="131" t="s">
        <v>5005</v>
      </c>
      <c r="S80" s="131"/>
      <c r="T80" s="133"/>
      <c r="U80" s="133"/>
      <c r="V80" s="131"/>
      <c r="W80" s="131"/>
      <c r="X80" s="131"/>
      <c r="Y80" s="13"/>
      <c r="Z80" s="13"/>
      <c r="AA80" s="275"/>
      <c r="AB80" s="275"/>
    </row>
    <row r="81" spans="1:28" ht="75" x14ac:dyDescent="0.25">
      <c r="A81" s="3"/>
      <c r="B81" s="3"/>
      <c r="C81" s="1"/>
      <c r="D81" s="136"/>
      <c r="E81" s="136"/>
      <c r="F81" s="136"/>
      <c r="G81" s="136"/>
      <c r="H81" s="11"/>
      <c r="I81" s="11">
        <v>6</v>
      </c>
      <c r="J81" s="6" t="s">
        <v>5100</v>
      </c>
      <c r="K81" s="20" t="s">
        <v>5101</v>
      </c>
      <c r="L81" s="8" t="s">
        <v>4701</v>
      </c>
      <c r="M81" s="6" t="s">
        <v>5098</v>
      </c>
      <c r="N81" s="132"/>
      <c r="O81" s="131"/>
      <c r="P81" s="131"/>
      <c r="Q81" s="131"/>
      <c r="R81" s="131"/>
      <c r="S81" s="147" t="s">
        <v>4875</v>
      </c>
      <c r="T81" s="133"/>
      <c r="U81" s="133"/>
      <c r="V81" s="131"/>
      <c r="W81" s="131"/>
      <c r="X81" s="131"/>
      <c r="Y81" s="13"/>
      <c r="Z81" s="13"/>
      <c r="AA81" s="275"/>
      <c r="AB81" s="275"/>
    </row>
    <row r="82" spans="1:28" ht="15.75" customHeight="1" x14ac:dyDescent="0.25">
      <c r="A82" s="3"/>
      <c r="B82" s="3"/>
      <c r="C82" s="1"/>
      <c r="D82" s="125"/>
      <c r="E82" s="125"/>
      <c r="F82" s="125"/>
      <c r="G82" s="125"/>
      <c r="H82" s="220"/>
      <c r="I82" s="220"/>
      <c r="J82" s="221" t="s">
        <v>5102</v>
      </c>
      <c r="K82" s="221" t="s">
        <v>5103</v>
      </c>
      <c r="L82" s="222" t="s">
        <v>4701</v>
      </c>
      <c r="M82" s="223" t="s">
        <v>5104</v>
      </c>
      <c r="N82" s="111"/>
      <c r="O82" s="62"/>
      <c r="P82" s="62"/>
      <c r="Q82" s="62"/>
      <c r="R82" s="62"/>
      <c r="S82" s="62"/>
      <c r="T82" s="101"/>
      <c r="U82" s="101"/>
      <c r="V82" s="62"/>
      <c r="W82" s="62"/>
      <c r="X82" s="62"/>
      <c r="Y82" s="13"/>
      <c r="Z82" s="13"/>
      <c r="AA82" s="275"/>
      <c r="AB82" s="275"/>
    </row>
    <row r="83" spans="1:28" ht="15.75" customHeight="1" x14ac:dyDescent="0.25">
      <c r="A83" s="3"/>
      <c r="B83" s="3"/>
      <c r="C83" s="1"/>
      <c r="D83" s="125"/>
      <c r="E83" s="125"/>
      <c r="F83" s="125"/>
      <c r="G83" s="125"/>
      <c r="H83" s="125"/>
      <c r="I83" s="125"/>
      <c r="J83" s="110" t="s">
        <v>5105</v>
      </c>
      <c r="K83" s="109" t="s">
        <v>5106</v>
      </c>
      <c r="L83" s="100" t="s">
        <v>4701</v>
      </c>
      <c r="M83" s="62"/>
      <c r="N83" s="111"/>
      <c r="O83" s="62"/>
      <c r="P83" s="62"/>
      <c r="Q83" s="62"/>
      <c r="R83" s="62"/>
      <c r="S83" s="62"/>
      <c r="T83" s="101"/>
      <c r="U83" s="101"/>
      <c r="V83" s="62"/>
      <c r="W83" s="62"/>
      <c r="X83" s="62"/>
      <c r="Y83" s="13"/>
      <c r="Z83" s="13"/>
      <c r="AA83" s="275"/>
      <c r="AB83" s="275"/>
    </row>
    <row r="84" spans="1:28" ht="30" x14ac:dyDescent="0.25">
      <c r="A84" s="3"/>
      <c r="B84" s="3"/>
      <c r="C84" s="1"/>
      <c r="D84" s="136"/>
      <c r="E84" s="136"/>
      <c r="F84" s="136"/>
      <c r="G84" s="136"/>
      <c r="H84" s="136">
        <v>5</v>
      </c>
      <c r="I84" s="136"/>
      <c r="J84" s="6" t="s">
        <v>5107</v>
      </c>
      <c r="K84" s="20"/>
      <c r="L84" s="8" t="s">
        <v>4851</v>
      </c>
      <c r="M84" s="131"/>
      <c r="N84" s="132"/>
      <c r="O84" s="131"/>
      <c r="P84" s="131"/>
      <c r="Q84" s="131"/>
      <c r="R84" s="131"/>
      <c r="S84" s="147"/>
      <c r="T84" s="133"/>
      <c r="U84" s="133"/>
      <c r="V84" s="131"/>
      <c r="W84" s="131"/>
      <c r="X84" s="131"/>
      <c r="Y84" s="13"/>
      <c r="Z84" s="13"/>
      <c r="AA84" s="275"/>
      <c r="AB84" s="275"/>
    </row>
    <row r="85" spans="1:28" ht="16.5" customHeight="1" x14ac:dyDescent="0.25">
      <c r="A85" s="3"/>
      <c r="B85" s="3"/>
      <c r="C85" s="276"/>
      <c r="D85" s="277"/>
      <c r="G85" s="278"/>
      <c r="H85" s="278"/>
      <c r="I85" s="278"/>
      <c r="J85" s="278"/>
      <c r="K85" s="278"/>
      <c r="L85" s="278"/>
      <c r="M85" s="278"/>
      <c r="N85" s="279"/>
      <c r="O85" s="278"/>
      <c r="P85" s="278"/>
      <c r="Q85" s="278"/>
      <c r="R85" s="278"/>
      <c r="S85" s="278"/>
      <c r="T85" s="278"/>
      <c r="U85" s="278"/>
      <c r="V85" s="278"/>
      <c r="W85" s="278"/>
      <c r="X85" s="278"/>
      <c r="Y85" s="13"/>
      <c r="Z85" s="13"/>
      <c r="AA85" s="275"/>
      <c r="AB85" s="275"/>
    </row>
    <row r="86" spans="1:28" ht="16.5" customHeight="1" x14ac:dyDescent="0.25">
      <c r="A86" s="3"/>
      <c r="B86" s="3"/>
      <c r="C86" s="276"/>
      <c r="D86" s="277"/>
      <c r="G86" s="278"/>
      <c r="H86" s="278"/>
      <c r="I86" s="278"/>
      <c r="J86" s="278" t="s">
        <v>3080</v>
      </c>
      <c r="K86" s="278"/>
      <c r="L86" s="278"/>
      <c r="M86" s="278"/>
      <c r="N86" s="279"/>
      <c r="O86" s="278"/>
      <c r="P86" s="278"/>
      <c r="Q86" s="278"/>
      <c r="R86" s="278"/>
      <c r="S86" s="278"/>
      <c r="T86" s="278"/>
      <c r="U86" s="278"/>
      <c r="V86" s="278"/>
      <c r="W86" s="278"/>
      <c r="X86" s="278"/>
      <c r="Y86" s="13"/>
      <c r="Z86" s="13"/>
      <c r="AA86" s="275"/>
      <c r="AB86" s="275"/>
    </row>
    <row r="87" spans="1:28" x14ac:dyDescent="0.25">
      <c r="A87" s="3"/>
      <c r="B87" s="3"/>
      <c r="C87" s="1"/>
      <c r="D87" s="841"/>
      <c r="E87" s="841"/>
      <c r="F87" s="1024">
        <v>3</v>
      </c>
      <c r="G87" s="1351" t="s">
        <v>5179</v>
      </c>
      <c r="H87" s="1352"/>
      <c r="I87" s="1352"/>
      <c r="J87" s="1352"/>
      <c r="K87" s="1352"/>
      <c r="L87" s="1352"/>
      <c r="M87" s="1353"/>
      <c r="N87" s="902"/>
      <c r="O87" s="902"/>
      <c r="P87" s="902"/>
      <c r="Q87" s="902"/>
      <c r="R87" s="902"/>
      <c r="S87" s="1026"/>
      <c r="T87" s="1020"/>
      <c r="U87" s="1020"/>
      <c r="V87" s="902"/>
      <c r="W87" s="902"/>
      <c r="X87" s="902"/>
      <c r="Y87" s="13"/>
      <c r="Z87" s="13"/>
      <c r="AA87" s="275"/>
      <c r="AB87" s="275"/>
    </row>
    <row r="88" spans="1:28" ht="63.75" x14ac:dyDescent="0.25">
      <c r="A88" s="3"/>
      <c r="B88" s="3"/>
      <c r="C88" s="1"/>
      <c r="D88" s="11"/>
      <c r="E88" s="11"/>
      <c r="F88" s="70"/>
      <c r="G88" s="70"/>
      <c r="H88" s="182">
        <v>5</v>
      </c>
      <c r="I88" s="182"/>
      <c r="J88" s="183" t="s">
        <v>5180</v>
      </c>
      <c r="K88" s="184" t="s">
        <v>5181</v>
      </c>
      <c r="L88" s="185" t="s">
        <v>4701</v>
      </c>
      <c r="M88" s="186" t="s">
        <v>5182</v>
      </c>
      <c r="N88" s="145"/>
      <c r="O88" s="12"/>
      <c r="P88" s="12" t="s">
        <v>5006</v>
      </c>
      <c r="Q88" s="69" t="s">
        <v>5007</v>
      </c>
      <c r="R88" s="69"/>
      <c r="S88" s="146" t="s">
        <v>129</v>
      </c>
      <c r="T88" s="26"/>
      <c r="U88" s="26"/>
      <c r="V88" s="70"/>
      <c r="W88" s="70"/>
      <c r="X88" s="70"/>
      <c r="Y88" s="13"/>
      <c r="Z88" s="13"/>
      <c r="AA88" s="275"/>
      <c r="AB88" s="275"/>
    </row>
    <row r="89" spans="1:28" x14ac:dyDescent="0.25">
      <c r="A89" s="3"/>
      <c r="B89" s="3"/>
      <c r="C89" s="1"/>
      <c r="D89" s="136"/>
      <c r="E89" s="136"/>
      <c r="F89" s="136"/>
      <c r="G89" s="136"/>
      <c r="H89" s="136">
        <v>5</v>
      </c>
      <c r="I89" s="136"/>
      <c r="J89" s="6" t="s">
        <v>5183</v>
      </c>
      <c r="K89" s="20" t="s">
        <v>5184</v>
      </c>
      <c r="L89" s="8" t="s">
        <v>4701</v>
      </c>
      <c r="M89" s="131"/>
      <c r="N89" s="132"/>
      <c r="O89" s="131"/>
      <c r="P89" s="131"/>
      <c r="Q89" s="131"/>
      <c r="R89" s="131"/>
      <c r="S89" s="147"/>
      <c r="T89" s="133"/>
      <c r="U89" s="133"/>
      <c r="V89" s="131"/>
      <c r="W89" s="131"/>
      <c r="X89" s="131"/>
      <c r="Y89" s="13"/>
      <c r="Z89" s="13"/>
      <c r="AA89" s="275"/>
      <c r="AB89" s="275"/>
    </row>
    <row r="90" spans="1:28" ht="39" x14ac:dyDescent="0.25">
      <c r="A90" s="3"/>
      <c r="B90" s="3"/>
      <c r="C90" s="242"/>
      <c r="D90" s="243"/>
      <c r="E90" s="243"/>
      <c r="F90" s="244"/>
      <c r="G90" s="244"/>
      <c r="H90" s="244">
        <v>5</v>
      </c>
      <c r="I90" s="244"/>
      <c r="J90" s="246" t="s">
        <v>5185</v>
      </c>
      <c r="K90" s="245" t="s">
        <v>5186</v>
      </c>
      <c r="L90" s="247" t="s">
        <v>5146</v>
      </c>
      <c r="M90" s="248" t="s">
        <v>5187</v>
      </c>
      <c r="N90" s="249"/>
      <c r="O90" s="245"/>
      <c r="P90" s="245"/>
      <c r="Q90" s="245"/>
      <c r="R90" s="245"/>
      <c r="S90" s="248" t="s">
        <v>4813</v>
      </c>
      <c r="T90" s="250"/>
      <c r="U90" s="250"/>
      <c r="V90" s="245"/>
      <c r="W90" s="245"/>
      <c r="X90" s="245"/>
      <c r="Y90" s="13"/>
      <c r="Z90" s="13"/>
      <c r="AA90" s="275"/>
      <c r="AB90" s="275"/>
    </row>
    <row r="91" spans="1:28" ht="26.25" x14ac:dyDescent="0.25">
      <c r="A91" s="3"/>
      <c r="B91" s="3"/>
      <c r="C91" s="242"/>
      <c r="D91" s="243"/>
      <c r="E91" s="243"/>
      <c r="F91" s="244"/>
      <c r="G91" s="244"/>
      <c r="H91" s="244">
        <v>5</v>
      </c>
      <c r="I91" s="244"/>
      <c r="J91" s="242" t="s">
        <v>5188</v>
      </c>
      <c r="K91" s="245" t="s">
        <v>5189</v>
      </c>
      <c r="L91" s="247" t="s">
        <v>5146</v>
      </c>
      <c r="M91" s="248"/>
      <c r="N91" s="251"/>
      <c r="O91" s="248"/>
      <c r="P91" s="1027"/>
      <c r="Q91" s="248"/>
      <c r="R91" s="248"/>
      <c r="S91" s="248" t="s">
        <v>4813</v>
      </c>
      <c r="T91" s="252"/>
      <c r="U91" s="252"/>
      <c r="V91" s="248"/>
      <c r="W91" s="248"/>
      <c r="X91" s="248"/>
      <c r="Y91" s="13"/>
      <c r="Z91" s="13"/>
      <c r="AA91" s="275"/>
      <c r="AB91" s="275"/>
    </row>
    <row r="92" spans="1:28" ht="75" x14ac:dyDescent="0.25">
      <c r="A92" s="3"/>
      <c r="B92" s="3"/>
      <c r="C92" s="1"/>
      <c r="D92" s="168"/>
      <c r="E92" s="168"/>
      <c r="F92" s="168"/>
      <c r="G92" s="169"/>
      <c r="H92" s="169">
        <v>5</v>
      </c>
      <c r="I92" s="169"/>
      <c r="J92" s="170" t="s">
        <v>5190</v>
      </c>
      <c r="K92" s="170" t="s">
        <v>5191</v>
      </c>
      <c r="L92" s="171" t="s">
        <v>5146</v>
      </c>
      <c r="M92" s="170" t="s">
        <v>5192</v>
      </c>
      <c r="N92" s="177"/>
      <c r="O92" s="172"/>
      <c r="P92" s="172"/>
      <c r="Q92" s="172"/>
      <c r="R92" s="172"/>
      <c r="S92" s="173" t="s">
        <v>4875</v>
      </c>
      <c r="T92" s="174"/>
      <c r="U92" s="174"/>
      <c r="V92" s="172"/>
      <c r="W92" s="172"/>
      <c r="X92" s="172"/>
      <c r="Y92" s="13"/>
      <c r="Z92" s="13"/>
      <c r="AA92" s="275"/>
      <c r="AB92" s="275"/>
    </row>
    <row r="93" spans="1:28" ht="30" x14ac:dyDescent="0.25">
      <c r="A93" s="3"/>
      <c r="B93" s="3"/>
      <c r="C93" s="1"/>
      <c r="D93" s="169"/>
      <c r="E93" s="169"/>
      <c r="F93" s="169"/>
      <c r="G93" s="169"/>
      <c r="H93" s="169">
        <v>5</v>
      </c>
      <c r="I93" s="169"/>
      <c r="J93" s="170" t="s">
        <v>5193</v>
      </c>
      <c r="K93" s="170" t="s">
        <v>5194</v>
      </c>
      <c r="L93" s="171" t="s">
        <v>5021</v>
      </c>
      <c r="M93" s="170" t="s">
        <v>5195</v>
      </c>
      <c r="N93" s="178"/>
      <c r="O93" s="170"/>
      <c r="P93" s="170"/>
      <c r="Q93" s="170"/>
      <c r="R93" s="170"/>
      <c r="S93" s="175"/>
      <c r="T93" s="176"/>
      <c r="U93" s="176"/>
      <c r="V93" s="170"/>
      <c r="W93" s="170"/>
      <c r="X93" s="170"/>
      <c r="Y93" s="13"/>
      <c r="Z93" s="13"/>
      <c r="AA93" s="275"/>
      <c r="AB93" s="275"/>
    </row>
    <row r="94" spans="1:28" ht="26.25" x14ac:dyDescent="0.25">
      <c r="A94" s="3"/>
      <c r="B94" s="3"/>
      <c r="C94" s="242"/>
      <c r="D94" s="243"/>
      <c r="E94" s="243"/>
      <c r="F94" s="244"/>
      <c r="G94" s="244"/>
      <c r="H94" s="244">
        <v>5</v>
      </c>
      <c r="I94" s="244"/>
      <c r="J94" s="242" t="s">
        <v>5196</v>
      </c>
      <c r="K94" s="245" t="s">
        <v>5197</v>
      </c>
      <c r="L94" s="247" t="s">
        <v>5146</v>
      </c>
      <c r="M94" s="248"/>
      <c r="N94" s="251"/>
      <c r="O94" s="248"/>
      <c r="P94" s="1027"/>
      <c r="Q94" s="248"/>
      <c r="R94" s="248"/>
      <c r="S94" s="248" t="s">
        <v>4813</v>
      </c>
      <c r="T94" s="252"/>
      <c r="U94" s="252"/>
      <c r="V94" s="248"/>
      <c r="W94" s="248"/>
      <c r="X94" s="248"/>
      <c r="Y94" s="13"/>
      <c r="Z94" s="13"/>
      <c r="AA94" s="275"/>
      <c r="AB94" s="275"/>
    </row>
    <row r="95" spans="1:28" ht="26.25" x14ac:dyDescent="0.25">
      <c r="A95" s="3"/>
      <c r="B95" s="3"/>
      <c r="C95" s="242"/>
      <c r="D95" s="243"/>
      <c r="E95" s="243"/>
      <c r="F95" s="244"/>
      <c r="G95" s="244"/>
      <c r="H95" s="253">
        <v>5</v>
      </c>
      <c r="I95" s="253"/>
      <c r="J95" s="255" t="s">
        <v>5198</v>
      </c>
      <c r="K95" s="254" t="s">
        <v>5199</v>
      </c>
      <c r="L95" s="256" t="s">
        <v>5146</v>
      </c>
      <c r="M95" s="257"/>
      <c r="N95" s="251"/>
      <c r="O95" s="248"/>
      <c r="P95" s="1027"/>
      <c r="Q95" s="248"/>
      <c r="R95" s="248"/>
      <c r="S95" s="248" t="s">
        <v>4813</v>
      </c>
      <c r="T95" s="252"/>
      <c r="U95" s="252"/>
      <c r="V95" s="248"/>
      <c r="W95" s="248"/>
      <c r="X95" s="248"/>
      <c r="Y95" s="13"/>
      <c r="Z95" s="13"/>
      <c r="AA95" s="275"/>
      <c r="AB95" s="275"/>
    </row>
    <row r="96" spans="1:28" ht="30" x14ac:dyDescent="0.25">
      <c r="A96" s="3"/>
      <c r="B96" s="3"/>
      <c r="C96" s="1"/>
      <c r="D96" s="11"/>
      <c r="E96" s="11"/>
      <c r="F96" s="41"/>
      <c r="G96" s="41"/>
      <c r="H96" s="11">
        <v>5</v>
      </c>
      <c r="I96" s="11"/>
      <c r="J96" s="6" t="s">
        <v>5200</v>
      </c>
      <c r="K96" s="6" t="s">
        <v>5201</v>
      </c>
      <c r="L96" s="8" t="s">
        <v>4701</v>
      </c>
      <c r="M96" s="6"/>
      <c r="N96" s="83"/>
      <c r="O96" s="82"/>
      <c r="P96" s="82"/>
      <c r="Q96" s="82"/>
      <c r="R96" s="82"/>
      <c r="S96" s="82" t="s">
        <v>5008</v>
      </c>
      <c r="T96" s="84"/>
      <c r="U96" s="84"/>
      <c r="V96" s="82"/>
      <c r="W96" s="82"/>
      <c r="X96" s="82"/>
      <c r="Y96" s="13"/>
      <c r="Z96" s="13"/>
      <c r="AA96" s="275"/>
      <c r="AB96" s="275"/>
    </row>
    <row r="97" spans="1:28" ht="30" x14ac:dyDescent="0.25">
      <c r="A97" s="3"/>
      <c r="B97" s="3"/>
      <c r="C97" s="1"/>
      <c r="D97" s="11"/>
      <c r="E97" s="11"/>
      <c r="F97" s="41"/>
      <c r="G97" s="41"/>
      <c r="H97" s="41">
        <v>5</v>
      </c>
      <c r="I97" s="41"/>
      <c r="J97" s="6" t="s">
        <v>5202</v>
      </c>
      <c r="K97" s="20" t="s">
        <v>5203</v>
      </c>
      <c r="L97" s="8" t="s">
        <v>4701</v>
      </c>
      <c r="M97" s="6"/>
      <c r="N97" s="22"/>
      <c r="O97" s="6"/>
      <c r="P97" s="290"/>
      <c r="Q97" s="6"/>
      <c r="R97" s="6"/>
      <c r="S97" s="6" t="s">
        <v>4813</v>
      </c>
      <c r="T97" s="16"/>
      <c r="U97" s="16"/>
      <c r="V97" s="6"/>
      <c r="W97" s="6"/>
      <c r="X97" s="6"/>
      <c r="Y97" s="13"/>
      <c r="Z97" s="13"/>
      <c r="AA97" s="275"/>
      <c r="AB97" s="275"/>
    </row>
    <row r="98" spans="1:28" x14ac:dyDescent="0.25">
      <c r="A98" s="3"/>
      <c r="B98" s="3"/>
      <c r="C98" s="1"/>
      <c r="D98" s="841"/>
      <c r="E98" s="841"/>
      <c r="F98" s="1024">
        <v>3</v>
      </c>
      <c r="G98" s="1351"/>
      <c r="H98" s="1352"/>
      <c r="I98" s="1352"/>
      <c r="J98" s="1352"/>
      <c r="K98" s="1352"/>
      <c r="L98" s="1352"/>
      <c r="M98" s="1353"/>
      <c r="N98" s="902"/>
      <c r="O98" s="902"/>
      <c r="P98" s="902"/>
      <c r="Q98" s="902"/>
      <c r="R98" s="902"/>
      <c r="S98" s="1026"/>
      <c r="T98" s="1020"/>
      <c r="U98" s="1020"/>
      <c r="V98" s="902"/>
      <c r="W98" s="902"/>
      <c r="X98" s="902"/>
      <c r="Y98" s="13"/>
      <c r="Z98" s="13"/>
      <c r="AA98" s="275"/>
      <c r="AB98" s="275"/>
    </row>
    <row r="99" spans="1:28" ht="60" x14ac:dyDescent="0.25">
      <c r="A99" s="3"/>
      <c r="B99" s="3"/>
      <c r="C99" s="1"/>
      <c r="D99" s="11"/>
      <c r="E99" s="11"/>
      <c r="F99" s="41"/>
      <c r="G99" s="41"/>
      <c r="H99" s="41">
        <v>5</v>
      </c>
      <c r="I99" s="41"/>
      <c r="J99" s="1" t="s">
        <v>5204</v>
      </c>
      <c r="K99" s="20" t="s">
        <v>5205</v>
      </c>
      <c r="L99" s="8" t="s">
        <v>5089</v>
      </c>
      <c r="M99" s="6" t="s">
        <v>5206</v>
      </c>
      <c r="N99" s="22"/>
      <c r="O99" s="6"/>
      <c r="P99" s="6" t="s">
        <v>5009</v>
      </c>
      <c r="Q99" s="6"/>
      <c r="R99" s="6"/>
      <c r="S99" s="6" t="s">
        <v>4813</v>
      </c>
      <c r="T99" s="16"/>
      <c r="U99" s="16"/>
      <c r="V99" s="6"/>
      <c r="W99" s="6"/>
      <c r="X99" s="6"/>
      <c r="Y99" s="13"/>
      <c r="Z99" s="13"/>
      <c r="AA99" s="275"/>
      <c r="AB99" s="275"/>
    </row>
    <row r="100" spans="1:28" ht="60" x14ac:dyDescent="0.25">
      <c r="A100" s="3"/>
      <c r="B100" s="3"/>
      <c r="C100" s="1"/>
      <c r="D100" s="11"/>
      <c r="E100" s="11"/>
      <c r="F100" s="41"/>
      <c r="G100" s="41"/>
      <c r="H100" s="41">
        <v>5</v>
      </c>
      <c r="I100" s="41"/>
      <c r="J100" s="82" t="s">
        <v>5207</v>
      </c>
      <c r="K100" s="82" t="s">
        <v>5208</v>
      </c>
      <c r="L100" s="8" t="s">
        <v>5089</v>
      </c>
      <c r="M100" s="82"/>
      <c r="N100" s="83"/>
      <c r="O100" s="82"/>
      <c r="P100" s="82"/>
      <c r="Q100" s="82"/>
      <c r="R100" s="82"/>
      <c r="S100" s="82" t="s">
        <v>5008</v>
      </c>
      <c r="T100" s="84"/>
      <c r="U100" s="84"/>
      <c r="V100" s="82"/>
      <c r="W100" s="82"/>
      <c r="X100" s="82"/>
      <c r="Y100" s="13"/>
      <c r="Z100" s="13"/>
      <c r="AA100" s="275"/>
      <c r="AB100" s="275"/>
    </row>
    <row r="101" spans="1:28" ht="75" x14ac:dyDescent="0.25">
      <c r="A101" s="3"/>
      <c r="B101" s="3"/>
      <c r="C101" s="1"/>
      <c r="D101" s="11"/>
      <c r="E101" s="11"/>
      <c r="F101" s="11"/>
      <c r="G101" s="11"/>
      <c r="H101" s="11">
        <v>5</v>
      </c>
      <c r="I101" s="11"/>
      <c r="J101" s="20" t="s">
        <v>5209</v>
      </c>
      <c r="K101" s="20" t="s">
        <v>5210</v>
      </c>
      <c r="L101" s="8" t="s">
        <v>4701</v>
      </c>
      <c r="M101" s="6" t="s">
        <v>5211</v>
      </c>
      <c r="N101" s="22"/>
      <c r="O101" s="6"/>
      <c r="P101" s="6" t="s">
        <v>5010</v>
      </c>
      <c r="Q101" s="6" t="s">
        <v>5011</v>
      </c>
      <c r="R101" s="6" t="s">
        <v>5012</v>
      </c>
      <c r="S101" s="10" t="s">
        <v>4813</v>
      </c>
      <c r="T101" s="16"/>
      <c r="U101" s="16"/>
      <c r="V101" s="6"/>
      <c r="W101" s="6"/>
      <c r="X101" s="6"/>
      <c r="Y101" s="13"/>
      <c r="Z101" s="13"/>
      <c r="AA101" s="275"/>
      <c r="AB101" s="275"/>
    </row>
    <row r="102" spans="1:28" x14ac:dyDescent="0.25">
      <c r="A102" s="3"/>
      <c r="B102" s="3"/>
      <c r="C102" s="1"/>
      <c r="D102" s="841"/>
      <c r="E102" s="841"/>
      <c r="F102" s="1024"/>
      <c r="G102" s="1028"/>
      <c r="H102" s="1029"/>
      <c r="I102" s="1029"/>
      <c r="J102" s="1029"/>
      <c r="K102" s="1025"/>
      <c r="L102" s="1025"/>
      <c r="M102" s="285"/>
      <c r="N102" s="902"/>
      <c r="O102" s="902"/>
      <c r="P102" s="902"/>
      <c r="Q102" s="902"/>
      <c r="R102" s="902"/>
      <c r="S102" s="1026"/>
      <c r="T102" s="1020"/>
      <c r="U102" s="1020"/>
      <c r="V102" s="902"/>
      <c r="W102" s="902"/>
      <c r="X102" s="902"/>
      <c r="Y102" s="13"/>
      <c r="Z102" s="13"/>
      <c r="AA102" s="275"/>
      <c r="AB102" s="275"/>
    </row>
    <row r="103" spans="1:28" ht="16.5" customHeight="1" x14ac:dyDescent="0.25">
      <c r="A103" s="3"/>
      <c r="B103" s="3"/>
      <c r="C103" s="276"/>
      <c r="D103" s="277"/>
      <c r="F103">
        <v>3</v>
      </c>
      <c r="G103" s="1354" t="s">
        <v>5212</v>
      </c>
      <c r="H103" s="1354"/>
      <c r="I103" s="1354"/>
      <c r="J103" s="1354"/>
      <c r="K103" s="278"/>
      <c r="L103" s="278"/>
      <c r="M103" s="278"/>
      <c r="N103" s="727" t="str">
        <f>HYPERLINK("http://wiki.academyofsports.online/tiki-index.php?page=Projektbetreuung---Leitfaden-(0093)", "0093")</f>
        <v>0093</v>
      </c>
      <c r="O103" s="278"/>
      <c r="P103" s="278"/>
      <c r="Q103" s="278"/>
      <c r="R103" s="278"/>
      <c r="S103" s="278"/>
      <c r="T103" s="278"/>
      <c r="U103" s="278"/>
      <c r="V103" s="278"/>
      <c r="W103" s="278"/>
      <c r="X103" s="278"/>
      <c r="Y103" s="13"/>
      <c r="Z103" s="13"/>
      <c r="AA103" s="275"/>
      <c r="AB103" s="275"/>
    </row>
    <row r="104" spans="1:28" x14ac:dyDescent="0.25">
      <c r="A104" s="3"/>
      <c r="B104" s="3"/>
      <c r="C104" s="1"/>
      <c r="D104" s="125"/>
      <c r="E104" s="125"/>
      <c r="F104" s="125"/>
      <c r="G104" s="220"/>
      <c r="H104" s="220"/>
      <c r="I104" s="220"/>
      <c r="J104" s="223" t="s">
        <v>5213</v>
      </c>
      <c r="K104" s="110"/>
      <c r="L104" s="100"/>
      <c r="M104" s="62"/>
      <c r="N104" s="111"/>
      <c r="O104" s="62"/>
      <c r="P104" s="62"/>
      <c r="Q104" s="62"/>
      <c r="R104" s="62"/>
      <c r="S104" s="82"/>
      <c r="T104" s="101"/>
      <c r="U104" s="101"/>
      <c r="V104" s="62"/>
      <c r="W104" s="62"/>
      <c r="X104" s="62"/>
      <c r="Y104" s="13"/>
      <c r="Z104" s="13"/>
      <c r="AA104" s="275"/>
      <c r="AB104" s="275"/>
    </row>
    <row r="105" spans="1:28" ht="45" x14ac:dyDescent="0.25">
      <c r="A105" s="3"/>
      <c r="B105" s="3"/>
      <c r="C105" s="1"/>
      <c r="D105" s="125"/>
      <c r="E105" s="125"/>
      <c r="F105" s="125"/>
      <c r="G105" s="125"/>
      <c r="H105" s="125"/>
      <c r="I105" s="125"/>
      <c r="J105" s="62" t="s">
        <v>5214</v>
      </c>
      <c r="K105" s="110" t="s">
        <v>5215</v>
      </c>
      <c r="L105" s="100" t="s">
        <v>5089</v>
      </c>
      <c r="M105" s="62" t="s">
        <v>5216</v>
      </c>
      <c r="N105" s="111"/>
      <c r="O105" s="62"/>
      <c r="P105" s="62" t="s">
        <v>5013</v>
      </c>
      <c r="Q105" s="62"/>
      <c r="R105" s="62"/>
      <c r="S105" s="82" t="s">
        <v>129</v>
      </c>
      <c r="T105" s="101"/>
      <c r="U105" s="101"/>
      <c r="V105" s="62"/>
      <c r="W105" s="62"/>
      <c r="X105" s="62"/>
      <c r="Y105" s="13"/>
      <c r="Z105" s="13"/>
      <c r="AA105" s="275"/>
      <c r="AB105" s="275"/>
    </row>
    <row r="106" spans="1:28" ht="60" x14ac:dyDescent="0.25">
      <c r="A106" s="3"/>
      <c r="B106" s="3"/>
      <c r="C106" s="1"/>
      <c r="D106" s="125"/>
      <c r="E106" s="125"/>
      <c r="F106" s="125"/>
      <c r="G106" s="125"/>
      <c r="H106" s="125"/>
      <c r="I106" s="125"/>
      <c r="J106" s="62" t="s">
        <v>5217</v>
      </c>
      <c r="K106" s="110" t="s">
        <v>5218</v>
      </c>
      <c r="L106" s="100" t="s">
        <v>5089</v>
      </c>
      <c r="M106" s="62"/>
      <c r="N106" s="111"/>
      <c r="O106" s="62"/>
      <c r="P106" s="62"/>
      <c r="Q106" s="62"/>
      <c r="R106" s="62" t="s">
        <v>5014</v>
      </c>
      <c r="S106" s="82" t="s">
        <v>129</v>
      </c>
      <c r="T106" s="101"/>
      <c r="U106" s="101"/>
      <c r="V106" s="62"/>
      <c r="W106" s="62"/>
      <c r="X106" s="62"/>
      <c r="Y106" s="13"/>
      <c r="Z106" s="13"/>
      <c r="AA106" s="275"/>
      <c r="AB106" s="275"/>
    </row>
    <row r="107" spans="1:28" ht="45" x14ac:dyDescent="0.25">
      <c r="A107" s="3"/>
      <c r="B107" s="3"/>
      <c r="C107" s="1"/>
      <c r="D107" s="125"/>
      <c r="E107" s="125"/>
      <c r="F107" s="125"/>
      <c r="G107" s="125"/>
      <c r="H107" s="125"/>
      <c r="I107" s="125"/>
      <c r="J107" s="62" t="s">
        <v>5219</v>
      </c>
      <c r="K107" s="110" t="s">
        <v>5220</v>
      </c>
      <c r="L107" s="100" t="s">
        <v>5089</v>
      </c>
      <c r="M107" s="62"/>
      <c r="N107" s="111"/>
      <c r="O107" s="62"/>
      <c r="P107" s="62"/>
      <c r="Q107" s="62"/>
      <c r="R107" s="62"/>
      <c r="S107" s="82" t="s">
        <v>129</v>
      </c>
      <c r="T107" s="101" t="s">
        <v>1098</v>
      </c>
      <c r="U107" s="101"/>
      <c r="V107" s="62"/>
      <c r="W107" s="715" t="str">
        <f>HYPERLINK("https://www.meistertask.com/app/task/cVjolg0o/projekte-i-allgemein-projektabschnitte", "Projekte")</f>
        <v>Projekte</v>
      </c>
      <c r="X107" s="62" t="s">
        <v>5015</v>
      </c>
      <c r="Y107" s="13"/>
      <c r="Z107" s="13"/>
      <c r="AA107" s="275"/>
      <c r="AB107" s="275"/>
    </row>
    <row r="108" spans="1:28" ht="75" x14ac:dyDescent="0.25">
      <c r="A108" s="3"/>
      <c r="B108" s="3"/>
      <c r="C108" s="1"/>
      <c r="D108" s="125"/>
      <c r="E108" s="125"/>
      <c r="F108" s="125"/>
      <c r="G108" s="125"/>
      <c r="H108" s="125"/>
      <c r="I108" s="125"/>
      <c r="J108" s="62" t="s">
        <v>5221</v>
      </c>
      <c r="K108" s="110" t="s">
        <v>5222</v>
      </c>
      <c r="L108" s="100" t="s">
        <v>5089</v>
      </c>
      <c r="M108" s="62" t="s">
        <v>5223</v>
      </c>
      <c r="N108" s="111"/>
      <c r="O108" s="62"/>
      <c r="P108" s="62"/>
      <c r="Q108" s="62"/>
      <c r="R108" s="62"/>
      <c r="S108" s="82" t="s">
        <v>5008</v>
      </c>
      <c r="T108" s="101"/>
      <c r="U108" s="101"/>
      <c r="V108" s="62"/>
      <c r="W108" s="62"/>
      <c r="X108" s="62"/>
      <c r="Y108" s="13"/>
      <c r="Z108" s="13"/>
      <c r="AA108" s="275"/>
      <c r="AB108" s="275"/>
    </row>
    <row r="109" spans="1:28" ht="90" x14ac:dyDescent="0.25">
      <c r="A109" s="3"/>
      <c r="B109" s="3"/>
      <c r="C109" s="1"/>
      <c r="D109" s="125"/>
      <c r="E109" s="125"/>
      <c r="F109" s="125"/>
      <c r="G109" s="125"/>
      <c r="H109" s="125"/>
      <c r="I109" s="125"/>
      <c r="J109" s="62" t="s">
        <v>5224</v>
      </c>
      <c r="K109" s="110" t="s">
        <v>5225</v>
      </c>
      <c r="L109" s="100" t="s">
        <v>5089</v>
      </c>
      <c r="M109" s="62" t="s">
        <v>5226</v>
      </c>
      <c r="N109" s="111"/>
      <c r="O109" s="62"/>
      <c r="P109" s="62"/>
      <c r="Q109" s="62"/>
      <c r="R109" s="62" t="s">
        <v>5016</v>
      </c>
      <c r="S109" s="82" t="s">
        <v>5008</v>
      </c>
      <c r="T109" s="101"/>
      <c r="U109" s="101"/>
      <c r="V109" s="62"/>
      <c r="W109" s="62"/>
      <c r="X109" s="62"/>
      <c r="Y109" s="13"/>
      <c r="Z109" s="13"/>
      <c r="AA109" s="275"/>
      <c r="AB109" s="275"/>
    </row>
    <row r="110" spans="1:28" ht="75" x14ac:dyDescent="0.25">
      <c r="A110" s="3"/>
      <c r="B110" s="3"/>
      <c r="C110" s="1"/>
      <c r="D110" s="125"/>
      <c r="E110" s="125"/>
      <c r="F110" s="125"/>
      <c r="G110" s="125"/>
      <c r="H110" s="125"/>
      <c r="I110" s="125"/>
      <c r="J110" s="62" t="s">
        <v>5227</v>
      </c>
      <c r="K110" s="110" t="s">
        <v>5228</v>
      </c>
      <c r="L110" s="100" t="s">
        <v>5089</v>
      </c>
      <c r="M110" s="62" t="s">
        <v>5229</v>
      </c>
      <c r="N110" s="111"/>
      <c r="O110" s="62"/>
      <c r="P110" s="62" t="s">
        <v>5017</v>
      </c>
      <c r="Q110" s="62"/>
      <c r="R110" s="62"/>
      <c r="S110" s="82" t="s">
        <v>5008</v>
      </c>
      <c r="T110" s="101"/>
      <c r="U110" s="101"/>
      <c r="V110" s="62"/>
      <c r="W110" s="62"/>
      <c r="X110" s="62"/>
      <c r="Y110" s="13"/>
      <c r="Z110" s="13"/>
      <c r="AA110" s="275"/>
      <c r="AB110" s="275"/>
    </row>
    <row r="111" spans="1:28" ht="30" x14ac:dyDescent="0.25">
      <c r="A111" s="3"/>
      <c r="B111" s="3"/>
      <c r="C111" s="1"/>
      <c r="D111" s="125"/>
      <c r="E111" s="125"/>
      <c r="F111" s="125"/>
      <c r="G111" s="125"/>
      <c r="H111" s="125"/>
      <c r="I111" s="125"/>
      <c r="J111" s="62" t="s">
        <v>5230</v>
      </c>
      <c r="K111" s="110" t="s">
        <v>5231</v>
      </c>
      <c r="L111" s="100" t="s">
        <v>5089</v>
      </c>
      <c r="M111" s="62"/>
      <c r="N111" s="111"/>
      <c r="O111" s="62"/>
      <c r="P111" s="62"/>
      <c r="Q111" s="62"/>
      <c r="R111" s="62"/>
      <c r="S111" s="82"/>
      <c r="T111" s="101"/>
      <c r="U111" s="101"/>
      <c r="V111" s="62"/>
      <c r="W111" s="62"/>
      <c r="X111" s="62"/>
      <c r="Y111" s="13"/>
      <c r="Z111" s="13"/>
      <c r="AA111" s="275"/>
      <c r="AB111" s="275"/>
    </row>
    <row r="112" spans="1:28" x14ac:dyDescent="0.25">
      <c r="A112" s="3"/>
      <c r="B112" s="3"/>
      <c r="C112" s="1"/>
      <c r="D112" s="125"/>
      <c r="E112" s="125"/>
      <c r="F112" s="125"/>
      <c r="G112" s="125"/>
      <c r="H112" s="125"/>
      <c r="I112" s="125"/>
      <c r="J112" s="62" t="s">
        <v>5232</v>
      </c>
      <c r="K112" s="110" t="s">
        <v>5233</v>
      </c>
      <c r="L112" s="100" t="s">
        <v>5089</v>
      </c>
      <c r="M112" s="62"/>
      <c r="N112" s="111"/>
      <c r="O112" s="62"/>
      <c r="P112" s="62"/>
      <c r="Q112" s="62"/>
      <c r="R112" s="62"/>
      <c r="S112" s="82"/>
      <c r="T112" s="101"/>
      <c r="U112" s="101"/>
      <c r="V112" s="62"/>
      <c r="W112" s="62"/>
      <c r="X112" s="62"/>
      <c r="Y112" s="13"/>
      <c r="Z112" s="13"/>
      <c r="AA112" s="275"/>
      <c r="AB112" s="275"/>
    </row>
    <row r="113" spans="1:28" ht="30" x14ac:dyDescent="0.25">
      <c r="A113" s="3"/>
      <c r="B113" s="3"/>
      <c r="C113" s="1"/>
      <c r="D113" s="125"/>
      <c r="E113" s="125"/>
      <c r="F113" s="125"/>
      <c r="G113" s="125"/>
      <c r="H113" s="125"/>
      <c r="I113" s="125"/>
      <c r="J113" s="62" t="s">
        <v>5234</v>
      </c>
      <c r="K113" s="110" t="s">
        <v>5235</v>
      </c>
      <c r="L113" s="100" t="s">
        <v>4701</v>
      </c>
      <c r="M113" s="62"/>
      <c r="N113" s="111"/>
      <c r="O113" s="62"/>
      <c r="P113" s="62"/>
      <c r="Q113" s="62"/>
      <c r="R113" s="62"/>
      <c r="S113" s="82" t="s">
        <v>4813</v>
      </c>
      <c r="T113" s="101"/>
      <c r="U113" s="101"/>
      <c r="V113" s="62"/>
      <c r="W113" s="62"/>
      <c r="X113" s="62"/>
      <c r="Y113" s="13"/>
      <c r="Z113" s="13"/>
      <c r="AA113" s="275"/>
      <c r="AB113" s="275"/>
    </row>
    <row r="114" spans="1:28" ht="60" x14ac:dyDescent="0.25">
      <c r="A114" s="3"/>
      <c r="B114" s="3"/>
      <c r="C114" s="1"/>
      <c r="D114" s="125"/>
      <c r="E114" s="125"/>
      <c r="F114" s="125"/>
      <c r="G114" s="125">
        <v>4</v>
      </c>
      <c r="H114" s="125"/>
      <c r="I114" s="125"/>
      <c r="J114" s="62" t="s">
        <v>5236</v>
      </c>
      <c r="K114" s="110" t="s">
        <v>5237</v>
      </c>
      <c r="L114" s="100" t="s">
        <v>4701</v>
      </c>
      <c r="M114" s="62"/>
      <c r="N114" s="111"/>
      <c r="O114" s="62"/>
      <c r="P114" s="62" t="s">
        <v>5018</v>
      </c>
      <c r="Q114" s="62"/>
      <c r="R114" s="62"/>
      <c r="S114" s="82" t="s">
        <v>4813</v>
      </c>
      <c r="T114" s="101"/>
      <c r="U114" s="101"/>
      <c r="V114" s="62"/>
      <c r="W114" s="62"/>
      <c r="X114" s="62"/>
      <c r="Y114" s="13"/>
      <c r="Z114" s="13"/>
      <c r="AA114" s="275"/>
      <c r="AB114" s="275"/>
    </row>
    <row r="115" spans="1:28" ht="30" x14ac:dyDescent="0.25">
      <c r="A115" s="3"/>
      <c r="B115" s="3"/>
      <c r="C115" s="1"/>
      <c r="D115" s="125"/>
      <c r="E115" s="125"/>
      <c r="F115" s="125"/>
      <c r="G115" s="125">
        <v>4</v>
      </c>
      <c r="H115" s="125"/>
      <c r="I115" s="125"/>
      <c r="J115" s="62" t="s">
        <v>5238</v>
      </c>
      <c r="K115" s="110" t="s">
        <v>5239</v>
      </c>
      <c r="L115" s="100" t="s">
        <v>5089</v>
      </c>
      <c r="M115" s="62"/>
      <c r="N115" s="111"/>
      <c r="O115" s="62"/>
      <c r="P115" s="62"/>
      <c r="Q115" s="62"/>
      <c r="R115" s="62"/>
      <c r="S115" s="82" t="s">
        <v>4813</v>
      </c>
      <c r="T115" s="101"/>
      <c r="U115" s="101"/>
      <c r="V115" s="62"/>
      <c r="W115" s="62"/>
      <c r="X115" s="62"/>
      <c r="Y115" s="13"/>
      <c r="Z115" s="13"/>
      <c r="AA115" s="275"/>
      <c r="AB115" s="275"/>
    </row>
    <row r="116" spans="1:28" x14ac:dyDescent="0.25">
      <c r="A116" s="3"/>
      <c r="B116" s="3"/>
      <c r="C116" s="1"/>
      <c r="D116" s="11"/>
      <c r="E116" s="11"/>
      <c r="F116" s="41"/>
      <c r="G116" s="41">
        <v>4</v>
      </c>
      <c r="H116" s="41"/>
      <c r="I116" s="41"/>
      <c r="J116" s="1" t="s">
        <v>5240</v>
      </c>
      <c r="K116" s="1" t="s">
        <v>5241</v>
      </c>
      <c r="L116" s="102" t="s">
        <v>5021</v>
      </c>
      <c r="M116" s="82"/>
      <c r="N116" s="83"/>
      <c r="O116" s="82"/>
      <c r="P116" s="82"/>
      <c r="Q116" s="82"/>
      <c r="R116" s="82"/>
      <c r="S116" s="82" t="s">
        <v>4813</v>
      </c>
      <c r="T116" s="84"/>
      <c r="U116" s="84"/>
      <c r="V116" s="82"/>
      <c r="W116" s="82"/>
      <c r="X116" s="82"/>
      <c r="Y116" s="13"/>
      <c r="Z116" s="13"/>
      <c r="AA116" s="275"/>
      <c r="AB116" s="275"/>
    </row>
    <row r="117" spans="1:28" ht="30" x14ac:dyDescent="0.25">
      <c r="A117" s="3"/>
      <c r="B117" s="3"/>
      <c r="C117" s="1"/>
      <c r="D117" s="11"/>
      <c r="E117" s="11"/>
      <c r="F117" s="41"/>
      <c r="G117" s="41">
        <v>4</v>
      </c>
      <c r="H117" s="41"/>
      <c r="I117" s="41"/>
      <c r="J117" s="6" t="s">
        <v>5242</v>
      </c>
      <c r="K117" s="1" t="s">
        <v>5243</v>
      </c>
      <c r="L117" s="102" t="s">
        <v>5089</v>
      </c>
      <c r="M117" s="82"/>
      <c r="N117" s="83"/>
      <c r="O117" s="82"/>
      <c r="P117" s="82"/>
      <c r="Q117" s="82"/>
      <c r="R117" s="82"/>
      <c r="S117" s="82" t="s">
        <v>4813</v>
      </c>
      <c r="T117" s="84"/>
      <c r="U117" s="84"/>
      <c r="V117" s="82"/>
      <c r="W117" s="82"/>
      <c r="X117" s="82"/>
      <c r="Y117" s="13"/>
      <c r="Z117" s="13"/>
      <c r="AA117" s="275"/>
      <c r="AB117" s="275"/>
    </row>
    <row r="118" spans="1:28" x14ac:dyDescent="0.25">
      <c r="A118" s="3"/>
      <c r="B118" s="3"/>
      <c r="C118" s="1"/>
      <c r="D118" s="125"/>
      <c r="E118" s="125"/>
      <c r="F118" s="125"/>
      <c r="G118" s="125">
        <v>4</v>
      </c>
      <c r="H118" s="125"/>
      <c r="I118" s="125"/>
      <c r="J118" s="45" t="s">
        <v>5244</v>
      </c>
      <c r="K118" s="62" t="s">
        <v>5245</v>
      </c>
      <c r="L118" s="166" t="s">
        <v>5021</v>
      </c>
      <c r="M118" s="45"/>
      <c r="N118" s="45"/>
      <c r="O118" s="45"/>
      <c r="P118" s="45"/>
      <c r="Q118" s="45"/>
      <c r="R118" s="45"/>
      <c r="S118" s="45" t="s">
        <v>4813</v>
      </c>
      <c r="T118" s="45"/>
      <c r="U118" s="45"/>
      <c r="V118" s="45"/>
      <c r="W118" s="45"/>
      <c r="X118" s="45"/>
      <c r="Y118" s="13"/>
      <c r="Z118" s="13"/>
      <c r="AA118" s="275"/>
      <c r="AB118" s="275"/>
    </row>
    <row r="119" spans="1:28" ht="16.5" customHeight="1" x14ac:dyDescent="0.25">
      <c r="A119" s="3"/>
      <c r="B119" s="3"/>
      <c r="C119" s="276"/>
      <c r="D119" s="277"/>
      <c r="G119" s="278"/>
      <c r="H119" s="278"/>
      <c r="I119" s="278"/>
      <c r="J119" s="278"/>
      <c r="K119" s="278"/>
      <c r="L119" s="278"/>
      <c r="M119" s="278"/>
      <c r="N119" s="279"/>
      <c r="O119" s="278"/>
      <c r="P119" s="278"/>
      <c r="Q119" s="278"/>
      <c r="R119" s="278"/>
      <c r="S119" s="278"/>
      <c r="T119" s="278"/>
      <c r="U119" s="278"/>
      <c r="V119" s="278"/>
      <c r="W119" s="278"/>
      <c r="X119" s="278"/>
      <c r="Y119" s="13"/>
      <c r="Z119" s="13"/>
      <c r="AA119" s="275"/>
      <c r="AB119" s="275"/>
    </row>
    <row r="120" spans="1:28" x14ac:dyDescent="0.25">
      <c r="A120" s="3"/>
      <c r="B120" s="3"/>
      <c r="C120" s="1"/>
      <c r="D120" s="841"/>
      <c r="E120" s="841"/>
      <c r="F120" s="841">
        <v>3</v>
      </c>
      <c r="G120" s="1349" t="s">
        <v>5246</v>
      </c>
      <c r="H120" s="1349"/>
      <c r="I120" s="1349"/>
      <c r="J120" s="1349"/>
      <c r="K120" s="1349"/>
      <c r="L120" s="1349"/>
      <c r="M120" s="1349"/>
      <c r="N120" s="1030"/>
      <c r="O120" s="902"/>
      <c r="P120" s="902"/>
      <c r="Q120" s="902"/>
      <c r="R120" s="902"/>
      <c r="S120" s="902"/>
      <c r="T120" s="1020"/>
      <c r="U120" s="1020"/>
      <c r="V120" s="902"/>
      <c r="W120" s="902"/>
      <c r="X120" s="902"/>
      <c r="Y120" s="13"/>
      <c r="Z120" s="13"/>
      <c r="AA120" s="275"/>
      <c r="AB120" s="275"/>
    </row>
    <row r="121" spans="1:28" ht="30" x14ac:dyDescent="0.25">
      <c r="A121" s="3"/>
      <c r="B121" s="3"/>
      <c r="C121" s="1"/>
      <c r="D121" s="125"/>
      <c r="E121" s="125"/>
      <c r="F121" s="125"/>
      <c r="G121" s="125">
        <v>4</v>
      </c>
      <c r="H121" s="125"/>
      <c r="I121" s="125"/>
      <c r="J121" s="62" t="s">
        <v>5247</v>
      </c>
      <c r="K121" s="62" t="s">
        <v>5248</v>
      </c>
      <c r="L121" s="166" t="s">
        <v>4701</v>
      </c>
      <c r="M121" s="45"/>
      <c r="N121" s="45"/>
      <c r="O121" s="45"/>
      <c r="P121" s="45"/>
      <c r="Q121" s="45"/>
      <c r="R121" s="45"/>
      <c r="S121" s="45" t="s">
        <v>4813</v>
      </c>
      <c r="T121" s="45"/>
      <c r="U121" s="45"/>
      <c r="V121" s="45"/>
      <c r="W121" s="45"/>
      <c r="X121" s="45"/>
      <c r="Y121" s="13"/>
      <c r="Z121" s="13"/>
      <c r="AA121" s="275"/>
      <c r="AB121" s="275"/>
    </row>
    <row r="122" spans="1:28" x14ac:dyDescent="0.25">
      <c r="A122" s="3"/>
      <c r="B122" s="3"/>
      <c r="C122" s="1"/>
      <c r="D122" s="125"/>
      <c r="E122" s="125"/>
      <c r="F122" s="125"/>
      <c r="G122" s="203">
        <v>4</v>
      </c>
      <c r="H122" s="1202" t="s">
        <v>5249</v>
      </c>
      <c r="I122" s="1203"/>
      <c r="J122" s="1203"/>
      <c r="K122" s="1144"/>
      <c r="L122" s="1144"/>
      <c r="M122" s="1144"/>
      <c r="N122" s="728" t="str">
        <f>HYPERLINK("http://wiki.academyofsports.online/tiki-index.php?page=Begutachtung-Lehrmaterialien-(0074)", "0074")</f>
        <v>0074</v>
      </c>
      <c r="O122" s="62"/>
      <c r="P122" s="62"/>
      <c r="Q122" s="62"/>
      <c r="R122" s="62"/>
      <c r="S122" s="62"/>
      <c r="T122" s="101"/>
      <c r="U122" s="101"/>
      <c r="V122" s="62"/>
      <c r="W122" s="62"/>
      <c r="X122" s="62"/>
      <c r="Y122" s="13"/>
      <c r="Z122" s="13"/>
      <c r="AA122" s="275"/>
      <c r="AB122" s="275"/>
    </row>
    <row r="123" spans="1:28" x14ac:dyDescent="0.25">
      <c r="A123" s="3"/>
      <c r="B123" s="3"/>
      <c r="C123" s="1"/>
      <c r="D123" s="125"/>
      <c r="E123" s="125"/>
      <c r="F123" s="125"/>
      <c r="G123" s="125"/>
      <c r="H123" s="125">
        <v>5</v>
      </c>
      <c r="I123" s="125"/>
      <c r="J123" s="110"/>
      <c r="K123" s="100"/>
      <c r="L123" s="100"/>
      <c r="M123" s="62"/>
      <c r="N123" s="111"/>
      <c r="O123" s="62"/>
      <c r="P123" s="62"/>
      <c r="Q123" s="62"/>
      <c r="R123" s="62"/>
      <c r="S123" s="62"/>
      <c r="T123" s="101"/>
      <c r="U123" s="101"/>
      <c r="V123" s="62"/>
      <c r="W123" s="62"/>
      <c r="X123" s="62"/>
      <c r="Y123" s="13"/>
      <c r="Z123" s="13"/>
      <c r="AA123" s="275"/>
      <c r="AB123" s="275"/>
    </row>
    <row r="124" spans="1:28" x14ac:dyDescent="0.25">
      <c r="A124" s="3"/>
      <c r="B124" s="3"/>
      <c r="C124" s="1"/>
      <c r="D124" s="125"/>
      <c r="E124" s="125"/>
      <c r="F124" s="125"/>
      <c r="G124" s="125"/>
      <c r="H124" s="125"/>
      <c r="I124" s="125"/>
      <c r="J124" s="110" t="s">
        <v>5250</v>
      </c>
      <c r="K124" s="109" t="s">
        <v>5251</v>
      </c>
      <c r="L124" s="100" t="s">
        <v>4701</v>
      </c>
      <c r="M124" s="62"/>
      <c r="N124" s="111"/>
      <c r="O124" s="62"/>
      <c r="P124" s="62"/>
      <c r="Q124" s="62"/>
      <c r="R124" s="62"/>
      <c r="S124" s="62"/>
      <c r="T124" s="101"/>
      <c r="U124" s="101"/>
      <c r="V124" s="62"/>
      <c r="W124" s="62"/>
      <c r="X124" s="62"/>
      <c r="Y124" s="13"/>
      <c r="Z124" s="13"/>
      <c r="AA124" s="275"/>
      <c r="AB124" s="275"/>
    </row>
    <row r="125" spans="1:28" x14ac:dyDescent="0.25">
      <c r="A125" s="3"/>
      <c r="B125" s="3"/>
      <c r="C125" s="1"/>
      <c r="D125" s="125"/>
      <c r="E125" s="125"/>
      <c r="F125" s="125"/>
      <c r="G125" s="125"/>
      <c r="H125" s="125"/>
      <c r="I125" s="125"/>
      <c r="J125" s="110" t="s">
        <v>5252</v>
      </c>
      <c r="K125" s="109" t="s">
        <v>5253</v>
      </c>
      <c r="L125" s="100" t="s">
        <v>5157</v>
      </c>
      <c r="M125" s="62"/>
      <c r="N125" s="111"/>
      <c r="O125" s="62"/>
      <c r="P125" s="62"/>
      <c r="Q125" s="62"/>
      <c r="R125" s="62"/>
      <c r="S125" s="62"/>
      <c r="T125" s="101"/>
      <c r="U125" s="101"/>
      <c r="V125" s="62"/>
      <c r="W125" s="62"/>
      <c r="X125" s="62"/>
      <c r="Y125" s="13"/>
      <c r="Z125" s="13"/>
      <c r="AA125" s="275"/>
      <c r="AB125" s="275"/>
    </row>
    <row r="126" spans="1:28" x14ac:dyDescent="0.25">
      <c r="A126" s="3"/>
      <c r="B126" s="3"/>
      <c r="C126" s="1"/>
      <c r="D126" s="125"/>
      <c r="E126" s="125"/>
      <c r="F126" s="125"/>
      <c r="G126" s="125"/>
      <c r="H126" s="125"/>
      <c r="I126" s="125"/>
      <c r="J126" s="110" t="s">
        <v>5254</v>
      </c>
      <c r="K126" s="109" t="s">
        <v>5255</v>
      </c>
      <c r="L126" s="100" t="s">
        <v>5157</v>
      </c>
      <c r="M126" s="62"/>
      <c r="N126" s="111"/>
      <c r="O126" s="62"/>
      <c r="P126" s="62"/>
      <c r="Q126" s="62"/>
      <c r="R126" s="62"/>
      <c r="S126" s="62"/>
      <c r="T126" s="101"/>
      <c r="U126" s="101"/>
      <c r="V126" s="62"/>
      <c r="W126" s="62"/>
      <c r="X126" s="62"/>
      <c r="Y126" s="13"/>
      <c r="Z126" s="13"/>
      <c r="AA126" s="275"/>
      <c r="AB126" s="275"/>
    </row>
    <row r="127" spans="1:28" ht="30" x14ac:dyDescent="0.25">
      <c r="A127" s="3"/>
      <c r="B127" s="3"/>
      <c r="C127" s="1"/>
      <c r="D127" s="125"/>
      <c r="E127" s="125"/>
      <c r="F127" s="125"/>
      <c r="G127" s="125"/>
      <c r="H127" s="125"/>
      <c r="I127" s="125"/>
      <c r="J127" s="110" t="s">
        <v>5256</v>
      </c>
      <c r="K127" s="109" t="s">
        <v>5256</v>
      </c>
      <c r="L127" s="100" t="s">
        <v>5157</v>
      </c>
      <c r="M127" s="62"/>
      <c r="N127" s="111"/>
      <c r="O127" s="62"/>
      <c r="P127" s="62"/>
      <c r="Q127" s="62"/>
      <c r="R127" s="62"/>
      <c r="S127" s="62"/>
      <c r="T127" s="101"/>
      <c r="U127" s="101"/>
      <c r="V127" s="62"/>
      <c r="W127" s="62"/>
      <c r="X127" s="62"/>
      <c r="Y127" s="13"/>
      <c r="Z127" s="13"/>
      <c r="AA127" s="275"/>
      <c r="AB127" s="275"/>
    </row>
    <row r="128" spans="1:28" ht="26.25" x14ac:dyDescent="0.25">
      <c r="A128" s="3"/>
      <c r="B128" s="3"/>
      <c r="C128" s="1"/>
      <c r="D128" s="125"/>
      <c r="E128" s="125"/>
      <c r="F128" s="125"/>
      <c r="G128" s="125"/>
      <c r="H128" s="125"/>
      <c r="I128" s="125"/>
      <c r="J128" s="109" t="s">
        <v>5257</v>
      </c>
      <c r="K128" s="109" t="s">
        <v>5258</v>
      </c>
      <c r="L128" s="100" t="s">
        <v>4701</v>
      </c>
      <c r="M128" s="62"/>
      <c r="N128" s="111"/>
      <c r="O128" s="62"/>
      <c r="P128" s="62"/>
      <c r="Q128" s="62"/>
      <c r="R128" s="62"/>
      <c r="S128" s="62"/>
      <c r="T128" s="101"/>
      <c r="U128" s="101"/>
      <c r="V128" s="62"/>
      <c r="W128" s="62"/>
      <c r="X128" s="62"/>
      <c r="Y128" s="13"/>
      <c r="Z128" s="13"/>
      <c r="AA128" s="275"/>
      <c r="AB128" s="275"/>
    </row>
    <row r="129" spans="1:28" x14ac:dyDescent="0.25">
      <c r="A129" s="3"/>
      <c r="B129" s="3"/>
      <c r="C129" s="1"/>
      <c r="D129" s="125"/>
      <c r="E129" s="125"/>
      <c r="F129" s="125"/>
      <c r="G129" s="125"/>
      <c r="H129" s="125"/>
      <c r="I129" s="125"/>
      <c r="J129" s="110" t="s">
        <v>5259</v>
      </c>
      <c r="K129" s="109" t="s">
        <v>5260</v>
      </c>
      <c r="L129" s="100" t="s">
        <v>5157</v>
      </c>
      <c r="M129" s="62"/>
      <c r="N129" s="111"/>
      <c r="O129" s="62"/>
      <c r="P129" s="62"/>
      <c r="Q129" s="62"/>
      <c r="R129" s="62"/>
      <c r="S129" s="62"/>
      <c r="T129" s="101"/>
      <c r="U129" s="101"/>
      <c r="V129" s="62"/>
      <c r="W129" s="62"/>
      <c r="X129" s="62"/>
      <c r="Y129" s="13"/>
      <c r="Z129" s="13"/>
      <c r="AA129" s="275"/>
      <c r="AB129" s="275"/>
    </row>
    <row r="130" spans="1:28" x14ac:dyDescent="0.25">
      <c r="A130" s="3"/>
      <c r="B130" s="3"/>
      <c r="C130" s="1"/>
      <c r="D130" s="11"/>
      <c r="E130" s="11"/>
      <c r="F130" s="11"/>
      <c r="G130" s="11"/>
      <c r="H130" s="11">
        <v>5</v>
      </c>
      <c r="I130" s="11"/>
      <c r="J130" s="1"/>
      <c r="K130" s="9"/>
      <c r="L130" s="5"/>
      <c r="M130" s="1"/>
      <c r="N130" s="1"/>
      <c r="O130" s="1"/>
      <c r="P130" s="1"/>
      <c r="Q130" s="1"/>
      <c r="R130" s="1"/>
      <c r="S130" s="1"/>
      <c r="T130" s="1"/>
      <c r="U130" s="1"/>
      <c r="V130" s="1"/>
      <c r="W130" s="1"/>
      <c r="X130" s="1"/>
      <c r="Y130" s="13"/>
      <c r="Z130" s="13"/>
      <c r="AA130" s="275"/>
      <c r="AB130" s="275"/>
    </row>
    <row r="131" spans="1:28" ht="26.25" x14ac:dyDescent="0.25">
      <c r="A131" s="3"/>
      <c r="B131" s="3"/>
      <c r="C131" s="1"/>
      <c r="D131" s="11"/>
      <c r="E131" s="11"/>
      <c r="F131" s="11"/>
      <c r="G131" s="11"/>
      <c r="H131" s="1"/>
      <c r="I131" s="1"/>
      <c r="J131" s="1" t="s">
        <v>5261</v>
      </c>
      <c r="K131" s="9" t="s">
        <v>5262</v>
      </c>
      <c r="L131" s="5" t="s">
        <v>4701</v>
      </c>
      <c r="M131" s="1"/>
      <c r="N131" s="1"/>
      <c r="O131" s="1"/>
      <c r="P131" s="1"/>
      <c r="Q131" s="1"/>
      <c r="R131" s="1"/>
      <c r="S131" s="1"/>
      <c r="T131" s="1"/>
      <c r="U131" s="1"/>
      <c r="V131" s="1"/>
      <c r="W131" s="1"/>
      <c r="X131" s="1"/>
      <c r="Y131" s="13"/>
      <c r="Z131" s="13"/>
      <c r="AA131" s="275"/>
      <c r="AB131" s="275"/>
    </row>
    <row r="132" spans="1:28" x14ac:dyDescent="0.25">
      <c r="A132" s="3"/>
      <c r="B132" s="3"/>
      <c r="C132" s="1"/>
      <c r="D132" s="11"/>
      <c r="E132" s="11"/>
      <c r="F132" s="11"/>
      <c r="G132" s="11"/>
      <c r="H132" s="11"/>
      <c r="I132" s="11"/>
      <c r="J132" s="1" t="s">
        <v>5263</v>
      </c>
      <c r="K132" s="9" t="s">
        <v>5264</v>
      </c>
      <c r="L132" s="5" t="s">
        <v>5265</v>
      </c>
      <c r="M132" s="1"/>
      <c r="N132" s="1"/>
      <c r="O132" s="1"/>
      <c r="P132" s="1"/>
      <c r="Q132" s="1"/>
      <c r="R132" s="1"/>
      <c r="S132" s="1"/>
      <c r="T132" s="1"/>
      <c r="U132" s="1"/>
      <c r="V132" s="1"/>
      <c r="W132" s="1"/>
      <c r="X132" s="1"/>
      <c r="Y132" s="13"/>
      <c r="Z132" s="13"/>
      <c r="AA132" s="275"/>
      <c r="AB132" s="275"/>
    </row>
    <row r="133" spans="1:28" ht="26.25" x14ac:dyDescent="0.25">
      <c r="A133" s="3"/>
      <c r="B133" s="3"/>
      <c r="C133" s="1"/>
      <c r="D133" s="11"/>
      <c r="E133" s="11"/>
      <c r="F133" s="11"/>
      <c r="G133" s="11"/>
      <c r="H133" s="11"/>
      <c r="I133" s="11"/>
      <c r="J133" s="1" t="s">
        <v>5266</v>
      </c>
      <c r="K133" s="9" t="s">
        <v>5267</v>
      </c>
      <c r="L133" s="5" t="s">
        <v>5265</v>
      </c>
      <c r="M133" s="1"/>
      <c r="N133" s="1"/>
      <c r="O133" s="1"/>
      <c r="P133" s="1"/>
      <c r="Q133" s="1"/>
      <c r="R133" s="1"/>
      <c r="S133" s="1"/>
      <c r="T133" s="1"/>
      <c r="U133" s="1"/>
      <c r="V133" s="1"/>
      <c r="W133" s="1"/>
      <c r="X133" s="1"/>
      <c r="Y133" s="13"/>
      <c r="Z133" s="13"/>
      <c r="AA133" s="275"/>
      <c r="AB133" s="275"/>
    </row>
    <row r="134" spans="1:28" ht="30" x14ac:dyDescent="0.25">
      <c r="A134" s="3"/>
      <c r="B134" s="3"/>
      <c r="C134" s="1"/>
      <c r="D134" s="11"/>
      <c r="E134" s="11"/>
      <c r="F134" s="11"/>
      <c r="G134" s="11"/>
      <c r="H134" s="11"/>
      <c r="I134" s="11"/>
      <c r="J134" s="20" t="s">
        <v>5268</v>
      </c>
      <c r="K134" s="9" t="s">
        <v>5268</v>
      </c>
      <c r="L134" s="100" t="s">
        <v>5157</v>
      </c>
      <c r="M134" s="6"/>
      <c r="N134" s="22"/>
      <c r="O134" s="6"/>
      <c r="P134" s="6"/>
      <c r="Q134" s="6"/>
      <c r="R134" s="6"/>
      <c r="S134" s="6"/>
      <c r="T134" s="16"/>
      <c r="U134" s="16"/>
      <c r="V134" s="6"/>
      <c r="W134" s="6"/>
      <c r="X134" s="6"/>
      <c r="Y134" s="13"/>
      <c r="Z134" s="13"/>
      <c r="AA134" s="275"/>
      <c r="AB134" s="275"/>
    </row>
    <row r="135" spans="1:28" ht="30" x14ac:dyDescent="0.25">
      <c r="A135" s="3"/>
      <c r="B135" s="3"/>
      <c r="C135" s="1"/>
      <c r="D135" s="11"/>
      <c r="E135" s="11"/>
      <c r="F135" s="11"/>
      <c r="G135" s="11"/>
      <c r="H135" s="11"/>
      <c r="I135" s="11"/>
      <c r="J135" s="20" t="s">
        <v>5269</v>
      </c>
      <c r="K135" s="9" t="s">
        <v>5270</v>
      </c>
      <c r="L135" s="8" t="s">
        <v>4701</v>
      </c>
      <c r="M135" s="6"/>
      <c r="N135" s="22"/>
      <c r="O135" s="6"/>
      <c r="P135" s="6"/>
      <c r="Q135" s="6"/>
      <c r="R135" s="6"/>
      <c r="S135" s="6"/>
      <c r="T135" s="16"/>
      <c r="U135" s="16"/>
      <c r="V135" s="6"/>
      <c r="W135" s="6"/>
      <c r="X135" s="6"/>
      <c r="Y135" s="13"/>
      <c r="Z135" s="13"/>
      <c r="AA135" s="275"/>
      <c r="AB135" s="275"/>
    </row>
    <row r="136" spans="1:28" ht="15.75" customHeight="1" x14ac:dyDescent="0.25">
      <c r="A136" s="3"/>
      <c r="B136" s="3"/>
      <c r="C136" s="1"/>
      <c r="D136" s="1"/>
      <c r="E136" s="1"/>
      <c r="F136" s="1"/>
      <c r="G136" s="1"/>
      <c r="H136" s="1"/>
      <c r="I136" s="1"/>
      <c r="J136" s="1" t="s">
        <v>5271</v>
      </c>
      <c r="K136" s="9"/>
      <c r="L136" s="5" t="s">
        <v>5143</v>
      </c>
      <c r="Y136" s="13"/>
      <c r="Z136" s="13"/>
      <c r="AA136" s="275"/>
      <c r="AB136" s="275"/>
    </row>
    <row r="137" spans="1:28" ht="45" x14ac:dyDescent="0.25">
      <c r="A137" s="3"/>
      <c r="B137" s="3"/>
      <c r="C137" s="1"/>
      <c r="D137" s="11"/>
      <c r="E137" s="11"/>
      <c r="F137" s="11"/>
      <c r="G137" s="11"/>
      <c r="H137" s="11">
        <v>5</v>
      </c>
      <c r="I137" s="11"/>
      <c r="J137" s="20" t="s">
        <v>5272</v>
      </c>
      <c r="K137" s="9"/>
      <c r="L137" s="8"/>
      <c r="M137" s="6"/>
      <c r="N137" s="22"/>
      <c r="O137" s="6"/>
      <c r="P137" s="6"/>
      <c r="Q137" s="6"/>
      <c r="R137" s="6"/>
      <c r="S137" s="6"/>
      <c r="T137" s="16"/>
      <c r="U137" s="16"/>
      <c r="V137" s="6"/>
      <c r="W137" s="6"/>
      <c r="X137" s="6"/>
      <c r="Y137" s="13"/>
      <c r="Z137" s="13"/>
      <c r="AA137" s="275"/>
      <c r="AB137" s="275"/>
    </row>
    <row r="138" spans="1:28" ht="26.25" x14ac:dyDescent="0.25">
      <c r="A138" s="3"/>
      <c r="B138" s="3"/>
      <c r="C138" s="1"/>
      <c r="D138" s="11"/>
      <c r="E138" s="11"/>
      <c r="F138" s="11"/>
      <c r="G138" s="11"/>
      <c r="H138" s="11"/>
      <c r="I138" s="11"/>
      <c r="J138" s="9" t="s">
        <v>5273</v>
      </c>
      <c r="K138" s="9" t="s">
        <v>5274</v>
      </c>
      <c r="L138" s="100" t="s">
        <v>5157</v>
      </c>
      <c r="M138" s="6"/>
      <c r="N138" s="22"/>
      <c r="O138" s="6"/>
      <c r="P138" s="6"/>
      <c r="Q138" s="6"/>
      <c r="R138" s="6"/>
      <c r="S138" s="6"/>
      <c r="T138" s="16"/>
      <c r="U138" s="16"/>
      <c r="V138" s="6"/>
      <c r="W138" s="6"/>
      <c r="X138" s="6"/>
      <c r="Y138" s="13"/>
      <c r="Z138" s="13"/>
      <c r="AA138" s="275"/>
      <c r="AB138" s="275"/>
    </row>
    <row r="139" spans="1:28" ht="30" x14ac:dyDescent="0.25">
      <c r="A139" s="3"/>
      <c r="B139" s="3"/>
      <c r="C139" s="1"/>
      <c r="D139" s="11"/>
      <c r="E139" s="11"/>
      <c r="F139" s="11"/>
      <c r="G139" s="11"/>
      <c r="H139" s="11"/>
      <c r="I139" s="11"/>
      <c r="J139" s="20" t="s">
        <v>5275</v>
      </c>
      <c r="K139" s="9" t="s">
        <v>5275</v>
      </c>
      <c r="L139" s="100" t="s">
        <v>4701</v>
      </c>
      <c r="M139" s="6"/>
      <c r="N139" s="22"/>
      <c r="O139" s="6"/>
      <c r="P139" s="6"/>
      <c r="Q139" s="6"/>
      <c r="R139" s="6"/>
      <c r="S139" s="6"/>
      <c r="T139" s="16"/>
      <c r="U139" s="16"/>
      <c r="V139" s="6"/>
      <c r="W139" s="6"/>
      <c r="X139" s="6"/>
      <c r="Y139" s="13"/>
      <c r="Z139" s="13"/>
      <c r="AA139" s="275"/>
      <c r="AB139" s="275"/>
    </row>
    <row r="140" spans="1:28" x14ac:dyDescent="0.25">
      <c r="A140" s="3"/>
      <c r="B140" s="3"/>
      <c r="C140" s="1"/>
      <c r="D140" s="11"/>
      <c r="E140" s="11"/>
      <c r="F140" s="11"/>
      <c r="G140" s="11"/>
      <c r="H140" s="11"/>
      <c r="I140" s="11"/>
      <c r="J140" s="9" t="s">
        <v>5276</v>
      </c>
      <c r="K140" s="9" t="s">
        <v>5276</v>
      </c>
      <c r="L140" s="8" t="s">
        <v>5143</v>
      </c>
      <c r="M140" s="6"/>
      <c r="N140" s="22"/>
      <c r="O140" s="6"/>
      <c r="P140" s="6"/>
      <c r="Q140" s="6"/>
      <c r="R140" s="6"/>
      <c r="S140" s="6"/>
      <c r="T140" s="16"/>
      <c r="U140" s="16"/>
      <c r="V140" s="6"/>
      <c r="W140" s="6"/>
      <c r="X140" s="6"/>
      <c r="Y140" s="13"/>
      <c r="Z140" s="13"/>
      <c r="AA140" s="275"/>
      <c r="AB140" s="275"/>
    </row>
    <row r="141" spans="1:28" ht="26.25" x14ac:dyDescent="0.25">
      <c r="A141" s="3"/>
      <c r="B141" s="3"/>
      <c r="C141" s="1"/>
      <c r="D141" s="11"/>
      <c r="E141" s="11"/>
      <c r="F141" s="11"/>
      <c r="G141" s="11"/>
      <c r="H141" s="11"/>
      <c r="I141" s="11"/>
      <c r="J141" s="9" t="s">
        <v>5277</v>
      </c>
      <c r="K141" s="9" t="s">
        <v>5277</v>
      </c>
      <c r="L141" s="8" t="s">
        <v>5278</v>
      </c>
      <c r="M141" s="6"/>
      <c r="N141" s="22"/>
      <c r="O141" s="6"/>
      <c r="P141" s="6"/>
      <c r="Q141" s="6"/>
      <c r="R141" s="6"/>
      <c r="S141" s="6"/>
      <c r="T141" s="16"/>
      <c r="U141" s="16"/>
      <c r="V141" s="6"/>
      <c r="W141" s="6"/>
      <c r="X141" s="6"/>
      <c r="Y141" s="13"/>
      <c r="Z141" s="13"/>
      <c r="AA141" s="275"/>
      <c r="AB141" s="275"/>
    </row>
    <row r="142" spans="1:28" ht="26.25" x14ac:dyDescent="0.25">
      <c r="A142" s="3"/>
      <c r="B142" s="3"/>
      <c r="C142" s="1"/>
      <c r="D142" s="11"/>
      <c r="E142" s="11"/>
      <c r="F142" s="11"/>
      <c r="G142" s="11"/>
      <c r="H142" s="11"/>
      <c r="I142" s="11"/>
      <c r="J142" s="9" t="s">
        <v>5279</v>
      </c>
      <c r="K142" s="9" t="s">
        <v>5279</v>
      </c>
      <c r="L142" s="8" t="s">
        <v>4701</v>
      </c>
      <c r="M142" s="6"/>
      <c r="N142" s="22"/>
      <c r="O142" s="6"/>
      <c r="P142" s="6"/>
      <c r="Q142" s="6"/>
      <c r="R142" s="6"/>
      <c r="S142" s="6"/>
      <c r="T142" s="16"/>
      <c r="U142" s="16"/>
      <c r="V142" s="6"/>
      <c r="W142" s="6"/>
      <c r="X142" s="6"/>
      <c r="Y142" s="13"/>
      <c r="Z142" s="13"/>
      <c r="AA142" s="275"/>
      <c r="AB142" s="275"/>
    </row>
    <row r="143" spans="1:28" x14ac:dyDescent="0.25">
      <c r="A143" s="3"/>
      <c r="B143" s="3"/>
      <c r="C143" s="1"/>
      <c r="D143" s="11"/>
      <c r="E143" s="11"/>
      <c r="F143" s="11"/>
      <c r="G143" s="11">
        <v>4</v>
      </c>
      <c r="H143" s="1202" t="s">
        <v>5280</v>
      </c>
      <c r="I143" s="1203"/>
      <c r="J143" s="1203"/>
      <c r="K143" s="1144"/>
      <c r="L143" s="1144"/>
      <c r="M143" s="1144"/>
      <c r="N143" s="22"/>
      <c r="O143" s="6"/>
      <c r="P143" s="6"/>
      <c r="Q143" s="6"/>
      <c r="R143" s="6"/>
      <c r="S143" s="6"/>
      <c r="T143" s="16"/>
      <c r="U143" s="16"/>
      <c r="V143" s="6"/>
      <c r="W143" s="6"/>
      <c r="X143" s="6"/>
      <c r="Y143" s="13"/>
      <c r="Z143" s="13"/>
      <c r="AA143" s="275"/>
      <c r="AB143" s="275"/>
    </row>
    <row r="144" spans="1:28" ht="30" x14ac:dyDescent="0.25">
      <c r="A144" s="3"/>
      <c r="B144" s="3"/>
      <c r="C144" s="1"/>
      <c r="D144" s="11"/>
      <c r="E144" s="11"/>
      <c r="F144" s="11"/>
      <c r="G144" s="1"/>
      <c r="H144" s="1"/>
      <c r="I144" s="1"/>
      <c r="J144" s="20" t="s">
        <v>5281</v>
      </c>
      <c r="K144" s="8"/>
      <c r="L144" s="8" t="s">
        <v>4701</v>
      </c>
      <c r="M144" s="6"/>
      <c r="N144" s="22"/>
      <c r="O144" s="6"/>
      <c r="P144" s="6"/>
      <c r="Q144" s="6"/>
      <c r="R144" s="6"/>
      <c r="S144" s="6"/>
      <c r="T144" s="16"/>
      <c r="U144" s="16"/>
      <c r="V144" s="6"/>
      <c r="W144" s="6"/>
      <c r="X144" s="6"/>
      <c r="Y144" s="13"/>
      <c r="Z144" s="13"/>
      <c r="AA144" s="275"/>
      <c r="AB144" s="275"/>
    </row>
    <row r="145" spans="1:28" x14ac:dyDescent="0.25">
      <c r="A145" s="3"/>
      <c r="B145" s="3"/>
      <c r="C145" s="1"/>
      <c r="D145" s="11"/>
      <c r="E145" s="11"/>
      <c r="F145" s="11"/>
      <c r="G145" s="11"/>
      <c r="H145" s="11"/>
      <c r="I145" s="11"/>
      <c r="J145" s="9" t="s">
        <v>5282</v>
      </c>
      <c r="K145" s="8"/>
      <c r="L145" s="8" t="s">
        <v>4701</v>
      </c>
      <c r="M145" s="6"/>
      <c r="N145" s="22"/>
      <c r="O145" s="6"/>
      <c r="P145" s="6"/>
      <c r="Q145" s="6"/>
      <c r="R145" s="6"/>
      <c r="S145" s="6"/>
      <c r="T145" s="16"/>
      <c r="U145" s="16"/>
      <c r="V145" s="6"/>
      <c r="W145" s="6"/>
      <c r="X145" s="6"/>
      <c r="Y145" s="13"/>
      <c r="Z145" s="13"/>
      <c r="AA145" s="275"/>
      <c r="AB145" s="275"/>
    </row>
    <row r="146" spans="1:28" x14ac:dyDescent="0.25">
      <c r="A146" s="3"/>
      <c r="B146" s="3"/>
      <c r="C146" s="1"/>
      <c r="D146" s="11"/>
      <c r="E146" s="11"/>
      <c r="F146" s="11"/>
      <c r="G146" s="11"/>
      <c r="H146" s="11"/>
      <c r="I146" s="11"/>
      <c r="J146" s="9" t="s">
        <v>5283</v>
      </c>
      <c r="K146" s="8"/>
      <c r="L146" s="8" t="s">
        <v>5265</v>
      </c>
      <c r="M146" s="6"/>
      <c r="N146" s="22"/>
      <c r="O146" s="6"/>
      <c r="P146" s="6"/>
      <c r="Q146" s="6"/>
      <c r="R146" s="6"/>
      <c r="S146" s="6"/>
      <c r="T146" s="16"/>
      <c r="U146" s="16"/>
      <c r="V146" s="6"/>
      <c r="W146" s="6"/>
      <c r="X146" s="6"/>
      <c r="Y146" s="13"/>
      <c r="Z146" s="13"/>
      <c r="AA146" s="275"/>
      <c r="AB146" s="275"/>
    </row>
    <row r="147" spans="1:28" ht="26.25" x14ac:dyDescent="0.25">
      <c r="A147" s="3"/>
      <c r="B147" s="3"/>
      <c r="C147" s="1"/>
      <c r="D147" s="11"/>
      <c r="E147" s="11"/>
      <c r="F147" s="11"/>
      <c r="G147" s="11"/>
      <c r="H147" s="11"/>
      <c r="I147" s="11"/>
      <c r="J147" s="9" t="s">
        <v>5284</v>
      </c>
      <c r="K147" s="9" t="s">
        <v>5285</v>
      </c>
      <c r="L147" s="8" t="s">
        <v>5265</v>
      </c>
      <c r="M147" s="6"/>
      <c r="N147" s="22"/>
      <c r="O147" s="6"/>
      <c r="P147" s="6"/>
      <c r="Q147" s="6"/>
      <c r="R147" s="6"/>
      <c r="S147" s="6"/>
      <c r="T147" s="16"/>
      <c r="U147" s="16"/>
      <c r="V147" s="6"/>
      <c r="W147" s="6"/>
      <c r="X147" s="6"/>
      <c r="Y147" s="13"/>
      <c r="Z147" s="13"/>
      <c r="AA147" s="275"/>
      <c r="AB147" s="275"/>
    </row>
    <row r="148" spans="1:28" x14ac:dyDescent="0.25">
      <c r="A148" s="3"/>
      <c r="B148" s="3"/>
      <c r="C148" s="1"/>
      <c r="D148" s="11"/>
      <c r="E148" s="11"/>
      <c r="F148" s="11"/>
      <c r="G148" s="11"/>
      <c r="H148" s="11"/>
      <c r="I148" s="11"/>
      <c r="J148" t="s">
        <v>5286</v>
      </c>
      <c r="K148" s="9"/>
      <c r="L148" s="8" t="s">
        <v>5146</v>
      </c>
      <c r="M148" s="6"/>
      <c r="N148" s="22"/>
      <c r="O148" s="6"/>
      <c r="P148" s="6"/>
      <c r="Q148" s="6"/>
      <c r="R148" s="6"/>
      <c r="S148" s="6"/>
      <c r="T148" s="16"/>
      <c r="U148" s="16"/>
      <c r="V148" s="6"/>
      <c r="W148" s="6"/>
      <c r="X148" s="6"/>
      <c r="Y148" s="13"/>
      <c r="Z148" s="13"/>
      <c r="AA148" s="275"/>
      <c r="AB148" s="275"/>
    </row>
    <row r="149" spans="1:28" ht="45" x14ac:dyDescent="0.25">
      <c r="A149" s="3"/>
      <c r="B149" s="3"/>
      <c r="C149" s="1"/>
      <c r="D149" s="11"/>
      <c r="E149" s="11"/>
      <c r="F149" s="11"/>
      <c r="G149" s="11">
        <v>4</v>
      </c>
      <c r="H149" s="11"/>
      <c r="I149" s="11"/>
      <c r="J149" s="20" t="s">
        <v>5287</v>
      </c>
      <c r="K149" s="20" t="s">
        <v>5288</v>
      </c>
      <c r="L149" s="8" t="s">
        <v>5089</v>
      </c>
      <c r="M149" s="6"/>
      <c r="N149" s="22"/>
      <c r="O149" s="6"/>
      <c r="P149" s="6"/>
      <c r="Q149" s="6"/>
      <c r="R149" s="6"/>
      <c r="S149" s="6"/>
      <c r="T149" s="16"/>
      <c r="U149" s="16"/>
      <c r="V149" s="6"/>
      <c r="W149" s="6"/>
      <c r="X149" s="6"/>
      <c r="Y149" s="13"/>
      <c r="Z149" s="13"/>
      <c r="AA149" s="275"/>
      <c r="AB149" s="275"/>
    </row>
    <row r="150" spans="1:28" ht="15.75" customHeight="1" x14ac:dyDescent="0.25">
      <c r="A150" s="3"/>
      <c r="B150" s="3"/>
      <c r="C150" s="1"/>
      <c r="D150" s="841"/>
      <c r="E150" s="841"/>
      <c r="F150" s="841">
        <v>3</v>
      </c>
      <c r="G150" s="1350" t="s">
        <v>5289</v>
      </c>
      <c r="H150" s="1350"/>
      <c r="I150" s="1350"/>
      <c r="J150" s="1350"/>
      <c r="K150" s="1350"/>
      <c r="L150" s="1350"/>
      <c r="M150" s="1350"/>
      <c r="N150" s="1030"/>
      <c r="O150" s="902"/>
      <c r="P150" s="902"/>
      <c r="Q150" s="902"/>
      <c r="R150" s="902"/>
      <c r="S150" s="902"/>
      <c r="T150" s="1020"/>
      <c r="U150" s="1020"/>
      <c r="V150" s="902"/>
      <c r="W150" s="902"/>
      <c r="X150" s="902"/>
      <c r="Y150" s="13"/>
      <c r="Z150" s="13"/>
      <c r="AA150" s="275"/>
      <c r="AB150" s="275"/>
    </row>
    <row r="151" spans="1:28" ht="30" x14ac:dyDescent="0.25">
      <c r="A151" s="3"/>
      <c r="B151" s="3"/>
      <c r="C151" s="1"/>
      <c r="D151" s="11"/>
      <c r="E151" s="11"/>
      <c r="F151" s="11"/>
      <c r="G151" s="11"/>
      <c r="H151" s="11"/>
      <c r="I151" s="11"/>
      <c r="J151" s="20" t="s">
        <v>5290</v>
      </c>
      <c r="K151" s="20" t="s">
        <v>5290</v>
      </c>
      <c r="L151" s="8" t="s">
        <v>5089</v>
      </c>
      <c r="M151" s="6"/>
      <c r="N151" s="22"/>
      <c r="O151" s="6"/>
      <c r="P151" s="6"/>
      <c r="Q151" s="6"/>
      <c r="R151" s="6"/>
      <c r="S151" s="6"/>
      <c r="T151" s="16"/>
      <c r="U151" s="16"/>
      <c r="V151" s="6"/>
      <c r="W151" s="6"/>
      <c r="X151" s="6"/>
      <c r="Y151" s="13"/>
      <c r="Z151" s="13"/>
      <c r="AA151" s="275"/>
      <c r="AB151" s="275"/>
    </row>
    <row r="152" spans="1:28" ht="30" x14ac:dyDescent="0.25">
      <c r="A152" s="3"/>
      <c r="B152" s="3"/>
      <c r="C152" s="1"/>
      <c r="D152" s="11"/>
      <c r="E152" s="11"/>
      <c r="F152" s="11"/>
      <c r="G152" s="11"/>
      <c r="H152" s="11"/>
      <c r="I152" s="11"/>
      <c r="J152" s="20" t="s">
        <v>5291</v>
      </c>
      <c r="K152" s="1031" t="s">
        <v>5292</v>
      </c>
      <c r="L152" s="8" t="s">
        <v>5021</v>
      </c>
      <c r="M152" s="6"/>
      <c r="N152" s="22"/>
      <c r="O152" s="6"/>
      <c r="P152" s="6"/>
      <c r="Q152" s="6"/>
      <c r="R152" s="6"/>
      <c r="S152" s="6"/>
      <c r="T152" s="16"/>
      <c r="U152" s="16"/>
      <c r="V152" s="6"/>
      <c r="W152" s="6"/>
      <c r="X152" s="6"/>
      <c r="Y152" s="13"/>
      <c r="Z152" s="13"/>
      <c r="AA152" s="275"/>
      <c r="AB152" s="275"/>
    </row>
    <row r="153" spans="1:28" ht="26.25" x14ac:dyDescent="0.25">
      <c r="A153" s="3"/>
      <c r="B153" s="3"/>
      <c r="C153" s="1"/>
      <c r="D153" s="11"/>
      <c r="E153" s="11"/>
      <c r="F153" s="11"/>
      <c r="G153" s="11"/>
      <c r="H153" s="11"/>
      <c r="I153" s="11"/>
      <c r="J153" s="20" t="s">
        <v>5293</v>
      </c>
      <c r="K153" s="1031" t="s">
        <v>5294</v>
      </c>
      <c r="L153" s="8" t="s">
        <v>5021</v>
      </c>
      <c r="M153" s="6"/>
      <c r="N153" s="22"/>
      <c r="O153" s="6"/>
      <c r="P153" s="6"/>
      <c r="Q153" s="6"/>
      <c r="R153" s="6"/>
      <c r="S153" s="6"/>
      <c r="T153" s="16"/>
      <c r="U153" s="16"/>
      <c r="V153" s="6"/>
      <c r="W153" s="6"/>
      <c r="X153" s="6"/>
      <c r="Y153" s="13"/>
      <c r="Z153" s="13"/>
      <c r="AA153" s="275"/>
      <c r="AB153" s="275"/>
    </row>
    <row r="154" spans="1:28" ht="45" x14ac:dyDescent="0.25">
      <c r="A154" s="3"/>
      <c r="B154" s="3"/>
      <c r="C154" s="1"/>
      <c r="D154" s="11"/>
      <c r="E154" s="11"/>
      <c r="F154" s="11"/>
      <c r="G154" s="11"/>
      <c r="H154" s="11"/>
      <c r="I154" s="11"/>
      <c r="J154" s="20" t="s">
        <v>5295</v>
      </c>
      <c r="K154" s="20" t="s">
        <v>5296</v>
      </c>
      <c r="L154" s="8" t="s">
        <v>5297</v>
      </c>
      <c r="M154" s="6"/>
      <c r="N154" s="22"/>
      <c r="O154" s="6"/>
      <c r="P154" s="6"/>
      <c r="Q154" s="6"/>
      <c r="R154" s="6"/>
      <c r="S154" s="6"/>
      <c r="T154" s="16"/>
      <c r="U154" s="16"/>
      <c r="V154" s="6"/>
      <c r="W154" s="6"/>
      <c r="X154" s="6"/>
      <c r="Y154" s="13"/>
      <c r="Z154" s="13"/>
      <c r="AA154" s="275"/>
      <c r="AB154" s="275"/>
    </row>
    <row r="155" spans="1:28" x14ac:dyDescent="0.25">
      <c r="A155" s="3"/>
      <c r="B155" s="3"/>
      <c r="C155" s="1"/>
      <c r="D155" s="11"/>
      <c r="E155" s="11"/>
      <c r="F155" s="11"/>
      <c r="G155" s="11"/>
      <c r="H155" s="11"/>
      <c r="I155" s="11"/>
      <c r="J155" s="9" t="s">
        <v>5298</v>
      </c>
      <c r="K155" s="20" t="s">
        <v>5299</v>
      </c>
      <c r="L155" s="8" t="s">
        <v>5089</v>
      </c>
      <c r="M155" s="6"/>
      <c r="N155" s="22"/>
      <c r="O155" s="6"/>
      <c r="P155" s="6"/>
      <c r="Q155" s="6"/>
      <c r="R155" s="6"/>
      <c r="S155" s="6"/>
      <c r="T155" s="16"/>
      <c r="U155" s="16"/>
      <c r="V155" s="6"/>
      <c r="W155" s="6"/>
      <c r="X155" s="6"/>
      <c r="Y155" s="13"/>
      <c r="Z155" s="13"/>
      <c r="AA155" s="275"/>
      <c r="AB155" s="275"/>
    </row>
    <row r="156" spans="1:28" x14ac:dyDescent="0.25">
      <c r="A156" s="3"/>
      <c r="B156" s="3"/>
      <c r="C156" s="1"/>
      <c r="D156" s="11"/>
      <c r="E156" s="11"/>
      <c r="F156" s="11"/>
      <c r="G156" s="11"/>
      <c r="H156" s="11"/>
      <c r="I156" s="11"/>
      <c r="J156" s="9" t="s">
        <v>5300</v>
      </c>
      <c r="K156" s="20" t="s">
        <v>5301</v>
      </c>
      <c r="L156" s="8" t="s">
        <v>4701</v>
      </c>
      <c r="M156" s="6"/>
      <c r="N156" s="22"/>
      <c r="O156" s="6"/>
      <c r="P156" s="6"/>
      <c r="Q156" s="6"/>
      <c r="R156" s="6"/>
      <c r="S156" s="6"/>
      <c r="T156" s="16"/>
      <c r="U156" s="16"/>
      <c r="V156" s="6"/>
      <c r="W156" s="6"/>
      <c r="X156" s="6"/>
      <c r="Y156" s="13"/>
      <c r="Z156" s="13"/>
      <c r="AA156" s="275"/>
      <c r="AB156" s="275"/>
    </row>
    <row r="157" spans="1:28" x14ac:dyDescent="0.25">
      <c r="A157" s="3"/>
      <c r="B157" s="3"/>
      <c r="C157" s="1"/>
      <c r="D157" s="11"/>
      <c r="E157" s="11"/>
      <c r="F157" s="11"/>
      <c r="G157" s="11"/>
      <c r="H157" s="11"/>
      <c r="I157" s="11"/>
      <c r="J157" s="20" t="s">
        <v>5302</v>
      </c>
      <c r="K157" s="20"/>
      <c r="L157" s="8"/>
      <c r="M157" s="6"/>
      <c r="N157" s="22"/>
      <c r="O157" s="6"/>
      <c r="P157" s="6"/>
      <c r="Q157" s="6"/>
      <c r="R157" s="6"/>
      <c r="S157" s="6"/>
      <c r="T157" s="16"/>
      <c r="U157" s="16"/>
      <c r="V157" s="6"/>
      <c r="W157" s="6"/>
      <c r="X157" s="6"/>
      <c r="Y157" s="13"/>
      <c r="Z157" s="13"/>
      <c r="AA157" s="275"/>
      <c r="AB157" s="275"/>
    </row>
    <row r="158" spans="1:28" ht="30" x14ac:dyDescent="0.25">
      <c r="A158" s="3"/>
      <c r="B158" s="3"/>
      <c r="C158" s="1"/>
      <c r="D158" s="11"/>
      <c r="E158" s="11"/>
      <c r="F158" s="11"/>
      <c r="G158" s="11">
        <v>4</v>
      </c>
      <c r="H158" s="11"/>
      <c r="I158" s="11"/>
      <c r="J158" s="20" t="s">
        <v>5303</v>
      </c>
      <c r="K158" s="20" t="s">
        <v>5304</v>
      </c>
      <c r="L158" s="8" t="s">
        <v>5089</v>
      </c>
      <c r="M158" s="6"/>
      <c r="N158" s="22"/>
      <c r="O158" s="6"/>
      <c r="P158" s="6"/>
      <c r="Q158" s="6"/>
      <c r="R158" s="6"/>
      <c r="S158" s="6"/>
      <c r="T158" s="16"/>
      <c r="U158" s="16"/>
      <c r="V158" s="6"/>
      <c r="W158" s="6"/>
      <c r="X158" s="6"/>
      <c r="Y158" s="13"/>
      <c r="Z158" s="13"/>
      <c r="AA158" s="275"/>
      <c r="AB158" s="275"/>
    </row>
    <row r="159" spans="1:28" ht="15.75" customHeight="1" x14ac:dyDescent="0.25">
      <c r="A159" s="3"/>
      <c r="B159" s="3"/>
      <c r="C159" s="1"/>
      <c r="D159" s="841"/>
      <c r="E159" s="841"/>
      <c r="F159" s="841">
        <v>3</v>
      </c>
      <c r="G159" s="1350" t="s">
        <v>5305</v>
      </c>
      <c r="H159" s="1350"/>
      <c r="I159" s="1350"/>
      <c r="J159" s="1350"/>
      <c r="K159" s="1350"/>
      <c r="L159" s="1350"/>
      <c r="M159" s="1350"/>
      <c r="N159" s="1030"/>
      <c r="O159" s="902"/>
      <c r="P159" s="902"/>
      <c r="Q159" s="902"/>
      <c r="R159" s="902"/>
      <c r="S159" s="902"/>
      <c r="T159" s="1020"/>
      <c r="U159" s="1020"/>
      <c r="V159" s="902"/>
      <c r="W159" s="902"/>
      <c r="X159" s="902"/>
      <c r="Y159" s="13"/>
      <c r="Z159" s="13"/>
      <c r="AA159" s="275"/>
      <c r="AB159" s="275"/>
    </row>
    <row r="160" spans="1:28" ht="30" x14ac:dyDescent="0.25">
      <c r="A160" s="3"/>
      <c r="B160" s="3"/>
      <c r="C160" s="1"/>
      <c r="D160" s="11"/>
      <c r="E160" s="11"/>
      <c r="F160" s="11"/>
      <c r="G160" s="11">
        <v>4</v>
      </c>
      <c r="H160" s="11"/>
      <c r="I160" s="11"/>
      <c r="J160" s="110" t="s">
        <v>5306</v>
      </c>
      <c r="K160" s="20" t="s">
        <v>5307</v>
      </c>
      <c r="L160" s="8" t="s">
        <v>5146</v>
      </c>
      <c r="M160" s="6"/>
      <c r="N160" s="22"/>
      <c r="O160" s="6"/>
      <c r="P160" s="6"/>
      <c r="Q160" s="6"/>
      <c r="R160" s="6"/>
      <c r="S160" s="6"/>
      <c r="T160" s="16"/>
      <c r="U160" s="16"/>
      <c r="V160" s="6"/>
      <c r="W160" s="6"/>
      <c r="X160" s="6"/>
      <c r="Y160" s="13"/>
      <c r="Z160" s="13"/>
      <c r="AA160" s="275"/>
      <c r="AB160" s="275"/>
    </row>
    <row r="161" spans="1:28" x14ac:dyDescent="0.25">
      <c r="A161" s="3"/>
      <c r="B161" s="3"/>
      <c r="C161" s="1"/>
      <c r="D161" s="11"/>
      <c r="E161" s="11"/>
      <c r="F161" s="11"/>
      <c r="G161" s="11">
        <v>4</v>
      </c>
      <c r="H161" s="11"/>
      <c r="I161" s="11"/>
      <c r="J161" s="109" t="s">
        <v>5308</v>
      </c>
      <c r="K161" s="20" t="s">
        <v>5309</v>
      </c>
      <c r="L161" s="8" t="s">
        <v>5089</v>
      </c>
      <c r="M161" s="6"/>
      <c r="N161" s="22"/>
      <c r="O161" s="6"/>
      <c r="P161" s="6"/>
      <c r="Q161" s="6"/>
      <c r="R161" s="6"/>
      <c r="S161" s="6"/>
      <c r="T161" s="16"/>
      <c r="U161" s="16"/>
      <c r="V161" s="6"/>
      <c r="W161" s="6"/>
      <c r="X161" s="6"/>
      <c r="Y161" s="13"/>
      <c r="Z161" s="13"/>
      <c r="AA161" s="275"/>
      <c r="AB161" s="275"/>
    </row>
    <row r="162" spans="1:28" ht="30" x14ac:dyDescent="0.25">
      <c r="A162" s="3"/>
      <c r="B162" s="3"/>
      <c r="C162" s="1"/>
      <c r="D162" s="11"/>
      <c r="E162" s="11"/>
      <c r="F162" s="11"/>
      <c r="G162" s="11">
        <v>4</v>
      </c>
      <c r="H162" s="11"/>
      <c r="I162" s="11"/>
      <c r="J162" s="110" t="s">
        <v>5310</v>
      </c>
      <c r="K162" s="20" t="s">
        <v>5311</v>
      </c>
      <c r="L162" s="8" t="s">
        <v>5021</v>
      </c>
      <c r="M162" s="6"/>
      <c r="N162" s="22"/>
      <c r="O162" s="6"/>
      <c r="P162" s="6"/>
      <c r="Q162" s="6"/>
      <c r="R162" s="6"/>
      <c r="S162" s="6"/>
      <c r="T162" s="16"/>
      <c r="U162" s="16"/>
      <c r="V162" s="6"/>
      <c r="W162" s="6"/>
      <c r="X162" s="6"/>
      <c r="Y162" s="13"/>
      <c r="Z162" s="13"/>
      <c r="AA162" s="275"/>
      <c r="AB162" s="275"/>
    </row>
    <row r="163" spans="1:28" ht="60" x14ac:dyDescent="0.25">
      <c r="A163" s="3"/>
      <c r="B163" s="3"/>
      <c r="C163" s="1"/>
      <c r="D163" s="11"/>
      <c r="E163" s="11"/>
      <c r="F163" s="11"/>
      <c r="G163" s="11">
        <v>4</v>
      </c>
      <c r="H163" s="11"/>
      <c r="I163" s="11"/>
      <c r="J163" s="62" t="s">
        <v>5312</v>
      </c>
      <c r="K163" s="20" t="s">
        <v>5313</v>
      </c>
      <c r="L163" s="200" t="s">
        <v>4701</v>
      </c>
      <c r="M163" s="6"/>
      <c r="N163" s="22"/>
      <c r="O163" s="6"/>
      <c r="P163" s="6"/>
      <c r="Q163" s="6"/>
      <c r="R163" s="6" t="s">
        <v>5019</v>
      </c>
      <c r="S163" s="6"/>
      <c r="T163" s="16"/>
      <c r="U163" s="16"/>
      <c r="V163" s="6"/>
      <c r="W163" s="6"/>
      <c r="X163" s="6"/>
      <c r="Y163" s="13"/>
      <c r="Z163" s="13"/>
      <c r="AA163" s="275"/>
      <c r="AB163" s="275"/>
    </row>
    <row r="164" spans="1:28" ht="30" x14ac:dyDescent="0.25">
      <c r="A164" s="3"/>
      <c r="B164" s="3"/>
      <c r="C164" s="1"/>
      <c r="D164" s="11"/>
      <c r="E164" s="11"/>
      <c r="F164" s="11"/>
      <c r="G164" s="11">
        <v>4</v>
      </c>
      <c r="H164" s="11"/>
      <c r="I164" s="11"/>
      <c r="J164" s="109" t="s">
        <v>5314</v>
      </c>
      <c r="K164" s="20" t="s">
        <v>5315</v>
      </c>
      <c r="L164" s="200" t="s">
        <v>4701</v>
      </c>
      <c r="M164" s="6"/>
      <c r="N164" s="22"/>
      <c r="O164" s="6"/>
      <c r="P164" s="6"/>
      <c r="Q164" s="6"/>
      <c r="R164" s="6"/>
      <c r="S164" s="6"/>
      <c r="T164" s="16"/>
      <c r="U164" s="16"/>
      <c r="V164" s="6"/>
      <c r="W164" s="6"/>
      <c r="X164" s="6"/>
      <c r="Y164" s="13"/>
      <c r="Z164" s="13"/>
      <c r="AA164" s="275"/>
      <c r="AB164" s="275"/>
    </row>
    <row r="165" spans="1:28" ht="30" x14ac:dyDescent="0.25">
      <c r="A165" s="3"/>
      <c r="B165" s="3"/>
      <c r="C165" s="1"/>
      <c r="D165" s="227"/>
      <c r="E165" s="227"/>
      <c r="F165" s="227"/>
      <c r="G165" s="227"/>
      <c r="H165" s="227"/>
      <c r="I165" s="227"/>
      <c r="J165" s="231" t="s">
        <v>5316</v>
      </c>
      <c r="K165" s="231" t="s">
        <v>5317</v>
      </c>
      <c r="L165" s="232" t="s">
        <v>4701</v>
      </c>
      <c r="M165" s="228"/>
      <c r="N165" s="229"/>
      <c r="O165" s="228"/>
      <c r="P165" s="228"/>
      <c r="Q165" s="228"/>
      <c r="R165" s="228" t="s">
        <v>5020</v>
      </c>
      <c r="S165" s="228"/>
      <c r="T165" s="230"/>
      <c r="U165" s="230"/>
      <c r="V165" s="228"/>
      <c r="W165" s="228"/>
      <c r="X165" s="228"/>
      <c r="Y165" s="13"/>
      <c r="Z165" s="13"/>
      <c r="AA165" s="275"/>
      <c r="AB165" s="275"/>
    </row>
    <row r="166" spans="1:28" ht="15.75" customHeight="1" x14ac:dyDescent="0.25">
      <c r="A166" s="3"/>
      <c r="B166" s="3"/>
      <c r="C166" s="1"/>
      <c r="D166" s="841"/>
      <c r="E166" s="841"/>
      <c r="F166" s="841"/>
      <c r="G166" s="841"/>
      <c r="H166" s="841"/>
      <c r="I166" s="841"/>
      <c r="J166" s="841"/>
      <c r="K166" s="841"/>
      <c r="L166" s="841"/>
      <c r="M166" s="841"/>
      <c r="N166" s="156"/>
      <c r="O166" s="156"/>
      <c r="P166" s="156"/>
      <c r="Q166" s="156"/>
      <c r="R166" s="156"/>
      <c r="S166" s="156"/>
      <c r="T166" s="160"/>
      <c r="U166" s="160"/>
      <c r="V166" s="156"/>
      <c r="W166" s="156"/>
      <c r="X166" s="156"/>
      <c r="Y166" s="13"/>
      <c r="Z166" s="13"/>
      <c r="AA166" s="275"/>
      <c r="AB166" s="275"/>
    </row>
    <row r="167" spans="1:28" ht="15.75" customHeight="1" x14ac:dyDescent="0.25">
      <c r="A167" s="3"/>
      <c r="B167" s="3"/>
      <c r="C167" s="1"/>
      <c r="D167" s="841"/>
      <c r="E167" s="841"/>
      <c r="F167" s="841">
        <v>3</v>
      </c>
      <c r="G167" s="1349" t="s">
        <v>5318</v>
      </c>
      <c r="H167" s="1349"/>
      <c r="I167" s="1349"/>
      <c r="J167" s="1349"/>
      <c r="K167" s="1349"/>
      <c r="L167" s="1349"/>
      <c r="M167" s="1349"/>
      <c r="N167" s="729" t="str">
        <f>HYPERLINK("http://wiki.academyofsports.online/tiki-index.php?page=Lehrvideos-erstellen-(0346)", "0346")</f>
        <v>0346</v>
      </c>
      <c r="O167" s="156"/>
      <c r="P167" s="156"/>
      <c r="Q167" s="156"/>
      <c r="R167" s="156"/>
      <c r="S167" s="156"/>
      <c r="T167" s="160"/>
      <c r="U167" s="160"/>
      <c r="V167" s="156"/>
      <c r="W167" s="156"/>
      <c r="X167" s="156"/>
      <c r="Y167" s="13"/>
      <c r="Z167" s="13"/>
      <c r="AA167" s="275"/>
      <c r="AB167" s="275"/>
    </row>
    <row r="168" spans="1:28" x14ac:dyDescent="0.25">
      <c r="A168" s="3"/>
      <c r="B168" s="3"/>
      <c r="C168" s="1"/>
      <c r="D168" s="841"/>
      <c r="E168" s="841"/>
      <c r="F168" s="1024">
        <v>3</v>
      </c>
      <c r="G168" s="1351" t="s">
        <v>5319</v>
      </c>
      <c r="H168" s="1352"/>
      <c r="I168" s="1352"/>
      <c r="J168" s="1352"/>
      <c r="K168" s="1352"/>
      <c r="L168" s="1352"/>
      <c r="M168" s="1353"/>
      <c r="N168" s="902"/>
      <c r="O168" s="902"/>
      <c r="P168" s="902"/>
      <c r="Q168" s="902"/>
      <c r="R168" s="902"/>
      <c r="S168" s="1026"/>
      <c r="T168" s="1020"/>
      <c r="U168" s="1020"/>
      <c r="V168" s="902"/>
      <c r="W168" s="902"/>
      <c r="X168" s="902"/>
      <c r="Y168" s="13"/>
      <c r="Z168" s="13"/>
      <c r="AA168" s="275"/>
      <c r="AB168" s="275"/>
    </row>
    <row r="169" spans="1:28" ht="15.75" customHeight="1" x14ac:dyDescent="0.25">
      <c r="A169" s="3"/>
      <c r="B169" s="3"/>
      <c r="C169" s="1"/>
      <c r="D169" s="841"/>
      <c r="E169" s="841"/>
      <c r="F169" s="1024">
        <v>3</v>
      </c>
      <c r="G169" s="1351" t="s">
        <v>3080</v>
      </c>
      <c r="H169" s="1352"/>
      <c r="I169" s="1352"/>
      <c r="J169" s="1352"/>
      <c r="K169" s="1352"/>
      <c r="L169" s="1352"/>
      <c r="M169" s="1353"/>
      <c r="N169" s="902"/>
      <c r="O169" s="902"/>
      <c r="P169" s="902"/>
      <c r="Q169" s="902"/>
      <c r="R169" s="902"/>
      <c r="S169" s="1026"/>
      <c r="T169" s="1020"/>
      <c r="U169" s="1020"/>
      <c r="V169" s="902"/>
      <c r="W169" s="902"/>
      <c r="X169" s="902"/>
      <c r="Y169" s="13"/>
      <c r="Z169" s="13"/>
      <c r="AA169" s="275"/>
      <c r="AB169" s="275"/>
    </row>
    <row r="170" spans="1:28" x14ac:dyDescent="0.25">
      <c r="A170" s="3"/>
      <c r="B170" s="3"/>
      <c r="C170" s="1"/>
      <c r="D170" s="841"/>
      <c r="E170" s="841"/>
      <c r="F170" s="1024">
        <v>3</v>
      </c>
      <c r="G170" s="1351" t="s">
        <v>5320</v>
      </c>
      <c r="H170" s="1352"/>
      <c r="I170" s="1352"/>
      <c r="J170" s="1352"/>
      <c r="K170" s="1352"/>
      <c r="L170" s="1352"/>
      <c r="M170" s="1353"/>
      <c r="N170" s="1019" t="str">
        <f>HYPERLINK("http://wiki.academyofsports.online/tiki-index.php?page=Projektbetreuung---Leitfaden-(0093)", "0093")</f>
        <v>0093</v>
      </c>
      <c r="O170" s="902"/>
      <c r="P170" s="902"/>
      <c r="Q170" s="902"/>
      <c r="R170" s="902"/>
      <c r="S170" s="1026"/>
      <c r="T170" s="1020"/>
      <c r="U170" s="1020"/>
      <c r="V170" s="902"/>
      <c r="W170" s="902"/>
      <c r="X170" s="902"/>
      <c r="Y170" s="13"/>
      <c r="Z170" s="13"/>
      <c r="AA170" s="275"/>
      <c r="AB170" s="275"/>
    </row>
    <row r="171" spans="1:28" x14ac:dyDescent="0.25">
      <c r="A171" s="3"/>
      <c r="B171" s="3"/>
      <c r="C171" s="1"/>
      <c r="D171" s="136"/>
      <c r="E171" s="136"/>
      <c r="F171" s="11"/>
      <c r="G171" s="11"/>
      <c r="H171" s="11"/>
      <c r="I171" s="11"/>
      <c r="J171" s="1032" t="s">
        <v>5321</v>
      </c>
      <c r="K171" s="1" t="s">
        <v>5322</v>
      </c>
      <c r="L171" s="8" t="s">
        <v>4701</v>
      </c>
      <c r="M171" s="6"/>
      <c r="N171" s="132"/>
      <c r="O171" s="131"/>
      <c r="P171" s="131"/>
      <c r="Q171" s="131"/>
      <c r="R171" s="131"/>
      <c r="S171" s="131"/>
      <c r="T171" s="133"/>
      <c r="U171" s="133"/>
      <c r="V171" s="131"/>
      <c r="W171" s="131"/>
      <c r="X171" s="131"/>
      <c r="Y171" s="13"/>
      <c r="Z171" s="13"/>
      <c r="AA171" s="275"/>
      <c r="AB171" s="275"/>
    </row>
    <row r="172" spans="1:28" ht="45" x14ac:dyDescent="0.25">
      <c r="A172" s="3"/>
      <c r="B172" s="3"/>
      <c r="C172" s="1"/>
      <c r="D172" s="136"/>
      <c r="E172" s="136"/>
      <c r="F172" s="11"/>
      <c r="G172" s="11"/>
      <c r="H172" s="11"/>
      <c r="I172" s="11"/>
      <c r="J172" s="20" t="s">
        <v>5323</v>
      </c>
      <c r="K172" s="6" t="s">
        <v>5324</v>
      </c>
      <c r="L172" s="8" t="s">
        <v>5089</v>
      </c>
      <c r="M172" s="6"/>
      <c r="N172" s="132"/>
      <c r="O172" s="131"/>
      <c r="P172" s="131"/>
      <c r="Q172" s="131"/>
      <c r="R172" s="131"/>
      <c r="S172" s="131"/>
      <c r="T172" s="133"/>
      <c r="U172" s="133"/>
      <c r="V172" s="131"/>
      <c r="W172" s="131"/>
      <c r="X172" s="131"/>
      <c r="Y172" s="13"/>
      <c r="Z172" s="13"/>
      <c r="AA172" s="275"/>
      <c r="AB172" s="275"/>
    </row>
    <row r="173" spans="1:28" x14ac:dyDescent="0.25">
      <c r="A173" s="3"/>
      <c r="B173" s="3"/>
      <c r="C173" s="1"/>
      <c r="D173" s="136"/>
      <c r="E173" s="136"/>
      <c r="F173" s="11"/>
      <c r="G173" s="11"/>
      <c r="H173" s="11"/>
      <c r="I173" s="11"/>
      <c r="J173" s="20" t="s">
        <v>5325</v>
      </c>
      <c r="K173" s="1" t="s">
        <v>5326</v>
      </c>
      <c r="L173" s="8" t="s">
        <v>5089</v>
      </c>
      <c r="M173" s="6"/>
      <c r="N173" s="132"/>
      <c r="O173" s="131"/>
      <c r="P173" s="131"/>
      <c r="Q173" s="131"/>
      <c r="R173" s="131"/>
      <c r="S173" s="131"/>
      <c r="T173" s="133"/>
      <c r="U173" s="133"/>
      <c r="V173" s="131"/>
      <c r="W173" s="131"/>
      <c r="X173" s="131"/>
      <c r="Y173" s="13"/>
      <c r="Z173" s="13"/>
      <c r="AA173" s="275"/>
      <c r="AB173" s="275"/>
    </row>
    <row r="174" spans="1:28" ht="45" x14ac:dyDescent="0.25">
      <c r="A174" s="3"/>
      <c r="B174" s="3"/>
      <c r="C174" s="1"/>
      <c r="D174" s="136"/>
      <c r="E174" s="136"/>
      <c r="F174" s="11"/>
      <c r="G174" s="11"/>
      <c r="H174" s="11"/>
      <c r="I174" s="11"/>
      <c r="J174" s="20" t="s">
        <v>5327</v>
      </c>
      <c r="K174" s="1" t="s">
        <v>5328</v>
      </c>
      <c r="L174" s="8" t="s">
        <v>5329</v>
      </c>
      <c r="M174" s="6"/>
      <c r="N174" s="132"/>
      <c r="O174" s="131"/>
      <c r="P174" s="131"/>
      <c r="Q174" s="131"/>
      <c r="R174" s="131"/>
      <c r="S174" s="131"/>
      <c r="T174" s="133"/>
      <c r="U174" s="133"/>
      <c r="V174" s="131"/>
      <c r="W174" s="131"/>
      <c r="X174" s="131"/>
      <c r="Y174" s="13"/>
      <c r="Z174" s="13"/>
      <c r="AA174" s="275"/>
      <c r="AB174" s="275"/>
    </row>
    <row r="175" spans="1:28" ht="26.25" x14ac:dyDescent="0.25">
      <c r="A175" s="3"/>
      <c r="B175" s="3"/>
      <c r="C175" s="242"/>
      <c r="D175" s="258"/>
      <c r="E175" s="258"/>
      <c r="F175" s="243"/>
      <c r="G175" s="243"/>
      <c r="H175" s="243"/>
      <c r="I175" s="243"/>
      <c r="J175" s="246" t="s">
        <v>5330</v>
      </c>
      <c r="K175" s="248" t="s">
        <v>5331</v>
      </c>
      <c r="L175" s="247" t="s">
        <v>5089</v>
      </c>
      <c r="M175" s="248"/>
      <c r="N175" s="259"/>
      <c r="O175" s="260"/>
      <c r="P175" s="260"/>
      <c r="Q175" s="260"/>
      <c r="R175" s="260"/>
      <c r="S175" s="260"/>
      <c r="T175" s="261"/>
      <c r="U175" s="261"/>
      <c r="V175" s="260"/>
      <c r="W175" s="260"/>
      <c r="X175" s="260"/>
      <c r="Y175" s="13"/>
      <c r="Z175" s="13"/>
      <c r="AA175" s="275"/>
      <c r="AB175" s="275"/>
    </row>
    <row r="176" spans="1:28" x14ac:dyDescent="0.25">
      <c r="A176" s="3"/>
      <c r="B176" s="3"/>
      <c r="C176" s="242"/>
      <c r="D176" s="258"/>
      <c r="E176" s="258"/>
      <c r="F176" s="243"/>
      <c r="G176" s="243"/>
      <c r="H176" s="243"/>
      <c r="I176" s="243"/>
      <c r="J176" s="246" t="s">
        <v>5332</v>
      </c>
      <c r="K176" s="248"/>
      <c r="L176" s="247" t="s">
        <v>4701</v>
      </c>
      <c r="M176" s="248"/>
      <c r="N176" s="259"/>
      <c r="O176" s="260"/>
      <c r="P176" s="260"/>
      <c r="Q176" s="260"/>
      <c r="R176" s="260"/>
      <c r="S176" s="260"/>
      <c r="T176" s="261"/>
      <c r="U176" s="261"/>
      <c r="V176" s="260"/>
      <c r="W176" s="260"/>
      <c r="X176" s="260"/>
      <c r="Y176" s="13"/>
      <c r="Z176" s="13"/>
      <c r="AA176" s="275"/>
      <c r="AB176" s="275"/>
    </row>
    <row r="177" spans="1:28" x14ac:dyDescent="0.25">
      <c r="A177" s="3"/>
      <c r="B177" s="3"/>
      <c r="C177" s="1"/>
      <c r="D177" s="841"/>
      <c r="E177" s="841"/>
      <c r="F177" s="1024">
        <v>3</v>
      </c>
      <c r="G177" s="1351" t="s">
        <v>5333</v>
      </c>
      <c r="H177" s="1352"/>
      <c r="I177" s="1352"/>
      <c r="J177" s="1352"/>
      <c r="K177" s="1352"/>
      <c r="L177" s="1352"/>
      <c r="M177" s="1353"/>
      <c r="N177" s="902"/>
      <c r="O177" s="902"/>
      <c r="P177" s="902"/>
      <c r="Q177" s="902"/>
      <c r="R177" s="902"/>
      <c r="S177" s="1026"/>
      <c r="T177" s="1020"/>
      <c r="U177" s="1020"/>
      <c r="V177" s="902"/>
      <c r="W177" s="902"/>
      <c r="X177" s="902"/>
      <c r="Y177" s="13"/>
      <c r="Z177" s="13"/>
      <c r="AA177" s="275"/>
      <c r="AB177" s="275"/>
    </row>
    <row r="178" spans="1:28" ht="30" x14ac:dyDescent="0.25">
      <c r="A178" s="3"/>
      <c r="B178" s="3"/>
      <c r="C178" s="1"/>
      <c r="D178" s="136"/>
      <c r="E178" s="136"/>
      <c r="F178" s="11"/>
      <c r="G178" s="11"/>
      <c r="H178" s="11"/>
      <c r="I178" s="11"/>
      <c r="J178" s="20" t="s">
        <v>5334</v>
      </c>
      <c r="K178" s="6"/>
      <c r="L178" s="8"/>
      <c r="M178" s="6"/>
      <c r="N178" s="132"/>
      <c r="O178" s="131"/>
      <c r="P178" s="131"/>
      <c r="Q178" s="131"/>
      <c r="R178" s="131"/>
      <c r="S178" s="131"/>
      <c r="T178" s="133"/>
      <c r="U178" s="133"/>
      <c r="V178" s="131"/>
      <c r="W178" s="131"/>
      <c r="X178" s="131"/>
      <c r="Y178" s="13"/>
      <c r="Z178" s="13"/>
      <c r="AA178" s="275"/>
      <c r="AB178" s="275"/>
    </row>
    <row r="179" spans="1:28" ht="15.75" customHeight="1" x14ac:dyDescent="0.25">
      <c r="A179" s="3"/>
      <c r="B179" s="3"/>
      <c r="C179" s="1"/>
      <c r="D179" s="841"/>
      <c r="E179" s="841"/>
      <c r="F179" s="841">
        <v>3</v>
      </c>
      <c r="G179" s="1350" t="s">
        <v>5289</v>
      </c>
      <c r="H179" s="1350"/>
      <c r="I179" s="1350"/>
      <c r="J179" s="1350"/>
      <c r="K179" s="1350"/>
      <c r="L179" s="1350"/>
      <c r="M179" s="1350"/>
      <c r="N179" s="1030"/>
      <c r="O179" s="902"/>
      <c r="P179" s="902"/>
      <c r="Q179" s="902"/>
      <c r="R179" s="902"/>
      <c r="S179" s="902"/>
      <c r="T179" s="1020"/>
      <c r="U179" s="1020"/>
      <c r="V179" s="902"/>
      <c r="W179" s="902"/>
      <c r="X179" s="902"/>
      <c r="Y179" s="13"/>
      <c r="Z179" s="13"/>
      <c r="AA179" s="275"/>
      <c r="AB179" s="275"/>
    </row>
    <row r="180" spans="1:28" x14ac:dyDescent="0.25">
      <c r="A180" s="3"/>
      <c r="B180" s="3"/>
      <c r="C180" s="1"/>
      <c r="D180" s="136"/>
      <c r="E180" s="136"/>
      <c r="F180" s="11"/>
      <c r="G180" s="11"/>
      <c r="H180" s="11"/>
      <c r="I180" s="11"/>
      <c r="J180" s="20" t="s">
        <v>5335</v>
      </c>
      <c r="K180" s="1"/>
      <c r="L180" s="8"/>
      <c r="M180" s="6"/>
      <c r="N180" s="132"/>
      <c r="O180" s="131"/>
      <c r="P180" s="131"/>
      <c r="Q180" s="131"/>
      <c r="R180" s="131"/>
      <c r="S180" s="131"/>
      <c r="T180" s="133"/>
      <c r="U180" s="133"/>
      <c r="V180" s="131"/>
      <c r="W180" s="131"/>
      <c r="X180" s="131"/>
      <c r="Y180" s="13"/>
      <c r="Z180" s="13"/>
      <c r="AA180" s="275"/>
      <c r="AB180" s="275"/>
    </row>
    <row r="181" spans="1:28" x14ac:dyDescent="0.25">
      <c r="A181" s="3"/>
      <c r="B181" s="3"/>
      <c r="C181" s="1"/>
      <c r="D181" s="136"/>
      <c r="E181" s="136"/>
      <c r="F181" s="11"/>
      <c r="G181" s="11"/>
      <c r="H181" s="11"/>
      <c r="I181" s="11"/>
      <c r="J181" s="20" t="s">
        <v>5336</v>
      </c>
      <c r="K181" s="1"/>
      <c r="L181" s="8"/>
      <c r="M181" s="6"/>
      <c r="N181" s="132"/>
      <c r="O181" s="131"/>
      <c r="P181" s="131"/>
      <c r="Q181" s="131"/>
      <c r="R181" s="131"/>
      <c r="S181" s="131"/>
      <c r="T181" s="133"/>
      <c r="U181" s="133"/>
      <c r="V181" s="131"/>
      <c r="W181" s="131"/>
      <c r="X181" s="131"/>
      <c r="Y181" s="13"/>
      <c r="Z181" s="13"/>
      <c r="AA181" s="275"/>
      <c r="AB181" s="275"/>
    </row>
    <row r="182" spans="1:28" x14ac:dyDescent="0.25">
      <c r="A182" s="3"/>
      <c r="B182" s="3"/>
      <c r="C182" s="1"/>
      <c r="D182" s="136"/>
      <c r="E182" s="136"/>
      <c r="F182" s="11"/>
      <c r="G182" s="11"/>
      <c r="H182" s="11"/>
      <c r="I182" s="11"/>
      <c r="J182" s="20" t="s">
        <v>5337</v>
      </c>
      <c r="K182" s="1" t="s">
        <v>5338</v>
      </c>
      <c r="L182" s="8" t="s">
        <v>4701</v>
      </c>
      <c r="M182" s="6"/>
      <c r="N182" s="132"/>
      <c r="O182" s="131"/>
      <c r="P182" s="131"/>
      <c r="Q182" s="131"/>
      <c r="R182" s="131"/>
      <c r="S182" s="131"/>
      <c r="T182" s="133"/>
      <c r="U182" s="133"/>
      <c r="V182" s="131"/>
      <c r="W182" s="131"/>
      <c r="X182" s="131"/>
      <c r="Y182" s="13"/>
      <c r="Z182" s="13"/>
      <c r="AA182" s="275"/>
      <c r="AB182" s="275"/>
    </row>
    <row r="183" spans="1:28" ht="15.75" customHeight="1" x14ac:dyDescent="0.25">
      <c r="A183" s="3"/>
      <c r="B183" s="3"/>
      <c r="C183" s="1"/>
      <c r="D183" s="841"/>
      <c r="E183" s="841"/>
      <c r="F183" s="841"/>
      <c r="G183" s="1350" t="s">
        <v>5339</v>
      </c>
      <c r="H183" s="1350"/>
      <c r="I183" s="1350"/>
      <c r="J183" s="1350"/>
      <c r="K183" s="1350"/>
      <c r="L183" s="1350"/>
      <c r="M183" s="1350"/>
      <c r="N183" s="1030"/>
      <c r="O183" s="902"/>
      <c r="P183" s="902"/>
      <c r="Q183" s="902"/>
      <c r="R183" s="902"/>
      <c r="S183" s="902"/>
      <c r="T183" s="1020"/>
      <c r="U183" s="1020"/>
      <c r="V183" s="902"/>
      <c r="W183" s="902"/>
      <c r="X183" s="902"/>
      <c r="Y183" s="13"/>
      <c r="Z183" s="13"/>
      <c r="AA183" s="275"/>
      <c r="AB183" s="275"/>
    </row>
    <row r="184" spans="1:28" x14ac:dyDescent="0.25">
      <c r="A184" s="3"/>
      <c r="B184" s="3"/>
      <c r="C184" s="1"/>
      <c r="D184" s="11"/>
      <c r="E184" s="11"/>
      <c r="F184" s="11"/>
      <c r="G184" s="11"/>
      <c r="H184" s="11"/>
      <c r="I184" s="11"/>
      <c r="J184" s="6"/>
      <c r="K184" s="6"/>
      <c r="L184" s="102"/>
      <c r="M184" s="6"/>
      <c r="N184" s="22"/>
      <c r="O184" s="6"/>
      <c r="P184" s="6"/>
      <c r="Q184" s="6"/>
      <c r="R184" s="6"/>
      <c r="S184" s="6"/>
      <c r="T184" s="16"/>
      <c r="U184" s="16"/>
      <c r="V184" s="6"/>
      <c r="W184" s="6"/>
      <c r="X184" s="6"/>
      <c r="Y184" s="13"/>
      <c r="Z184" s="13"/>
      <c r="AA184" s="275"/>
      <c r="AB184" s="275"/>
    </row>
    <row r="185" spans="1:28" x14ac:dyDescent="0.25">
      <c r="A185" s="3"/>
      <c r="B185" s="3"/>
      <c r="C185" s="1"/>
      <c r="D185" s="11"/>
      <c r="E185" s="11"/>
      <c r="F185" s="11"/>
      <c r="G185" s="11"/>
      <c r="H185" s="11"/>
      <c r="I185" s="11"/>
      <c r="J185" s="6"/>
      <c r="K185" s="6"/>
      <c r="L185" s="102"/>
      <c r="M185" s="6"/>
      <c r="N185" s="22"/>
      <c r="O185" s="6"/>
      <c r="P185" s="6"/>
      <c r="Q185" s="6"/>
      <c r="R185" s="6"/>
      <c r="S185" s="6"/>
      <c r="T185" s="16"/>
      <c r="U185" s="16"/>
      <c r="V185" s="6"/>
      <c r="W185" s="6"/>
      <c r="X185" s="6"/>
      <c r="Y185" s="13"/>
      <c r="Z185" s="13"/>
      <c r="AA185" s="275"/>
      <c r="AB185" s="275"/>
    </row>
    <row r="186" spans="1:28" x14ac:dyDescent="0.25">
      <c r="A186" s="14"/>
      <c r="B186" s="14"/>
      <c r="C186" s="1"/>
      <c r="D186" s="11"/>
      <c r="E186" s="11"/>
      <c r="F186" s="11"/>
      <c r="G186" s="11"/>
      <c r="H186" s="11"/>
      <c r="I186" s="11"/>
      <c r="J186" s="6"/>
      <c r="K186" s="6"/>
      <c r="L186" s="8"/>
      <c r="M186" s="6"/>
      <c r="N186" s="22"/>
      <c r="O186" s="6"/>
      <c r="P186" s="6"/>
      <c r="Q186" s="6"/>
      <c r="R186" s="6"/>
      <c r="S186" s="6"/>
      <c r="T186" s="16"/>
      <c r="U186" s="16"/>
      <c r="V186" s="6"/>
      <c r="W186" s="6"/>
      <c r="X186" s="6"/>
      <c r="Y186" s="14"/>
      <c r="Z186" s="14"/>
      <c r="AA186" s="14"/>
      <c r="AB186" s="14"/>
    </row>
    <row r="187" spans="1:28" ht="30" x14ac:dyDescent="0.25">
      <c r="A187" s="14"/>
      <c r="B187" s="14"/>
      <c r="C187" s="1"/>
      <c r="D187" s="11"/>
      <c r="E187" s="11"/>
      <c r="F187" s="11"/>
      <c r="G187" s="11"/>
      <c r="H187" s="11"/>
      <c r="I187" s="11"/>
      <c r="J187" s="6" t="s">
        <v>4934</v>
      </c>
      <c r="K187" s="6" t="s">
        <v>4935</v>
      </c>
      <c r="L187" s="102" t="s">
        <v>4701</v>
      </c>
      <c r="M187" s="6"/>
      <c r="N187" s="22"/>
      <c r="O187" s="6"/>
      <c r="P187" s="6"/>
      <c r="Q187" s="6"/>
      <c r="R187" s="6"/>
      <c r="S187" s="6"/>
      <c r="T187" s="16"/>
      <c r="U187" s="16"/>
      <c r="V187" s="6"/>
      <c r="W187" s="6"/>
      <c r="X187" s="6"/>
      <c r="Y187" s="14"/>
      <c r="Z187" s="14"/>
      <c r="AA187" s="14"/>
      <c r="AB187" s="14"/>
    </row>
    <row r="188" spans="1:28" x14ac:dyDescent="0.25">
      <c r="A188" s="14"/>
      <c r="B188" s="14"/>
      <c r="C188" s="1"/>
      <c r="D188" s="11"/>
      <c r="E188" s="11"/>
      <c r="F188" s="11"/>
      <c r="G188" s="11"/>
      <c r="H188" s="11"/>
      <c r="I188" s="11"/>
      <c r="J188" s="6" t="s">
        <v>4936</v>
      </c>
      <c r="K188" s="6"/>
      <c r="L188" s="8" t="s">
        <v>692</v>
      </c>
      <c r="M188" s="6"/>
      <c r="N188" s="22"/>
      <c r="O188" s="6"/>
      <c r="P188" s="6"/>
      <c r="Q188" s="6"/>
      <c r="R188" s="6"/>
      <c r="S188" s="6"/>
      <c r="T188" s="16"/>
      <c r="U188" s="16"/>
      <c r="V188" s="6"/>
      <c r="W188" s="6"/>
      <c r="X188" s="6"/>
      <c r="Y188" s="14"/>
      <c r="Z188" s="14"/>
      <c r="AA188" s="14"/>
      <c r="AB188" s="14"/>
    </row>
    <row r="189" spans="1:28" x14ac:dyDescent="0.25">
      <c r="A189" s="14"/>
      <c r="B189" s="14"/>
      <c r="C189" s="1"/>
      <c r="D189" s="11"/>
      <c r="E189" s="11"/>
      <c r="F189" s="11"/>
      <c r="G189" s="11"/>
      <c r="H189" s="11"/>
      <c r="I189" s="11"/>
      <c r="J189" s="6"/>
      <c r="K189" s="6"/>
      <c r="L189" s="8" t="s">
        <v>5021</v>
      </c>
      <c r="M189" s="6"/>
      <c r="N189" s="22"/>
      <c r="O189" s="6"/>
      <c r="P189" s="6"/>
      <c r="Q189" s="6"/>
      <c r="R189" s="6"/>
      <c r="S189" s="6"/>
      <c r="T189" s="16"/>
      <c r="U189" s="16"/>
      <c r="V189" s="6"/>
      <c r="W189" s="6"/>
      <c r="X189" s="6"/>
      <c r="Y189" s="14"/>
      <c r="Z189" s="14"/>
      <c r="AA189" s="14"/>
      <c r="AB189" s="14"/>
    </row>
    <row r="190" spans="1:28" x14ac:dyDescent="0.25">
      <c r="C190" s="11"/>
      <c r="D190" s="11"/>
      <c r="E190" s="11"/>
      <c r="F190" s="1017">
        <v>3</v>
      </c>
      <c r="G190" s="1355" t="s">
        <v>5022</v>
      </c>
      <c r="H190" s="1356"/>
      <c r="I190" s="1356"/>
      <c r="J190" s="1356"/>
      <c r="K190" s="1356"/>
      <c r="L190" s="1356"/>
      <c r="M190" s="1357"/>
      <c r="N190" s="1033"/>
      <c r="O190" s="1026"/>
      <c r="P190" s="902"/>
      <c r="Q190" s="902"/>
      <c r="R190" s="1026"/>
      <c r="S190" s="1026"/>
      <c r="T190" s="1020"/>
      <c r="U190" s="1020"/>
      <c r="V190" s="841"/>
      <c r="W190" s="841"/>
      <c r="X190" s="841"/>
      <c r="Y190" s="13"/>
      <c r="Z190" s="13"/>
      <c r="AA190" s="13"/>
      <c r="AB190" s="13"/>
    </row>
    <row r="191" spans="1:28" ht="71.25" customHeight="1" x14ac:dyDescent="0.25">
      <c r="C191" s="11"/>
      <c r="D191" s="11"/>
      <c r="E191" s="11"/>
      <c r="F191" s="11"/>
      <c r="G191" s="11">
        <v>4</v>
      </c>
      <c r="H191" s="144"/>
      <c r="I191" s="144"/>
      <c r="J191" s="1034" t="s">
        <v>4859</v>
      </c>
      <c r="K191" s="1034" t="s">
        <v>4860</v>
      </c>
      <c r="L191" s="8" t="s">
        <v>4712</v>
      </c>
      <c r="M191" s="6"/>
      <c r="N191" s="22"/>
      <c r="O191" s="6"/>
      <c r="P191" s="6" t="s">
        <v>4861</v>
      </c>
      <c r="Q191" s="6"/>
      <c r="R191" s="6"/>
      <c r="S191" s="6" t="s">
        <v>129</v>
      </c>
      <c r="T191" s="16"/>
      <c r="U191" s="16"/>
      <c r="V191" s="6"/>
      <c r="W191" s="6"/>
      <c r="X191" s="6"/>
      <c r="Y191" s="13"/>
      <c r="Z191" s="13"/>
      <c r="AA191" s="13"/>
      <c r="AB191" s="13"/>
    </row>
    <row r="192" spans="1:28" ht="30" x14ac:dyDescent="0.25">
      <c r="C192" s="11"/>
      <c r="D192" s="11"/>
      <c r="E192" s="11"/>
      <c r="F192" s="40"/>
      <c r="G192" s="11">
        <v>4</v>
      </c>
      <c r="H192" s="141"/>
      <c r="I192" s="141"/>
      <c r="J192" s="1035" t="s">
        <v>4862</v>
      </c>
      <c r="K192" s="142" t="s">
        <v>4863</v>
      </c>
      <c r="L192" s="50" t="s">
        <v>4745</v>
      </c>
      <c r="M192" s="49"/>
      <c r="N192" s="81"/>
      <c r="O192" s="49"/>
      <c r="P192" s="49"/>
      <c r="Q192" s="49"/>
      <c r="R192" s="49"/>
      <c r="S192" s="6" t="s">
        <v>129</v>
      </c>
      <c r="T192" s="52"/>
      <c r="U192" s="52"/>
      <c r="V192" s="49"/>
      <c r="W192" s="49"/>
      <c r="X192" s="49"/>
      <c r="Y192" s="13"/>
      <c r="Z192" s="13"/>
      <c r="AA192" s="13"/>
      <c r="AB192" s="13"/>
    </row>
    <row r="193" spans="1:28" ht="29.25" x14ac:dyDescent="0.25">
      <c r="C193" s="11"/>
      <c r="D193" s="11"/>
      <c r="E193" s="11"/>
      <c r="F193" s="40"/>
      <c r="G193" s="11">
        <v>4</v>
      </c>
      <c r="H193" s="141"/>
      <c r="I193" s="141"/>
      <c r="J193" s="142" t="s">
        <v>5023</v>
      </c>
      <c r="K193" s="142" t="s">
        <v>5024</v>
      </c>
      <c r="L193" s="50" t="s">
        <v>4866</v>
      </c>
      <c r="M193" s="49"/>
      <c r="N193" s="81"/>
      <c r="O193" s="49"/>
      <c r="P193" s="49"/>
      <c r="Q193" s="49"/>
      <c r="R193" s="49"/>
      <c r="S193" s="6" t="s">
        <v>129</v>
      </c>
      <c r="T193" s="52"/>
      <c r="U193" s="52"/>
      <c r="V193" s="49"/>
      <c r="W193" s="49"/>
      <c r="X193" s="49"/>
      <c r="Y193" s="13"/>
      <c r="Z193" s="13"/>
      <c r="AA193" s="13"/>
      <c r="AB193" s="13"/>
    </row>
    <row r="194" spans="1:28" ht="60" x14ac:dyDescent="0.25">
      <c r="C194" s="11"/>
      <c r="D194" s="11"/>
      <c r="E194" s="11"/>
      <c r="F194" s="40"/>
      <c r="G194" s="40"/>
      <c r="H194" s="141">
        <v>5</v>
      </c>
      <c r="I194" s="141"/>
      <c r="J194" s="1035" t="s">
        <v>5025</v>
      </c>
      <c r="K194" s="1034" t="s">
        <v>5026</v>
      </c>
      <c r="L194" s="50" t="s">
        <v>4866</v>
      </c>
      <c r="M194" s="49"/>
      <c r="N194" s="81"/>
      <c r="O194" s="49"/>
      <c r="P194" s="49"/>
      <c r="Q194" s="1036" t="s">
        <v>5027</v>
      </c>
      <c r="R194" s="49"/>
      <c r="S194" s="6" t="s">
        <v>129</v>
      </c>
      <c r="T194" s="52"/>
      <c r="U194" s="52"/>
      <c r="V194" s="49"/>
      <c r="W194" s="49"/>
      <c r="X194" s="49"/>
      <c r="Y194" s="13"/>
      <c r="Z194" s="13"/>
      <c r="AA194" s="13"/>
      <c r="AB194" s="13"/>
    </row>
    <row r="195" spans="1:28" x14ac:dyDescent="0.25">
      <c r="C195" s="11"/>
      <c r="D195" s="11"/>
      <c r="E195" s="11"/>
      <c r="F195" s="40"/>
      <c r="G195" s="40"/>
      <c r="H195" s="141">
        <v>5</v>
      </c>
      <c r="I195" s="141"/>
      <c r="J195" s="142" t="s">
        <v>5028</v>
      </c>
      <c r="L195" s="50"/>
      <c r="M195" s="49"/>
      <c r="N195" s="81"/>
      <c r="O195" s="49"/>
      <c r="P195" s="49"/>
      <c r="Q195" s="49"/>
      <c r="R195" s="49"/>
      <c r="S195" s="49"/>
      <c r="T195" s="52"/>
      <c r="U195" s="52"/>
      <c r="V195" s="49"/>
      <c r="W195" s="49"/>
      <c r="X195" s="49"/>
      <c r="Y195" s="13"/>
      <c r="Z195" s="13"/>
      <c r="AA195" s="13"/>
      <c r="AB195" s="13"/>
    </row>
    <row r="196" spans="1:28" ht="22.5" customHeight="1" x14ac:dyDescent="0.25">
      <c r="A196" s="86"/>
      <c r="B196" s="86"/>
      <c r="C196" s="287"/>
      <c r="D196" s="280"/>
      <c r="E196" s="281" t="s">
        <v>4868</v>
      </c>
      <c r="F196" s="1358" t="s">
        <v>5029</v>
      </c>
      <c r="G196" s="1359"/>
      <c r="H196" s="1359"/>
      <c r="I196" s="1359"/>
      <c r="J196" s="1359"/>
      <c r="K196" s="1359"/>
      <c r="L196" s="1360"/>
      <c r="M196" s="1360"/>
      <c r="N196" s="1361"/>
      <c r="O196" s="1360"/>
      <c r="P196" s="1360"/>
      <c r="Q196" s="1360"/>
      <c r="R196" s="1360"/>
      <c r="S196" s="1360"/>
      <c r="T196" s="1360"/>
      <c r="U196" s="1360"/>
      <c r="V196" s="1360"/>
      <c r="W196" s="1360"/>
      <c r="X196" s="1360"/>
      <c r="Y196" s="282"/>
      <c r="Z196" s="282"/>
      <c r="AA196" s="282"/>
      <c r="AB196" s="282"/>
    </row>
    <row r="197" spans="1:28" ht="15.75" customHeight="1" x14ac:dyDescent="0.25">
      <c r="C197" s="11"/>
      <c r="D197" s="11"/>
      <c r="E197" s="11"/>
      <c r="F197" s="1037">
        <v>3</v>
      </c>
      <c r="G197" s="1347" t="s">
        <v>5030</v>
      </c>
      <c r="H197" s="1362"/>
      <c r="I197" s="1362"/>
      <c r="J197" s="1362"/>
      <c r="K197" s="1038"/>
      <c r="L197" s="1038"/>
      <c r="M197" s="1039"/>
      <c r="N197" s="1019" t="str">
        <f>HYPERLINK("http://wiki.academyofsports.online/tiki-index.php?page=Projektspezifizierung-(PP-P%C3%A4d-002)", "PP-Päd-002")</f>
        <v>PP-Päd-002</v>
      </c>
      <c r="O197" s="1022"/>
      <c r="P197" s="902"/>
      <c r="Q197" s="1022"/>
      <c r="R197" s="1022"/>
      <c r="S197" s="1022"/>
      <c r="T197" s="1022"/>
      <c r="U197" s="1022"/>
      <c r="V197" s="1022"/>
      <c r="W197" s="1022"/>
      <c r="X197" s="1022"/>
      <c r="Y197" s="13"/>
      <c r="Z197" s="13"/>
      <c r="AA197" s="13"/>
      <c r="AB197" s="13"/>
    </row>
    <row r="198" spans="1:28" ht="15.75" customHeight="1" x14ac:dyDescent="0.25">
      <c r="C198" s="11"/>
      <c r="D198" s="11"/>
      <c r="E198" s="11"/>
      <c r="F198" s="1037">
        <v>3</v>
      </c>
      <c r="G198" s="1356" t="s">
        <v>5031</v>
      </c>
      <c r="H198" s="1356"/>
      <c r="I198" s="1356"/>
      <c r="J198" s="1356"/>
      <c r="K198" s="1356"/>
      <c r="L198" s="1038"/>
      <c r="M198" s="1039"/>
      <c r="N198" s="902"/>
      <c r="O198" s="1022"/>
      <c r="P198" s="902"/>
      <c r="Q198" s="1022"/>
      <c r="R198" s="1022"/>
      <c r="S198" s="1022"/>
      <c r="T198" s="1022"/>
      <c r="U198" s="1022"/>
      <c r="V198" s="1022"/>
      <c r="W198" s="1022"/>
      <c r="X198" s="1022"/>
      <c r="Y198" s="13"/>
      <c r="Z198" s="13"/>
      <c r="AA198" s="13"/>
      <c r="AB198" s="13"/>
    </row>
    <row r="199" spans="1:28" ht="60" x14ac:dyDescent="0.25">
      <c r="C199" s="11"/>
      <c r="D199" s="11"/>
      <c r="E199" s="11"/>
      <c r="F199" s="28"/>
      <c r="G199" s="28">
        <v>4</v>
      </c>
      <c r="H199" s="28"/>
      <c r="I199" s="28"/>
      <c r="J199" s="6" t="s">
        <v>5032</v>
      </c>
      <c r="K199" s="6" t="s">
        <v>5033</v>
      </c>
      <c r="L199" s="128" t="s">
        <v>4701</v>
      </c>
      <c r="M199" s="24" t="s">
        <v>4874</v>
      </c>
      <c r="N199" s="24"/>
      <c r="O199" s="24"/>
      <c r="P199" s="6" t="s">
        <v>4739</v>
      </c>
      <c r="Q199" s="24"/>
      <c r="R199" s="24"/>
      <c r="S199" s="24" t="s">
        <v>4875</v>
      </c>
      <c r="T199" s="24"/>
      <c r="U199" s="24"/>
      <c r="V199" s="24"/>
      <c r="W199" s="24"/>
      <c r="X199" s="24"/>
      <c r="Y199" s="13"/>
      <c r="Z199" s="13"/>
      <c r="AA199" s="13"/>
      <c r="AB199" s="13"/>
    </row>
    <row r="200" spans="1:28" ht="75" x14ac:dyDescent="0.25">
      <c r="A200" s="14"/>
      <c r="B200" s="14"/>
      <c r="C200" s="11"/>
      <c r="D200" s="11"/>
      <c r="E200" s="11"/>
      <c r="F200" s="28"/>
      <c r="G200" s="28">
        <v>4</v>
      </c>
      <c r="H200" s="28"/>
      <c r="I200" s="28"/>
      <c r="J200" s="6" t="s">
        <v>5034</v>
      </c>
      <c r="K200" s="6" t="s">
        <v>4877</v>
      </c>
      <c r="L200" s="27" t="s">
        <v>4701</v>
      </c>
      <c r="M200" s="24" t="s">
        <v>4878</v>
      </c>
      <c r="N200" s="24"/>
      <c r="O200" s="24"/>
      <c r="P200" s="24" t="s">
        <v>4879</v>
      </c>
      <c r="Q200" s="24"/>
      <c r="R200" s="24"/>
      <c r="S200" s="24" t="s">
        <v>4875</v>
      </c>
      <c r="T200" s="24"/>
      <c r="U200" s="24"/>
      <c r="V200" s="24"/>
      <c r="W200" s="24"/>
      <c r="X200" s="24"/>
      <c r="Y200" s="13"/>
      <c r="Z200" s="13"/>
      <c r="AA200" s="13"/>
      <c r="AB200" s="13"/>
    </row>
    <row r="201" spans="1:28" ht="45" x14ac:dyDescent="0.25">
      <c r="A201" s="14"/>
      <c r="B201" s="14"/>
      <c r="C201" s="11"/>
      <c r="D201" s="11"/>
      <c r="E201" s="11"/>
      <c r="F201" s="28"/>
      <c r="G201" s="28">
        <v>4</v>
      </c>
      <c r="H201" s="28"/>
      <c r="I201" s="28"/>
      <c r="J201" s="6" t="s">
        <v>4880</v>
      </c>
      <c r="K201" s="24" t="s">
        <v>5035</v>
      </c>
      <c r="L201" s="27" t="s">
        <v>4701</v>
      </c>
      <c r="M201" s="6" t="s">
        <v>4882</v>
      </c>
      <c r="N201" s="24"/>
      <c r="O201" s="24"/>
      <c r="P201" s="24" t="s">
        <v>4879</v>
      </c>
      <c r="Q201" s="24"/>
      <c r="R201" s="24"/>
      <c r="S201" s="24"/>
      <c r="T201" s="24"/>
      <c r="U201" s="24"/>
      <c r="V201" s="24"/>
      <c r="W201" s="24"/>
      <c r="X201" s="24"/>
      <c r="Y201" s="13"/>
      <c r="Z201" s="13"/>
      <c r="AA201" s="13"/>
      <c r="AB201" s="13"/>
    </row>
    <row r="202" spans="1:28" x14ac:dyDescent="0.25">
      <c r="A202" s="14"/>
      <c r="B202" s="14"/>
      <c r="C202" s="11"/>
      <c r="D202" s="11"/>
      <c r="E202" s="11"/>
      <c r="F202" s="28"/>
      <c r="G202" s="28"/>
      <c r="H202" s="28"/>
      <c r="I202" s="28"/>
      <c r="J202" s="6" t="s">
        <v>5036</v>
      </c>
      <c r="K202" s="24"/>
      <c r="L202" s="27"/>
      <c r="M202" s="6"/>
      <c r="N202" s="24"/>
      <c r="O202" s="24"/>
      <c r="P202" s="24"/>
      <c r="Q202" s="24"/>
      <c r="R202" s="24"/>
      <c r="S202" s="24"/>
      <c r="T202" s="24"/>
      <c r="U202" s="24"/>
      <c r="V202" s="24"/>
      <c r="W202" s="24"/>
      <c r="X202" s="24"/>
      <c r="Y202" s="13"/>
      <c r="Z202" s="13"/>
      <c r="AA202" s="13"/>
      <c r="AB202" s="13"/>
    </row>
    <row r="203" spans="1:28" x14ac:dyDescent="0.25">
      <c r="A203" s="14"/>
      <c r="B203" s="14"/>
      <c r="C203" s="11"/>
      <c r="D203" s="11"/>
      <c r="E203" s="11"/>
      <c r="F203" s="28"/>
      <c r="G203" s="28"/>
      <c r="H203" s="28"/>
      <c r="I203" s="28"/>
      <c r="J203" s="6" t="s">
        <v>4885</v>
      </c>
      <c r="K203" s="24"/>
      <c r="L203" s="27"/>
      <c r="M203" s="6"/>
      <c r="N203" s="24"/>
      <c r="O203" s="24"/>
      <c r="P203" s="24"/>
      <c r="Q203" s="24"/>
      <c r="R203" s="24"/>
      <c r="S203" s="24"/>
      <c r="T203" s="24"/>
      <c r="U203" s="24"/>
      <c r="V203" s="24"/>
      <c r="W203" s="24"/>
      <c r="X203" s="24"/>
      <c r="Y203" s="13"/>
      <c r="Z203" s="13"/>
      <c r="AA203" s="13"/>
      <c r="AB203" s="13"/>
    </row>
    <row r="204" spans="1:28" x14ac:dyDescent="0.25">
      <c r="A204" s="14"/>
      <c r="B204" s="14"/>
      <c r="C204" s="11"/>
      <c r="D204" s="11"/>
      <c r="E204" s="11"/>
      <c r="F204" s="11"/>
      <c r="G204" s="11">
        <v>4</v>
      </c>
      <c r="H204" s="11"/>
      <c r="I204" s="11"/>
      <c r="J204" s="6"/>
      <c r="K204" s="6"/>
      <c r="L204" s="8"/>
      <c r="M204" s="6"/>
      <c r="N204" s="6"/>
      <c r="O204" s="6"/>
      <c r="P204" s="6"/>
      <c r="Q204" s="6"/>
      <c r="R204" s="6"/>
      <c r="S204" s="24"/>
      <c r="T204" s="6"/>
      <c r="U204" s="6"/>
      <c r="V204" s="6"/>
      <c r="W204" s="6"/>
      <c r="X204" s="6"/>
      <c r="Y204" s="14"/>
      <c r="Z204" s="14"/>
      <c r="AA204" s="14"/>
      <c r="AB204" s="14"/>
    </row>
    <row r="205" spans="1:28" ht="45" x14ac:dyDescent="0.25">
      <c r="A205" s="14"/>
      <c r="B205" s="14"/>
      <c r="C205" s="11"/>
      <c r="D205" s="11"/>
      <c r="E205" s="11"/>
      <c r="F205" s="11"/>
      <c r="G205" s="11"/>
      <c r="H205" s="11">
        <v>5</v>
      </c>
      <c r="I205" s="11"/>
      <c r="J205" s="6" t="s">
        <v>4891</v>
      </c>
      <c r="K205" s="6" t="s">
        <v>4892</v>
      </c>
      <c r="L205" s="8" t="s">
        <v>4701</v>
      </c>
      <c r="M205" s="6" t="s">
        <v>4893</v>
      </c>
      <c r="N205" s="6"/>
      <c r="O205" s="6"/>
      <c r="P205" s="6" t="s">
        <v>4894</v>
      </c>
      <c r="Q205" s="6"/>
      <c r="R205" s="6"/>
      <c r="S205" s="24" t="s">
        <v>4875</v>
      </c>
      <c r="T205" s="6"/>
      <c r="U205" s="6"/>
      <c r="V205" s="6"/>
      <c r="W205" s="6"/>
      <c r="X205" s="6"/>
      <c r="Y205" s="14"/>
      <c r="Z205" s="14"/>
      <c r="AA205" s="14"/>
      <c r="AB205" s="14"/>
    </row>
    <row r="206" spans="1:28" x14ac:dyDescent="0.25">
      <c r="A206" s="14"/>
      <c r="B206" s="14"/>
      <c r="C206" s="11"/>
      <c r="D206" s="11"/>
      <c r="E206" s="11"/>
      <c r="F206" s="11"/>
      <c r="G206" s="11"/>
      <c r="H206" s="11">
        <v>5</v>
      </c>
      <c r="I206" s="11"/>
      <c r="J206" s="6" t="s">
        <v>4889</v>
      </c>
      <c r="K206" s="6" t="s">
        <v>4890</v>
      </c>
      <c r="L206" s="8" t="s">
        <v>4701</v>
      </c>
      <c r="M206" s="6"/>
      <c r="N206" s="6"/>
      <c r="O206" s="6"/>
      <c r="P206" s="6"/>
      <c r="Q206" s="6"/>
      <c r="R206" s="6"/>
      <c r="S206" s="24"/>
      <c r="T206" s="6"/>
      <c r="U206" s="6"/>
      <c r="V206" s="6"/>
      <c r="W206" s="6"/>
      <c r="X206" s="6"/>
      <c r="Y206" s="14"/>
      <c r="Z206" s="14"/>
      <c r="AA206" s="14"/>
      <c r="AB206" s="14"/>
    </row>
    <row r="207" spans="1:28" x14ac:dyDescent="0.25">
      <c r="A207" s="14"/>
      <c r="B207" s="14"/>
      <c r="C207" s="11"/>
      <c r="D207" s="11"/>
      <c r="E207" s="11"/>
      <c r="F207" s="11"/>
      <c r="G207" s="11"/>
      <c r="H207" s="11">
        <v>5</v>
      </c>
      <c r="I207" s="11"/>
      <c r="J207" s="6" t="s">
        <v>4887</v>
      </c>
      <c r="K207" s="6" t="s">
        <v>4888</v>
      </c>
      <c r="L207" s="8" t="s">
        <v>4781</v>
      </c>
      <c r="M207" s="6"/>
      <c r="N207" s="6"/>
      <c r="O207" s="6"/>
      <c r="P207" s="6"/>
      <c r="Q207" s="6"/>
      <c r="R207" s="6"/>
      <c r="S207" s="24" t="s">
        <v>4813</v>
      </c>
      <c r="T207" s="6"/>
      <c r="U207" s="6"/>
      <c r="V207" s="6"/>
      <c r="W207" s="6"/>
      <c r="X207" s="6"/>
      <c r="Y207" s="14"/>
      <c r="Z207" s="14"/>
      <c r="AA207" s="14"/>
      <c r="AB207" s="14"/>
    </row>
    <row r="208" spans="1:28" ht="105" x14ac:dyDescent="0.25">
      <c r="A208" s="14"/>
      <c r="B208" s="14"/>
      <c r="C208" s="11"/>
      <c r="D208" s="11"/>
      <c r="E208" s="11"/>
      <c r="F208" s="11"/>
      <c r="G208" s="11">
        <v>4</v>
      </c>
      <c r="H208" s="11"/>
      <c r="I208" s="11"/>
      <c r="J208" s="6" t="s">
        <v>5037</v>
      </c>
      <c r="K208" s="6" t="s">
        <v>5038</v>
      </c>
      <c r="L208" s="8" t="s">
        <v>4701</v>
      </c>
      <c r="M208" s="6" t="s">
        <v>4893</v>
      </c>
      <c r="N208" s="719" t="str">
        <f>HYPERLINK("http://wiki.academyofsports.online/tiki-index.php?page=Produktvorstellung-1-(PP-TL-002)", "PP-TL-002")</f>
        <v>PP-TL-002</v>
      </c>
      <c r="O208" s="6"/>
      <c r="P208" s="754" t="s">
        <v>5039</v>
      </c>
      <c r="R208" s="6"/>
      <c r="S208" s="24" t="s">
        <v>4875</v>
      </c>
      <c r="T208" s="6"/>
      <c r="U208" s="6"/>
      <c r="V208" s="6"/>
      <c r="W208" s="6"/>
      <c r="X208" s="6"/>
      <c r="Y208" s="14"/>
      <c r="Z208" s="14"/>
      <c r="AA208" s="14"/>
      <c r="AB208" s="14"/>
    </row>
    <row r="209" spans="1:28" ht="45" x14ac:dyDescent="0.25">
      <c r="A209" s="14"/>
      <c r="B209" s="14"/>
      <c r="C209" s="11"/>
      <c r="D209" s="11"/>
      <c r="E209" s="11"/>
      <c r="F209" s="11"/>
      <c r="G209" s="11"/>
      <c r="H209" s="11">
        <v>5</v>
      </c>
      <c r="I209" s="11"/>
      <c r="J209" s="6" t="s">
        <v>4898</v>
      </c>
      <c r="K209" s="6" t="s">
        <v>4899</v>
      </c>
      <c r="L209" s="8" t="s">
        <v>4701</v>
      </c>
      <c r="M209" s="6" t="s">
        <v>4893</v>
      </c>
      <c r="N209" s="6"/>
      <c r="O209" s="6"/>
      <c r="P209" s="6" t="s">
        <v>4900</v>
      </c>
      <c r="Q209" s="6"/>
      <c r="R209" s="6" t="s">
        <v>4901</v>
      </c>
      <c r="S209" s="24" t="s">
        <v>4875</v>
      </c>
      <c r="T209" s="6"/>
      <c r="U209" s="6"/>
      <c r="V209" s="6"/>
      <c r="W209" s="6"/>
      <c r="X209" s="6"/>
      <c r="Y209" s="14"/>
      <c r="Z209" s="14"/>
      <c r="AA209" s="14"/>
      <c r="AB209" s="14"/>
    </row>
    <row r="210" spans="1:28" x14ac:dyDescent="0.25">
      <c r="A210" s="14"/>
      <c r="B210" s="14"/>
      <c r="C210" s="11"/>
      <c r="D210" s="11"/>
      <c r="E210" s="11"/>
      <c r="F210" s="11"/>
      <c r="G210" s="11"/>
      <c r="H210" s="11"/>
      <c r="I210" s="11"/>
      <c r="J210" s="6"/>
      <c r="K210" s="6"/>
      <c r="L210" s="8"/>
      <c r="M210" s="6"/>
      <c r="N210" s="6"/>
      <c r="O210" s="6"/>
      <c r="P210" s="6"/>
      <c r="Q210" s="6"/>
      <c r="R210" s="6"/>
      <c r="S210" s="24"/>
      <c r="T210" s="6"/>
      <c r="U210" s="6"/>
      <c r="V210" s="6"/>
      <c r="W210" s="6"/>
      <c r="X210" s="6"/>
      <c r="Y210" s="14"/>
      <c r="Z210" s="14"/>
      <c r="AA210" s="14"/>
      <c r="AB210" s="14"/>
    </row>
    <row r="211" spans="1:28" ht="15.75" customHeight="1" x14ac:dyDescent="0.25">
      <c r="A211" s="14"/>
      <c r="B211" s="14"/>
      <c r="C211" s="11"/>
      <c r="D211" s="11"/>
      <c r="E211" s="11"/>
      <c r="F211" s="41"/>
      <c r="G211" s="41"/>
      <c r="H211" s="41">
        <v>5</v>
      </c>
      <c r="I211" s="41"/>
      <c r="J211" s="20" t="s">
        <v>5040</v>
      </c>
      <c r="K211" s="82" t="s">
        <v>5041</v>
      </c>
      <c r="L211" s="8" t="s">
        <v>5042</v>
      </c>
      <c r="M211" s="82"/>
      <c r="N211" s="83"/>
      <c r="O211" s="82"/>
      <c r="P211" s="82"/>
      <c r="Q211" s="82"/>
      <c r="R211" s="82"/>
      <c r="S211" s="82" t="s">
        <v>5008</v>
      </c>
      <c r="T211" s="84"/>
      <c r="U211" s="84"/>
      <c r="V211" s="82"/>
      <c r="W211" s="82"/>
      <c r="X211" s="82"/>
      <c r="Y211" s="14"/>
      <c r="Z211" s="14"/>
      <c r="AA211" s="14"/>
      <c r="AB211" s="14"/>
    </row>
    <row r="212" spans="1:28" ht="30" x14ac:dyDescent="0.25">
      <c r="A212" s="14"/>
      <c r="B212" s="14"/>
      <c r="C212" s="11"/>
      <c r="D212" s="11"/>
      <c r="E212" s="11"/>
      <c r="F212" s="41"/>
      <c r="G212" s="41"/>
      <c r="H212" s="41"/>
      <c r="I212" s="41"/>
      <c r="J212" s="20" t="s">
        <v>5043</v>
      </c>
      <c r="K212" s="82"/>
      <c r="L212" s="8"/>
      <c r="M212" s="82"/>
      <c r="N212" s="83"/>
      <c r="O212" s="82"/>
      <c r="P212" s="82"/>
      <c r="Q212" s="82"/>
      <c r="R212" s="82"/>
      <c r="S212" s="82"/>
      <c r="T212" s="84"/>
      <c r="U212" s="84"/>
      <c r="V212" s="82"/>
      <c r="W212" s="82"/>
      <c r="X212" s="82"/>
      <c r="Y212" s="14"/>
      <c r="Z212" s="14"/>
      <c r="AA212" s="14"/>
      <c r="AB212" s="14"/>
    </row>
    <row r="213" spans="1:28" ht="15.75" customHeight="1" x14ac:dyDescent="0.25">
      <c r="C213" s="11"/>
      <c r="D213" s="11"/>
      <c r="E213" s="11"/>
      <c r="F213" s="1037"/>
      <c r="G213" s="1356" t="s">
        <v>5044</v>
      </c>
      <c r="H213" s="1356"/>
      <c r="I213" s="1356"/>
      <c r="J213" s="1356"/>
      <c r="K213" s="1356"/>
      <c r="L213" s="1038"/>
      <c r="M213" s="1039"/>
      <c r="N213" s="902"/>
      <c r="O213" s="1022"/>
      <c r="P213" s="902"/>
      <c r="Q213" s="1022"/>
      <c r="R213" s="1022"/>
      <c r="S213" s="1022"/>
      <c r="T213" s="1022"/>
      <c r="U213" s="1022"/>
      <c r="V213" s="1022"/>
      <c r="W213" s="1022"/>
      <c r="X213" s="1022"/>
      <c r="Y213" s="13"/>
      <c r="Z213" s="13"/>
      <c r="AA213" s="13"/>
      <c r="AB213" s="13"/>
    </row>
    <row r="214" spans="1:28" ht="60" x14ac:dyDescent="0.25">
      <c r="A214" s="14"/>
      <c r="B214" s="14"/>
      <c r="C214" s="11"/>
      <c r="D214" s="11"/>
      <c r="E214" s="11"/>
      <c r="F214" s="11"/>
      <c r="G214" s="11">
        <v>4</v>
      </c>
      <c r="H214" s="11"/>
      <c r="I214" s="11"/>
      <c r="J214" s="6" t="s">
        <v>5045</v>
      </c>
      <c r="K214" s="1"/>
      <c r="L214" s="8" t="s">
        <v>4701</v>
      </c>
      <c r="M214" s="6"/>
      <c r="N214" s="22"/>
      <c r="O214" s="6"/>
      <c r="P214" s="6"/>
      <c r="Q214" s="6"/>
      <c r="R214" s="6" t="s">
        <v>5046</v>
      </c>
      <c r="S214" s="24" t="s">
        <v>4875</v>
      </c>
      <c r="T214" s="16"/>
      <c r="U214" s="16"/>
      <c r="V214" s="6"/>
      <c r="W214" s="6"/>
      <c r="X214" s="6"/>
      <c r="Y214" s="13"/>
      <c r="Z214" s="13"/>
      <c r="AA214" s="13"/>
      <c r="AB214" s="13"/>
    </row>
    <row r="215" spans="1:28" x14ac:dyDescent="0.25">
      <c r="A215" s="14"/>
      <c r="B215" s="14"/>
      <c r="C215" s="11"/>
      <c r="D215" s="11"/>
      <c r="E215" s="11"/>
      <c r="F215" s="11"/>
      <c r="G215" s="11"/>
      <c r="H215" s="11"/>
      <c r="I215" s="11"/>
      <c r="J215" s="6" t="s">
        <v>5047</v>
      </c>
      <c r="K215" s="1"/>
      <c r="L215" s="8"/>
      <c r="M215" s="6"/>
      <c r="N215" s="22"/>
      <c r="O215" s="6"/>
      <c r="P215" s="6"/>
      <c r="Q215" s="6"/>
      <c r="R215" s="6"/>
      <c r="S215" s="24"/>
      <c r="T215" s="16"/>
      <c r="U215" s="16"/>
      <c r="V215" s="6"/>
      <c r="W215" s="6"/>
      <c r="X215" s="6"/>
      <c r="Y215" s="13"/>
      <c r="Z215" s="13"/>
      <c r="AA215" s="13"/>
      <c r="AB215" s="13"/>
    </row>
    <row r="216" spans="1:28" ht="30" x14ac:dyDescent="0.25">
      <c r="A216" s="14"/>
      <c r="B216" s="14"/>
      <c r="C216" s="11"/>
      <c r="D216" s="11"/>
      <c r="E216" s="11"/>
      <c r="F216" s="203">
        <v>3</v>
      </c>
      <c r="G216" s="1347" t="s">
        <v>5048</v>
      </c>
      <c r="H216" s="1348"/>
      <c r="I216" s="1348"/>
      <c r="J216" s="1018"/>
      <c r="K216" s="1018"/>
      <c r="L216" s="752"/>
      <c r="M216" s="283"/>
      <c r="N216" s="1019" t="str">
        <f>HYPERLINK("http://wiki.academyofsports.online/tiki-index.php?page=Stellenanzeige-aufgeben-(0166)", "PP-Päd-001  (0166)")</f>
        <v>PP-Päd-001  (0166)</v>
      </c>
      <c r="O216" s="902"/>
      <c r="P216" s="902"/>
      <c r="Q216" s="902"/>
      <c r="R216" s="902"/>
      <c r="S216" s="902"/>
      <c r="T216" s="1020"/>
      <c r="U216" s="1020"/>
      <c r="V216" s="902"/>
      <c r="W216" s="902"/>
      <c r="X216" s="902"/>
      <c r="Y216" s="13"/>
      <c r="Z216" s="13"/>
      <c r="AA216" s="13"/>
      <c r="AB216" s="13"/>
    </row>
    <row r="217" spans="1:28" ht="51.75" x14ac:dyDescent="0.25">
      <c r="A217" s="14"/>
      <c r="B217" s="14"/>
      <c r="C217" s="11"/>
      <c r="D217" s="11"/>
      <c r="E217" s="11"/>
      <c r="F217" s="11"/>
      <c r="G217" s="235">
        <v>4</v>
      </c>
      <c r="H217" s="235"/>
      <c r="I217" s="235"/>
      <c r="J217" s="236" t="s">
        <v>5049</v>
      </c>
      <c r="K217" s="82" t="s">
        <v>5050</v>
      </c>
      <c r="L217" s="237" t="s">
        <v>4701</v>
      </c>
      <c r="M217" s="236" t="s">
        <v>5051</v>
      </c>
      <c r="N217" s="149"/>
      <c r="O217" s="24"/>
      <c r="P217" s="6" t="s">
        <v>4985</v>
      </c>
      <c r="Q217" s="24"/>
      <c r="R217" s="150" t="s">
        <v>4986</v>
      </c>
      <c r="S217" s="24" t="s">
        <v>4875</v>
      </c>
      <c r="T217" s="151"/>
      <c r="U217" s="151"/>
      <c r="V217" s="24"/>
      <c r="W217" s="24"/>
      <c r="X217" s="24"/>
      <c r="Y217" s="13"/>
      <c r="Z217" s="13"/>
      <c r="AA217" s="13"/>
      <c r="AB217" s="13"/>
    </row>
    <row r="218" spans="1:28" ht="45" x14ac:dyDescent="0.25">
      <c r="A218" s="14"/>
      <c r="B218" s="14"/>
      <c r="C218" s="11"/>
      <c r="D218" s="11"/>
      <c r="E218" s="11"/>
      <c r="F218" s="11"/>
      <c r="G218" s="28">
        <v>4</v>
      </c>
      <c r="H218" s="28"/>
      <c r="I218" s="28"/>
      <c r="J218" s="6" t="s">
        <v>5052</v>
      </c>
      <c r="K218" s="6" t="s">
        <v>5053</v>
      </c>
      <c r="L218" s="27" t="s">
        <v>4701</v>
      </c>
      <c r="M218" s="24"/>
      <c r="N218" s="22" t="s">
        <v>4987</v>
      </c>
      <c r="O218" s="24"/>
      <c r="P218" s="24" t="s">
        <v>4988</v>
      </c>
      <c r="Q218" s="24"/>
      <c r="R218" s="24"/>
      <c r="S218" s="24" t="s">
        <v>4813</v>
      </c>
      <c r="T218" s="24"/>
      <c r="U218" s="24"/>
      <c r="V218" s="24"/>
      <c r="W218" s="24"/>
      <c r="X218" s="24"/>
      <c r="Y218" s="14"/>
      <c r="Z218" s="14"/>
      <c r="AA218" s="14"/>
      <c r="AB218" s="14"/>
    </row>
    <row r="219" spans="1:28" x14ac:dyDescent="0.25">
      <c r="A219" s="14"/>
      <c r="B219" s="14"/>
      <c r="C219" s="11"/>
      <c r="D219" s="11"/>
      <c r="E219" s="11"/>
      <c r="F219" s="11"/>
      <c r="G219" s="841">
        <v>4</v>
      </c>
      <c r="H219" s="1349" t="s">
        <v>4640</v>
      </c>
      <c r="I219" s="1230"/>
      <c r="J219" s="1230"/>
      <c r="K219" s="1230"/>
      <c r="L219" s="1230"/>
      <c r="M219" s="1230"/>
      <c r="N219" s="1040" t="str">
        <f>HYPERLINK("http://wiki.academyofsports.online/tiki-index.php?page=Stellenanzeige-aufgeben-(0166)", "0166")</f>
        <v>0166</v>
      </c>
      <c r="O219" s="902"/>
      <c r="P219" s="902"/>
      <c r="Q219" s="902"/>
      <c r="R219" s="902"/>
      <c r="S219" s="1022"/>
      <c r="T219" s="1020"/>
      <c r="U219" s="1020"/>
      <c r="V219" s="902"/>
      <c r="W219" s="902"/>
      <c r="X219" s="902"/>
      <c r="Y219" s="1041"/>
      <c r="Z219" s="1041"/>
      <c r="AA219" s="1041"/>
      <c r="AB219" s="1041"/>
    </row>
    <row r="220" spans="1:28" ht="30" x14ac:dyDescent="0.25">
      <c r="A220" s="14"/>
      <c r="B220" s="14"/>
      <c r="C220" s="11"/>
      <c r="D220" s="11"/>
      <c r="E220" s="11"/>
      <c r="F220" s="11"/>
      <c r="G220" s="11"/>
      <c r="H220" s="11">
        <v>5</v>
      </c>
      <c r="I220" s="11"/>
      <c r="J220" s="6" t="s">
        <v>5054</v>
      </c>
      <c r="K220" s="6" t="s">
        <v>5055</v>
      </c>
      <c r="L220" s="27" t="s">
        <v>4701</v>
      </c>
      <c r="M220" s="24" t="s">
        <v>5056</v>
      </c>
      <c r="N220" s="149" t="s">
        <v>4989</v>
      </c>
      <c r="O220" s="6"/>
      <c r="P220" s="6" t="s">
        <v>4990</v>
      </c>
      <c r="Q220" s="6"/>
      <c r="R220" s="6"/>
      <c r="S220" s="24"/>
      <c r="T220" s="16"/>
      <c r="U220" s="16"/>
      <c r="V220" s="6"/>
      <c r="W220" s="6"/>
      <c r="X220" s="6"/>
      <c r="Y220" s="14"/>
      <c r="Z220" s="14"/>
      <c r="AA220" s="14"/>
      <c r="AB220" s="14"/>
    </row>
    <row r="221" spans="1:28" ht="45" x14ac:dyDescent="0.25">
      <c r="A221" s="14"/>
      <c r="B221" s="14"/>
      <c r="C221" s="11"/>
      <c r="D221" s="11"/>
      <c r="E221" s="11"/>
      <c r="F221" s="11"/>
      <c r="G221" s="28"/>
      <c r="H221" s="28">
        <v>5</v>
      </c>
      <c r="I221" s="28"/>
      <c r="J221" s="6" t="s">
        <v>5057</v>
      </c>
      <c r="K221" s="6" t="s">
        <v>5058</v>
      </c>
      <c r="L221" s="8" t="s">
        <v>4851</v>
      </c>
      <c r="M221" s="24" t="s">
        <v>5056</v>
      </c>
      <c r="N221" s="149" t="s">
        <v>4989</v>
      </c>
      <c r="O221" s="24"/>
      <c r="P221" s="24"/>
      <c r="Q221" s="24"/>
      <c r="R221" s="24"/>
      <c r="S221" s="24" t="s">
        <v>4875</v>
      </c>
      <c r="T221" s="24"/>
      <c r="U221" s="24"/>
      <c r="V221" s="24"/>
      <c r="W221" s="24"/>
      <c r="X221" s="24"/>
      <c r="Y221" s="14"/>
      <c r="Z221" s="14"/>
      <c r="AA221" s="14"/>
      <c r="AB221" s="14"/>
    </row>
    <row r="222" spans="1:28" ht="30" x14ac:dyDescent="0.25">
      <c r="A222" s="14"/>
      <c r="B222" s="14"/>
      <c r="C222" s="11"/>
      <c r="D222" s="11"/>
      <c r="E222" s="11"/>
      <c r="F222" s="11"/>
      <c r="G222" s="11"/>
      <c r="H222" s="11">
        <v>5</v>
      </c>
      <c r="I222" s="11"/>
      <c r="J222" s="6" t="s">
        <v>5059</v>
      </c>
      <c r="K222" s="6" t="s">
        <v>5060</v>
      </c>
      <c r="L222" s="27" t="s">
        <v>969</v>
      </c>
      <c r="M222" s="24" t="s">
        <v>5056</v>
      </c>
      <c r="N222" s="22"/>
      <c r="O222" s="6"/>
      <c r="P222" s="6" t="s">
        <v>4991</v>
      </c>
      <c r="Q222" s="6"/>
      <c r="R222" s="6"/>
      <c r="S222" s="24" t="s">
        <v>4813</v>
      </c>
      <c r="T222" s="16"/>
      <c r="U222" s="16"/>
      <c r="V222" s="6"/>
      <c r="W222" s="6"/>
      <c r="X222" s="6"/>
      <c r="Y222" s="14"/>
      <c r="Z222" s="14"/>
      <c r="AA222" s="14"/>
      <c r="AB222" s="14"/>
    </row>
    <row r="223" spans="1:28" ht="30" x14ac:dyDescent="0.25">
      <c r="A223" s="14"/>
      <c r="B223" s="14"/>
      <c r="C223" s="11"/>
      <c r="D223" s="11"/>
      <c r="E223" s="11"/>
      <c r="F223" s="11"/>
      <c r="G223" s="11"/>
      <c r="H223" s="11">
        <v>5</v>
      </c>
      <c r="I223" s="11"/>
      <c r="J223" s="6" t="s">
        <v>5061</v>
      </c>
      <c r="K223" s="6" t="s">
        <v>5062</v>
      </c>
      <c r="L223" s="8" t="s">
        <v>4701</v>
      </c>
      <c r="M223" s="24" t="s">
        <v>5056</v>
      </c>
      <c r="N223" s="22"/>
      <c r="O223" s="6"/>
      <c r="P223" s="6"/>
      <c r="Q223" s="6"/>
      <c r="R223" s="6"/>
      <c r="S223" s="24"/>
      <c r="T223" s="16"/>
      <c r="U223" s="16"/>
      <c r="V223" s="6"/>
      <c r="W223" s="6"/>
      <c r="X223" s="6"/>
      <c r="Y223" s="14"/>
      <c r="Z223" s="14"/>
      <c r="AA223" s="14"/>
      <c r="AB223" s="14"/>
    </row>
    <row r="224" spans="1:28" ht="30" x14ac:dyDescent="0.25">
      <c r="A224" s="14"/>
      <c r="B224" s="14"/>
      <c r="C224" s="11"/>
      <c r="D224" s="11"/>
      <c r="E224" s="11"/>
      <c r="F224" s="11"/>
      <c r="G224" s="11"/>
      <c r="H224" s="11">
        <v>5</v>
      </c>
      <c r="I224" s="11"/>
      <c r="J224" s="6" t="s">
        <v>5063</v>
      </c>
      <c r="K224" s="6" t="s">
        <v>5064</v>
      </c>
      <c r="L224" s="8" t="s">
        <v>4701</v>
      </c>
      <c r="M224" s="6"/>
      <c r="N224" s="22"/>
      <c r="O224" s="6"/>
      <c r="P224" s="6" t="s">
        <v>4992</v>
      </c>
      <c r="Q224" s="6"/>
      <c r="R224" s="6" t="s">
        <v>4993</v>
      </c>
      <c r="S224" s="24"/>
      <c r="T224" s="16"/>
      <c r="U224" s="16"/>
      <c r="V224" s="6"/>
      <c r="W224" s="6"/>
      <c r="X224" s="6"/>
      <c r="Y224" s="14"/>
      <c r="Z224" s="14"/>
      <c r="AA224" s="14"/>
      <c r="AB224" s="14"/>
    </row>
    <row r="225" spans="1:28" ht="16.5" customHeight="1" x14ac:dyDescent="0.25">
      <c r="A225" s="14"/>
      <c r="B225" s="14"/>
      <c r="C225" s="11"/>
      <c r="D225" s="11"/>
      <c r="E225" s="11"/>
      <c r="F225" s="11"/>
      <c r="G225" s="841">
        <v>4</v>
      </c>
      <c r="H225" s="1350" t="s">
        <v>5065</v>
      </c>
      <c r="I225" s="1231"/>
      <c r="J225" s="1231"/>
      <c r="K225" s="1231"/>
      <c r="L225" s="1231"/>
      <c r="M225" s="1231"/>
      <c r="N225" s="1019" t="str">
        <f>HYPERLINK("http://wiki.academyofsports.online/tiki-index.php?page=Bewerbungsprozess---Autor-(-PP-P%C3%A4d-004)", "PP-Päd-004")</f>
        <v>PP-Päd-004</v>
      </c>
      <c r="O225" s="902"/>
      <c r="P225" s="902"/>
      <c r="Q225" s="902"/>
      <c r="R225" s="902"/>
      <c r="S225" s="1022"/>
      <c r="T225" s="1020"/>
      <c r="U225" s="1020"/>
      <c r="V225" s="902"/>
      <c r="W225" s="902"/>
      <c r="X225" s="902"/>
      <c r="Y225" s="1041"/>
      <c r="Z225" s="1041"/>
      <c r="AA225" s="1041"/>
      <c r="AB225" s="1041"/>
    </row>
    <row r="226" spans="1:28" ht="60" x14ac:dyDescent="0.25">
      <c r="A226" s="14"/>
      <c r="B226" s="14"/>
      <c r="C226" s="6"/>
      <c r="D226" s="11"/>
      <c r="E226" s="11"/>
      <c r="F226" s="11"/>
      <c r="G226" s="11"/>
      <c r="H226" s="11">
        <v>5</v>
      </c>
      <c r="I226" s="11"/>
      <c r="J226" s="6" t="s">
        <v>5066</v>
      </c>
      <c r="K226" s="6" t="s">
        <v>5067</v>
      </c>
      <c r="L226" s="27" t="s">
        <v>4701</v>
      </c>
      <c r="M226" s="6" t="s">
        <v>5056</v>
      </c>
      <c r="N226" s="22"/>
      <c r="O226" s="6"/>
      <c r="P226" s="6" t="s">
        <v>4994</v>
      </c>
      <c r="Q226" s="6"/>
      <c r="R226" s="6"/>
      <c r="S226" s="24" t="s">
        <v>4875</v>
      </c>
      <c r="T226" s="16" t="s">
        <v>31</v>
      </c>
      <c r="U226" s="16"/>
      <c r="V226" s="6"/>
      <c r="W226" s="6"/>
      <c r="X226" s="6"/>
      <c r="Y226" s="14"/>
      <c r="Z226" s="14"/>
      <c r="AA226" s="14"/>
      <c r="AB226" s="14"/>
    </row>
    <row r="227" spans="1:28" ht="90" x14ac:dyDescent="0.25">
      <c r="A227" s="14"/>
      <c r="B227" s="14"/>
      <c r="C227" s="6"/>
      <c r="D227" s="11"/>
      <c r="E227" s="11"/>
      <c r="F227" s="134"/>
      <c r="G227" s="134"/>
      <c r="H227" s="134">
        <v>5</v>
      </c>
      <c r="I227" s="134"/>
      <c r="J227" s="12" t="s">
        <v>5068</v>
      </c>
      <c r="K227" s="12" t="s">
        <v>5069</v>
      </c>
      <c r="L227" s="27" t="s">
        <v>4701</v>
      </c>
      <c r="M227" s="12" t="s">
        <v>5070</v>
      </c>
      <c r="N227" s="127"/>
      <c r="O227" s="127"/>
      <c r="P227" s="127" t="s">
        <v>4995</v>
      </c>
      <c r="Q227" s="127"/>
      <c r="R227" s="12"/>
      <c r="S227" s="129" t="s">
        <v>4813</v>
      </c>
      <c r="T227" s="129"/>
      <c r="U227" s="129"/>
      <c r="V227" s="127"/>
      <c r="W227" s="127"/>
      <c r="X227" s="127"/>
      <c r="Y227" s="14"/>
      <c r="Z227" s="14"/>
      <c r="AA227" s="14"/>
      <c r="AB227" s="14"/>
    </row>
    <row r="228" spans="1:28" ht="45" x14ac:dyDescent="0.25">
      <c r="A228" s="14"/>
      <c r="B228" s="14"/>
      <c r="C228" s="11"/>
      <c r="D228" s="11"/>
      <c r="E228" s="11"/>
      <c r="F228" s="134"/>
      <c r="G228" s="134"/>
      <c r="H228" s="134">
        <v>5</v>
      </c>
      <c r="I228" s="134"/>
      <c r="J228" s="12" t="s">
        <v>5071</v>
      </c>
      <c r="K228" s="12" t="s">
        <v>5072</v>
      </c>
      <c r="L228" s="27" t="s">
        <v>4701</v>
      </c>
      <c r="M228" s="12" t="s">
        <v>5073</v>
      </c>
      <c r="N228" s="289"/>
      <c r="O228" s="127"/>
      <c r="P228" s="127"/>
      <c r="Q228" s="127"/>
      <c r="R228" s="12"/>
      <c r="S228" s="129"/>
      <c r="T228" s="129"/>
      <c r="U228" s="129"/>
      <c r="V228" s="127"/>
      <c r="W228" s="127"/>
      <c r="X228" s="127"/>
      <c r="Y228" s="14"/>
      <c r="Z228" s="14"/>
      <c r="AA228" s="14"/>
      <c r="AB228" s="14"/>
    </row>
    <row r="229" spans="1:28" ht="25.5" x14ac:dyDescent="0.25">
      <c r="A229" s="14"/>
      <c r="B229" s="14"/>
      <c r="C229" s="11"/>
      <c r="D229" s="11"/>
      <c r="E229" s="11"/>
      <c r="F229" s="134"/>
      <c r="G229" s="134"/>
      <c r="H229" s="134">
        <v>5</v>
      </c>
      <c r="I229" s="134"/>
      <c r="J229" s="12" t="s">
        <v>5074</v>
      </c>
      <c r="K229" s="12" t="s">
        <v>5075</v>
      </c>
      <c r="L229" s="27" t="s">
        <v>4701</v>
      </c>
      <c r="M229" s="12"/>
      <c r="N229" s="127"/>
      <c r="O229" s="127"/>
      <c r="P229" s="127" t="s">
        <v>4996</v>
      </c>
      <c r="Q229" s="127"/>
      <c r="R229" s="12"/>
      <c r="S229" s="129" t="s">
        <v>4813</v>
      </c>
      <c r="T229" s="129"/>
      <c r="U229" s="129"/>
      <c r="V229" s="127"/>
      <c r="W229" s="127"/>
      <c r="X229" s="127"/>
      <c r="Y229" s="14"/>
      <c r="Z229" s="14"/>
      <c r="AA229" s="14"/>
      <c r="AB229" s="14"/>
    </row>
    <row r="230" spans="1:28" ht="57.75" x14ac:dyDescent="0.25">
      <c r="A230" s="14"/>
      <c r="B230" s="14"/>
      <c r="C230" s="11"/>
      <c r="D230" s="11"/>
      <c r="E230" s="11"/>
      <c r="F230" s="134"/>
      <c r="G230" s="134"/>
      <c r="H230" s="134">
        <v>5</v>
      </c>
      <c r="I230" s="134"/>
      <c r="J230" s="12" t="s">
        <v>5076</v>
      </c>
      <c r="K230" s="12" t="s">
        <v>5077</v>
      </c>
      <c r="L230" s="27" t="s">
        <v>4701</v>
      </c>
      <c r="M230" s="12"/>
      <c r="N230" s="127"/>
      <c r="O230" s="127"/>
      <c r="P230" s="127" t="s">
        <v>4996</v>
      </c>
      <c r="Q230" s="127"/>
      <c r="R230" s="12"/>
      <c r="S230" s="129" t="s">
        <v>4813</v>
      </c>
      <c r="T230" s="129"/>
      <c r="U230" s="129"/>
      <c r="V230" s="127"/>
      <c r="W230" s="127"/>
      <c r="X230" s="127"/>
      <c r="Y230" s="14"/>
      <c r="Z230" s="14"/>
      <c r="AA230" s="14"/>
      <c r="AB230" s="14"/>
    </row>
    <row r="231" spans="1:28" ht="45" x14ac:dyDescent="0.25">
      <c r="A231" s="14"/>
      <c r="B231" s="14"/>
      <c r="C231" s="11"/>
      <c r="D231" s="11"/>
      <c r="E231" s="11"/>
      <c r="F231" s="11"/>
      <c r="G231" s="40"/>
      <c r="H231" s="40">
        <v>5</v>
      </c>
      <c r="I231" s="40"/>
      <c r="J231" s="49" t="s">
        <v>5078</v>
      </c>
      <c r="K231" s="49" t="s">
        <v>5079</v>
      </c>
      <c r="L231" s="50" t="s">
        <v>4701</v>
      </c>
      <c r="M231" s="49" t="s">
        <v>5080</v>
      </c>
      <c r="N231" s="22"/>
      <c r="O231" s="6"/>
      <c r="P231" s="6"/>
      <c r="Q231" s="6"/>
      <c r="R231" s="6"/>
      <c r="S231" s="6" t="s">
        <v>4813</v>
      </c>
      <c r="T231" s="16"/>
      <c r="U231" s="16"/>
      <c r="V231" s="6"/>
      <c r="W231" s="6"/>
      <c r="X231" s="6"/>
      <c r="Y231" s="14"/>
      <c r="Z231" s="14"/>
      <c r="AA231" s="14"/>
      <c r="AB231" s="14"/>
    </row>
    <row r="232" spans="1:28" x14ac:dyDescent="0.25">
      <c r="A232" s="14"/>
      <c r="B232" s="14"/>
      <c r="C232" s="11"/>
      <c r="D232" s="11"/>
      <c r="E232" s="11"/>
      <c r="F232" s="11"/>
      <c r="G232" s="40"/>
      <c r="H232" s="40">
        <v>5</v>
      </c>
      <c r="I232" s="40"/>
      <c r="J232" s="49" t="s">
        <v>5081</v>
      </c>
      <c r="K232" s="49" t="s">
        <v>5082</v>
      </c>
      <c r="L232" s="50" t="s">
        <v>5083</v>
      </c>
      <c r="M232" s="49"/>
      <c r="N232" s="22"/>
      <c r="O232" s="6"/>
      <c r="P232" s="6"/>
      <c r="Q232" s="6"/>
      <c r="R232" s="6"/>
      <c r="S232" s="6" t="s">
        <v>4813</v>
      </c>
      <c r="T232" s="16"/>
      <c r="U232" s="16"/>
      <c r="V232" s="6"/>
      <c r="W232" s="6"/>
      <c r="X232" s="6"/>
      <c r="Y232" s="14"/>
      <c r="Z232" s="14"/>
      <c r="AA232" s="14"/>
      <c r="AB232" s="14"/>
    </row>
    <row r="233" spans="1:28" ht="60" x14ac:dyDescent="0.25">
      <c r="A233" s="14"/>
      <c r="B233" s="14"/>
      <c r="C233" s="11"/>
      <c r="D233" s="11"/>
      <c r="E233" s="11"/>
      <c r="F233" s="134"/>
      <c r="G233" s="134"/>
      <c r="H233" s="134">
        <v>5</v>
      </c>
      <c r="I233" s="134"/>
      <c r="J233" s="12" t="s">
        <v>5084</v>
      </c>
      <c r="K233" s="12" t="s">
        <v>5085</v>
      </c>
      <c r="L233" s="27" t="s">
        <v>4701</v>
      </c>
      <c r="M233" s="12" t="s">
        <v>5086</v>
      </c>
      <c r="N233" s="127"/>
      <c r="O233" s="127"/>
      <c r="P233" s="127" t="s">
        <v>4997</v>
      </c>
      <c r="Q233" s="127"/>
      <c r="R233" s="150" t="s">
        <v>4998</v>
      </c>
      <c r="S233" s="129"/>
      <c r="T233" s="129"/>
      <c r="U233" s="129"/>
      <c r="V233" s="127"/>
      <c r="W233" s="127"/>
      <c r="X233" s="127"/>
      <c r="Y233" s="14"/>
      <c r="Z233" s="14"/>
      <c r="AA233" s="14"/>
      <c r="AB233" s="14"/>
    </row>
    <row r="234" spans="1:28" x14ac:dyDescent="0.25">
      <c r="A234" s="14"/>
      <c r="B234" s="14"/>
      <c r="C234" s="11"/>
      <c r="D234" s="11"/>
      <c r="E234" s="11"/>
      <c r="F234" s="134"/>
      <c r="G234" s="134"/>
      <c r="H234" s="134">
        <v>5</v>
      </c>
      <c r="I234" s="134"/>
      <c r="J234" s="127" t="s">
        <v>5087</v>
      </c>
      <c r="K234" s="12" t="s">
        <v>5088</v>
      </c>
      <c r="L234" s="72" t="s">
        <v>5089</v>
      </c>
      <c r="M234" s="127"/>
      <c r="N234" s="127"/>
      <c r="O234" s="127"/>
      <c r="P234" s="127"/>
      <c r="Q234" s="127"/>
      <c r="R234" s="12"/>
      <c r="S234" s="129"/>
      <c r="T234" s="129"/>
      <c r="U234" s="129"/>
      <c r="V234" s="127"/>
      <c r="W234" s="127"/>
      <c r="X234" s="127"/>
      <c r="Y234" s="14"/>
      <c r="Z234" s="14"/>
      <c r="AA234" s="14"/>
      <c r="AB234" s="14"/>
    </row>
    <row r="235" spans="1:28" ht="72" x14ac:dyDescent="0.25">
      <c r="A235" s="14"/>
      <c r="B235" s="14"/>
      <c r="C235" s="11"/>
      <c r="D235" s="11"/>
      <c r="E235" s="11"/>
      <c r="F235" s="134"/>
      <c r="G235" s="134"/>
      <c r="H235" s="134"/>
      <c r="I235" s="134">
        <v>6</v>
      </c>
      <c r="J235" s="127" t="s">
        <v>5090</v>
      </c>
      <c r="K235" s="127" t="s">
        <v>5091</v>
      </c>
      <c r="L235" s="128" t="s">
        <v>4701</v>
      </c>
      <c r="M235" s="127" t="s">
        <v>5092</v>
      </c>
      <c r="N235" s="127"/>
      <c r="O235" s="127"/>
      <c r="P235" s="127" t="s">
        <v>4999</v>
      </c>
      <c r="Q235" s="127" t="s">
        <v>5000</v>
      </c>
      <c r="R235" s="12" t="s">
        <v>5001</v>
      </c>
      <c r="S235" s="129" t="s">
        <v>129</v>
      </c>
      <c r="T235" s="129"/>
      <c r="U235" s="129"/>
      <c r="V235" s="127"/>
      <c r="W235" s="127"/>
      <c r="X235" s="127"/>
      <c r="Y235" s="14"/>
      <c r="Z235" s="14"/>
      <c r="AA235" s="14"/>
      <c r="AB235" s="14"/>
    </row>
    <row r="236" spans="1:28" ht="63.75" x14ac:dyDescent="0.25">
      <c r="A236" s="14"/>
      <c r="B236" s="14"/>
      <c r="C236" s="11"/>
      <c r="D236" s="11"/>
      <c r="E236" s="11"/>
      <c r="F236" s="134"/>
      <c r="G236" s="134"/>
      <c r="H236" s="134"/>
      <c r="I236" s="134">
        <v>6</v>
      </c>
      <c r="J236" s="152" t="s">
        <v>5093</v>
      </c>
      <c r="K236" s="152" t="s">
        <v>5094</v>
      </c>
      <c r="L236" s="153" t="s">
        <v>4701</v>
      </c>
      <c r="M236" s="152" t="s">
        <v>5095</v>
      </c>
      <c r="N236" s="154"/>
      <c r="O236" s="152"/>
      <c r="P236" s="152" t="s">
        <v>5002</v>
      </c>
      <c r="Q236" s="152" t="s">
        <v>5003</v>
      </c>
      <c r="R236" s="152"/>
      <c r="S236" s="24" t="s">
        <v>4813</v>
      </c>
      <c r="T236" s="155"/>
      <c r="U236" s="155"/>
      <c r="V236" s="152"/>
      <c r="W236" s="152"/>
      <c r="X236" s="152"/>
      <c r="Y236" s="14"/>
      <c r="Z236" s="14"/>
      <c r="AA236" s="14"/>
      <c r="AB236" s="14"/>
    </row>
    <row r="237" spans="1:28" ht="75" x14ac:dyDescent="0.25">
      <c r="A237" s="130"/>
      <c r="B237" s="130"/>
      <c r="C237" s="11"/>
      <c r="D237" s="135"/>
      <c r="E237" s="135"/>
      <c r="F237" s="135"/>
      <c r="G237" s="135"/>
      <c r="H237" s="135"/>
      <c r="I237" s="135">
        <v>6</v>
      </c>
      <c r="J237" s="156" t="s">
        <v>5096</v>
      </c>
      <c r="K237" s="156" t="s">
        <v>5097</v>
      </c>
      <c r="L237" s="157" t="s">
        <v>5089</v>
      </c>
      <c r="M237" s="156" t="s">
        <v>5098</v>
      </c>
      <c r="N237" s="158"/>
      <c r="O237" s="156"/>
      <c r="P237" s="156" t="s">
        <v>5004</v>
      </c>
      <c r="Q237" s="156"/>
      <c r="R237" s="156"/>
      <c r="S237" s="159" t="s">
        <v>4875</v>
      </c>
      <c r="T237" s="160"/>
      <c r="U237" s="160"/>
      <c r="V237" s="156"/>
      <c r="W237" s="156"/>
      <c r="X237" s="156"/>
      <c r="Y237" s="14"/>
      <c r="Z237" s="14"/>
      <c r="AA237" s="14"/>
      <c r="AB237" s="14"/>
    </row>
    <row r="238" spans="1:28" ht="30" x14ac:dyDescent="0.25">
      <c r="A238" s="130"/>
      <c r="B238" s="130"/>
      <c r="C238" s="11"/>
      <c r="D238" s="136"/>
      <c r="E238" s="136"/>
      <c r="F238" s="136"/>
      <c r="G238" s="136"/>
      <c r="H238" s="136"/>
      <c r="I238" s="136">
        <v>6</v>
      </c>
      <c r="J238" s="1023" t="s">
        <v>5099</v>
      </c>
      <c r="K238" s="1"/>
      <c r="L238" s="8" t="s">
        <v>5089</v>
      </c>
      <c r="M238" s="131"/>
      <c r="N238" s="132"/>
      <c r="O238" s="131"/>
      <c r="P238" s="131"/>
      <c r="Q238" s="131"/>
      <c r="R238" s="131" t="s">
        <v>5005</v>
      </c>
      <c r="S238" s="131"/>
      <c r="T238" s="133"/>
      <c r="U238" s="133"/>
      <c r="V238" s="131"/>
      <c r="W238" s="131"/>
      <c r="X238" s="131"/>
      <c r="Y238" s="14"/>
      <c r="Z238" s="14"/>
      <c r="AA238" s="14"/>
      <c r="AB238" s="14"/>
    </row>
    <row r="239" spans="1:28" ht="75" x14ac:dyDescent="0.25">
      <c r="A239" s="130"/>
      <c r="B239" s="130"/>
      <c r="C239" s="11"/>
      <c r="D239" s="136"/>
      <c r="E239" s="136"/>
      <c r="F239" s="136"/>
      <c r="G239" s="136"/>
      <c r="H239" s="11"/>
      <c r="I239" s="11">
        <v>6</v>
      </c>
      <c r="J239" s="6" t="s">
        <v>5100</v>
      </c>
      <c r="K239" s="20" t="s">
        <v>5101</v>
      </c>
      <c r="L239" s="8" t="s">
        <v>4701</v>
      </c>
      <c r="M239" s="6" t="s">
        <v>5098</v>
      </c>
      <c r="N239" s="132"/>
      <c r="O239" s="131"/>
      <c r="P239" s="131"/>
      <c r="Q239" s="131"/>
      <c r="R239" s="131"/>
      <c r="S239" s="147" t="s">
        <v>4875</v>
      </c>
      <c r="T239" s="133"/>
      <c r="U239" s="133"/>
      <c r="V239" s="131"/>
      <c r="W239" s="131"/>
      <c r="X239" s="131"/>
      <c r="Y239" s="14"/>
      <c r="Z239" s="14"/>
      <c r="AA239" s="14"/>
      <c r="AB239" s="14"/>
    </row>
    <row r="240" spans="1:28" ht="15.75" customHeight="1" x14ac:dyDescent="0.25">
      <c r="A240" s="14"/>
      <c r="B240" s="14"/>
      <c r="C240" s="11"/>
      <c r="D240" s="125"/>
      <c r="E240" s="125"/>
      <c r="F240" s="125"/>
      <c r="G240" s="125"/>
      <c r="H240" s="220"/>
      <c r="I240" s="220"/>
      <c r="J240" s="221" t="s">
        <v>5102</v>
      </c>
      <c r="K240" s="221" t="s">
        <v>5103</v>
      </c>
      <c r="L240" s="222" t="s">
        <v>4701</v>
      </c>
      <c r="M240" s="223" t="s">
        <v>5104</v>
      </c>
      <c r="N240" s="111"/>
      <c r="O240" s="62"/>
      <c r="P240" s="62"/>
      <c r="Q240" s="62"/>
      <c r="R240" s="62"/>
      <c r="S240" s="62"/>
      <c r="T240" s="101"/>
      <c r="U240" s="101"/>
      <c r="V240" s="62"/>
      <c r="W240" s="62"/>
      <c r="X240" s="62"/>
      <c r="Y240" s="62"/>
      <c r="Z240" s="62"/>
      <c r="AA240" s="62"/>
      <c r="AB240" s="62"/>
    </row>
    <row r="241" spans="1:28" ht="15.75" customHeight="1" x14ac:dyDescent="0.25">
      <c r="A241" s="14"/>
      <c r="B241" s="14"/>
      <c r="C241" s="11"/>
      <c r="D241" s="125"/>
      <c r="E241" s="125"/>
      <c r="F241" s="125"/>
      <c r="G241" s="125"/>
      <c r="H241" s="125"/>
      <c r="I241" s="125"/>
      <c r="J241" s="110" t="s">
        <v>5105</v>
      </c>
      <c r="K241" s="109" t="s">
        <v>5106</v>
      </c>
      <c r="L241" s="100" t="s">
        <v>4701</v>
      </c>
      <c r="M241" s="62"/>
      <c r="N241" s="111"/>
      <c r="O241" s="62"/>
      <c r="P241" s="62"/>
      <c r="Q241" s="62"/>
      <c r="R241" s="62"/>
      <c r="S241" s="62"/>
      <c r="T241" s="101"/>
      <c r="U241" s="101"/>
      <c r="V241" s="62"/>
      <c r="W241" s="62"/>
      <c r="X241" s="62"/>
      <c r="Y241" s="62"/>
      <c r="Z241" s="62"/>
      <c r="AA241" s="62"/>
      <c r="AB241" s="62"/>
    </row>
    <row r="242" spans="1:28" ht="30" x14ac:dyDescent="0.25">
      <c r="A242" s="130"/>
      <c r="B242" s="130"/>
      <c r="C242" s="11"/>
      <c r="D242" s="136"/>
      <c r="E242" s="136"/>
      <c r="F242" s="136"/>
      <c r="G242" s="136"/>
      <c r="H242" s="136">
        <v>5</v>
      </c>
      <c r="I242" s="136"/>
      <c r="J242" s="6" t="s">
        <v>5107</v>
      </c>
      <c r="K242" s="20"/>
      <c r="L242" s="8" t="s">
        <v>4851</v>
      </c>
      <c r="M242" s="131"/>
      <c r="N242" s="132"/>
      <c r="O242" s="131"/>
      <c r="P242" s="131"/>
      <c r="Q242" s="131"/>
      <c r="R242" s="131"/>
      <c r="S242" s="147"/>
      <c r="T242" s="133"/>
      <c r="U242" s="133"/>
      <c r="V242" s="131"/>
      <c r="W242" s="131"/>
      <c r="X242" s="131"/>
      <c r="Y242" s="14"/>
      <c r="Z242" s="14"/>
      <c r="AA242" s="14"/>
      <c r="AB242" s="14"/>
    </row>
    <row r="243" spans="1:28" x14ac:dyDescent="0.25">
      <c r="A243" s="14"/>
      <c r="B243" s="14"/>
      <c r="C243" s="13"/>
      <c r="D243" s="13"/>
      <c r="E243" s="13"/>
      <c r="F243" s="13"/>
      <c r="G243" s="13"/>
      <c r="H243" s="13"/>
      <c r="I243" s="13"/>
      <c r="J243" s="14"/>
      <c r="K243" s="14"/>
      <c r="L243" s="14"/>
      <c r="M243" s="14"/>
      <c r="N243" s="23"/>
      <c r="O243" s="14"/>
      <c r="P243" s="14"/>
      <c r="Q243" s="14"/>
      <c r="R243" s="14"/>
      <c r="S243" s="14"/>
      <c r="T243" s="14"/>
      <c r="U243" s="14"/>
      <c r="V243" s="14"/>
      <c r="W243" s="14"/>
      <c r="X243" s="14"/>
      <c r="Y243" s="14"/>
      <c r="Z243" s="14"/>
      <c r="AA243" s="14"/>
      <c r="AB243" s="14"/>
    </row>
    <row r="244" spans="1:28" x14ac:dyDescent="0.25">
      <c r="A244" s="14"/>
      <c r="B244" s="14"/>
      <c r="C244" s="13"/>
      <c r="D244" s="13"/>
      <c r="E244" s="13"/>
      <c r="F244" s="13"/>
      <c r="G244" s="13"/>
      <c r="H244" s="13"/>
      <c r="I244" s="13"/>
      <c r="J244" s="14"/>
      <c r="K244" s="14"/>
      <c r="L244" s="14"/>
      <c r="M244" s="14"/>
      <c r="N244" s="23"/>
      <c r="O244" s="14"/>
      <c r="P244" s="14"/>
      <c r="Q244" s="14"/>
      <c r="R244" s="14"/>
      <c r="S244" s="14"/>
      <c r="T244" s="14"/>
      <c r="U244" s="14"/>
      <c r="V244" s="14"/>
      <c r="W244" s="14"/>
      <c r="X244" s="14"/>
      <c r="Y244" s="14"/>
      <c r="Z244" s="14"/>
      <c r="AA244" s="14"/>
      <c r="AB244" s="14"/>
    </row>
    <row r="245" spans="1:28" x14ac:dyDescent="0.25">
      <c r="A245" s="14"/>
      <c r="B245" s="14"/>
      <c r="C245" s="13"/>
      <c r="D245" s="13"/>
      <c r="E245" s="13"/>
      <c r="F245" s="13"/>
      <c r="G245" s="13"/>
      <c r="H245" s="13"/>
      <c r="I245" s="13"/>
      <c r="J245" s="14"/>
      <c r="K245" s="14"/>
      <c r="L245" s="14"/>
      <c r="M245" s="14"/>
      <c r="N245" s="23"/>
      <c r="O245" s="14"/>
      <c r="P245" s="14"/>
      <c r="Q245" s="14"/>
      <c r="R245" s="14"/>
      <c r="S245" s="14"/>
      <c r="T245" s="14"/>
      <c r="U245" s="14"/>
      <c r="V245" s="14"/>
      <c r="W245" s="14"/>
      <c r="X245" s="14"/>
      <c r="Y245" s="14"/>
      <c r="Z245" s="14"/>
      <c r="AA245" s="14"/>
      <c r="AB245" s="14"/>
    </row>
    <row r="246" spans="1:28" x14ac:dyDescent="0.25">
      <c r="A246" s="14"/>
      <c r="B246" s="14"/>
      <c r="C246" s="13"/>
      <c r="D246" s="13"/>
      <c r="E246" s="13"/>
      <c r="F246" s="13"/>
      <c r="G246" s="13"/>
      <c r="H246" s="13"/>
      <c r="I246" s="13"/>
      <c r="J246" s="14"/>
      <c r="K246" s="14"/>
      <c r="L246" s="14"/>
      <c r="M246" s="14"/>
      <c r="N246" s="23"/>
      <c r="O246" s="14"/>
      <c r="P246" s="14"/>
      <c r="Q246" s="14"/>
      <c r="R246" s="14"/>
      <c r="S246" s="14"/>
      <c r="T246" s="14"/>
      <c r="U246" s="14"/>
      <c r="V246" s="14"/>
      <c r="W246" s="14"/>
      <c r="X246" s="14"/>
      <c r="Y246" s="14"/>
      <c r="Z246" s="14"/>
      <c r="AA246" s="14"/>
      <c r="AB246" s="14"/>
    </row>
    <row r="247" spans="1:28" x14ac:dyDescent="0.25">
      <c r="A247" s="14"/>
      <c r="B247" s="14"/>
      <c r="C247" s="13"/>
      <c r="D247" s="13"/>
      <c r="E247" s="13"/>
      <c r="F247" s="13"/>
      <c r="G247" s="13"/>
      <c r="H247" s="13"/>
      <c r="I247" s="13"/>
      <c r="J247" s="14"/>
      <c r="K247" s="14"/>
      <c r="L247" s="14"/>
      <c r="M247" s="14"/>
      <c r="N247" s="23"/>
      <c r="O247" s="14"/>
      <c r="P247" s="14"/>
      <c r="Q247" s="14"/>
      <c r="R247" s="14"/>
      <c r="S247" s="14"/>
      <c r="T247" s="14"/>
      <c r="U247" s="14"/>
      <c r="V247" s="14"/>
      <c r="W247" s="14"/>
      <c r="X247" s="14"/>
      <c r="Y247" s="14"/>
      <c r="Z247" s="14"/>
      <c r="AA247" s="14"/>
      <c r="AB247" s="14"/>
    </row>
    <row r="248" spans="1:28" x14ac:dyDescent="0.25">
      <c r="A248" s="14"/>
      <c r="B248" s="14"/>
      <c r="C248" s="13"/>
      <c r="D248" s="13"/>
      <c r="E248" s="13"/>
      <c r="F248" s="13"/>
      <c r="G248" s="13"/>
      <c r="H248" s="13"/>
      <c r="I248" s="13"/>
      <c r="J248" s="14"/>
      <c r="K248" s="14"/>
      <c r="L248" s="14"/>
      <c r="M248" s="14"/>
      <c r="N248" s="23"/>
      <c r="O248" s="14"/>
      <c r="P248" s="14"/>
      <c r="Q248" s="14"/>
      <c r="R248" s="14"/>
      <c r="S248" s="14"/>
      <c r="T248" s="14"/>
      <c r="U248" s="14"/>
      <c r="V248" s="14"/>
      <c r="W248" s="14"/>
      <c r="X248" s="14"/>
      <c r="Y248" s="14"/>
      <c r="Z248" s="14"/>
      <c r="AA248" s="14"/>
      <c r="AB248" s="14"/>
    </row>
    <row r="249" spans="1:28" x14ac:dyDescent="0.25">
      <c r="A249" s="14"/>
      <c r="B249" s="14"/>
      <c r="C249" s="13"/>
      <c r="D249" s="13"/>
      <c r="E249" s="13"/>
      <c r="F249" s="13"/>
      <c r="G249" s="13"/>
      <c r="H249" s="13"/>
      <c r="I249" s="13"/>
      <c r="J249" s="14"/>
      <c r="K249" s="14"/>
      <c r="L249" s="14"/>
      <c r="M249" s="14"/>
      <c r="N249" s="23"/>
      <c r="O249" s="14"/>
      <c r="P249" s="14"/>
      <c r="Q249" s="14"/>
      <c r="R249" s="14"/>
      <c r="S249" s="14"/>
      <c r="T249" s="14"/>
      <c r="U249" s="14"/>
      <c r="V249" s="14"/>
      <c r="W249" s="14"/>
      <c r="X249" s="14"/>
      <c r="Y249" s="14"/>
      <c r="Z249" s="14"/>
      <c r="AA249" s="14"/>
      <c r="AB249" s="14"/>
    </row>
    <row r="250" spans="1:28" x14ac:dyDescent="0.25">
      <c r="A250" s="14"/>
      <c r="B250" s="14"/>
      <c r="C250" s="13"/>
      <c r="D250" s="13"/>
      <c r="E250" s="13"/>
      <c r="F250" s="13"/>
      <c r="G250" s="13"/>
      <c r="H250" s="13"/>
      <c r="I250" s="13"/>
      <c r="J250" s="14"/>
      <c r="K250" s="14"/>
      <c r="L250" s="14"/>
      <c r="M250" s="14"/>
      <c r="N250" s="23"/>
      <c r="O250" s="14"/>
      <c r="P250" s="14"/>
      <c r="Q250" s="14"/>
      <c r="R250" s="14"/>
      <c r="S250" s="14"/>
      <c r="T250" s="14"/>
      <c r="U250" s="14"/>
      <c r="V250" s="14"/>
      <c r="W250" s="14"/>
      <c r="X250" s="14"/>
      <c r="Y250" s="14"/>
      <c r="Z250" s="14"/>
      <c r="AA250" s="14"/>
      <c r="AB250" s="14"/>
    </row>
    <row r="251" spans="1:28" x14ac:dyDescent="0.25">
      <c r="A251" s="14"/>
      <c r="B251" s="14"/>
      <c r="C251" s="13"/>
      <c r="D251" s="13"/>
      <c r="E251" s="13"/>
      <c r="F251" s="13"/>
      <c r="G251" s="13"/>
      <c r="H251" s="13"/>
      <c r="I251" s="13"/>
      <c r="J251" s="14"/>
      <c r="K251" s="14"/>
      <c r="L251" s="14"/>
      <c r="M251" s="14"/>
      <c r="N251" s="23"/>
      <c r="O251" s="14"/>
      <c r="P251" s="14"/>
      <c r="Q251" s="14"/>
      <c r="R251" s="14"/>
      <c r="S251" s="14"/>
      <c r="T251" s="14"/>
      <c r="U251" s="14"/>
      <c r="V251" s="14"/>
      <c r="W251" s="14"/>
      <c r="X251" s="14"/>
      <c r="Y251" s="14"/>
      <c r="Z251" s="14"/>
      <c r="AA251" s="14"/>
      <c r="AB251" s="14"/>
    </row>
    <row r="252" spans="1:28" x14ac:dyDescent="0.25">
      <c r="A252" s="14"/>
      <c r="B252" s="14"/>
      <c r="C252" s="13"/>
      <c r="D252" s="13"/>
      <c r="E252" s="13"/>
      <c r="F252" s="13"/>
      <c r="G252" s="13"/>
      <c r="H252" s="13"/>
      <c r="I252" s="13"/>
      <c r="J252" s="14"/>
      <c r="K252" s="14"/>
      <c r="L252" s="14"/>
      <c r="M252" s="14"/>
      <c r="N252" s="23"/>
      <c r="O252" s="14"/>
      <c r="P252" s="14"/>
      <c r="Q252" s="14"/>
      <c r="R252" s="14"/>
      <c r="S252" s="14"/>
      <c r="T252" s="14"/>
      <c r="U252" s="14"/>
      <c r="V252" s="14"/>
      <c r="W252" s="14"/>
      <c r="X252" s="14"/>
      <c r="Y252" s="14"/>
      <c r="Z252" s="14"/>
      <c r="AA252" s="14"/>
      <c r="AB252" s="14"/>
    </row>
    <row r="253" spans="1:28" x14ac:dyDescent="0.25">
      <c r="A253" s="14"/>
      <c r="B253" s="14"/>
      <c r="C253" s="13"/>
      <c r="D253" s="13"/>
      <c r="E253" s="13"/>
      <c r="F253" s="13"/>
      <c r="G253" s="13"/>
      <c r="H253" s="13"/>
      <c r="I253" s="13"/>
      <c r="J253" s="14"/>
      <c r="K253" s="14"/>
      <c r="L253" s="14"/>
      <c r="M253" s="14"/>
      <c r="N253" s="23"/>
      <c r="O253" s="14"/>
      <c r="P253" s="14"/>
      <c r="Q253" s="14"/>
      <c r="R253" s="14"/>
      <c r="S253" s="14"/>
      <c r="T253" s="14"/>
      <c r="U253" s="14"/>
      <c r="V253" s="14"/>
      <c r="W253" s="14"/>
      <c r="X253" s="14"/>
      <c r="Y253" s="14"/>
      <c r="Z253" s="14"/>
      <c r="AA253" s="14"/>
      <c r="AB253" s="14"/>
    </row>
    <row r="254" spans="1:28" x14ac:dyDescent="0.25">
      <c r="A254" s="14"/>
      <c r="B254" s="14"/>
      <c r="C254" s="13"/>
      <c r="D254" s="13"/>
      <c r="E254" s="13"/>
      <c r="F254" s="13"/>
      <c r="G254" s="13"/>
      <c r="H254" s="13"/>
      <c r="I254" s="13"/>
      <c r="J254" s="14"/>
      <c r="K254" s="14"/>
      <c r="L254" s="14"/>
      <c r="M254" s="14"/>
      <c r="N254" s="23"/>
      <c r="O254" s="14"/>
      <c r="P254" s="14"/>
      <c r="Q254" s="14"/>
      <c r="R254" s="14"/>
      <c r="S254" s="14"/>
      <c r="T254" s="14"/>
      <c r="U254" s="14"/>
      <c r="V254" s="14"/>
      <c r="W254" s="14"/>
      <c r="X254" s="14"/>
      <c r="Y254" s="14"/>
      <c r="Z254" s="14"/>
      <c r="AA254" s="14"/>
      <c r="AB254" s="14"/>
    </row>
    <row r="255" spans="1:28" x14ac:dyDescent="0.25">
      <c r="A255" s="14"/>
      <c r="B255" s="14"/>
      <c r="C255" s="13"/>
      <c r="D255" s="13"/>
      <c r="E255" s="13"/>
      <c r="F255" s="13"/>
      <c r="G255" s="13"/>
      <c r="H255" s="13"/>
      <c r="I255" s="13"/>
      <c r="J255" s="14"/>
      <c r="K255" s="14"/>
      <c r="L255" s="14"/>
      <c r="M255" s="14"/>
      <c r="N255" s="23"/>
      <c r="O255" s="14"/>
      <c r="P255" s="14"/>
      <c r="Q255" s="14"/>
      <c r="R255" s="14"/>
      <c r="S255" s="14"/>
      <c r="T255" s="14"/>
      <c r="U255" s="14"/>
      <c r="V255" s="14"/>
      <c r="W255" s="14"/>
      <c r="X255" s="14"/>
      <c r="Y255" s="14"/>
      <c r="Z255" s="14"/>
      <c r="AA255" s="14"/>
      <c r="AB255" s="14"/>
    </row>
    <row r="256" spans="1:28" x14ac:dyDescent="0.25">
      <c r="A256" s="14"/>
      <c r="B256" s="14"/>
      <c r="C256" s="13"/>
      <c r="D256" s="13"/>
      <c r="E256" s="13"/>
      <c r="F256" s="13"/>
      <c r="G256" s="13"/>
      <c r="H256" s="13"/>
      <c r="I256" s="13"/>
      <c r="J256" s="14"/>
      <c r="K256" s="14"/>
      <c r="L256" s="14"/>
      <c r="M256" s="14"/>
      <c r="N256" s="23"/>
      <c r="O256" s="14"/>
      <c r="P256" s="14"/>
      <c r="Q256" s="14"/>
      <c r="R256" s="14"/>
      <c r="S256" s="14"/>
      <c r="T256" s="14"/>
      <c r="U256" s="14"/>
      <c r="V256" s="14"/>
      <c r="W256" s="14"/>
      <c r="X256" s="14"/>
      <c r="Y256" s="14"/>
      <c r="Z256" s="14"/>
      <c r="AA256" s="14"/>
      <c r="AB256" s="14"/>
    </row>
    <row r="257" spans="1:28" x14ac:dyDescent="0.25">
      <c r="A257" s="14"/>
      <c r="B257" s="14"/>
      <c r="C257" s="13"/>
      <c r="D257" s="13"/>
      <c r="E257" s="13"/>
      <c r="F257" s="13"/>
      <c r="G257" s="13"/>
      <c r="H257" s="13"/>
      <c r="I257" s="13"/>
      <c r="J257" s="14"/>
      <c r="K257" s="14"/>
      <c r="L257" s="14"/>
      <c r="M257" s="14"/>
      <c r="N257" s="23"/>
      <c r="O257" s="14"/>
      <c r="P257" s="14"/>
      <c r="Q257" s="14"/>
      <c r="R257" s="14"/>
      <c r="S257" s="14"/>
      <c r="T257" s="14"/>
      <c r="U257" s="14"/>
      <c r="V257" s="14"/>
      <c r="W257" s="14"/>
      <c r="X257" s="14"/>
      <c r="Y257" s="14"/>
      <c r="Z257" s="14"/>
      <c r="AA257" s="14"/>
      <c r="AB257" s="14"/>
    </row>
    <row r="258" spans="1:28" x14ac:dyDescent="0.25">
      <c r="A258" s="14"/>
      <c r="B258" s="14"/>
      <c r="C258" s="13"/>
      <c r="D258" s="13"/>
      <c r="E258" s="13"/>
      <c r="F258" s="13"/>
      <c r="G258" s="13"/>
      <c r="H258" s="13"/>
      <c r="I258" s="13"/>
      <c r="J258" s="14"/>
      <c r="K258" s="14"/>
      <c r="L258" s="14"/>
      <c r="M258" s="14"/>
      <c r="N258" s="23"/>
      <c r="O258" s="14"/>
      <c r="P258" s="14"/>
      <c r="Q258" s="14"/>
      <c r="R258" s="14"/>
      <c r="S258" s="14"/>
      <c r="T258" s="14"/>
      <c r="U258" s="14"/>
      <c r="V258" s="14"/>
      <c r="W258" s="14"/>
      <c r="X258" s="14"/>
      <c r="Y258" s="14"/>
      <c r="Z258" s="14"/>
      <c r="AA258" s="14"/>
      <c r="AB258" s="14"/>
    </row>
    <row r="259" spans="1:28" x14ac:dyDescent="0.25">
      <c r="A259" s="14"/>
      <c r="B259" s="14"/>
      <c r="C259" s="13"/>
      <c r="D259" s="13"/>
      <c r="E259" s="13"/>
      <c r="F259" s="13"/>
      <c r="G259" s="13"/>
      <c r="H259" s="13"/>
      <c r="I259" s="13"/>
      <c r="J259" s="14"/>
      <c r="K259" s="14"/>
      <c r="L259" s="14"/>
      <c r="M259" s="14"/>
      <c r="N259" s="23"/>
      <c r="O259" s="14"/>
      <c r="P259" s="14"/>
      <c r="Q259" s="14"/>
      <c r="R259" s="14"/>
      <c r="S259" s="14"/>
      <c r="T259" s="14"/>
      <c r="U259" s="14"/>
      <c r="V259" s="14"/>
      <c r="W259" s="14"/>
      <c r="X259" s="14"/>
      <c r="Y259" s="14"/>
      <c r="Z259" s="14"/>
      <c r="AA259" s="14"/>
      <c r="AB259" s="14"/>
    </row>
    <row r="260" spans="1:28" x14ac:dyDescent="0.25">
      <c r="A260" s="14"/>
      <c r="B260" s="14"/>
      <c r="C260" s="13"/>
      <c r="D260" s="13"/>
      <c r="E260" s="13"/>
      <c r="F260" s="13"/>
      <c r="G260" s="13"/>
      <c r="H260" s="13"/>
      <c r="I260" s="13"/>
      <c r="J260" s="14"/>
      <c r="K260" s="14"/>
      <c r="L260" s="14"/>
      <c r="M260" s="14"/>
      <c r="N260" s="23"/>
      <c r="O260" s="14"/>
      <c r="P260" s="14"/>
      <c r="Q260" s="14"/>
      <c r="R260" s="14"/>
      <c r="S260" s="14"/>
      <c r="T260" s="14"/>
      <c r="U260" s="14"/>
      <c r="V260" s="14"/>
      <c r="W260" s="14"/>
      <c r="X260" s="14"/>
      <c r="Y260" s="14"/>
      <c r="Z260" s="14"/>
      <c r="AA260" s="14"/>
      <c r="AB260" s="14"/>
    </row>
    <row r="261" spans="1:28" x14ac:dyDescent="0.25">
      <c r="A261" s="14"/>
      <c r="B261" s="14"/>
      <c r="C261" s="13"/>
      <c r="D261" s="13"/>
      <c r="E261" s="13"/>
      <c r="F261" s="13"/>
      <c r="G261" s="13"/>
      <c r="H261" s="13"/>
      <c r="I261" s="13"/>
      <c r="J261" s="14"/>
      <c r="K261" s="14"/>
      <c r="L261" s="14"/>
      <c r="M261" s="14"/>
      <c r="N261" s="23"/>
      <c r="O261" s="14"/>
      <c r="P261" s="14"/>
      <c r="Q261" s="14"/>
      <c r="R261" s="14"/>
      <c r="S261" s="14"/>
      <c r="T261" s="14"/>
      <c r="U261" s="14"/>
      <c r="V261" s="14"/>
      <c r="W261" s="14"/>
      <c r="X261" s="14"/>
      <c r="Y261" s="14"/>
      <c r="Z261" s="14"/>
      <c r="AA261" s="14"/>
      <c r="AB261" s="14"/>
    </row>
    <row r="262" spans="1:28" x14ac:dyDescent="0.25">
      <c r="A262" s="14"/>
      <c r="B262" s="14"/>
      <c r="C262" s="13"/>
      <c r="D262" s="13"/>
      <c r="E262" s="13"/>
      <c r="F262" s="13"/>
      <c r="G262" s="13"/>
      <c r="H262" s="13"/>
      <c r="I262" s="13"/>
      <c r="J262" s="14"/>
      <c r="K262" s="14"/>
      <c r="L262" s="14"/>
      <c r="M262" s="14"/>
      <c r="N262" s="23"/>
      <c r="O262" s="14"/>
      <c r="P262" s="14"/>
      <c r="Q262" s="14"/>
      <c r="R262" s="14"/>
      <c r="S262" s="14"/>
      <c r="T262" s="14"/>
      <c r="U262" s="14"/>
      <c r="V262" s="14"/>
      <c r="W262" s="14"/>
      <c r="X262" s="14"/>
      <c r="Y262" s="14"/>
      <c r="Z262" s="14"/>
      <c r="AA262" s="14"/>
      <c r="AB262" s="14"/>
    </row>
    <row r="263" spans="1:28" x14ac:dyDescent="0.25">
      <c r="A263" s="14"/>
      <c r="B263" s="14"/>
      <c r="C263" s="13"/>
      <c r="D263" s="13"/>
      <c r="E263" s="13"/>
      <c r="F263" s="13"/>
      <c r="G263" s="13"/>
      <c r="H263" s="13"/>
      <c r="I263" s="13"/>
      <c r="J263" s="14"/>
      <c r="K263" s="14"/>
      <c r="L263" s="14"/>
      <c r="M263" s="14"/>
      <c r="N263" s="23"/>
      <c r="O263" s="14"/>
      <c r="P263" s="14"/>
      <c r="Q263" s="14"/>
      <c r="R263" s="14"/>
      <c r="S263" s="14"/>
      <c r="T263" s="14"/>
      <c r="U263" s="14"/>
      <c r="V263" s="14"/>
      <c r="W263" s="14"/>
      <c r="X263" s="14"/>
      <c r="Y263" s="14"/>
      <c r="Z263" s="14"/>
      <c r="AA263" s="14"/>
      <c r="AB263" s="14"/>
    </row>
    <row r="264" spans="1:28" x14ac:dyDescent="0.25">
      <c r="A264" s="14"/>
      <c r="B264" s="14"/>
      <c r="C264" s="13"/>
      <c r="D264" s="13"/>
      <c r="E264" s="13"/>
      <c r="F264" s="13"/>
      <c r="G264" s="13"/>
      <c r="H264" s="13"/>
      <c r="I264" s="13"/>
      <c r="J264" s="14"/>
      <c r="K264" s="14"/>
      <c r="L264" s="14"/>
      <c r="M264" s="14"/>
      <c r="N264" s="23"/>
      <c r="O264" s="14"/>
      <c r="P264" s="14"/>
      <c r="Q264" s="14"/>
      <c r="R264" s="14"/>
      <c r="S264" s="14"/>
      <c r="T264" s="14"/>
      <c r="U264" s="14"/>
      <c r="V264" s="14"/>
      <c r="W264" s="14"/>
      <c r="X264" s="14"/>
      <c r="Y264" s="14"/>
      <c r="Z264" s="14"/>
      <c r="AA264" s="14"/>
      <c r="AB264" s="14"/>
    </row>
    <row r="265" spans="1:28" x14ac:dyDescent="0.25">
      <c r="A265" s="14"/>
      <c r="B265" s="14"/>
      <c r="C265" s="13"/>
      <c r="D265" s="13"/>
      <c r="E265" s="13"/>
      <c r="F265" s="13"/>
      <c r="G265" s="13"/>
      <c r="H265" s="13"/>
      <c r="I265" s="13"/>
      <c r="J265" s="14"/>
      <c r="K265" s="14"/>
      <c r="L265" s="14"/>
      <c r="M265" s="14"/>
      <c r="N265" s="23"/>
      <c r="O265" s="14"/>
      <c r="P265" s="14"/>
      <c r="Q265" s="14"/>
      <c r="R265" s="14"/>
      <c r="S265" s="14"/>
      <c r="T265" s="14"/>
      <c r="U265" s="14"/>
      <c r="V265" s="14"/>
      <c r="W265" s="14"/>
      <c r="X265" s="14"/>
      <c r="Y265" s="14"/>
      <c r="Z265" s="14"/>
      <c r="AA265" s="14"/>
      <c r="AB265" s="14"/>
    </row>
    <row r="266" spans="1:28" x14ac:dyDescent="0.25">
      <c r="A266" s="14"/>
      <c r="B266" s="14"/>
      <c r="C266" s="13"/>
      <c r="D266" s="13"/>
      <c r="E266" s="13"/>
      <c r="F266" s="13"/>
      <c r="G266" s="13"/>
      <c r="H266" s="13"/>
      <c r="I266" s="13"/>
      <c r="J266" s="14"/>
      <c r="K266" s="14"/>
      <c r="L266" s="14"/>
      <c r="M266" s="14"/>
      <c r="N266" s="23"/>
      <c r="O266" s="14"/>
      <c r="P266" s="14"/>
      <c r="Q266" s="14"/>
      <c r="R266" s="14"/>
      <c r="S266" s="14"/>
      <c r="T266" s="14"/>
      <c r="U266" s="14"/>
      <c r="V266" s="14"/>
      <c r="W266" s="14"/>
      <c r="X266" s="14"/>
      <c r="Y266" s="14"/>
      <c r="Z266" s="14"/>
      <c r="AA266" s="14"/>
      <c r="AB266" s="14"/>
    </row>
    <row r="267" spans="1:28" x14ac:dyDescent="0.25">
      <c r="A267" s="14"/>
      <c r="B267" s="14"/>
      <c r="C267" s="13"/>
      <c r="D267" s="13"/>
      <c r="E267" s="13"/>
      <c r="F267" s="13"/>
      <c r="G267" s="13"/>
      <c r="H267" s="13"/>
      <c r="I267" s="13"/>
      <c r="J267" s="14"/>
      <c r="K267" s="14"/>
      <c r="L267" s="14"/>
      <c r="M267" s="14"/>
      <c r="N267" s="23"/>
      <c r="O267" s="14"/>
      <c r="P267" s="14"/>
      <c r="Q267" s="14"/>
      <c r="R267" s="14"/>
      <c r="S267" s="14"/>
      <c r="T267" s="14"/>
      <c r="U267" s="14"/>
      <c r="V267" s="14"/>
      <c r="W267" s="14"/>
      <c r="X267" s="14"/>
      <c r="Y267" s="14"/>
      <c r="Z267" s="14"/>
      <c r="AA267" s="14"/>
      <c r="AB267" s="14"/>
    </row>
    <row r="268" spans="1:28" x14ac:dyDescent="0.25">
      <c r="A268" s="14"/>
      <c r="B268" s="14"/>
      <c r="C268" s="13"/>
      <c r="D268" s="13"/>
      <c r="E268" s="13"/>
      <c r="F268" s="13"/>
      <c r="G268" s="13"/>
      <c r="H268" s="13"/>
      <c r="I268" s="13"/>
      <c r="J268" s="14"/>
      <c r="K268" s="14"/>
      <c r="L268" s="14"/>
      <c r="M268" s="14"/>
      <c r="N268" s="23"/>
      <c r="O268" s="14"/>
      <c r="P268" s="14"/>
      <c r="Q268" s="14"/>
      <c r="R268" s="14"/>
      <c r="S268" s="14"/>
      <c r="T268" s="14"/>
      <c r="U268" s="14"/>
      <c r="V268" s="14"/>
      <c r="W268" s="14"/>
      <c r="X268" s="14"/>
      <c r="Y268" s="14"/>
      <c r="Z268" s="14"/>
      <c r="AA268" s="14"/>
      <c r="AB268" s="14"/>
    </row>
    <row r="269" spans="1:28" x14ac:dyDescent="0.25">
      <c r="A269" s="14"/>
      <c r="B269" s="14"/>
      <c r="C269" s="13"/>
      <c r="D269" s="13"/>
      <c r="E269" s="13"/>
      <c r="F269" s="13"/>
      <c r="G269" s="13"/>
      <c r="H269" s="13"/>
      <c r="I269" s="13"/>
      <c r="J269" s="14"/>
      <c r="K269" s="14"/>
      <c r="L269" s="14"/>
      <c r="M269" s="14"/>
      <c r="N269" s="23"/>
      <c r="O269" s="14"/>
      <c r="P269" s="14"/>
      <c r="Q269" s="14"/>
      <c r="R269" s="14"/>
      <c r="S269" s="14"/>
      <c r="T269" s="14"/>
      <c r="U269" s="14"/>
      <c r="V269" s="14"/>
      <c r="W269" s="14"/>
      <c r="X269" s="14"/>
      <c r="Y269" s="14"/>
      <c r="Z269" s="14"/>
      <c r="AA269" s="14"/>
      <c r="AB269" s="14"/>
    </row>
    <row r="270" spans="1:28" x14ac:dyDescent="0.25">
      <c r="A270" s="14"/>
      <c r="B270" s="14"/>
      <c r="C270" s="13"/>
      <c r="D270" s="13"/>
      <c r="E270" s="13"/>
      <c r="F270" s="13"/>
      <c r="G270" s="13"/>
      <c r="H270" s="13"/>
      <c r="I270" s="13"/>
      <c r="J270" s="14"/>
      <c r="K270" s="14"/>
      <c r="L270" s="14"/>
      <c r="M270" s="14"/>
      <c r="N270" s="23"/>
      <c r="O270" s="14"/>
      <c r="P270" s="14"/>
      <c r="Q270" s="14"/>
      <c r="R270" s="14"/>
      <c r="S270" s="14"/>
      <c r="T270" s="14"/>
      <c r="U270" s="14"/>
      <c r="V270" s="14"/>
      <c r="W270" s="14"/>
      <c r="X270" s="14"/>
      <c r="Y270" s="14"/>
      <c r="Z270" s="14"/>
      <c r="AA270" s="14"/>
      <c r="AB270" s="14"/>
    </row>
    <row r="271" spans="1:28" x14ac:dyDescent="0.25">
      <c r="A271" s="14"/>
      <c r="B271" s="14"/>
      <c r="C271" s="13"/>
      <c r="D271" s="13"/>
      <c r="E271" s="13"/>
      <c r="F271" s="13"/>
      <c r="G271" s="13"/>
      <c r="H271" s="13"/>
      <c r="I271" s="13"/>
      <c r="J271" s="14"/>
      <c r="K271" s="14"/>
      <c r="L271" s="14"/>
      <c r="M271" s="14"/>
      <c r="N271" s="23"/>
      <c r="O271" s="14"/>
      <c r="P271" s="14"/>
      <c r="Q271" s="14"/>
      <c r="R271" s="14"/>
      <c r="S271" s="14"/>
      <c r="T271" s="14"/>
      <c r="U271" s="14"/>
      <c r="V271" s="14"/>
      <c r="W271" s="14"/>
      <c r="X271" s="14"/>
      <c r="Y271" s="14"/>
      <c r="Z271" s="14"/>
      <c r="AA271" s="14"/>
      <c r="AB271" s="14"/>
    </row>
    <row r="272" spans="1:28" x14ac:dyDescent="0.25">
      <c r="A272" s="14"/>
      <c r="B272" s="14"/>
      <c r="C272" s="13"/>
      <c r="D272" s="13"/>
      <c r="E272" s="13"/>
      <c r="F272" s="13"/>
      <c r="G272" s="13"/>
      <c r="H272" s="13"/>
      <c r="I272" s="13"/>
      <c r="J272" s="14"/>
      <c r="K272" s="14"/>
      <c r="L272" s="14"/>
      <c r="M272" s="14"/>
      <c r="N272" s="23"/>
      <c r="O272" s="14"/>
      <c r="P272" s="14"/>
      <c r="Q272" s="14"/>
      <c r="R272" s="14"/>
      <c r="S272" s="14"/>
      <c r="T272" s="14"/>
      <c r="U272" s="14"/>
      <c r="V272" s="14"/>
      <c r="W272" s="14"/>
      <c r="X272" s="14"/>
      <c r="Y272" s="14"/>
      <c r="Z272" s="14"/>
      <c r="AA272" s="14"/>
      <c r="AB272" s="14"/>
    </row>
    <row r="273" spans="1:28" x14ac:dyDescent="0.25">
      <c r="A273" s="14"/>
      <c r="B273" s="14"/>
      <c r="C273" s="13"/>
      <c r="D273" s="13"/>
      <c r="E273" s="13"/>
      <c r="F273" s="13"/>
      <c r="G273" s="13"/>
      <c r="H273" s="13"/>
      <c r="I273" s="13"/>
      <c r="J273" s="14"/>
      <c r="K273" s="14"/>
      <c r="L273" s="14"/>
      <c r="M273" s="14"/>
      <c r="N273" s="23"/>
      <c r="O273" s="14"/>
      <c r="P273" s="14"/>
      <c r="Q273" s="14"/>
      <c r="R273" s="14"/>
      <c r="S273" s="14"/>
      <c r="T273" s="14"/>
      <c r="U273" s="14"/>
      <c r="V273" s="14"/>
      <c r="W273" s="14"/>
      <c r="X273" s="14"/>
      <c r="Y273" s="14"/>
      <c r="Z273" s="14"/>
      <c r="AA273" s="14"/>
      <c r="AB273" s="14"/>
    </row>
    <row r="274" spans="1:28" x14ac:dyDescent="0.25">
      <c r="A274" s="14"/>
      <c r="B274" s="14"/>
      <c r="C274" s="13"/>
      <c r="D274" s="13"/>
      <c r="E274" s="13"/>
      <c r="F274" s="13"/>
      <c r="G274" s="13"/>
      <c r="H274" s="13"/>
      <c r="I274" s="13"/>
      <c r="J274" s="14"/>
      <c r="K274" s="14"/>
      <c r="L274" s="14"/>
      <c r="M274" s="14"/>
      <c r="N274" s="23"/>
      <c r="O274" s="14"/>
      <c r="P274" s="14"/>
      <c r="Q274" s="14"/>
      <c r="R274" s="14"/>
      <c r="S274" s="14"/>
      <c r="T274" s="14"/>
      <c r="U274" s="14"/>
      <c r="V274" s="14"/>
      <c r="W274" s="14"/>
      <c r="X274" s="14"/>
      <c r="Y274" s="14"/>
      <c r="Z274" s="14"/>
      <c r="AA274" s="14"/>
      <c r="AB274" s="14"/>
    </row>
    <row r="275" spans="1:28" x14ac:dyDescent="0.25">
      <c r="A275" s="14"/>
      <c r="B275" s="14"/>
      <c r="C275" s="13"/>
      <c r="D275" s="13"/>
      <c r="E275" s="13"/>
      <c r="F275" s="13"/>
      <c r="G275" s="13"/>
      <c r="H275" s="13"/>
      <c r="I275" s="13"/>
      <c r="J275" s="14"/>
      <c r="K275" s="14"/>
      <c r="L275" s="14"/>
      <c r="M275" s="14"/>
      <c r="N275" s="23"/>
      <c r="O275" s="14"/>
      <c r="P275" s="14"/>
      <c r="Q275" s="14"/>
      <c r="R275" s="14"/>
      <c r="S275" s="14"/>
      <c r="T275" s="14"/>
      <c r="U275" s="14"/>
      <c r="V275" s="14"/>
      <c r="W275" s="14"/>
      <c r="X275" s="14"/>
      <c r="Y275" s="14"/>
      <c r="Z275" s="14"/>
      <c r="AA275" s="14"/>
      <c r="AB275" s="14"/>
    </row>
    <row r="276" spans="1:28" x14ac:dyDescent="0.25">
      <c r="A276" s="14"/>
      <c r="B276" s="14"/>
      <c r="C276" s="13"/>
      <c r="D276" s="13"/>
      <c r="E276" s="13"/>
      <c r="F276" s="13"/>
      <c r="G276" s="13"/>
      <c r="H276" s="13"/>
      <c r="I276" s="13"/>
      <c r="J276" s="14"/>
      <c r="K276" s="14"/>
      <c r="L276" s="14"/>
      <c r="M276" s="14"/>
      <c r="N276" s="23"/>
      <c r="O276" s="14"/>
      <c r="P276" s="14"/>
      <c r="Q276" s="14"/>
      <c r="R276" s="14"/>
      <c r="S276" s="14"/>
      <c r="T276" s="14"/>
      <c r="U276" s="14"/>
      <c r="V276" s="14"/>
      <c r="W276" s="14"/>
      <c r="X276" s="14"/>
      <c r="Y276" s="14"/>
      <c r="Z276" s="14"/>
      <c r="AA276" s="14"/>
      <c r="AB276" s="14"/>
    </row>
    <row r="277" spans="1:28" x14ac:dyDescent="0.25">
      <c r="A277" s="14"/>
      <c r="B277" s="14"/>
      <c r="C277" s="13"/>
      <c r="D277" s="13"/>
      <c r="E277" s="13"/>
      <c r="F277" s="13"/>
      <c r="G277" s="13"/>
      <c r="H277" s="13"/>
      <c r="I277" s="13"/>
      <c r="J277" s="14"/>
      <c r="K277" s="14"/>
      <c r="L277" s="14"/>
      <c r="M277" s="14"/>
      <c r="N277" s="23"/>
      <c r="O277" s="14"/>
      <c r="P277" s="14"/>
      <c r="Q277" s="14"/>
      <c r="R277" s="14"/>
      <c r="S277" s="14"/>
      <c r="T277" s="14"/>
      <c r="U277" s="14"/>
      <c r="V277" s="14"/>
      <c r="W277" s="14"/>
      <c r="X277" s="14"/>
      <c r="Y277" s="14"/>
      <c r="Z277" s="14"/>
      <c r="AA277" s="14"/>
      <c r="AB277" s="14"/>
    </row>
    <row r="278" spans="1:28" x14ac:dyDescent="0.25">
      <c r="A278" s="14"/>
      <c r="B278" s="14"/>
      <c r="C278" s="13"/>
      <c r="D278" s="13"/>
      <c r="E278" s="13"/>
      <c r="F278" s="13"/>
      <c r="G278" s="13"/>
      <c r="H278" s="13"/>
      <c r="I278" s="13"/>
      <c r="J278" s="14"/>
      <c r="K278" s="14"/>
      <c r="L278" s="14"/>
      <c r="M278" s="14"/>
      <c r="N278" s="23"/>
      <c r="O278" s="14"/>
      <c r="P278" s="14"/>
      <c r="Q278" s="14"/>
      <c r="R278" s="14"/>
      <c r="S278" s="14"/>
      <c r="T278" s="14"/>
      <c r="U278" s="14"/>
      <c r="V278" s="14"/>
      <c r="W278" s="14"/>
      <c r="X278" s="14"/>
      <c r="Y278" s="14"/>
      <c r="Z278" s="14"/>
      <c r="AA278" s="14"/>
      <c r="AB278" s="14"/>
    </row>
    <row r="279" spans="1:28" x14ac:dyDescent="0.25">
      <c r="A279" s="14"/>
      <c r="B279" s="14"/>
      <c r="C279" s="13"/>
      <c r="D279" s="13"/>
      <c r="E279" s="13"/>
      <c r="F279" s="13"/>
      <c r="G279" s="13"/>
      <c r="H279" s="13"/>
      <c r="I279" s="13"/>
      <c r="J279" s="14"/>
      <c r="K279" s="14"/>
      <c r="L279" s="14"/>
      <c r="M279" s="14"/>
      <c r="N279" s="23"/>
      <c r="O279" s="14"/>
      <c r="P279" s="14"/>
      <c r="Q279" s="14"/>
      <c r="R279" s="14"/>
      <c r="S279" s="14"/>
      <c r="T279" s="14"/>
      <c r="U279" s="14"/>
      <c r="V279" s="14"/>
      <c r="W279" s="14"/>
      <c r="X279" s="14"/>
      <c r="Y279" s="14"/>
      <c r="Z279" s="14"/>
      <c r="AA279" s="14"/>
      <c r="AB279" s="14"/>
    </row>
    <row r="280" spans="1:28" x14ac:dyDescent="0.25">
      <c r="A280" s="14"/>
      <c r="B280" s="14"/>
      <c r="C280" s="13"/>
      <c r="D280" s="13"/>
      <c r="E280" s="13"/>
      <c r="F280" s="13"/>
      <c r="G280" s="13"/>
      <c r="H280" s="13"/>
      <c r="I280" s="13"/>
      <c r="J280" s="14"/>
      <c r="K280" s="14"/>
      <c r="L280" s="14"/>
      <c r="M280" s="14"/>
      <c r="N280" s="23"/>
      <c r="O280" s="14"/>
      <c r="P280" s="14"/>
      <c r="Q280" s="14"/>
      <c r="R280" s="14"/>
      <c r="S280" s="14"/>
      <c r="T280" s="14"/>
      <c r="U280" s="14"/>
      <c r="V280" s="14"/>
      <c r="W280" s="14"/>
      <c r="X280" s="14"/>
      <c r="Y280" s="14"/>
      <c r="Z280" s="14"/>
      <c r="AA280" s="14"/>
      <c r="AB280" s="14"/>
    </row>
    <row r="281" spans="1:28" x14ac:dyDescent="0.25">
      <c r="A281" s="14"/>
      <c r="B281" s="14"/>
      <c r="C281" s="13"/>
      <c r="D281" s="13"/>
      <c r="E281" s="13"/>
      <c r="F281" s="13"/>
      <c r="G281" s="13"/>
      <c r="H281" s="13"/>
      <c r="I281" s="13"/>
      <c r="J281" s="14"/>
      <c r="K281" s="14"/>
      <c r="L281" s="14"/>
      <c r="M281" s="14"/>
      <c r="N281" s="23"/>
      <c r="O281" s="14"/>
      <c r="P281" s="14"/>
      <c r="Q281" s="14"/>
      <c r="R281" s="14"/>
      <c r="S281" s="14"/>
      <c r="T281" s="14"/>
      <c r="U281" s="14"/>
      <c r="V281" s="14"/>
      <c r="W281" s="14"/>
      <c r="X281" s="14"/>
      <c r="Y281" s="14"/>
      <c r="Z281" s="14"/>
      <c r="AA281" s="14"/>
      <c r="AB281" s="14"/>
    </row>
    <row r="282" spans="1:28" x14ac:dyDescent="0.25">
      <c r="A282" s="14"/>
      <c r="B282" s="14"/>
      <c r="C282" s="13"/>
      <c r="D282" s="13"/>
      <c r="E282" s="13"/>
      <c r="F282" s="13"/>
      <c r="G282" s="13"/>
      <c r="H282" s="13"/>
      <c r="I282" s="13"/>
      <c r="J282" s="14"/>
      <c r="K282" s="14"/>
      <c r="L282" s="14"/>
      <c r="M282" s="14"/>
      <c r="N282" s="23"/>
      <c r="O282" s="14"/>
      <c r="P282" s="14"/>
      <c r="Q282" s="14"/>
      <c r="R282" s="14"/>
      <c r="S282" s="14"/>
      <c r="T282" s="14"/>
      <c r="U282" s="14"/>
      <c r="V282" s="14"/>
      <c r="W282" s="14"/>
      <c r="X282" s="14"/>
      <c r="Y282" s="14"/>
      <c r="Z282" s="14"/>
      <c r="AA282" s="14"/>
      <c r="AB282" s="14"/>
    </row>
    <row r="283" spans="1:28" x14ac:dyDescent="0.25">
      <c r="A283" s="14"/>
      <c r="B283" s="14"/>
      <c r="C283" s="13"/>
      <c r="D283" s="13"/>
      <c r="E283" s="13"/>
      <c r="F283" s="13"/>
      <c r="G283" s="13"/>
      <c r="H283" s="13"/>
      <c r="I283" s="13"/>
      <c r="J283" s="14"/>
      <c r="K283" s="14"/>
      <c r="L283" s="14"/>
      <c r="M283" s="14"/>
      <c r="N283" s="23"/>
      <c r="O283" s="14"/>
      <c r="P283" s="14"/>
      <c r="Q283" s="14"/>
      <c r="R283" s="14"/>
      <c r="S283" s="14"/>
      <c r="T283" s="14"/>
      <c r="U283" s="14"/>
      <c r="V283" s="14"/>
      <c r="W283" s="14"/>
      <c r="X283" s="14"/>
      <c r="Y283" s="14"/>
      <c r="Z283" s="14"/>
      <c r="AA283" s="14"/>
      <c r="AB283" s="14"/>
    </row>
    <row r="284" spans="1:28" x14ac:dyDescent="0.25">
      <c r="A284" s="14"/>
      <c r="B284" s="14"/>
      <c r="C284" s="13"/>
      <c r="D284" s="13"/>
      <c r="E284" s="13"/>
      <c r="F284" s="13"/>
      <c r="G284" s="13"/>
      <c r="H284" s="13"/>
      <c r="I284" s="13"/>
      <c r="J284" s="14"/>
      <c r="K284" s="14"/>
      <c r="L284" s="14"/>
      <c r="M284" s="14"/>
      <c r="N284" s="23"/>
      <c r="O284" s="14"/>
      <c r="P284" s="14"/>
      <c r="Q284" s="14"/>
      <c r="R284" s="14"/>
      <c r="S284" s="14"/>
      <c r="T284" s="14"/>
      <c r="U284" s="14"/>
      <c r="V284" s="14"/>
      <c r="W284" s="14"/>
      <c r="X284" s="14"/>
      <c r="Y284" s="14"/>
      <c r="Z284" s="14"/>
      <c r="AA284" s="14"/>
      <c r="AB284" s="14"/>
    </row>
    <row r="285" spans="1:28" x14ac:dyDescent="0.25">
      <c r="A285" s="14"/>
      <c r="B285" s="14"/>
      <c r="C285" s="13"/>
      <c r="D285" s="13"/>
      <c r="E285" s="13"/>
      <c r="F285" s="13"/>
      <c r="G285" s="13"/>
      <c r="H285" s="13"/>
      <c r="I285" s="13"/>
      <c r="J285" s="14"/>
      <c r="K285" s="14"/>
      <c r="L285" s="14"/>
      <c r="M285" s="14"/>
      <c r="N285" s="23"/>
      <c r="O285" s="14"/>
      <c r="P285" s="14"/>
      <c r="Q285" s="14"/>
      <c r="R285" s="14"/>
      <c r="S285" s="14"/>
      <c r="T285" s="14"/>
      <c r="U285" s="14"/>
      <c r="V285" s="14"/>
      <c r="W285" s="14"/>
      <c r="X285" s="14"/>
      <c r="Y285" s="14"/>
      <c r="Z285" s="14"/>
      <c r="AA285" s="14"/>
      <c r="AB285" s="14"/>
    </row>
    <row r="286" spans="1:28" x14ac:dyDescent="0.25">
      <c r="A286" s="14"/>
      <c r="B286" s="14"/>
      <c r="C286" s="13"/>
      <c r="D286" s="13"/>
      <c r="E286" s="13"/>
      <c r="F286" s="13"/>
      <c r="G286" s="13"/>
      <c r="H286" s="13"/>
      <c r="I286" s="13"/>
      <c r="J286" s="14"/>
      <c r="K286" s="14"/>
      <c r="L286" s="14"/>
      <c r="M286" s="14"/>
      <c r="N286" s="23"/>
      <c r="O286" s="14"/>
      <c r="P286" s="14"/>
      <c r="Q286" s="14"/>
      <c r="R286" s="14"/>
      <c r="S286" s="14"/>
      <c r="T286" s="14"/>
      <c r="U286" s="14"/>
      <c r="V286" s="14"/>
      <c r="W286" s="14"/>
      <c r="X286" s="14"/>
      <c r="Y286" s="14"/>
      <c r="Z286" s="14"/>
      <c r="AA286" s="14"/>
      <c r="AB286" s="14"/>
    </row>
    <row r="287" spans="1:28" x14ac:dyDescent="0.25">
      <c r="A287" s="14"/>
      <c r="B287" s="14"/>
      <c r="C287" s="13"/>
      <c r="D287" s="13"/>
      <c r="E287" s="13"/>
      <c r="F287" s="13"/>
      <c r="G287" s="13"/>
      <c r="H287" s="13"/>
      <c r="I287" s="13"/>
      <c r="J287" s="14"/>
      <c r="K287" s="14"/>
      <c r="L287" s="14"/>
      <c r="M287" s="14"/>
      <c r="N287" s="23"/>
      <c r="O287" s="14"/>
      <c r="P287" s="14"/>
      <c r="Q287" s="14"/>
      <c r="R287" s="14"/>
      <c r="S287" s="14"/>
      <c r="T287" s="14"/>
      <c r="U287" s="14"/>
      <c r="V287" s="14"/>
      <c r="W287" s="14"/>
      <c r="X287" s="14"/>
      <c r="Y287" s="14"/>
      <c r="Z287" s="14"/>
      <c r="AA287" s="14"/>
      <c r="AB287" s="14"/>
    </row>
    <row r="288" spans="1:28" x14ac:dyDescent="0.25">
      <c r="A288" s="14"/>
      <c r="B288" s="14"/>
      <c r="C288" s="13"/>
      <c r="D288" s="13"/>
      <c r="E288" s="13"/>
      <c r="F288" s="13"/>
      <c r="G288" s="13"/>
      <c r="H288" s="13"/>
      <c r="I288" s="13"/>
      <c r="J288" s="14"/>
      <c r="K288" s="14"/>
      <c r="L288" s="14"/>
      <c r="M288" s="14"/>
      <c r="N288" s="23"/>
      <c r="O288" s="14"/>
      <c r="P288" s="14"/>
      <c r="Q288" s="14"/>
      <c r="R288" s="14"/>
      <c r="S288" s="14"/>
      <c r="T288" s="14"/>
      <c r="U288" s="14"/>
      <c r="V288" s="14"/>
      <c r="W288" s="14"/>
      <c r="X288" s="14"/>
      <c r="Y288" s="14"/>
      <c r="Z288" s="14"/>
      <c r="AA288" s="14"/>
      <c r="AB288" s="14"/>
    </row>
    <row r="289" spans="1:28" x14ac:dyDescent="0.25">
      <c r="A289" s="14"/>
      <c r="B289" s="14"/>
      <c r="C289" s="13"/>
      <c r="D289" s="13"/>
      <c r="E289" s="13"/>
      <c r="F289" s="13"/>
      <c r="G289" s="13"/>
      <c r="H289" s="13"/>
      <c r="I289" s="13"/>
      <c r="J289" s="14"/>
      <c r="K289" s="14"/>
      <c r="L289" s="14"/>
      <c r="M289" s="14"/>
      <c r="N289" s="23"/>
      <c r="O289" s="14"/>
      <c r="P289" s="14"/>
      <c r="Q289" s="14"/>
      <c r="R289" s="14"/>
      <c r="S289" s="14"/>
      <c r="T289" s="14"/>
      <c r="U289" s="14"/>
      <c r="V289" s="14"/>
      <c r="W289" s="14"/>
      <c r="X289" s="14"/>
      <c r="Y289" s="14"/>
      <c r="Z289" s="14"/>
      <c r="AA289" s="14"/>
      <c r="AB289" s="14"/>
    </row>
    <row r="290" spans="1:28" x14ac:dyDescent="0.25">
      <c r="A290" s="14"/>
      <c r="B290" s="14"/>
      <c r="C290" s="13"/>
      <c r="D290" s="13"/>
      <c r="E290" s="13"/>
      <c r="F290" s="13"/>
      <c r="G290" s="13"/>
      <c r="H290" s="13"/>
      <c r="I290" s="13"/>
      <c r="J290" s="14"/>
      <c r="K290" s="14"/>
      <c r="L290" s="14"/>
      <c r="M290" s="14"/>
      <c r="N290" s="23"/>
      <c r="O290" s="14"/>
      <c r="P290" s="14"/>
      <c r="Q290" s="14"/>
      <c r="R290" s="14"/>
      <c r="S290" s="14"/>
      <c r="T290" s="14"/>
      <c r="U290" s="14"/>
      <c r="V290" s="14"/>
      <c r="W290" s="14"/>
      <c r="X290" s="14"/>
      <c r="Y290" s="14"/>
      <c r="Z290" s="14"/>
      <c r="AA290" s="14"/>
      <c r="AB290" s="14"/>
    </row>
    <row r="291" spans="1:28" x14ac:dyDescent="0.25">
      <c r="A291" s="14"/>
      <c r="B291" s="14"/>
      <c r="C291" s="13"/>
      <c r="D291" s="13"/>
      <c r="E291" s="13"/>
      <c r="F291" s="13"/>
      <c r="G291" s="13"/>
      <c r="H291" s="13"/>
      <c r="I291" s="13"/>
      <c r="J291" s="14"/>
      <c r="K291" s="14"/>
      <c r="L291" s="14"/>
      <c r="M291" s="14"/>
      <c r="N291" s="23"/>
      <c r="O291" s="14"/>
      <c r="P291" s="14"/>
      <c r="Q291" s="14"/>
      <c r="R291" s="14"/>
      <c r="S291" s="14"/>
      <c r="T291" s="14"/>
      <c r="U291" s="14"/>
      <c r="V291" s="14"/>
      <c r="W291" s="14"/>
      <c r="X291" s="14"/>
      <c r="Y291" s="14"/>
      <c r="Z291" s="14"/>
      <c r="AA291" s="14"/>
      <c r="AB291" s="14"/>
    </row>
    <row r="292" spans="1:28" x14ac:dyDescent="0.25">
      <c r="A292" s="14"/>
      <c r="B292" s="14"/>
      <c r="C292" s="13"/>
      <c r="D292" s="13"/>
      <c r="E292" s="13"/>
      <c r="F292" s="13"/>
      <c r="G292" s="13"/>
      <c r="H292" s="13"/>
      <c r="I292" s="13"/>
      <c r="J292" s="14"/>
      <c r="K292" s="14"/>
      <c r="L292" s="14"/>
      <c r="M292" s="14"/>
      <c r="N292" s="23"/>
      <c r="O292" s="14"/>
      <c r="P292" s="14"/>
      <c r="Q292" s="14"/>
      <c r="R292" s="14"/>
      <c r="S292" s="14"/>
      <c r="T292" s="14"/>
      <c r="U292" s="14"/>
      <c r="V292" s="14"/>
      <c r="W292" s="14"/>
      <c r="X292" s="14"/>
      <c r="Y292" s="14"/>
      <c r="Z292" s="14"/>
      <c r="AA292" s="14"/>
      <c r="AB292" s="14"/>
    </row>
    <row r="293" spans="1:28" x14ac:dyDescent="0.25">
      <c r="A293" s="14"/>
      <c r="B293" s="14"/>
      <c r="C293" s="13"/>
      <c r="D293" s="13"/>
      <c r="E293" s="13"/>
      <c r="F293" s="13"/>
      <c r="G293" s="13"/>
      <c r="H293" s="13"/>
      <c r="I293" s="13"/>
      <c r="J293" s="14"/>
      <c r="K293" s="14"/>
      <c r="L293" s="14"/>
      <c r="M293" s="14"/>
      <c r="N293" s="23"/>
      <c r="O293" s="14"/>
      <c r="P293" s="14"/>
      <c r="Q293" s="14"/>
      <c r="R293" s="14"/>
      <c r="S293" s="14"/>
      <c r="T293" s="14"/>
      <c r="U293" s="14"/>
      <c r="V293" s="14"/>
      <c r="W293" s="14"/>
      <c r="X293" s="14"/>
      <c r="Y293" s="14"/>
      <c r="Z293" s="14"/>
      <c r="AA293" s="14"/>
      <c r="AB293" s="14"/>
    </row>
    <row r="294" spans="1:28" x14ac:dyDescent="0.25">
      <c r="A294" s="14"/>
      <c r="B294" s="14"/>
      <c r="C294" s="13"/>
      <c r="D294" s="13"/>
      <c r="E294" s="13"/>
      <c r="F294" s="13"/>
      <c r="G294" s="13"/>
      <c r="H294" s="13"/>
      <c r="I294" s="13"/>
      <c r="J294" s="14"/>
      <c r="K294" s="14"/>
      <c r="L294" s="14"/>
      <c r="M294" s="14"/>
      <c r="N294" s="23"/>
      <c r="O294" s="14"/>
      <c r="P294" s="14"/>
      <c r="Q294" s="14"/>
      <c r="R294" s="14"/>
      <c r="S294" s="14"/>
      <c r="T294" s="14"/>
      <c r="U294" s="14"/>
      <c r="V294" s="14"/>
      <c r="W294" s="14"/>
      <c r="X294" s="14"/>
      <c r="Y294" s="14"/>
      <c r="Z294" s="14"/>
      <c r="AA294" s="14"/>
      <c r="AB294" s="14"/>
    </row>
    <row r="295" spans="1:28" x14ac:dyDescent="0.25">
      <c r="A295" s="14"/>
      <c r="B295" s="14"/>
      <c r="C295" s="13"/>
      <c r="D295" s="13"/>
      <c r="E295" s="13"/>
      <c r="F295" s="13"/>
      <c r="G295" s="13"/>
      <c r="H295" s="13"/>
      <c r="I295" s="13"/>
      <c r="J295" s="14"/>
      <c r="K295" s="14"/>
      <c r="L295" s="14"/>
      <c r="M295" s="14"/>
      <c r="N295" s="23"/>
      <c r="O295" s="14"/>
      <c r="P295" s="14"/>
      <c r="Q295" s="14"/>
      <c r="R295" s="14"/>
      <c r="S295" s="14"/>
      <c r="T295" s="14"/>
      <c r="U295" s="14"/>
      <c r="V295" s="14"/>
      <c r="W295" s="14"/>
      <c r="X295" s="14"/>
      <c r="Y295" s="14"/>
      <c r="Z295" s="14"/>
      <c r="AA295" s="14"/>
      <c r="AB295" s="14"/>
    </row>
    <row r="296" spans="1:28" x14ac:dyDescent="0.25">
      <c r="A296" s="14"/>
      <c r="B296" s="14"/>
      <c r="C296" s="13"/>
      <c r="D296" s="13"/>
      <c r="E296" s="13"/>
      <c r="F296" s="13"/>
      <c r="G296" s="13"/>
      <c r="H296" s="13"/>
      <c r="I296" s="13"/>
      <c r="J296" s="14"/>
      <c r="K296" s="14"/>
      <c r="L296" s="14"/>
      <c r="M296" s="14"/>
      <c r="N296" s="23"/>
      <c r="O296" s="14"/>
      <c r="P296" s="14"/>
      <c r="Q296" s="14"/>
      <c r="R296" s="14"/>
      <c r="S296" s="14"/>
      <c r="T296" s="14"/>
      <c r="U296" s="14"/>
      <c r="V296" s="14"/>
      <c r="W296" s="14"/>
      <c r="X296" s="14"/>
      <c r="Y296" s="14"/>
      <c r="Z296" s="14"/>
      <c r="AA296" s="14"/>
      <c r="AB296" s="14"/>
    </row>
    <row r="297" spans="1:28" x14ac:dyDescent="0.25">
      <c r="A297" s="14"/>
      <c r="B297" s="14"/>
      <c r="C297" s="13"/>
      <c r="D297" s="13"/>
      <c r="E297" s="13"/>
      <c r="F297" s="13"/>
      <c r="G297" s="13"/>
      <c r="H297" s="13"/>
      <c r="I297" s="13"/>
      <c r="J297" s="14"/>
      <c r="K297" s="14"/>
      <c r="L297" s="14"/>
      <c r="M297" s="14"/>
      <c r="N297" s="23"/>
      <c r="O297" s="14"/>
      <c r="P297" s="14"/>
      <c r="Q297" s="14"/>
      <c r="R297" s="14"/>
      <c r="S297" s="14"/>
      <c r="T297" s="14"/>
      <c r="U297" s="14"/>
      <c r="V297" s="14"/>
      <c r="W297" s="14"/>
      <c r="X297" s="14"/>
      <c r="Y297" s="14"/>
      <c r="Z297" s="14"/>
      <c r="AA297" s="14"/>
      <c r="AB297" s="14"/>
    </row>
    <row r="298" spans="1:28" x14ac:dyDescent="0.25">
      <c r="A298" s="14"/>
      <c r="B298" s="14"/>
      <c r="C298" s="13"/>
      <c r="D298" s="13"/>
      <c r="E298" s="13"/>
      <c r="F298" s="13"/>
      <c r="G298" s="13"/>
      <c r="H298" s="13"/>
      <c r="I298" s="13"/>
      <c r="J298" s="14"/>
      <c r="K298" s="14"/>
      <c r="L298" s="14"/>
      <c r="M298" s="14"/>
      <c r="N298" s="23"/>
      <c r="O298" s="14"/>
      <c r="P298" s="14"/>
      <c r="Q298" s="14"/>
      <c r="R298" s="14"/>
      <c r="S298" s="14"/>
      <c r="T298" s="14"/>
      <c r="U298" s="14"/>
      <c r="V298" s="14"/>
      <c r="W298" s="14"/>
      <c r="X298" s="14"/>
      <c r="Y298" s="14"/>
      <c r="Z298" s="14"/>
      <c r="AA298" s="14"/>
      <c r="AB298" s="14"/>
    </row>
    <row r="299" spans="1:28" x14ac:dyDescent="0.25">
      <c r="A299" s="14"/>
      <c r="B299" s="14"/>
      <c r="C299" s="13"/>
      <c r="D299" s="13"/>
      <c r="E299" s="13"/>
      <c r="F299" s="13"/>
      <c r="G299" s="13"/>
      <c r="H299" s="13"/>
      <c r="I299" s="13"/>
      <c r="J299" s="14"/>
      <c r="K299" s="14"/>
      <c r="L299" s="14"/>
      <c r="M299" s="14"/>
      <c r="N299" s="23"/>
      <c r="O299" s="14"/>
      <c r="P299" s="14"/>
      <c r="Q299" s="14"/>
      <c r="R299" s="14"/>
      <c r="S299" s="14"/>
      <c r="T299" s="14"/>
      <c r="U299" s="14"/>
      <c r="V299" s="14"/>
      <c r="W299" s="14"/>
      <c r="X299" s="14"/>
      <c r="Y299" s="14"/>
      <c r="Z299" s="14"/>
      <c r="AA299" s="14"/>
      <c r="AB299" s="14"/>
    </row>
    <row r="300" spans="1:28" x14ac:dyDescent="0.25">
      <c r="A300" s="14"/>
      <c r="B300" s="14"/>
      <c r="C300" s="13"/>
      <c r="D300" s="13"/>
      <c r="E300" s="13"/>
      <c r="F300" s="13"/>
      <c r="G300" s="13"/>
      <c r="H300" s="13"/>
      <c r="I300" s="13"/>
      <c r="J300" s="14"/>
      <c r="K300" s="14"/>
      <c r="L300" s="14"/>
      <c r="M300" s="14"/>
      <c r="N300" s="23"/>
      <c r="O300" s="14"/>
      <c r="P300" s="14"/>
      <c r="Q300" s="14"/>
      <c r="R300" s="14"/>
      <c r="S300" s="14"/>
      <c r="T300" s="14"/>
      <c r="U300" s="14"/>
      <c r="V300" s="14"/>
      <c r="W300" s="14"/>
      <c r="X300" s="14"/>
      <c r="Y300" s="14"/>
      <c r="Z300" s="14"/>
      <c r="AA300" s="14"/>
      <c r="AB300" s="14"/>
    </row>
    <row r="301" spans="1:28" x14ac:dyDescent="0.25">
      <c r="A301" s="14"/>
      <c r="B301" s="14"/>
      <c r="C301" s="13"/>
      <c r="D301" s="13"/>
      <c r="E301" s="13"/>
      <c r="F301" s="13"/>
      <c r="G301" s="13"/>
      <c r="H301" s="13"/>
      <c r="I301" s="13"/>
      <c r="J301" s="14"/>
      <c r="K301" s="14"/>
      <c r="L301" s="14"/>
      <c r="M301" s="14"/>
      <c r="N301" s="23"/>
      <c r="O301" s="14"/>
      <c r="P301" s="14"/>
      <c r="Q301" s="14"/>
      <c r="R301" s="14"/>
      <c r="S301" s="14"/>
      <c r="T301" s="14"/>
      <c r="U301" s="14"/>
      <c r="V301" s="14"/>
      <c r="W301" s="14"/>
      <c r="X301" s="14"/>
      <c r="Y301" s="14"/>
      <c r="Z301" s="14"/>
      <c r="AA301" s="14"/>
      <c r="AB301" s="14"/>
    </row>
    <row r="302" spans="1:28" x14ac:dyDescent="0.25">
      <c r="A302" s="14"/>
      <c r="B302" s="14"/>
      <c r="C302" s="13"/>
      <c r="D302" s="13"/>
      <c r="E302" s="13"/>
      <c r="F302" s="13"/>
      <c r="G302" s="13"/>
      <c r="H302" s="13"/>
      <c r="I302" s="13"/>
      <c r="J302" s="14"/>
      <c r="K302" s="14"/>
      <c r="L302" s="14"/>
      <c r="M302" s="14"/>
      <c r="N302" s="23"/>
      <c r="O302" s="14"/>
      <c r="P302" s="14"/>
      <c r="Q302" s="14"/>
      <c r="R302" s="14"/>
      <c r="S302" s="14"/>
      <c r="T302" s="14"/>
      <c r="U302" s="14"/>
      <c r="V302" s="14"/>
      <c r="W302" s="14"/>
      <c r="X302" s="14"/>
      <c r="Y302" s="14"/>
      <c r="Z302" s="14"/>
      <c r="AA302" s="14"/>
      <c r="AB302" s="14"/>
    </row>
    <row r="303" spans="1:28" x14ac:dyDescent="0.25">
      <c r="A303" s="14"/>
      <c r="B303" s="14"/>
      <c r="C303" s="13"/>
      <c r="D303" s="13"/>
      <c r="E303" s="13"/>
      <c r="F303" s="13"/>
      <c r="G303" s="13"/>
      <c r="H303" s="13"/>
      <c r="I303" s="13"/>
      <c r="J303" s="14"/>
      <c r="K303" s="14"/>
      <c r="L303" s="14"/>
      <c r="M303" s="14"/>
      <c r="N303" s="23"/>
      <c r="O303" s="14"/>
      <c r="P303" s="14"/>
      <c r="Q303" s="14"/>
      <c r="R303" s="14"/>
      <c r="S303" s="14"/>
      <c r="T303" s="14"/>
      <c r="U303" s="14"/>
      <c r="V303" s="14"/>
      <c r="W303" s="14"/>
      <c r="X303" s="14"/>
      <c r="Y303" s="14"/>
      <c r="Z303" s="14"/>
      <c r="AA303" s="14"/>
      <c r="AB303" s="14"/>
    </row>
    <row r="304" spans="1:28" x14ac:dyDescent="0.25">
      <c r="A304" s="14"/>
      <c r="B304" s="14"/>
      <c r="C304" s="13"/>
      <c r="D304" s="13"/>
      <c r="E304" s="13"/>
      <c r="F304" s="13"/>
      <c r="G304" s="13"/>
      <c r="H304" s="13"/>
      <c r="I304" s="13"/>
      <c r="J304" s="14"/>
      <c r="K304" s="14"/>
      <c r="L304" s="14"/>
      <c r="M304" s="14"/>
      <c r="N304" s="23"/>
      <c r="O304" s="14"/>
      <c r="P304" s="14"/>
      <c r="Q304" s="14"/>
      <c r="R304" s="14"/>
      <c r="S304" s="14"/>
      <c r="T304" s="14"/>
      <c r="U304" s="14"/>
      <c r="V304" s="14"/>
      <c r="W304" s="14"/>
      <c r="X304" s="14"/>
      <c r="Y304" s="14"/>
      <c r="Z304" s="14"/>
      <c r="AA304" s="14"/>
      <c r="AB304" s="14"/>
    </row>
    <row r="305" spans="1:28" x14ac:dyDescent="0.25">
      <c r="A305" s="14"/>
      <c r="B305" s="14"/>
      <c r="C305" s="13"/>
      <c r="D305" s="13"/>
      <c r="E305" s="13"/>
      <c r="F305" s="13"/>
      <c r="G305" s="13"/>
      <c r="H305" s="13"/>
      <c r="I305" s="13"/>
      <c r="J305" s="14"/>
      <c r="K305" s="14"/>
      <c r="L305" s="14"/>
      <c r="M305" s="14"/>
      <c r="N305" s="23"/>
      <c r="O305" s="14"/>
      <c r="P305" s="14"/>
      <c r="Q305" s="14"/>
      <c r="R305" s="14"/>
      <c r="S305" s="14"/>
      <c r="T305" s="14"/>
      <c r="U305" s="14"/>
      <c r="V305" s="14"/>
      <c r="W305" s="14"/>
      <c r="X305" s="14"/>
      <c r="Y305" s="14"/>
      <c r="Z305" s="14"/>
      <c r="AA305" s="14"/>
      <c r="AB305" s="14"/>
    </row>
    <row r="306" spans="1:28" x14ac:dyDescent="0.25">
      <c r="A306" s="14"/>
      <c r="B306" s="14"/>
      <c r="C306" s="13"/>
      <c r="D306" s="13"/>
      <c r="E306" s="13"/>
      <c r="F306" s="13"/>
      <c r="G306" s="13"/>
      <c r="H306" s="13"/>
      <c r="I306" s="13"/>
      <c r="J306" s="14"/>
      <c r="K306" s="14"/>
      <c r="L306" s="14"/>
      <c r="M306" s="14"/>
      <c r="N306" s="23"/>
      <c r="O306" s="14"/>
      <c r="P306" s="14"/>
      <c r="Q306" s="14"/>
      <c r="R306" s="14"/>
      <c r="S306" s="14"/>
      <c r="T306" s="14"/>
      <c r="U306" s="14"/>
      <c r="V306" s="14"/>
      <c r="W306" s="14"/>
      <c r="X306" s="14"/>
      <c r="Y306" s="14"/>
      <c r="Z306" s="14"/>
      <c r="AA306" s="14"/>
      <c r="AB306" s="14"/>
    </row>
    <row r="307" spans="1:28" x14ac:dyDescent="0.25">
      <c r="A307" s="14"/>
      <c r="B307" s="14"/>
      <c r="C307" s="13"/>
      <c r="D307" s="13"/>
      <c r="E307" s="13"/>
      <c r="F307" s="13"/>
      <c r="G307" s="13"/>
      <c r="H307" s="13"/>
      <c r="I307" s="13"/>
      <c r="J307" s="14"/>
      <c r="K307" s="14"/>
      <c r="L307" s="14"/>
      <c r="M307" s="14"/>
      <c r="N307" s="23"/>
      <c r="O307" s="14"/>
      <c r="P307" s="14"/>
      <c r="Q307" s="14"/>
      <c r="R307" s="14"/>
      <c r="S307" s="14"/>
      <c r="T307" s="14"/>
      <c r="U307" s="14"/>
      <c r="V307" s="14"/>
      <c r="W307" s="14"/>
      <c r="X307" s="14"/>
      <c r="Y307" s="14"/>
      <c r="Z307" s="14"/>
      <c r="AA307" s="14"/>
      <c r="AB307" s="14"/>
    </row>
    <row r="308" spans="1:28" x14ac:dyDescent="0.25">
      <c r="A308" s="14"/>
      <c r="B308" s="14"/>
      <c r="C308" s="13"/>
      <c r="D308" s="13"/>
      <c r="E308" s="13"/>
      <c r="F308" s="13"/>
      <c r="G308" s="13"/>
      <c r="H308" s="13"/>
      <c r="I308" s="13"/>
      <c r="J308" s="14"/>
      <c r="K308" s="14"/>
      <c r="L308" s="14"/>
      <c r="M308" s="14"/>
      <c r="N308" s="23"/>
      <c r="O308" s="14"/>
      <c r="P308" s="14"/>
      <c r="Q308" s="14"/>
      <c r="R308" s="14"/>
      <c r="S308" s="14"/>
      <c r="T308" s="14"/>
      <c r="U308" s="14"/>
      <c r="V308" s="14"/>
      <c r="W308" s="14"/>
      <c r="X308" s="14"/>
      <c r="Y308" s="14"/>
      <c r="Z308" s="14"/>
      <c r="AA308" s="14"/>
      <c r="AB308" s="14"/>
    </row>
    <row r="309" spans="1:28" x14ac:dyDescent="0.25">
      <c r="A309" s="14"/>
      <c r="B309" s="14"/>
      <c r="C309" s="13"/>
      <c r="D309" s="13"/>
      <c r="E309" s="13"/>
      <c r="F309" s="13"/>
      <c r="G309" s="13"/>
      <c r="H309" s="13"/>
      <c r="I309" s="13"/>
      <c r="J309" s="14"/>
      <c r="K309" s="14"/>
      <c r="L309" s="14"/>
      <c r="M309" s="14"/>
      <c r="N309" s="23"/>
      <c r="O309" s="14"/>
      <c r="P309" s="14"/>
      <c r="Q309" s="14"/>
      <c r="R309" s="14"/>
      <c r="S309" s="14"/>
      <c r="T309" s="14"/>
      <c r="U309" s="14"/>
      <c r="V309" s="14"/>
      <c r="W309" s="14"/>
      <c r="X309" s="14"/>
      <c r="Y309" s="14"/>
      <c r="Z309" s="14"/>
      <c r="AA309" s="14"/>
      <c r="AB309" s="14"/>
    </row>
    <row r="310" spans="1:28" x14ac:dyDescent="0.25">
      <c r="A310" s="14"/>
      <c r="B310" s="14"/>
      <c r="C310" s="13"/>
      <c r="D310" s="13"/>
      <c r="E310" s="13"/>
      <c r="F310" s="13"/>
      <c r="G310" s="13"/>
      <c r="H310" s="13"/>
      <c r="I310" s="13"/>
      <c r="J310" s="14"/>
      <c r="K310" s="14"/>
      <c r="L310" s="14"/>
      <c r="M310" s="14"/>
      <c r="N310" s="23"/>
      <c r="O310" s="14"/>
      <c r="P310" s="14"/>
      <c r="Q310" s="14"/>
      <c r="R310" s="14"/>
      <c r="S310" s="14"/>
      <c r="T310" s="14"/>
      <c r="U310" s="14"/>
      <c r="V310" s="14"/>
      <c r="W310" s="14"/>
      <c r="X310" s="14"/>
      <c r="Y310" s="14"/>
      <c r="Z310" s="14"/>
      <c r="AA310" s="14"/>
      <c r="AB310" s="14"/>
    </row>
    <row r="311" spans="1:28" x14ac:dyDescent="0.25">
      <c r="A311" s="14"/>
      <c r="B311" s="14"/>
      <c r="C311" s="13"/>
      <c r="D311" s="13"/>
      <c r="E311" s="13"/>
      <c r="F311" s="13"/>
      <c r="G311" s="13"/>
      <c r="H311" s="13"/>
      <c r="I311" s="13"/>
      <c r="J311" s="14"/>
      <c r="K311" s="14"/>
      <c r="L311" s="14"/>
      <c r="M311" s="14"/>
      <c r="N311" s="23"/>
      <c r="O311" s="14"/>
      <c r="P311" s="14"/>
      <c r="Q311" s="14"/>
      <c r="R311" s="14"/>
      <c r="S311" s="14"/>
      <c r="T311" s="14"/>
      <c r="U311" s="14"/>
      <c r="V311" s="14"/>
      <c r="W311" s="14"/>
      <c r="X311" s="14"/>
      <c r="Y311" s="14"/>
      <c r="Z311" s="14"/>
      <c r="AA311" s="14"/>
      <c r="AB311" s="14"/>
    </row>
    <row r="312" spans="1:28" x14ac:dyDescent="0.25">
      <c r="A312" s="14"/>
      <c r="B312" s="14"/>
      <c r="C312" s="13"/>
      <c r="D312" s="13"/>
      <c r="E312" s="13"/>
      <c r="F312" s="13"/>
      <c r="G312" s="13"/>
      <c r="H312" s="13"/>
      <c r="I312" s="13"/>
      <c r="J312" s="14"/>
      <c r="K312" s="14"/>
      <c r="L312" s="14"/>
      <c r="M312" s="14"/>
      <c r="N312" s="23"/>
      <c r="O312" s="14"/>
      <c r="P312" s="14"/>
      <c r="Q312" s="14"/>
      <c r="R312" s="14"/>
      <c r="S312" s="14"/>
      <c r="T312" s="14"/>
      <c r="U312" s="14"/>
      <c r="V312" s="14"/>
      <c r="W312" s="14"/>
      <c r="X312" s="14"/>
      <c r="Y312" s="14"/>
      <c r="Z312" s="14"/>
      <c r="AA312" s="14"/>
      <c r="AB312" s="14"/>
    </row>
    <row r="313" spans="1:28" x14ac:dyDescent="0.25">
      <c r="A313" s="14"/>
      <c r="B313" s="14"/>
      <c r="C313" s="13"/>
      <c r="D313" s="13"/>
      <c r="E313" s="13"/>
      <c r="F313" s="13"/>
      <c r="G313" s="13"/>
      <c r="H313" s="13"/>
      <c r="I313" s="13"/>
      <c r="J313" s="14"/>
      <c r="K313" s="14"/>
      <c r="L313" s="14"/>
      <c r="M313" s="14"/>
      <c r="N313" s="23"/>
      <c r="O313" s="14"/>
      <c r="P313" s="14"/>
      <c r="Q313" s="14"/>
      <c r="R313" s="14"/>
      <c r="S313" s="14"/>
      <c r="T313" s="14"/>
      <c r="U313" s="14"/>
      <c r="V313" s="14"/>
      <c r="W313" s="14"/>
      <c r="X313" s="14"/>
      <c r="Y313" s="14"/>
      <c r="Z313" s="14"/>
      <c r="AA313" s="14"/>
      <c r="AB313" s="14"/>
    </row>
    <row r="314" spans="1:28" x14ac:dyDescent="0.25">
      <c r="A314" s="14"/>
      <c r="B314" s="14"/>
      <c r="C314" s="13"/>
      <c r="D314" s="13"/>
      <c r="E314" s="13"/>
      <c r="F314" s="13"/>
      <c r="G314" s="13"/>
      <c r="H314" s="13"/>
      <c r="I314" s="13"/>
      <c r="J314" s="14"/>
      <c r="K314" s="14"/>
      <c r="L314" s="14"/>
      <c r="M314" s="14"/>
      <c r="N314" s="23"/>
      <c r="O314" s="14"/>
      <c r="P314" s="14"/>
      <c r="Q314" s="14"/>
      <c r="R314" s="14"/>
      <c r="S314" s="14"/>
      <c r="T314" s="14"/>
      <c r="U314" s="14"/>
      <c r="V314" s="14"/>
      <c r="W314" s="14"/>
      <c r="X314" s="14"/>
      <c r="Y314" s="14"/>
      <c r="Z314" s="14"/>
      <c r="AA314" s="14"/>
      <c r="AB314" s="14"/>
    </row>
    <row r="315" spans="1:28" x14ac:dyDescent="0.25">
      <c r="A315" s="14"/>
      <c r="B315" s="14"/>
      <c r="C315" s="13"/>
      <c r="D315" s="13"/>
      <c r="E315" s="13"/>
      <c r="F315" s="13"/>
      <c r="G315" s="13"/>
      <c r="H315" s="13"/>
      <c r="I315" s="13"/>
      <c r="J315" s="14"/>
      <c r="K315" s="14"/>
      <c r="L315" s="14"/>
      <c r="M315" s="14"/>
      <c r="N315" s="23"/>
      <c r="O315" s="14"/>
      <c r="P315" s="14"/>
      <c r="Q315" s="14"/>
      <c r="R315" s="14"/>
      <c r="S315" s="14"/>
      <c r="T315" s="14"/>
      <c r="U315" s="14"/>
      <c r="V315" s="14"/>
      <c r="W315" s="14"/>
      <c r="X315" s="14"/>
      <c r="Y315" s="14"/>
      <c r="Z315" s="14"/>
      <c r="AA315" s="14"/>
      <c r="AB315" s="14"/>
    </row>
    <row r="316" spans="1:28" x14ac:dyDescent="0.25">
      <c r="A316" s="14"/>
      <c r="B316" s="14"/>
      <c r="C316" s="13"/>
      <c r="D316" s="13"/>
      <c r="E316" s="13"/>
      <c r="F316" s="13"/>
      <c r="G316" s="13"/>
      <c r="H316" s="13"/>
      <c r="I316" s="13"/>
      <c r="J316" s="14"/>
      <c r="K316" s="14"/>
      <c r="L316" s="14"/>
      <c r="M316" s="14"/>
      <c r="N316" s="23"/>
      <c r="O316" s="14"/>
      <c r="P316" s="14"/>
      <c r="Q316" s="14"/>
      <c r="R316" s="14"/>
      <c r="S316" s="14"/>
      <c r="T316" s="14"/>
      <c r="U316" s="14"/>
      <c r="V316" s="14"/>
      <c r="W316" s="14"/>
      <c r="X316" s="14"/>
      <c r="Y316" s="14"/>
      <c r="Z316" s="14"/>
      <c r="AA316" s="14"/>
      <c r="AB316" s="14"/>
    </row>
    <row r="317" spans="1:28" x14ac:dyDescent="0.25">
      <c r="A317" s="14"/>
      <c r="B317" s="14"/>
      <c r="C317" s="13"/>
      <c r="D317" s="13"/>
      <c r="E317" s="13"/>
      <c r="F317" s="13"/>
      <c r="G317" s="13"/>
      <c r="H317" s="13"/>
      <c r="I317" s="13"/>
      <c r="J317" s="14"/>
      <c r="K317" s="14"/>
      <c r="L317" s="14"/>
      <c r="M317" s="14"/>
      <c r="N317" s="23"/>
      <c r="O317" s="14"/>
      <c r="P317" s="14"/>
      <c r="Q317" s="14"/>
      <c r="R317" s="14"/>
      <c r="S317" s="14"/>
      <c r="T317" s="14"/>
      <c r="U317" s="14"/>
      <c r="V317" s="14"/>
      <c r="W317" s="14"/>
      <c r="X317" s="14"/>
      <c r="Y317" s="14"/>
      <c r="Z317" s="14"/>
      <c r="AA317" s="14"/>
      <c r="AB317" s="14"/>
    </row>
    <row r="318" spans="1:28" x14ac:dyDescent="0.25">
      <c r="A318" s="14"/>
      <c r="B318" s="14"/>
      <c r="C318" s="13"/>
      <c r="D318" s="13"/>
      <c r="E318" s="13"/>
      <c r="F318" s="13"/>
      <c r="G318" s="13"/>
      <c r="H318" s="13"/>
      <c r="I318" s="13"/>
      <c r="J318" s="14"/>
      <c r="K318" s="14"/>
      <c r="L318" s="14"/>
      <c r="M318" s="14"/>
      <c r="N318" s="23"/>
      <c r="O318" s="14"/>
      <c r="P318" s="14"/>
      <c r="Q318" s="14"/>
      <c r="R318" s="14"/>
      <c r="S318" s="14"/>
      <c r="T318" s="14"/>
      <c r="U318" s="14"/>
      <c r="V318" s="14"/>
      <c r="W318" s="14"/>
      <c r="X318" s="14"/>
      <c r="Y318" s="14"/>
      <c r="Z318" s="14"/>
      <c r="AA318" s="14"/>
      <c r="AB318" s="14"/>
    </row>
    <row r="319" spans="1:28" x14ac:dyDescent="0.25">
      <c r="A319" s="14"/>
      <c r="B319" s="14"/>
      <c r="C319" s="13"/>
      <c r="D319" s="13"/>
      <c r="E319" s="13"/>
      <c r="F319" s="13"/>
      <c r="G319" s="13"/>
      <c r="H319" s="13"/>
      <c r="I319" s="13"/>
      <c r="J319" s="14"/>
      <c r="K319" s="14"/>
      <c r="L319" s="14"/>
      <c r="M319" s="14"/>
      <c r="N319" s="23"/>
      <c r="O319" s="14"/>
      <c r="P319" s="14"/>
      <c r="Q319" s="14"/>
      <c r="R319" s="14"/>
      <c r="S319" s="14"/>
      <c r="T319" s="14"/>
      <c r="U319" s="14"/>
      <c r="V319" s="14"/>
      <c r="W319" s="14"/>
      <c r="X319" s="14"/>
      <c r="Y319" s="14"/>
      <c r="Z319" s="14"/>
      <c r="AA319" s="14"/>
      <c r="AB319" s="14"/>
    </row>
    <row r="320" spans="1:28" x14ac:dyDescent="0.25">
      <c r="A320" s="14"/>
      <c r="B320" s="14"/>
      <c r="C320" s="13"/>
      <c r="D320" s="13"/>
      <c r="E320" s="13"/>
      <c r="F320" s="13"/>
      <c r="G320" s="13"/>
      <c r="H320" s="13"/>
      <c r="I320" s="13"/>
      <c r="J320" s="14"/>
      <c r="K320" s="14"/>
      <c r="L320" s="14"/>
      <c r="M320" s="14"/>
      <c r="N320" s="23"/>
      <c r="O320" s="14"/>
      <c r="P320" s="14"/>
      <c r="Q320" s="14"/>
      <c r="R320" s="14"/>
      <c r="S320" s="14"/>
      <c r="T320" s="14"/>
      <c r="U320" s="14"/>
      <c r="V320" s="14"/>
      <c r="W320" s="14"/>
      <c r="X320" s="14"/>
      <c r="Y320" s="14"/>
      <c r="Z320" s="14"/>
      <c r="AA320" s="14"/>
      <c r="AB320" s="14"/>
    </row>
    <row r="321" spans="1:28" x14ac:dyDescent="0.25">
      <c r="A321" s="14"/>
      <c r="B321" s="14"/>
      <c r="C321" s="13"/>
      <c r="D321" s="13"/>
      <c r="E321" s="13"/>
      <c r="F321" s="13"/>
      <c r="G321" s="13"/>
      <c r="H321" s="13"/>
      <c r="I321" s="13"/>
      <c r="J321" s="14"/>
      <c r="K321" s="14"/>
      <c r="L321" s="14"/>
      <c r="M321" s="14"/>
      <c r="N321" s="23"/>
      <c r="O321" s="14"/>
      <c r="P321" s="14"/>
      <c r="Q321" s="14"/>
      <c r="R321" s="14"/>
      <c r="S321" s="14"/>
      <c r="T321" s="14"/>
      <c r="U321" s="14"/>
      <c r="V321" s="14"/>
      <c r="W321" s="14"/>
      <c r="X321" s="14"/>
      <c r="Y321" s="14"/>
      <c r="Z321" s="14"/>
      <c r="AA321" s="14"/>
      <c r="AB321" s="14"/>
    </row>
    <row r="322" spans="1:28" x14ac:dyDescent="0.25">
      <c r="A322" s="14"/>
      <c r="B322" s="14"/>
      <c r="C322" s="13"/>
      <c r="D322" s="13"/>
      <c r="E322" s="13"/>
      <c r="F322" s="13"/>
      <c r="G322" s="13"/>
      <c r="H322" s="13"/>
      <c r="I322" s="13"/>
      <c r="J322" s="14"/>
      <c r="K322" s="14"/>
      <c r="L322" s="14"/>
      <c r="M322" s="14"/>
      <c r="N322" s="23"/>
      <c r="O322" s="14"/>
      <c r="P322" s="14"/>
      <c r="Q322" s="14"/>
      <c r="R322" s="14"/>
      <c r="S322" s="14"/>
      <c r="T322" s="14"/>
      <c r="U322" s="14"/>
      <c r="V322" s="14"/>
      <c r="W322" s="14"/>
      <c r="X322" s="14"/>
      <c r="Y322" s="14"/>
      <c r="Z322" s="14"/>
      <c r="AA322" s="14"/>
      <c r="AB322" s="14"/>
    </row>
    <row r="323" spans="1:28" x14ac:dyDescent="0.25">
      <c r="A323" s="14"/>
      <c r="B323" s="14"/>
      <c r="C323" s="13"/>
      <c r="D323" s="13"/>
      <c r="E323" s="13"/>
      <c r="F323" s="13"/>
      <c r="G323" s="13"/>
      <c r="H323" s="13"/>
      <c r="I323" s="13"/>
      <c r="J323" s="14"/>
      <c r="K323" s="14"/>
      <c r="L323" s="14"/>
      <c r="M323" s="14"/>
      <c r="N323" s="23"/>
      <c r="O323" s="14"/>
      <c r="P323" s="14"/>
      <c r="Q323" s="14"/>
      <c r="R323" s="14"/>
      <c r="S323" s="14"/>
      <c r="T323" s="14"/>
      <c r="U323" s="14"/>
      <c r="V323" s="14"/>
      <c r="W323" s="14"/>
      <c r="X323" s="14"/>
      <c r="Y323" s="14"/>
      <c r="Z323" s="14"/>
      <c r="AA323" s="14"/>
      <c r="AB323" s="14"/>
    </row>
    <row r="324" spans="1:28" x14ac:dyDescent="0.25">
      <c r="A324" s="14"/>
      <c r="B324" s="14"/>
      <c r="C324" s="13"/>
      <c r="D324" s="13"/>
      <c r="E324" s="13"/>
      <c r="F324" s="13"/>
      <c r="G324" s="13"/>
      <c r="H324" s="13"/>
      <c r="I324" s="13"/>
      <c r="J324" s="14"/>
      <c r="K324" s="14"/>
      <c r="L324" s="14"/>
      <c r="M324" s="14"/>
      <c r="N324" s="23"/>
      <c r="O324" s="14"/>
      <c r="P324" s="14"/>
      <c r="Q324" s="14"/>
      <c r="R324" s="14"/>
      <c r="S324" s="14"/>
      <c r="T324" s="14"/>
      <c r="U324" s="14"/>
      <c r="V324" s="14"/>
      <c r="W324" s="14"/>
      <c r="X324" s="14"/>
      <c r="Y324" s="14"/>
      <c r="Z324" s="14"/>
      <c r="AA324" s="14"/>
      <c r="AB324" s="14"/>
    </row>
    <row r="325" spans="1:28" x14ac:dyDescent="0.25">
      <c r="A325" s="14"/>
      <c r="B325" s="14"/>
      <c r="C325" s="13"/>
      <c r="D325" s="13"/>
      <c r="E325" s="13"/>
      <c r="F325" s="13"/>
      <c r="G325" s="13"/>
      <c r="H325" s="13"/>
      <c r="I325" s="13"/>
      <c r="J325" s="14"/>
      <c r="K325" s="14"/>
      <c r="L325" s="14"/>
      <c r="M325" s="14"/>
      <c r="N325" s="23"/>
      <c r="O325" s="14"/>
      <c r="P325" s="14"/>
      <c r="Q325" s="14"/>
      <c r="R325" s="14"/>
      <c r="S325" s="14"/>
      <c r="T325" s="14"/>
      <c r="U325" s="14"/>
      <c r="V325" s="14"/>
      <c r="W325" s="14"/>
      <c r="X325" s="14"/>
      <c r="Y325" s="14"/>
      <c r="Z325" s="14"/>
      <c r="AA325" s="14"/>
      <c r="AB325" s="14"/>
    </row>
    <row r="326" spans="1:28" x14ac:dyDescent="0.25">
      <c r="A326" s="14"/>
      <c r="B326" s="14"/>
      <c r="C326" s="13"/>
      <c r="D326" s="13"/>
      <c r="E326" s="13"/>
      <c r="F326" s="13"/>
      <c r="G326" s="13"/>
      <c r="H326" s="13"/>
      <c r="I326" s="13"/>
      <c r="J326" s="14"/>
      <c r="K326" s="14"/>
      <c r="L326" s="14"/>
      <c r="M326" s="14"/>
      <c r="N326" s="23"/>
      <c r="O326" s="14"/>
      <c r="P326" s="14"/>
      <c r="Q326" s="14"/>
      <c r="R326" s="14"/>
      <c r="S326" s="14"/>
      <c r="T326" s="14"/>
      <c r="U326" s="14"/>
      <c r="V326" s="14"/>
      <c r="W326" s="14"/>
      <c r="X326" s="14"/>
      <c r="Y326" s="14"/>
      <c r="Z326" s="14"/>
      <c r="AA326" s="14"/>
      <c r="AB326" s="14"/>
    </row>
    <row r="327" spans="1:28" x14ac:dyDescent="0.25">
      <c r="A327" s="14"/>
      <c r="B327" s="14"/>
      <c r="C327" s="13"/>
      <c r="D327" s="13"/>
      <c r="E327" s="13"/>
      <c r="F327" s="13"/>
      <c r="G327" s="13"/>
      <c r="H327" s="13"/>
      <c r="I327" s="13"/>
      <c r="J327" s="14"/>
      <c r="K327" s="14"/>
      <c r="L327" s="14"/>
      <c r="M327" s="14"/>
      <c r="N327" s="23"/>
      <c r="O327" s="14"/>
      <c r="P327" s="14"/>
      <c r="Q327" s="14"/>
      <c r="R327" s="14"/>
      <c r="S327" s="14"/>
      <c r="T327" s="14"/>
      <c r="U327" s="14"/>
      <c r="V327" s="14"/>
      <c r="W327" s="14"/>
      <c r="X327" s="14"/>
      <c r="Y327" s="14"/>
      <c r="Z327" s="14"/>
      <c r="AA327" s="14"/>
      <c r="AB327" s="14"/>
    </row>
    <row r="328" spans="1:28" x14ac:dyDescent="0.25">
      <c r="A328" s="14"/>
      <c r="B328" s="14"/>
      <c r="C328" s="13"/>
      <c r="D328" s="13"/>
      <c r="E328" s="13"/>
      <c r="F328" s="13"/>
      <c r="G328" s="13"/>
      <c r="H328" s="13"/>
      <c r="I328" s="13"/>
      <c r="J328" s="14"/>
      <c r="K328" s="14"/>
      <c r="L328" s="14"/>
      <c r="M328" s="14"/>
      <c r="N328" s="23"/>
      <c r="O328" s="14"/>
      <c r="P328" s="14"/>
      <c r="Q328" s="14"/>
      <c r="R328" s="14"/>
      <c r="S328" s="14"/>
      <c r="T328" s="14"/>
      <c r="U328" s="14"/>
      <c r="V328" s="14"/>
      <c r="W328" s="14"/>
      <c r="X328" s="14"/>
      <c r="Y328" s="14"/>
      <c r="Z328" s="14"/>
      <c r="AA328" s="14"/>
      <c r="AB328" s="14"/>
    </row>
    <row r="329" spans="1:28" x14ac:dyDescent="0.25">
      <c r="A329" s="14"/>
      <c r="B329" s="14"/>
      <c r="C329" s="13"/>
      <c r="D329" s="13"/>
      <c r="E329" s="13"/>
      <c r="F329" s="13"/>
      <c r="G329" s="13"/>
      <c r="H329" s="13"/>
      <c r="I329" s="13"/>
      <c r="J329" s="14"/>
      <c r="K329" s="14"/>
      <c r="L329" s="14"/>
      <c r="M329" s="14"/>
      <c r="N329" s="23"/>
      <c r="O329" s="14"/>
      <c r="P329" s="14"/>
      <c r="Q329" s="14"/>
      <c r="R329" s="14"/>
      <c r="S329" s="14"/>
      <c r="T329" s="14"/>
      <c r="U329" s="14"/>
      <c r="V329" s="14"/>
      <c r="W329" s="14"/>
      <c r="X329" s="14"/>
      <c r="Y329" s="14"/>
      <c r="Z329" s="14"/>
      <c r="AA329" s="14"/>
      <c r="AB329" s="14"/>
    </row>
    <row r="330" spans="1:28" x14ac:dyDescent="0.25">
      <c r="A330" s="14"/>
      <c r="B330" s="14"/>
      <c r="C330" s="13"/>
      <c r="D330" s="13"/>
      <c r="E330" s="13"/>
      <c r="F330" s="13"/>
      <c r="G330" s="13"/>
      <c r="H330" s="13"/>
      <c r="I330" s="13"/>
      <c r="J330" s="14"/>
      <c r="K330" s="14"/>
      <c r="L330" s="14"/>
      <c r="M330" s="14"/>
      <c r="N330" s="23"/>
      <c r="O330" s="14"/>
      <c r="P330" s="14"/>
      <c r="Q330" s="14"/>
      <c r="R330" s="14"/>
      <c r="S330" s="14"/>
      <c r="T330" s="14"/>
      <c r="U330" s="14"/>
      <c r="V330" s="14"/>
      <c r="W330" s="14"/>
      <c r="X330" s="14"/>
      <c r="Y330" s="14"/>
      <c r="Z330" s="14"/>
      <c r="AA330" s="14"/>
      <c r="AB330" s="14"/>
    </row>
    <row r="331" spans="1:28" x14ac:dyDescent="0.25">
      <c r="A331" s="14"/>
      <c r="B331" s="14"/>
      <c r="C331" s="13"/>
      <c r="D331" s="13"/>
      <c r="E331" s="13"/>
      <c r="F331" s="13"/>
      <c r="G331" s="13"/>
      <c r="H331" s="13"/>
      <c r="I331" s="13"/>
      <c r="J331" s="14"/>
      <c r="K331" s="14"/>
      <c r="L331" s="14"/>
      <c r="M331" s="14"/>
      <c r="N331" s="23"/>
      <c r="O331" s="14"/>
      <c r="P331" s="14"/>
      <c r="Q331" s="14"/>
      <c r="R331" s="14"/>
      <c r="S331" s="14"/>
      <c r="T331" s="14"/>
      <c r="U331" s="14"/>
      <c r="V331" s="14"/>
      <c r="W331" s="14"/>
      <c r="X331" s="14"/>
      <c r="Y331" s="14"/>
      <c r="Z331" s="14"/>
      <c r="AA331" s="14"/>
      <c r="AB331" s="14"/>
    </row>
    <row r="332" spans="1:28" x14ac:dyDescent="0.25">
      <c r="A332" s="14"/>
      <c r="B332" s="14"/>
      <c r="C332" s="13"/>
      <c r="D332" s="13"/>
      <c r="E332" s="13"/>
      <c r="F332" s="13"/>
      <c r="G332" s="13"/>
      <c r="H332" s="13"/>
      <c r="I332" s="13"/>
      <c r="J332" s="14"/>
      <c r="K332" s="14"/>
      <c r="L332" s="14"/>
      <c r="M332" s="14"/>
      <c r="N332" s="23"/>
      <c r="O332" s="14"/>
      <c r="P332" s="14"/>
      <c r="Q332" s="14"/>
      <c r="R332" s="14"/>
      <c r="S332" s="14"/>
      <c r="T332" s="14"/>
      <c r="U332" s="14"/>
      <c r="V332" s="14"/>
      <c r="W332" s="14"/>
      <c r="X332" s="14"/>
      <c r="Y332" s="14"/>
      <c r="Z332" s="14"/>
      <c r="AA332" s="14"/>
      <c r="AB332" s="14"/>
    </row>
    <row r="333" spans="1:28" x14ac:dyDescent="0.25">
      <c r="A333" s="14"/>
      <c r="B333" s="14"/>
      <c r="C333" s="13"/>
      <c r="D333" s="13"/>
      <c r="E333" s="13"/>
      <c r="F333" s="13"/>
      <c r="G333" s="13"/>
      <c r="H333" s="13"/>
      <c r="I333" s="13"/>
      <c r="J333" s="14"/>
      <c r="K333" s="14"/>
      <c r="L333" s="14"/>
      <c r="M333" s="14"/>
      <c r="N333" s="23"/>
      <c r="O333" s="14"/>
      <c r="P333" s="14"/>
      <c r="Q333" s="14"/>
      <c r="R333" s="14"/>
      <c r="S333" s="14"/>
      <c r="T333" s="14"/>
      <c r="U333" s="14"/>
      <c r="V333" s="14"/>
      <c r="W333" s="14"/>
      <c r="X333" s="14"/>
      <c r="Y333" s="14"/>
      <c r="Z333" s="14"/>
      <c r="AA333" s="14"/>
      <c r="AB333" s="14"/>
    </row>
    <row r="334" spans="1:28" x14ac:dyDescent="0.25">
      <c r="A334" s="14"/>
      <c r="B334" s="14"/>
      <c r="C334" s="13"/>
      <c r="D334" s="13"/>
      <c r="E334" s="13"/>
      <c r="F334" s="13"/>
      <c r="G334" s="13"/>
      <c r="H334" s="13"/>
      <c r="I334" s="13"/>
      <c r="J334" s="14"/>
      <c r="K334" s="14"/>
      <c r="L334" s="14"/>
      <c r="M334" s="14"/>
      <c r="N334" s="23"/>
      <c r="O334" s="14"/>
      <c r="P334" s="14"/>
      <c r="Q334" s="14"/>
      <c r="R334" s="14"/>
      <c r="S334" s="14"/>
      <c r="T334" s="14"/>
      <c r="U334" s="14"/>
      <c r="V334" s="14"/>
      <c r="W334" s="14"/>
      <c r="X334" s="14"/>
      <c r="Y334" s="14"/>
      <c r="Z334" s="14"/>
      <c r="AA334" s="14"/>
      <c r="AB334" s="14"/>
    </row>
    <row r="335" spans="1:28" x14ac:dyDescent="0.25">
      <c r="A335" s="14"/>
      <c r="B335" s="14"/>
      <c r="C335" s="13"/>
      <c r="D335" s="13"/>
      <c r="E335" s="13"/>
      <c r="F335" s="13"/>
      <c r="G335" s="13"/>
      <c r="H335" s="13"/>
      <c r="I335" s="13"/>
      <c r="J335" s="14"/>
      <c r="K335" s="14"/>
      <c r="L335" s="14"/>
      <c r="M335" s="14"/>
      <c r="N335" s="23"/>
      <c r="O335" s="14"/>
      <c r="P335" s="14"/>
      <c r="Q335" s="14"/>
      <c r="R335" s="14"/>
      <c r="S335" s="14"/>
      <c r="T335" s="14"/>
      <c r="U335" s="14"/>
      <c r="V335" s="14"/>
      <c r="W335" s="14"/>
      <c r="X335" s="14"/>
      <c r="Y335" s="14"/>
      <c r="Z335" s="14"/>
      <c r="AA335" s="14"/>
      <c r="AB335" s="14"/>
    </row>
    <row r="336" spans="1:28" x14ac:dyDescent="0.25">
      <c r="A336" s="14"/>
      <c r="B336" s="14"/>
      <c r="C336" s="13"/>
      <c r="D336" s="13"/>
      <c r="E336" s="13"/>
      <c r="F336" s="13"/>
      <c r="G336" s="13"/>
      <c r="H336" s="13"/>
      <c r="I336" s="13"/>
      <c r="J336" s="14"/>
      <c r="K336" s="14"/>
      <c r="L336" s="14"/>
      <c r="M336" s="14"/>
      <c r="N336" s="23"/>
      <c r="O336" s="14"/>
      <c r="P336" s="14"/>
      <c r="Q336" s="14"/>
      <c r="R336" s="14"/>
      <c r="S336" s="14"/>
      <c r="T336" s="14"/>
      <c r="U336" s="14"/>
      <c r="V336" s="14"/>
      <c r="W336" s="14"/>
      <c r="X336" s="14"/>
      <c r="Y336" s="14"/>
      <c r="Z336" s="14"/>
      <c r="AA336" s="14"/>
      <c r="AB336" s="14"/>
    </row>
    <row r="337" spans="1:28" x14ac:dyDescent="0.25">
      <c r="A337" s="14"/>
      <c r="B337" s="14"/>
      <c r="C337" s="13"/>
      <c r="D337" s="13"/>
      <c r="E337" s="13"/>
      <c r="F337" s="13"/>
      <c r="G337" s="13"/>
      <c r="H337" s="13"/>
      <c r="I337" s="13"/>
      <c r="J337" s="14"/>
      <c r="K337" s="14"/>
      <c r="L337" s="14"/>
      <c r="M337" s="14"/>
      <c r="N337" s="23"/>
      <c r="O337" s="14"/>
      <c r="P337" s="14"/>
      <c r="Q337" s="14"/>
      <c r="R337" s="14"/>
      <c r="S337" s="14"/>
      <c r="T337" s="14"/>
      <c r="U337" s="14"/>
      <c r="V337" s="14"/>
      <c r="W337" s="14"/>
      <c r="X337" s="14"/>
      <c r="Y337" s="14"/>
      <c r="Z337" s="14"/>
      <c r="AA337" s="14"/>
      <c r="AB337" s="14"/>
    </row>
    <row r="338" spans="1:28" x14ac:dyDescent="0.25">
      <c r="A338" s="14"/>
      <c r="B338" s="14"/>
      <c r="C338" s="13"/>
      <c r="D338" s="13"/>
      <c r="E338" s="13"/>
      <c r="F338" s="13"/>
      <c r="G338" s="13"/>
      <c r="H338" s="13"/>
      <c r="I338" s="13"/>
      <c r="J338" s="14"/>
      <c r="K338" s="14"/>
      <c r="L338" s="14"/>
      <c r="M338" s="14"/>
      <c r="N338" s="23"/>
      <c r="O338" s="14"/>
      <c r="P338" s="14"/>
      <c r="Q338" s="14"/>
      <c r="R338" s="14"/>
      <c r="S338" s="14"/>
      <c r="T338" s="14"/>
      <c r="U338" s="14"/>
      <c r="V338" s="14"/>
      <c r="W338" s="14"/>
      <c r="X338" s="14"/>
      <c r="Y338" s="14"/>
      <c r="Z338" s="14"/>
      <c r="AA338" s="14"/>
      <c r="AB338" s="14"/>
    </row>
    <row r="339" spans="1:28" x14ac:dyDescent="0.25">
      <c r="A339" s="14"/>
      <c r="B339" s="14"/>
      <c r="C339" s="13"/>
      <c r="D339" s="13"/>
      <c r="E339" s="13"/>
      <c r="F339" s="13"/>
      <c r="G339" s="13"/>
      <c r="H339" s="13"/>
      <c r="I339" s="13"/>
      <c r="J339" s="14"/>
      <c r="K339" s="14"/>
      <c r="L339" s="14"/>
      <c r="M339" s="14"/>
      <c r="N339" s="23"/>
      <c r="O339" s="14"/>
      <c r="P339" s="14"/>
      <c r="Q339" s="14"/>
      <c r="R339" s="14"/>
      <c r="S339" s="14"/>
      <c r="T339" s="14"/>
      <c r="U339" s="14"/>
      <c r="V339" s="14"/>
      <c r="W339" s="14"/>
      <c r="X339" s="14"/>
      <c r="Y339" s="14"/>
      <c r="Z339" s="14"/>
      <c r="AA339" s="14"/>
      <c r="AB339" s="14"/>
    </row>
    <row r="340" spans="1:28" x14ac:dyDescent="0.25">
      <c r="A340" s="14"/>
      <c r="B340" s="14"/>
      <c r="C340" s="13"/>
      <c r="D340" s="13"/>
      <c r="E340" s="13"/>
      <c r="F340" s="13"/>
      <c r="G340" s="13"/>
      <c r="H340" s="13"/>
      <c r="I340" s="13"/>
      <c r="J340" s="14"/>
      <c r="K340" s="14"/>
      <c r="L340" s="14"/>
      <c r="M340" s="14"/>
      <c r="N340" s="23"/>
      <c r="O340" s="14"/>
      <c r="P340" s="14"/>
      <c r="Q340" s="14"/>
      <c r="R340" s="14"/>
      <c r="S340" s="14"/>
      <c r="T340" s="14"/>
      <c r="U340" s="14"/>
      <c r="V340" s="14"/>
      <c r="W340" s="14"/>
      <c r="X340" s="14"/>
      <c r="Y340" s="14"/>
      <c r="Z340" s="14"/>
      <c r="AA340" s="14"/>
      <c r="AB340" s="14"/>
    </row>
    <row r="341" spans="1:28" x14ac:dyDescent="0.25">
      <c r="A341" s="14"/>
      <c r="B341" s="14"/>
      <c r="C341" s="13"/>
      <c r="D341" s="13"/>
      <c r="E341" s="13"/>
      <c r="F341" s="13"/>
      <c r="G341" s="13"/>
      <c r="H341" s="13"/>
      <c r="I341" s="13"/>
      <c r="J341" s="14"/>
      <c r="K341" s="14"/>
      <c r="L341" s="14"/>
      <c r="M341" s="14"/>
      <c r="N341" s="23"/>
      <c r="O341" s="14"/>
      <c r="P341" s="14"/>
      <c r="Q341" s="14"/>
      <c r="R341" s="14"/>
      <c r="S341" s="14"/>
      <c r="T341" s="14"/>
      <c r="U341" s="14"/>
      <c r="V341" s="14"/>
      <c r="W341" s="14"/>
      <c r="X341" s="14"/>
      <c r="Y341" s="14"/>
      <c r="Z341" s="14"/>
      <c r="AA341" s="14"/>
      <c r="AB341" s="14"/>
    </row>
    <row r="342" spans="1:28" x14ac:dyDescent="0.25">
      <c r="A342" s="14"/>
      <c r="B342" s="14"/>
      <c r="C342" s="13"/>
      <c r="D342" s="13"/>
      <c r="E342" s="13"/>
      <c r="F342" s="13"/>
      <c r="G342" s="13"/>
      <c r="H342" s="13"/>
      <c r="I342" s="13"/>
      <c r="J342" s="14"/>
      <c r="K342" s="14"/>
      <c r="L342" s="14"/>
      <c r="M342" s="14"/>
      <c r="N342" s="23"/>
      <c r="O342" s="14"/>
      <c r="P342" s="14"/>
      <c r="Q342" s="14"/>
      <c r="R342" s="14"/>
      <c r="S342" s="14"/>
      <c r="T342" s="14"/>
      <c r="U342" s="14"/>
      <c r="V342" s="14"/>
      <c r="W342" s="14"/>
      <c r="X342" s="14"/>
      <c r="Y342" s="14"/>
      <c r="Z342" s="14"/>
      <c r="AA342" s="14"/>
      <c r="AB342" s="14"/>
    </row>
    <row r="343" spans="1:28" x14ac:dyDescent="0.25">
      <c r="A343" s="14"/>
      <c r="B343" s="14"/>
      <c r="C343" s="13"/>
      <c r="D343" s="13"/>
      <c r="E343" s="13"/>
      <c r="F343" s="13"/>
      <c r="G343" s="13"/>
      <c r="H343" s="13"/>
      <c r="I343" s="13"/>
      <c r="J343" s="14"/>
      <c r="K343" s="14"/>
      <c r="L343" s="14"/>
      <c r="M343" s="14"/>
      <c r="N343" s="23"/>
      <c r="O343" s="14"/>
      <c r="P343" s="14"/>
      <c r="Q343" s="14"/>
      <c r="R343" s="14"/>
      <c r="S343" s="14"/>
      <c r="T343" s="14"/>
      <c r="U343" s="14"/>
      <c r="V343" s="14"/>
      <c r="W343" s="14"/>
      <c r="X343" s="14"/>
      <c r="Y343" s="14"/>
      <c r="Z343" s="14"/>
      <c r="AA343" s="14"/>
      <c r="AB343" s="14"/>
    </row>
    <row r="344" spans="1:28" x14ac:dyDescent="0.25">
      <c r="A344" s="14"/>
      <c r="B344" s="14"/>
      <c r="C344" s="13"/>
      <c r="D344" s="13"/>
      <c r="E344" s="13"/>
      <c r="F344" s="13"/>
      <c r="G344" s="13"/>
      <c r="H344" s="13"/>
      <c r="I344" s="13"/>
      <c r="J344" s="14"/>
      <c r="K344" s="14"/>
      <c r="L344" s="14"/>
      <c r="M344" s="14"/>
      <c r="N344" s="23"/>
      <c r="O344" s="14"/>
      <c r="P344" s="14"/>
      <c r="Q344" s="14"/>
      <c r="R344" s="14"/>
      <c r="S344" s="14"/>
      <c r="T344" s="14"/>
      <c r="U344" s="14"/>
      <c r="V344" s="14"/>
      <c r="W344" s="14"/>
      <c r="X344" s="14"/>
      <c r="Y344" s="14"/>
      <c r="Z344" s="14"/>
      <c r="AA344" s="14"/>
      <c r="AB344" s="14"/>
    </row>
    <row r="345" spans="1:28" x14ac:dyDescent="0.25">
      <c r="A345" s="14"/>
      <c r="B345" s="14"/>
      <c r="C345" s="13"/>
      <c r="D345" s="13"/>
      <c r="E345" s="13"/>
      <c r="F345" s="13"/>
      <c r="G345" s="13"/>
      <c r="H345" s="13"/>
      <c r="I345" s="13"/>
      <c r="J345" s="14"/>
      <c r="K345" s="14"/>
      <c r="L345" s="14"/>
      <c r="M345" s="14"/>
      <c r="N345" s="23"/>
      <c r="O345" s="14"/>
      <c r="P345" s="14"/>
      <c r="Q345" s="14"/>
      <c r="R345" s="14"/>
      <c r="S345" s="14"/>
      <c r="T345" s="14"/>
      <c r="U345" s="14"/>
      <c r="V345" s="14"/>
      <c r="W345" s="14"/>
      <c r="X345" s="14"/>
      <c r="Y345" s="14"/>
      <c r="Z345" s="14"/>
      <c r="AA345" s="14"/>
      <c r="AB345" s="14"/>
    </row>
    <row r="346" spans="1:28" x14ac:dyDescent="0.25">
      <c r="A346" s="14"/>
      <c r="B346" s="14"/>
      <c r="C346" s="13"/>
      <c r="D346" s="13"/>
      <c r="E346" s="13"/>
      <c r="F346" s="13"/>
      <c r="G346" s="13"/>
      <c r="H346" s="13"/>
      <c r="I346" s="13"/>
      <c r="J346" s="14"/>
      <c r="K346" s="14"/>
      <c r="L346" s="14"/>
      <c r="M346" s="14"/>
      <c r="N346" s="23"/>
      <c r="O346" s="14"/>
      <c r="P346" s="14"/>
      <c r="Q346" s="14"/>
      <c r="R346" s="14"/>
      <c r="S346" s="14"/>
      <c r="T346" s="14"/>
      <c r="U346" s="14"/>
      <c r="V346" s="14"/>
      <c r="W346" s="14"/>
      <c r="X346" s="14"/>
      <c r="Y346" s="14"/>
      <c r="Z346" s="14"/>
      <c r="AA346" s="14"/>
      <c r="AB346" s="14"/>
    </row>
    <row r="347" spans="1:28" x14ac:dyDescent="0.25">
      <c r="A347" s="14"/>
      <c r="B347" s="14"/>
      <c r="C347" s="13"/>
      <c r="D347" s="13"/>
      <c r="E347" s="13"/>
      <c r="F347" s="13"/>
      <c r="G347" s="13"/>
      <c r="H347" s="13"/>
      <c r="I347" s="13"/>
      <c r="J347" s="14"/>
      <c r="K347" s="14"/>
      <c r="L347" s="14"/>
      <c r="M347" s="14"/>
      <c r="N347" s="23"/>
      <c r="O347" s="14"/>
      <c r="P347" s="14"/>
      <c r="Q347" s="14"/>
      <c r="R347" s="14"/>
      <c r="S347" s="14"/>
      <c r="T347" s="14"/>
      <c r="U347" s="14"/>
      <c r="V347" s="14"/>
      <c r="W347" s="14"/>
      <c r="X347" s="14"/>
      <c r="Y347" s="14"/>
      <c r="Z347" s="14"/>
      <c r="AA347" s="14"/>
      <c r="AB347" s="14"/>
    </row>
    <row r="348" spans="1:28" x14ac:dyDescent="0.25">
      <c r="A348" s="14"/>
      <c r="B348" s="14"/>
      <c r="C348" s="13"/>
      <c r="D348" s="13"/>
      <c r="E348" s="13"/>
      <c r="F348" s="13"/>
      <c r="G348" s="13"/>
      <c r="H348" s="13"/>
      <c r="I348" s="13"/>
      <c r="J348" s="14"/>
      <c r="K348" s="14"/>
      <c r="L348" s="14"/>
      <c r="M348" s="14"/>
      <c r="N348" s="23"/>
      <c r="O348" s="14"/>
      <c r="P348" s="14"/>
      <c r="Q348" s="14"/>
      <c r="R348" s="14"/>
      <c r="S348" s="14"/>
      <c r="T348" s="14"/>
      <c r="U348" s="14"/>
      <c r="V348" s="14"/>
      <c r="W348" s="14"/>
      <c r="X348" s="14"/>
      <c r="Y348" s="14"/>
      <c r="Z348" s="14"/>
      <c r="AA348" s="14"/>
      <c r="AB348" s="14"/>
    </row>
    <row r="349" spans="1:28" x14ac:dyDescent="0.25">
      <c r="A349" s="14"/>
      <c r="B349" s="14"/>
      <c r="C349" s="13"/>
      <c r="D349" s="13"/>
      <c r="E349" s="13"/>
      <c r="F349" s="13"/>
      <c r="G349" s="13"/>
      <c r="H349" s="13"/>
      <c r="I349" s="13"/>
      <c r="J349" s="14"/>
      <c r="K349" s="14"/>
      <c r="L349" s="14"/>
      <c r="M349" s="14"/>
      <c r="N349" s="23"/>
      <c r="O349" s="14"/>
      <c r="P349" s="14"/>
      <c r="Q349" s="14"/>
      <c r="R349" s="14"/>
      <c r="S349" s="14"/>
      <c r="T349" s="14"/>
      <c r="U349" s="14"/>
      <c r="V349" s="14"/>
      <c r="W349" s="14"/>
      <c r="X349" s="14"/>
      <c r="Y349" s="14"/>
      <c r="Z349" s="14"/>
      <c r="AA349" s="14"/>
      <c r="AB349" s="14"/>
    </row>
    <row r="350" spans="1:28" x14ac:dyDescent="0.25">
      <c r="A350" s="14"/>
      <c r="B350" s="14"/>
      <c r="C350" s="13"/>
      <c r="D350" s="13"/>
      <c r="E350" s="13"/>
      <c r="F350" s="13"/>
      <c r="G350" s="13"/>
      <c r="H350" s="13"/>
      <c r="I350" s="13"/>
      <c r="J350" s="14"/>
      <c r="K350" s="14"/>
      <c r="L350" s="14"/>
      <c r="M350" s="14"/>
      <c r="N350" s="23"/>
      <c r="O350" s="14"/>
      <c r="P350" s="14"/>
      <c r="Q350" s="14"/>
      <c r="R350" s="14"/>
      <c r="S350" s="14"/>
      <c r="T350" s="14"/>
      <c r="U350" s="14"/>
      <c r="V350" s="14"/>
      <c r="W350" s="14"/>
      <c r="X350" s="14"/>
      <c r="Y350" s="14"/>
      <c r="Z350" s="14"/>
      <c r="AA350" s="14"/>
      <c r="AB350" s="14"/>
    </row>
    <row r="351" spans="1:28" x14ac:dyDescent="0.25">
      <c r="A351" s="14"/>
      <c r="B351" s="14"/>
      <c r="C351" s="13"/>
      <c r="D351" s="13"/>
      <c r="E351" s="13"/>
      <c r="F351" s="13"/>
      <c r="G351" s="13"/>
      <c r="H351" s="13"/>
      <c r="I351" s="13"/>
      <c r="J351" s="14"/>
      <c r="K351" s="14"/>
      <c r="L351" s="14"/>
      <c r="M351" s="14"/>
      <c r="N351" s="23"/>
      <c r="O351" s="14"/>
      <c r="P351" s="14"/>
      <c r="Q351" s="14"/>
      <c r="R351" s="14"/>
      <c r="S351" s="14"/>
      <c r="T351" s="14"/>
      <c r="U351" s="14"/>
      <c r="V351" s="14"/>
      <c r="W351" s="14"/>
      <c r="X351" s="14"/>
      <c r="Y351" s="14"/>
      <c r="Z351" s="14"/>
      <c r="AA351" s="14"/>
      <c r="AB351" s="14"/>
    </row>
    <row r="352" spans="1:28" x14ac:dyDescent="0.25">
      <c r="A352" s="14"/>
      <c r="B352" s="14"/>
      <c r="C352" s="13"/>
      <c r="D352" s="13"/>
      <c r="E352" s="13"/>
      <c r="F352" s="13"/>
      <c r="G352" s="13"/>
      <c r="H352" s="13"/>
      <c r="I352" s="13"/>
      <c r="J352" s="14"/>
      <c r="K352" s="14"/>
      <c r="L352" s="14"/>
      <c r="M352" s="14"/>
      <c r="N352" s="23"/>
      <c r="O352" s="14"/>
      <c r="P352" s="14"/>
      <c r="Q352" s="14"/>
      <c r="R352" s="14"/>
      <c r="S352" s="14"/>
      <c r="T352" s="14"/>
      <c r="U352" s="14"/>
      <c r="V352" s="14"/>
      <c r="W352" s="14"/>
      <c r="X352" s="14"/>
      <c r="Y352" s="14"/>
      <c r="Z352" s="14"/>
      <c r="AA352" s="14"/>
      <c r="AB352" s="14"/>
    </row>
    <row r="353" spans="1:28" x14ac:dyDescent="0.25">
      <c r="A353" s="14"/>
      <c r="B353" s="14"/>
      <c r="C353" s="13"/>
      <c r="D353" s="13"/>
      <c r="E353" s="13"/>
      <c r="F353" s="13"/>
      <c r="G353" s="13"/>
      <c r="H353" s="13"/>
      <c r="I353" s="13"/>
      <c r="J353" s="14"/>
      <c r="K353" s="14"/>
      <c r="L353" s="14"/>
      <c r="M353" s="14"/>
      <c r="N353" s="23"/>
      <c r="O353" s="14"/>
      <c r="P353" s="14"/>
      <c r="Q353" s="14"/>
      <c r="R353" s="14"/>
      <c r="S353" s="14"/>
      <c r="T353" s="14"/>
      <c r="U353" s="14"/>
      <c r="V353" s="14"/>
      <c r="W353" s="14"/>
      <c r="X353" s="14"/>
      <c r="Y353" s="14"/>
      <c r="Z353" s="14"/>
      <c r="AA353" s="14"/>
      <c r="AB353" s="14"/>
    </row>
    <row r="354" spans="1:28" x14ac:dyDescent="0.25">
      <c r="A354" s="14"/>
      <c r="B354" s="14"/>
      <c r="C354" s="13"/>
      <c r="D354" s="13"/>
      <c r="E354" s="13"/>
      <c r="F354" s="13"/>
      <c r="G354" s="13"/>
      <c r="H354" s="13"/>
      <c r="I354" s="13"/>
      <c r="J354" s="14"/>
      <c r="K354" s="14"/>
      <c r="L354" s="14"/>
      <c r="M354" s="14"/>
      <c r="N354" s="23"/>
      <c r="O354" s="14"/>
      <c r="P354" s="14"/>
      <c r="Q354" s="14"/>
      <c r="R354" s="14"/>
      <c r="S354" s="14"/>
      <c r="T354" s="14"/>
      <c r="U354" s="14"/>
      <c r="V354" s="14"/>
      <c r="W354" s="14"/>
      <c r="X354" s="14"/>
      <c r="Y354" s="14"/>
      <c r="Z354" s="14"/>
      <c r="AA354" s="14"/>
      <c r="AB354" s="14"/>
    </row>
    <row r="355" spans="1:28" x14ac:dyDescent="0.25">
      <c r="A355" s="14"/>
      <c r="B355" s="14"/>
      <c r="C355" s="13"/>
      <c r="D355" s="13"/>
      <c r="E355" s="13"/>
      <c r="F355" s="13"/>
      <c r="G355" s="13"/>
      <c r="H355" s="13"/>
      <c r="I355" s="13"/>
      <c r="J355" s="14"/>
      <c r="K355" s="14"/>
      <c r="L355" s="14"/>
      <c r="M355" s="14"/>
      <c r="N355" s="23"/>
      <c r="O355" s="14"/>
      <c r="P355" s="14"/>
      <c r="Q355" s="14"/>
      <c r="R355" s="14"/>
      <c r="S355" s="14"/>
      <c r="T355" s="14"/>
      <c r="U355" s="14"/>
      <c r="V355" s="14"/>
      <c r="W355" s="14"/>
      <c r="X355" s="14"/>
      <c r="Y355" s="14"/>
      <c r="Z355" s="14"/>
      <c r="AA355" s="14"/>
      <c r="AB355" s="14"/>
    </row>
    <row r="356" spans="1:28" x14ac:dyDescent="0.25">
      <c r="A356" s="14"/>
      <c r="B356" s="14"/>
      <c r="C356" s="13"/>
      <c r="D356" s="13"/>
      <c r="E356" s="13"/>
      <c r="F356" s="13"/>
      <c r="G356" s="13"/>
      <c r="H356" s="13"/>
      <c r="I356" s="13"/>
      <c r="J356" s="14"/>
      <c r="K356" s="14"/>
      <c r="L356" s="14"/>
      <c r="M356" s="14"/>
      <c r="N356" s="23"/>
      <c r="O356" s="14"/>
      <c r="P356" s="14"/>
      <c r="Q356" s="14"/>
      <c r="R356" s="14"/>
      <c r="S356" s="14"/>
      <c r="T356" s="14"/>
      <c r="U356" s="14"/>
      <c r="V356" s="14"/>
      <c r="W356" s="14"/>
      <c r="X356" s="14"/>
      <c r="Y356" s="14"/>
      <c r="Z356" s="14"/>
      <c r="AA356" s="14"/>
      <c r="AB356" s="14"/>
    </row>
    <row r="357" spans="1:28" x14ac:dyDescent="0.25">
      <c r="A357" s="14"/>
      <c r="B357" s="14"/>
      <c r="C357" s="13"/>
      <c r="D357" s="13"/>
      <c r="E357" s="13"/>
      <c r="F357" s="13"/>
      <c r="G357" s="13"/>
      <c r="H357" s="13"/>
      <c r="I357" s="13"/>
      <c r="J357" s="14"/>
      <c r="K357" s="14"/>
      <c r="L357" s="14"/>
      <c r="M357" s="14"/>
      <c r="N357" s="23"/>
      <c r="O357" s="14"/>
      <c r="P357" s="14"/>
      <c r="Q357" s="14"/>
      <c r="R357" s="14"/>
      <c r="S357" s="14"/>
      <c r="T357" s="14"/>
      <c r="U357" s="14"/>
      <c r="V357" s="14"/>
      <c r="W357" s="14"/>
      <c r="X357" s="14"/>
      <c r="Y357" s="14"/>
      <c r="Z357" s="14"/>
      <c r="AA357" s="14"/>
      <c r="AB357" s="14"/>
    </row>
    <row r="358" spans="1:28" x14ac:dyDescent="0.25">
      <c r="A358" s="14"/>
      <c r="B358" s="14"/>
      <c r="C358" s="13"/>
      <c r="D358" s="13"/>
      <c r="E358" s="13"/>
      <c r="F358" s="13"/>
      <c r="G358" s="13"/>
      <c r="H358" s="13"/>
      <c r="I358" s="13"/>
      <c r="J358" s="14"/>
      <c r="K358" s="14"/>
      <c r="L358" s="14"/>
      <c r="M358" s="14"/>
      <c r="N358" s="23"/>
      <c r="O358" s="14"/>
      <c r="P358" s="14"/>
      <c r="Q358" s="14"/>
      <c r="R358" s="14"/>
      <c r="S358" s="14"/>
      <c r="T358" s="14"/>
      <c r="U358" s="14"/>
      <c r="V358" s="14"/>
      <c r="W358" s="14"/>
      <c r="X358" s="14"/>
      <c r="Y358" s="14"/>
      <c r="Z358" s="14"/>
      <c r="AA358" s="14"/>
      <c r="AB358" s="14"/>
    </row>
    <row r="359" spans="1:28" x14ac:dyDescent="0.25">
      <c r="A359" s="14"/>
      <c r="B359" s="14"/>
      <c r="C359" s="13"/>
      <c r="D359" s="13"/>
      <c r="E359" s="13"/>
      <c r="F359" s="13"/>
      <c r="G359" s="13"/>
      <c r="H359" s="13"/>
      <c r="I359" s="13"/>
      <c r="J359" s="14"/>
      <c r="K359" s="14"/>
      <c r="L359" s="14"/>
      <c r="M359" s="14"/>
      <c r="N359" s="23"/>
      <c r="O359" s="14"/>
      <c r="P359" s="14"/>
      <c r="Q359" s="14"/>
      <c r="R359" s="14"/>
      <c r="S359" s="14"/>
      <c r="T359" s="14"/>
      <c r="U359" s="14"/>
      <c r="V359" s="14"/>
      <c r="W359" s="14"/>
      <c r="X359" s="14"/>
      <c r="Y359" s="14"/>
      <c r="Z359" s="14"/>
      <c r="AA359" s="14"/>
      <c r="AB359" s="14"/>
    </row>
    <row r="360" spans="1:28" x14ac:dyDescent="0.25">
      <c r="A360" s="14"/>
      <c r="B360" s="14"/>
      <c r="C360" s="13"/>
      <c r="D360" s="13"/>
      <c r="E360" s="13"/>
      <c r="F360" s="13"/>
      <c r="G360" s="13"/>
      <c r="H360" s="13"/>
      <c r="I360" s="13"/>
      <c r="J360" s="14"/>
      <c r="K360" s="14"/>
      <c r="L360" s="14"/>
      <c r="M360" s="14"/>
      <c r="N360" s="23"/>
      <c r="O360" s="14"/>
      <c r="P360" s="14"/>
      <c r="Q360" s="14"/>
      <c r="R360" s="14"/>
      <c r="S360" s="14"/>
      <c r="T360" s="14"/>
      <c r="U360" s="14"/>
      <c r="V360" s="14"/>
      <c r="W360" s="14"/>
      <c r="X360" s="14"/>
      <c r="Y360" s="14"/>
      <c r="Z360" s="14"/>
      <c r="AA360" s="14"/>
      <c r="AB360" s="14"/>
    </row>
    <row r="361" spans="1:28" x14ac:dyDescent="0.25">
      <c r="A361" s="14"/>
      <c r="B361" s="14"/>
      <c r="C361" s="13"/>
      <c r="D361" s="13"/>
      <c r="E361" s="13"/>
      <c r="F361" s="13"/>
      <c r="G361" s="13"/>
      <c r="H361" s="13"/>
      <c r="I361" s="13"/>
      <c r="J361" s="14"/>
      <c r="K361" s="14"/>
      <c r="L361" s="14"/>
      <c r="M361" s="14"/>
      <c r="N361" s="23"/>
      <c r="O361" s="14"/>
      <c r="P361" s="14"/>
      <c r="Q361" s="14"/>
      <c r="R361" s="14"/>
      <c r="S361" s="14"/>
      <c r="T361" s="14"/>
      <c r="U361" s="14"/>
      <c r="V361" s="14"/>
      <c r="W361" s="14"/>
      <c r="X361" s="14"/>
      <c r="Y361" s="14"/>
      <c r="Z361" s="14"/>
      <c r="AA361" s="14"/>
      <c r="AB361" s="14"/>
    </row>
    <row r="362" spans="1:28" x14ac:dyDescent="0.25">
      <c r="A362" s="14"/>
      <c r="B362" s="14"/>
      <c r="C362" s="13"/>
      <c r="D362" s="13"/>
      <c r="E362" s="13"/>
      <c r="F362" s="13"/>
      <c r="G362" s="13"/>
      <c r="H362" s="13"/>
      <c r="I362" s="13"/>
      <c r="J362" s="14"/>
      <c r="K362" s="14"/>
      <c r="L362" s="14"/>
      <c r="M362" s="14"/>
      <c r="N362" s="23"/>
      <c r="O362" s="14"/>
      <c r="P362" s="14"/>
      <c r="Q362" s="14"/>
      <c r="R362" s="14"/>
      <c r="S362" s="14"/>
      <c r="T362" s="14"/>
      <c r="U362" s="14"/>
      <c r="V362" s="14"/>
      <c r="W362" s="14"/>
      <c r="X362" s="14"/>
      <c r="Y362" s="14"/>
      <c r="Z362" s="14"/>
      <c r="AA362" s="14"/>
      <c r="AB362" s="14"/>
    </row>
    <row r="363" spans="1:28" x14ac:dyDescent="0.25">
      <c r="A363" s="14"/>
      <c r="B363" s="14"/>
      <c r="C363" s="13"/>
      <c r="D363" s="13"/>
      <c r="E363" s="13"/>
      <c r="F363" s="13"/>
      <c r="G363" s="13"/>
      <c r="H363" s="13"/>
      <c r="I363" s="13"/>
      <c r="J363" s="14"/>
      <c r="K363" s="14"/>
      <c r="L363" s="14"/>
      <c r="M363" s="14"/>
      <c r="N363" s="23"/>
      <c r="O363" s="14"/>
      <c r="P363" s="14"/>
      <c r="Q363" s="14"/>
      <c r="R363" s="14"/>
      <c r="S363" s="14"/>
      <c r="T363" s="14"/>
      <c r="U363" s="14"/>
      <c r="V363" s="14"/>
      <c r="W363" s="14"/>
      <c r="X363" s="14"/>
      <c r="Y363" s="14"/>
      <c r="Z363" s="14"/>
      <c r="AA363" s="14"/>
      <c r="AB363" s="14"/>
    </row>
    <row r="364" spans="1:28" x14ac:dyDescent="0.25">
      <c r="A364" s="14"/>
      <c r="B364" s="14"/>
      <c r="C364" s="13"/>
      <c r="D364" s="13"/>
      <c r="E364" s="13"/>
      <c r="F364" s="13"/>
      <c r="G364" s="13"/>
      <c r="H364" s="13"/>
      <c r="I364" s="13"/>
      <c r="J364" s="14"/>
      <c r="K364" s="14"/>
      <c r="L364" s="14"/>
      <c r="M364" s="14"/>
      <c r="N364" s="23"/>
      <c r="O364" s="14"/>
      <c r="P364" s="14"/>
      <c r="Q364" s="14"/>
      <c r="R364" s="14"/>
      <c r="S364" s="14"/>
      <c r="T364" s="14"/>
      <c r="U364" s="14"/>
      <c r="V364" s="14"/>
      <c r="W364" s="14"/>
      <c r="X364" s="14"/>
      <c r="Y364" s="14"/>
      <c r="Z364" s="14"/>
      <c r="AA364" s="14"/>
      <c r="AB364" s="14"/>
    </row>
    <row r="365" spans="1:28" x14ac:dyDescent="0.25">
      <c r="A365" s="14"/>
      <c r="B365" s="14"/>
      <c r="C365" s="13"/>
      <c r="D365" s="13"/>
      <c r="E365" s="13"/>
      <c r="F365" s="13"/>
      <c r="G365" s="13"/>
      <c r="H365" s="13"/>
      <c r="I365" s="13"/>
      <c r="J365" s="14"/>
      <c r="K365" s="14"/>
      <c r="L365" s="14"/>
      <c r="M365" s="14"/>
      <c r="N365" s="23"/>
      <c r="O365" s="14"/>
      <c r="P365" s="14"/>
      <c r="Q365" s="14"/>
      <c r="R365" s="14"/>
      <c r="S365" s="14"/>
      <c r="T365" s="14"/>
      <c r="U365" s="14"/>
      <c r="V365" s="14"/>
      <c r="W365" s="14"/>
      <c r="X365" s="14"/>
      <c r="Y365" s="14"/>
      <c r="Z365" s="14"/>
      <c r="AA365" s="14"/>
      <c r="AB365" s="14"/>
    </row>
    <row r="366" spans="1:28" x14ac:dyDescent="0.25">
      <c r="A366" s="14"/>
      <c r="B366" s="14"/>
      <c r="C366" s="13"/>
      <c r="D366" s="13"/>
      <c r="E366" s="13"/>
      <c r="F366" s="13"/>
      <c r="G366" s="13"/>
      <c r="H366" s="13"/>
      <c r="I366" s="13"/>
      <c r="J366" s="14"/>
      <c r="K366" s="14"/>
      <c r="L366" s="14"/>
      <c r="M366" s="14"/>
      <c r="N366" s="23"/>
      <c r="O366" s="14"/>
      <c r="P366" s="14"/>
      <c r="Q366" s="14"/>
      <c r="R366" s="14"/>
      <c r="S366" s="14"/>
      <c r="T366" s="14"/>
      <c r="U366" s="14"/>
      <c r="V366" s="14"/>
      <c r="W366" s="14"/>
      <c r="X366" s="14"/>
      <c r="Y366" s="14"/>
      <c r="Z366" s="14"/>
      <c r="AA366" s="14"/>
      <c r="AB366" s="14"/>
    </row>
    <row r="367" spans="1:28" x14ac:dyDescent="0.25">
      <c r="A367" s="14"/>
      <c r="B367" s="14"/>
      <c r="C367" s="13"/>
      <c r="D367" s="13"/>
      <c r="E367" s="13"/>
      <c r="F367" s="13"/>
      <c r="G367" s="13"/>
      <c r="H367" s="13"/>
      <c r="I367" s="13"/>
      <c r="J367" s="14"/>
      <c r="K367" s="14"/>
      <c r="L367" s="14"/>
      <c r="M367" s="14"/>
      <c r="N367" s="23"/>
      <c r="O367" s="14"/>
      <c r="P367" s="14"/>
      <c r="Q367" s="14"/>
      <c r="R367" s="14"/>
      <c r="S367" s="14"/>
      <c r="T367" s="14"/>
      <c r="U367" s="14"/>
      <c r="V367" s="14"/>
      <c r="W367" s="14"/>
      <c r="X367" s="14"/>
      <c r="Y367" s="14"/>
      <c r="Z367" s="14"/>
      <c r="AA367" s="14"/>
      <c r="AB367" s="14"/>
    </row>
    <row r="368" spans="1:28" x14ac:dyDescent="0.25">
      <c r="A368" s="14"/>
      <c r="B368" s="14"/>
      <c r="C368" s="13"/>
      <c r="D368" s="13"/>
      <c r="E368" s="13"/>
      <c r="F368" s="13"/>
      <c r="G368" s="13"/>
      <c r="H368" s="13"/>
      <c r="I368" s="13"/>
      <c r="J368" s="14"/>
      <c r="K368" s="14"/>
      <c r="L368" s="14"/>
      <c r="M368" s="14"/>
      <c r="N368" s="23"/>
      <c r="O368" s="14"/>
      <c r="P368" s="14"/>
      <c r="Q368" s="14"/>
      <c r="R368" s="14"/>
      <c r="S368" s="14"/>
      <c r="T368" s="14"/>
      <c r="U368" s="14"/>
      <c r="V368" s="14"/>
      <c r="W368" s="14"/>
      <c r="X368" s="14"/>
      <c r="Y368" s="14"/>
      <c r="Z368" s="14"/>
      <c r="AA368" s="14"/>
      <c r="AB368" s="14"/>
    </row>
    <row r="369" spans="1:28" x14ac:dyDescent="0.25">
      <c r="A369" s="14"/>
      <c r="B369" s="14"/>
      <c r="C369" s="13"/>
      <c r="D369" s="13"/>
      <c r="E369" s="13"/>
      <c r="F369" s="13"/>
      <c r="G369" s="13"/>
      <c r="H369" s="13"/>
      <c r="I369" s="13"/>
      <c r="J369" s="14"/>
      <c r="K369" s="14"/>
      <c r="L369" s="14"/>
      <c r="M369" s="14"/>
      <c r="N369" s="23"/>
      <c r="O369" s="14"/>
      <c r="P369" s="14"/>
      <c r="Q369" s="14"/>
      <c r="R369" s="14"/>
      <c r="S369" s="14"/>
      <c r="T369" s="14"/>
      <c r="U369" s="14"/>
      <c r="V369" s="14"/>
      <c r="W369" s="14"/>
      <c r="X369" s="14"/>
      <c r="Y369" s="14"/>
      <c r="Z369" s="14"/>
      <c r="AA369" s="14"/>
      <c r="AB369" s="14"/>
    </row>
    <row r="370" spans="1:28" x14ac:dyDescent="0.25">
      <c r="A370" s="14"/>
      <c r="B370" s="14"/>
      <c r="C370" s="13"/>
      <c r="D370" s="13"/>
      <c r="E370" s="13"/>
      <c r="F370" s="13"/>
      <c r="G370" s="13"/>
      <c r="H370" s="13"/>
      <c r="I370" s="13"/>
      <c r="J370" s="14"/>
      <c r="K370" s="14"/>
      <c r="L370" s="14"/>
      <c r="M370" s="14"/>
      <c r="N370" s="23"/>
      <c r="O370" s="14"/>
      <c r="P370" s="14"/>
      <c r="Q370" s="14"/>
      <c r="R370" s="14"/>
      <c r="S370" s="14"/>
      <c r="T370" s="14"/>
      <c r="U370" s="14"/>
      <c r="V370" s="14"/>
      <c r="W370" s="14"/>
      <c r="X370" s="14"/>
      <c r="Y370" s="14"/>
      <c r="Z370" s="14"/>
      <c r="AA370" s="14"/>
      <c r="AB370" s="14"/>
    </row>
    <row r="371" spans="1:28" x14ac:dyDescent="0.25">
      <c r="A371" s="14"/>
      <c r="B371" s="14"/>
      <c r="C371" s="13"/>
      <c r="D371" s="13"/>
      <c r="E371" s="13"/>
      <c r="F371" s="13"/>
      <c r="G371" s="13"/>
      <c r="H371" s="13"/>
      <c r="I371" s="13"/>
      <c r="J371" s="14"/>
      <c r="K371" s="14"/>
      <c r="L371" s="14"/>
      <c r="M371" s="14"/>
      <c r="N371" s="23"/>
      <c r="O371" s="14"/>
      <c r="P371" s="14"/>
      <c r="Q371" s="14"/>
      <c r="R371" s="14"/>
      <c r="S371" s="14"/>
      <c r="T371" s="14"/>
      <c r="U371" s="14"/>
      <c r="V371" s="14"/>
      <c r="W371" s="14"/>
      <c r="X371" s="14"/>
      <c r="Y371" s="14"/>
      <c r="Z371" s="14"/>
      <c r="AA371" s="14"/>
      <c r="AB371" s="14"/>
    </row>
    <row r="372" spans="1:28" x14ac:dyDescent="0.25">
      <c r="A372" s="14"/>
      <c r="B372" s="14"/>
      <c r="C372" s="13"/>
      <c r="D372" s="13"/>
      <c r="E372" s="13"/>
      <c r="F372" s="13"/>
      <c r="G372" s="13"/>
      <c r="H372" s="13"/>
      <c r="I372" s="13"/>
      <c r="J372" s="14"/>
      <c r="K372" s="14"/>
      <c r="L372" s="14"/>
      <c r="M372" s="14"/>
      <c r="N372" s="23"/>
      <c r="O372" s="14"/>
      <c r="P372" s="14"/>
      <c r="Q372" s="14"/>
      <c r="R372" s="14"/>
      <c r="S372" s="14"/>
      <c r="T372" s="14"/>
      <c r="U372" s="14"/>
      <c r="V372" s="14"/>
      <c r="W372" s="14"/>
      <c r="X372" s="14"/>
      <c r="Y372" s="14"/>
      <c r="Z372" s="14"/>
      <c r="AA372" s="14"/>
      <c r="AB372" s="14"/>
    </row>
    <row r="373" spans="1:28" x14ac:dyDescent="0.25">
      <c r="A373" s="14"/>
      <c r="B373" s="14"/>
      <c r="C373" s="13"/>
      <c r="D373" s="13"/>
      <c r="E373" s="13"/>
      <c r="F373" s="13"/>
      <c r="G373" s="13"/>
      <c r="H373" s="13"/>
      <c r="I373" s="13"/>
      <c r="J373" s="14"/>
      <c r="K373" s="14"/>
      <c r="L373" s="14"/>
      <c r="M373" s="14"/>
      <c r="N373" s="23"/>
      <c r="O373" s="14"/>
      <c r="P373" s="14"/>
      <c r="Q373" s="14"/>
      <c r="R373" s="14"/>
      <c r="S373" s="14"/>
      <c r="T373" s="14"/>
      <c r="U373" s="14"/>
      <c r="V373" s="14"/>
      <c r="W373" s="14"/>
      <c r="X373" s="14"/>
      <c r="Y373" s="14"/>
      <c r="Z373" s="14"/>
      <c r="AA373" s="14"/>
      <c r="AB373" s="14"/>
    </row>
    <row r="374" spans="1:28" x14ac:dyDescent="0.25">
      <c r="A374" s="14"/>
      <c r="B374" s="14"/>
      <c r="C374" s="13"/>
      <c r="D374" s="13"/>
      <c r="E374" s="13"/>
      <c r="F374" s="13"/>
      <c r="G374" s="13"/>
      <c r="H374" s="13"/>
      <c r="I374" s="13"/>
      <c r="J374" s="14"/>
      <c r="K374" s="14"/>
      <c r="L374" s="14"/>
      <c r="M374" s="14"/>
      <c r="N374" s="23"/>
      <c r="O374" s="14"/>
      <c r="P374" s="14"/>
      <c r="Q374" s="14"/>
      <c r="R374" s="14"/>
      <c r="S374" s="14"/>
      <c r="T374" s="14"/>
      <c r="U374" s="14"/>
      <c r="V374" s="14"/>
      <c r="W374" s="14"/>
      <c r="X374" s="14"/>
      <c r="Y374" s="14"/>
      <c r="Z374" s="14"/>
      <c r="AA374" s="14"/>
      <c r="AB374" s="14"/>
    </row>
    <row r="375" spans="1:28" x14ac:dyDescent="0.25">
      <c r="A375" s="14"/>
      <c r="B375" s="14"/>
      <c r="C375" s="13"/>
      <c r="D375" s="13"/>
      <c r="E375" s="13"/>
      <c r="F375" s="13"/>
      <c r="G375" s="13"/>
      <c r="H375" s="13"/>
      <c r="I375" s="13"/>
      <c r="J375" s="14"/>
      <c r="K375" s="14"/>
      <c r="L375" s="14"/>
      <c r="M375" s="14"/>
      <c r="N375" s="23"/>
      <c r="O375" s="14"/>
      <c r="P375" s="14"/>
      <c r="Q375" s="14"/>
      <c r="R375" s="14"/>
      <c r="S375" s="14"/>
      <c r="T375" s="14"/>
      <c r="U375" s="14"/>
      <c r="V375" s="14"/>
      <c r="W375" s="14"/>
      <c r="X375" s="14"/>
      <c r="Y375" s="14"/>
      <c r="Z375" s="14"/>
      <c r="AA375" s="14"/>
      <c r="AB375" s="14"/>
    </row>
    <row r="376" spans="1:28" x14ac:dyDescent="0.25">
      <c r="A376" s="14"/>
      <c r="B376" s="14"/>
      <c r="C376" s="13"/>
      <c r="D376" s="13"/>
      <c r="E376" s="13"/>
      <c r="F376" s="13"/>
      <c r="G376" s="13"/>
      <c r="H376" s="13"/>
      <c r="I376" s="13"/>
      <c r="J376" s="14"/>
      <c r="K376" s="14"/>
      <c r="L376" s="14"/>
      <c r="M376" s="14"/>
      <c r="N376" s="23"/>
      <c r="O376" s="14"/>
      <c r="P376" s="14"/>
      <c r="Q376" s="14"/>
      <c r="R376" s="14"/>
      <c r="S376" s="14"/>
      <c r="T376" s="14"/>
      <c r="U376" s="14"/>
      <c r="V376" s="14"/>
      <c r="W376" s="14"/>
      <c r="X376" s="14"/>
      <c r="Y376" s="14"/>
      <c r="Z376" s="14"/>
      <c r="AA376" s="14"/>
      <c r="AB376" s="14"/>
    </row>
    <row r="377" spans="1:28" x14ac:dyDescent="0.25">
      <c r="A377" s="14"/>
      <c r="B377" s="14"/>
      <c r="C377" s="13"/>
      <c r="D377" s="13"/>
      <c r="E377" s="13"/>
      <c r="F377" s="13"/>
      <c r="G377" s="13"/>
      <c r="H377" s="13"/>
      <c r="I377" s="13"/>
      <c r="J377" s="14"/>
      <c r="K377" s="14"/>
      <c r="L377" s="14"/>
      <c r="M377" s="14"/>
      <c r="N377" s="23"/>
      <c r="O377" s="14"/>
      <c r="P377" s="14"/>
      <c r="Q377" s="14"/>
      <c r="R377" s="14"/>
      <c r="S377" s="14"/>
      <c r="T377" s="14"/>
      <c r="U377" s="14"/>
      <c r="V377" s="14"/>
      <c r="W377" s="14"/>
      <c r="X377" s="14"/>
      <c r="Y377" s="14"/>
      <c r="Z377" s="14"/>
      <c r="AA377" s="14"/>
      <c r="AB377" s="14"/>
    </row>
    <row r="378" spans="1:28" x14ac:dyDescent="0.25">
      <c r="A378" s="14"/>
      <c r="B378" s="14"/>
      <c r="C378" s="13"/>
      <c r="D378" s="13"/>
      <c r="E378" s="13"/>
      <c r="F378" s="13"/>
      <c r="G378" s="13"/>
      <c r="H378" s="13"/>
      <c r="I378" s="13"/>
      <c r="J378" s="14"/>
      <c r="K378" s="14"/>
      <c r="L378" s="14"/>
      <c r="M378" s="14"/>
      <c r="N378" s="23"/>
      <c r="O378" s="14"/>
      <c r="P378" s="14"/>
      <c r="Q378" s="14"/>
      <c r="R378" s="14"/>
      <c r="S378" s="14"/>
      <c r="T378" s="14"/>
      <c r="U378" s="14"/>
      <c r="V378" s="14"/>
      <c r="W378" s="14"/>
      <c r="X378" s="14"/>
      <c r="Y378" s="14"/>
      <c r="Z378" s="14"/>
      <c r="AA378" s="14"/>
      <c r="AB378" s="14"/>
    </row>
    <row r="379" spans="1:28" x14ac:dyDescent="0.25">
      <c r="A379" s="14"/>
      <c r="B379" s="14"/>
      <c r="C379" s="13"/>
      <c r="D379" s="13"/>
      <c r="E379" s="13"/>
      <c r="F379" s="13"/>
      <c r="G379" s="13"/>
      <c r="H379" s="13"/>
      <c r="I379" s="13"/>
      <c r="J379" s="14"/>
      <c r="K379" s="14"/>
      <c r="L379" s="14"/>
      <c r="M379" s="14"/>
      <c r="N379" s="23"/>
      <c r="O379" s="14"/>
      <c r="P379" s="14"/>
      <c r="Q379" s="14"/>
      <c r="R379" s="14"/>
      <c r="S379" s="14"/>
      <c r="T379" s="14"/>
      <c r="U379" s="14"/>
      <c r="V379" s="14"/>
      <c r="W379" s="14"/>
      <c r="X379" s="14"/>
      <c r="Y379" s="14"/>
      <c r="Z379" s="14"/>
      <c r="AA379" s="14"/>
      <c r="AB379" s="14"/>
    </row>
    <row r="380" spans="1:28" x14ac:dyDescent="0.25">
      <c r="A380" s="14"/>
      <c r="B380" s="14"/>
      <c r="C380" s="13"/>
      <c r="D380" s="13"/>
      <c r="E380" s="13"/>
      <c r="F380" s="13"/>
      <c r="G380" s="13"/>
      <c r="H380" s="13"/>
      <c r="I380" s="13"/>
      <c r="J380" s="14"/>
      <c r="K380" s="14"/>
      <c r="L380" s="14"/>
      <c r="M380" s="14"/>
      <c r="N380" s="23"/>
      <c r="O380" s="14"/>
      <c r="P380" s="14"/>
      <c r="Q380" s="14"/>
      <c r="R380" s="14"/>
      <c r="S380" s="14"/>
      <c r="T380" s="14"/>
      <c r="U380" s="14"/>
      <c r="V380" s="14"/>
      <c r="W380" s="14"/>
      <c r="X380" s="14"/>
      <c r="Y380" s="14"/>
      <c r="Z380" s="14"/>
      <c r="AA380" s="14"/>
      <c r="AB380" s="14"/>
    </row>
    <row r="381" spans="1:28" x14ac:dyDescent="0.25">
      <c r="A381" s="14"/>
      <c r="B381" s="14"/>
      <c r="C381" s="13"/>
      <c r="D381" s="13"/>
      <c r="E381" s="13"/>
      <c r="F381" s="13"/>
      <c r="G381" s="13"/>
      <c r="H381" s="13"/>
      <c r="I381" s="13"/>
      <c r="J381" s="14"/>
      <c r="K381" s="14"/>
      <c r="L381" s="14"/>
      <c r="M381" s="14"/>
      <c r="N381" s="23"/>
      <c r="O381" s="14"/>
      <c r="P381" s="14"/>
      <c r="Q381" s="14"/>
      <c r="R381" s="14"/>
      <c r="S381" s="14"/>
      <c r="T381" s="14"/>
      <c r="U381" s="14"/>
      <c r="V381" s="14"/>
      <c r="W381" s="14"/>
      <c r="X381" s="14"/>
      <c r="Y381" s="14"/>
      <c r="Z381" s="14"/>
      <c r="AA381" s="14"/>
      <c r="AB381" s="14"/>
    </row>
    <row r="382" spans="1:28" x14ac:dyDescent="0.25">
      <c r="A382" s="14"/>
      <c r="B382" s="14"/>
      <c r="C382" s="13"/>
      <c r="D382" s="13"/>
      <c r="E382" s="13"/>
      <c r="F382" s="13"/>
      <c r="G382" s="13"/>
      <c r="H382" s="13"/>
      <c r="I382" s="13"/>
      <c r="J382" s="14"/>
      <c r="K382" s="14"/>
      <c r="L382" s="14"/>
      <c r="M382" s="14"/>
      <c r="N382" s="23"/>
      <c r="O382" s="14"/>
      <c r="P382" s="14"/>
      <c r="Q382" s="14"/>
      <c r="R382" s="14"/>
      <c r="S382" s="14"/>
      <c r="T382" s="14"/>
      <c r="U382" s="14"/>
      <c r="V382" s="14"/>
      <c r="W382" s="14"/>
      <c r="X382" s="14"/>
      <c r="Y382" s="14"/>
      <c r="Z382" s="14"/>
      <c r="AA382" s="14"/>
      <c r="AB382" s="14"/>
    </row>
    <row r="383" spans="1:28" x14ac:dyDescent="0.25">
      <c r="A383" s="14"/>
      <c r="B383" s="14"/>
      <c r="C383" s="13"/>
      <c r="D383" s="13"/>
      <c r="E383" s="13"/>
      <c r="F383" s="13"/>
      <c r="G383" s="13"/>
      <c r="H383" s="13"/>
      <c r="I383" s="13"/>
      <c r="J383" s="14"/>
      <c r="K383" s="14"/>
      <c r="L383" s="14"/>
      <c r="M383" s="14"/>
      <c r="N383" s="23"/>
      <c r="O383" s="14"/>
      <c r="P383" s="14"/>
      <c r="Q383" s="14"/>
      <c r="R383" s="14"/>
      <c r="S383" s="14"/>
      <c r="T383" s="14"/>
      <c r="U383" s="14"/>
      <c r="V383" s="14"/>
      <c r="W383" s="14"/>
      <c r="X383" s="14"/>
      <c r="Y383" s="14"/>
      <c r="Z383" s="14"/>
      <c r="AA383" s="14"/>
      <c r="AB383" s="14"/>
    </row>
    <row r="384" spans="1:28" x14ac:dyDescent="0.25">
      <c r="A384" s="14"/>
      <c r="B384" s="14"/>
      <c r="C384" s="13"/>
      <c r="D384" s="13"/>
      <c r="E384" s="13"/>
      <c r="F384" s="13"/>
      <c r="G384" s="13"/>
      <c r="H384" s="13"/>
      <c r="I384" s="13"/>
      <c r="J384" s="14"/>
      <c r="K384" s="14"/>
      <c r="L384" s="14"/>
      <c r="M384" s="14"/>
      <c r="N384" s="23"/>
      <c r="O384" s="14"/>
      <c r="P384" s="14"/>
      <c r="Q384" s="14"/>
      <c r="R384" s="14"/>
      <c r="S384" s="14"/>
      <c r="T384" s="14"/>
      <c r="U384" s="14"/>
      <c r="V384" s="14"/>
      <c r="W384" s="14"/>
      <c r="X384" s="14"/>
      <c r="Y384" s="14"/>
      <c r="Z384" s="14"/>
      <c r="AA384" s="14"/>
      <c r="AB384" s="14"/>
    </row>
    <row r="385" spans="1:28" x14ac:dyDescent="0.25">
      <c r="A385" s="14"/>
      <c r="B385" s="14"/>
      <c r="C385" s="13"/>
      <c r="D385" s="13"/>
      <c r="E385" s="13"/>
      <c r="F385" s="13"/>
      <c r="G385" s="13"/>
      <c r="H385" s="13"/>
      <c r="I385" s="13"/>
      <c r="J385" s="14"/>
      <c r="K385" s="14"/>
      <c r="L385" s="14"/>
      <c r="M385" s="14"/>
      <c r="N385" s="23"/>
      <c r="O385" s="14"/>
      <c r="P385" s="14"/>
      <c r="Q385" s="14"/>
      <c r="R385" s="14"/>
      <c r="S385" s="14"/>
      <c r="T385" s="14"/>
      <c r="U385" s="14"/>
      <c r="V385" s="14"/>
      <c r="W385" s="14"/>
      <c r="X385" s="14"/>
      <c r="Y385" s="14"/>
      <c r="Z385" s="14"/>
      <c r="AA385" s="14"/>
      <c r="AB385" s="14"/>
    </row>
    <row r="386" spans="1:28" x14ac:dyDescent="0.25">
      <c r="A386" s="14"/>
      <c r="B386" s="14"/>
      <c r="C386" s="13"/>
      <c r="D386" s="13"/>
      <c r="E386" s="13"/>
      <c r="F386" s="13"/>
      <c r="G386" s="13"/>
      <c r="H386" s="13"/>
      <c r="I386" s="13"/>
      <c r="J386" s="14"/>
      <c r="K386" s="14"/>
      <c r="L386" s="14"/>
      <c r="M386" s="14"/>
      <c r="N386" s="23"/>
      <c r="O386" s="14"/>
      <c r="P386" s="14"/>
      <c r="Q386" s="14"/>
      <c r="R386" s="14"/>
      <c r="S386" s="14"/>
      <c r="T386" s="14"/>
      <c r="U386" s="14"/>
      <c r="V386" s="14"/>
      <c r="W386" s="14"/>
      <c r="X386" s="14"/>
      <c r="Y386" s="14"/>
      <c r="Z386" s="14"/>
      <c r="AA386" s="14"/>
      <c r="AB386" s="14"/>
    </row>
    <row r="387" spans="1:28" x14ac:dyDescent="0.25">
      <c r="A387" s="14"/>
      <c r="B387" s="14"/>
      <c r="C387" s="13"/>
      <c r="D387" s="13"/>
      <c r="E387" s="13"/>
      <c r="F387" s="13"/>
      <c r="G387" s="13"/>
      <c r="H387" s="13"/>
      <c r="I387" s="13"/>
      <c r="J387" s="14"/>
      <c r="K387" s="14"/>
      <c r="L387" s="14"/>
      <c r="M387" s="14"/>
      <c r="N387" s="23"/>
      <c r="O387" s="14"/>
      <c r="P387" s="14"/>
      <c r="Q387" s="14"/>
      <c r="R387" s="14"/>
      <c r="S387" s="14"/>
      <c r="T387" s="14"/>
      <c r="U387" s="14"/>
      <c r="V387" s="14"/>
      <c r="W387" s="14"/>
      <c r="X387" s="14"/>
      <c r="Y387" s="14"/>
      <c r="Z387" s="14"/>
      <c r="AA387" s="14"/>
      <c r="AB387" s="14"/>
    </row>
    <row r="388" spans="1:28" x14ac:dyDescent="0.25">
      <c r="A388" s="14"/>
      <c r="B388" s="14"/>
      <c r="C388" s="13"/>
      <c r="D388" s="13"/>
      <c r="E388" s="13"/>
      <c r="F388" s="13"/>
      <c r="G388" s="13"/>
      <c r="H388" s="13"/>
      <c r="I388" s="13"/>
      <c r="J388" s="14"/>
      <c r="K388" s="14"/>
      <c r="L388" s="14"/>
      <c r="M388" s="14"/>
      <c r="N388" s="23"/>
      <c r="O388" s="14"/>
      <c r="P388" s="14"/>
      <c r="Q388" s="14"/>
      <c r="R388" s="14"/>
      <c r="S388" s="14"/>
      <c r="T388" s="14"/>
      <c r="U388" s="14"/>
      <c r="V388" s="14"/>
      <c r="W388" s="14"/>
      <c r="X388" s="14"/>
      <c r="Y388" s="14"/>
      <c r="Z388" s="14"/>
      <c r="AA388" s="14"/>
      <c r="AB388" s="14"/>
    </row>
    <row r="389" spans="1:28" x14ac:dyDescent="0.25">
      <c r="A389" s="14"/>
      <c r="B389" s="14"/>
      <c r="C389" s="13"/>
      <c r="D389" s="13"/>
      <c r="E389" s="13"/>
      <c r="F389" s="13"/>
      <c r="G389" s="13"/>
      <c r="H389" s="13"/>
      <c r="I389" s="13"/>
      <c r="J389" s="14"/>
      <c r="K389" s="14"/>
      <c r="L389" s="14"/>
      <c r="M389" s="14"/>
      <c r="N389" s="23"/>
      <c r="O389" s="14"/>
      <c r="P389" s="14"/>
      <c r="Q389" s="14"/>
      <c r="R389" s="14"/>
      <c r="S389" s="14"/>
      <c r="T389" s="14"/>
      <c r="U389" s="14"/>
      <c r="V389" s="14"/>
      <c r="W389" s="14"/>
      <c r="X389" s="14"/>
      <c r="Y389" s="14"/>
      <c r="Z389" s="14"/>
      <c r="AA389" s="14"/>
      <c r="AB389" s="14"/>
    </row>
    <row r="390" spans="1:28" x14ac:dyDescent="0.25">
      <c r="A390" s="14"/>
      <c r="B390" s="14"/>
      <c r="C390" s="13"/>
      <c r="D390" s="13"/>
      <c r="E390" s="13"/>
      <c r="F390" s="13"/>
      <c r="G390" s="13"/>
      <c r="H390" s="13"/>
      <c r="I390" s="13"/>
      <c r="J390" s="14"/>
      <c r="K390" s="14"/>
      <c r="L390" s="14"/>
      <c r="M390" s="14"/>
      <c r="N390" s="23"/>
      <c r="O390" s="14"/>
      <c r="P390" s="14"/>
      <c r="Q390" s="14"/>
      <c r="R390" s="14"/>
      <c r="S390" s="14"/>
      <c r="T390" s="14"/>
      <c r="U390" s="14"/>
      <c r="V390" s="14"/>
      <c r="W390" s="14"/>
      <c r="X390" s="14"/>
      <c r="Y390" s="14"/>
      <c r="Z390" s="14"/>
      <c r="AA390" s="14"/>
      <c r="AB390" s="14"/>
    </row>
    <row r="391" spans="1:28" x14ac:dyDescent="0.25">
      <c r="A391" s="14"/>
      <c r="B391" s="14"/>
      <c r="C391" s="13"/>
      <c r="D391" s="13"/>
      <c r="E391" s="13"/>
      <c r="F391" s="13"/>
      <c r="G391" s="13"/>
      <c r="H391" s="13"/>
      <c r="I391" s="13"/>
      <c r="J391" s="14"/>
      <c r="K391" s="14"/>
      <c r="L391" s="14"/>
      <c r="M391" s="14"/>
      <c r="N391" s="23"/>
      <c r="O391" s="14"/>
      <c r="P391" s="14"/>
      <c r="Q391" s="14"/>
      <c r="R391" s="14"/>
      <c r="S391" s="14"/>
      <c r="T391" s="14"/>
      <c r="U391" s="14"/>
      <c r="V391" s="14"/>
      <c r="W391" s="14"/>
      <c r="X391" s="14"/>
      <c r="Y391" s="14"/>
      <c r="Z391" s="14"/>
      <c r="AA391" s="14"/>
      <c r="AB391" s="14"/>
    </row>
    <row r="392" spans="1:28" x14ac:dyDescent="0.25">
      <c r="A392" s="14"/>
      <c r="B392" s="14"/>
      <c r="C392" s="13"/>
      <c r="D392" s="13"/>
      <c r="E392" s="13"/>
      <c r="F392" s="13"/>
      <c r="G392" s="13"/>
      <c r="H392" s="13"/>
      <c r="I392" s="13"/>
      <c r="J392" s="14"/>
      <c r="K392" s="14"/>
      <c r="L392" s="14"/>
      <c r="M392" s="14"/>
      <c r="N392" s="23"/>
      <c r="O392" s="14"/>
      <c r="P392" s="14"/>
      <c r="Q392" s="14"/>
      <c r="R392" s="14"/>
      <c r="S392" s="14"/>
      <c r="T392" s="14"/>
      <c r="U392" s="14"/>
      <c r="V392" s="14"/>
      <c r="W392" s="14"/>
      <c r="X392" s="14"/>
      <c r="Y392" s="14"/>
      <c r="Z392" s="14"/>
      <c r="AA392" s="14"/>
      <c r="AB392" s="14"/>
    </row>
    <row r="393" spans="1:28" x14ac:dyDescent="0.25">
      <c r="A393" s="14"/>
      <c r="B393" s="14"/>
      <c r="C393" s="13"/>
      <c r="D393" s="13"/>
      <c r="E393" s="13"/>
      <c r="F393" s="13"/>
      <c r="G393" s="13"/>
      <c r="H393" s="13"/>
      <c r="I393" s="13"/>
      <c r="J393" s="14"/>
      <c r="K393" s="14"/>
      <c r="L393" s="14"/>
      <c r="M393" s="14"/>
      <c r="N393" s="23"/>
      <c r="O393" s="14"/>
      <c r="P393" s="14"/>
      <c r="Q393" s="14"/>
      <c r="R393" s="14"/>
      <c r="S393" s="14"/>
      <c r="T393" s="14"/>
      <c r="U393" s="14"/>
      <c r="V393" s="14"/>
      <c r="W393" s="14"/>
      <c r="X393" s="14"/>
      <c r="Y393" s="14"/>
      <c r="Z393" s="14"/>
      <c r="AA393" s="14"/>
      <c r="AB393" s="14"/>
    </row>
    <row r="394" spans="1:28" x14ac:dyDescent="0.25">
      <c r="A394" s="14"/>
      <c r="B394" s="14"/>
      <c r="C394" s="13"/>
      <c r="D394" s="13"/>
      <c r="E394" s="13"/>
      <c r="F394" s="13"/>
      <c r="G394" s="13"/>
      <c r="H394" s="13"/>
      <c r="I394" s="13"/>
      <c r="J394" s="14"/>
      <c r="K394" s="14"/>
      <c r="L394" s="14"/>
      <c r="M394" s="14"/>
      <c r="N394" s="23"/>
      <c r="O394" s="14"/>
      <c r="P394" s="14"/>
      <c r="Q394" s="14"/>
      <c r="R394" s="14"/>
      <c r="S394" s="14"/>
      <c r="T394" s="14"/>
      <c r="U394" s="14"/>
      <c r="V394" s="14"/>
      <c r="W394" s="14"/>
      <c r="X394" s="14"/>
      <c r="Y394" s="14"/>
      <c r="Z394" s="14"/>
      <c r="AA394" s="14"/>
      <c r="AB394" s="14"/>
    </row>
    <row r="395" spans="1:28" x14ac:dyDescent="0.25">
      <c r="A395" s="14"/>
      <c r="B395" s="14"/>
      <c r="C395" s="13"/>
      <c r="D395" s="13"/>
      <c r="E395" s="13"/>
      <c r="F395" s="13"/>
      <c r="G395" s="13"/>
      <c r="H395" s="13"/>
      <c r="I395" s="13"/>
      <c r="J395" s="14"/>
      <c r="K395" s="14"/>
      <c r="L395" s="14"/>
      <c r="M395" s="14"/>
      <c r="N395" s="23"/>
      <c r="O395" s="14"/>
      <c r="P395" s="14"/>
      <c r="Q395" s="14"/>
      <c r="R395" s="14"/>
      <c r="S395" s="14"/>
      <c r="T395" s="14"/>
      <c r="U395" s="14"/>
      <c r="V395" s="14"/>
      <c r="W395" s="14"/>
      <c r="X395" s="14"/>
      <c r="Y395" s="14"/>
      <c r="Z395" s="14"/>
      <c r="AA395" s="14"/>
      <c r="AB395" s="14"/>
    </row>
    <row r="396" spans="1:28" x14ac:dyDescent="0.25">
      <c r="A396" s="14"/>
      <c r="B396" s="14"/>
      <c r="C396" s="13"/>
      <c r="D396" s="13"/>
      <c r="E396" s="13"/>
      <c r="F396" s="13"/>
      <c r="G396" s="13"/>
      <c r="H396" s="13"/>
      <c r="I396" s="13"/>
      <c r="J396" s="14"/>
      <c r="K396" s="14"/>
      <c r="L396" s="14"/>
      <c r="M396" s="14"/>
      <c r="N396" s="23"/>
      <c r="O396" s="14"/>
      <c r="P396" s="14"/>
      <c r="Q396" s="14"/>
      <c r="R396" s="14"/>
      <c r="S396" s="14"/>
      <c r="T396" s="14"/>
      <c r="U396" s="14"/>
      <c r="V396" s="14"/>
      <c r="W396" s="14"/>
      <c r="X396" s="14"/>
      <c r="Y396" s="14"/>
      <c r="Z396" s="14"/>
      <c r="AA396" s="14"/>
      <c r="AB396" s="14"/>
    </row>
    <row r="397" spans="1:28" x14ac:dyDescent="0.25">
      <c r="A397" s="14"/>
      <c r="B397" s="14"/>
      <c r="C397" s="13"/>
      <c r="D397" s="13"/>
      <c r="E397" s="13"/>
      <c r="F397" s="13"/>
      <c r="G397" s="13"/>
      <c r="H397" s="13"/>
      <c r="I397" s="13"/>
      <c r="J397" s="14"/>
      <c r="K397" s="14"/>
      <c r="L397" s="14"/>
      <c r="M397" s="14"/>
      <c r="N397" s="23"/>
      <c r="O397" s="14"/>
      <c r="P397" s="14"/>
      <c r="Q397" s="14"/>
      <c r="R397" s="14"/>
      <c r="S397" s="14"/>
      <c r="T397" s="14"/>
      <c r="U397" s="14"/>
      <c r="V397" s="14"/>
      <c r="W397" s="14"/>
      <c r="X397" s="14"/>
      <c r="Y397" s="14"/>
      <c r="Z397" s="14"/>
      <c r="AA397" s="14"/>
      <c r="AB397" s="14"/>
    </row>
    <row r="398" spans="1:28" x14ac:dyDescent="0.25">
      <c r="A398" s="14"/>
      <c r="B398" s="14"/>
      <c r="C398" s="13"/>
      <c r="D398" s="13"/>
      <c r="E398" s="13"/>
      <c r="F398" s="13"/>
      <c r="G398" s="13"/>
      <c r="H398" s="13"/>
      <c r="I398" s="13"/>
      <c r="J398" s="14"/>
      <c r="K398" s="14"/>
      <c r="L398" s="14"/>
      <c r="M398" s="14"/>
      <c r="N398" s="23"/>
      <c r="O398" s="14"/>
      <c r="P398" s="14"/>
      <c r="Q398" s="14"/>
      <c r="R398" s="14"/>
      <c r="S398" s="14"/>
      <c r="T398" s="14"/>
      <c r="U398" s="14"/>
      <c r="V398" s="14"/>
      <c r="W398" s="14"/>
      <c r="X398" s="14"/>
      <c r="Y398" s="14"/>
      <c r="Z398" s="14"/>
      <c r="AA398" s="14"/>
      <c r="AB398" s="14"/>
    </row>
    <row r="399" spans="1:28" x14ac:dyDescent="0.25">
      <c r="A399" s="14"/>
      <c r="B399" s="14"/>
      <c r="C399" s="13"/>
      <c r="D399" s="13"/>
      <c r="E399" s="13"/>
      <c r="F399" s="13"/>
      <c r="G399" s="13"/>
      <c r="H399" s="13"/>
      <c r="I399" s="13"/>
      <c r="J399" s="14"/>
      <c r="K399" s="14"/>
      <c r="L399" s="14"/>
      <c r="M399" s="14"/>
      <c r="N399" s="23"/>
      <c r="O399" s="14"/>
      <c r="P399" s="14"/>
      <c r="Q399" s="14"/>
      <c r="R399" s="14"/>
      <c r="S399" s="14"/>
      <c r="T399" s="14"/>
      <c r="U399" s="14"/>
      <c r="V399" s="14"/>
      <c r="W399" s="14"/>
      <c r="X399" s="14"/>
      <c r="Y399" s="14"/>
      <c r="Z399" s="14"/>
      <c r="AA399" s="14"/>
      <c r="AB399" s="14"/>
    </row>
    <row r="400" spans="1:28" x14ac:dyDescent="0.25">
      <c r="A400" s="14"/>
      <c r="B400" s="14"/>
      <c r="C400" s="13"/>
      <c r="D400" s="13"/>
      <c r="E400" s="13"/>
      <c r="F400" s="13"/>
      <c r="G400" s="13"/>
      <c r="H400" s="13"/>
      <c r="I400" s="13"/>
      <c r="J400" s="14"/>
      <c r="K400" s="14"/>
      <c r="L400" s="14"/>
      <c r="M400" s="14"/>
      <c r="N400" s="23"/>
      <c r="O400" s="14"/>
      <c r="P400" s="14"/>
      <c r="Q400" s="14"/>
      <c r="R400" s="14"/>
      <c r="S400" s="14"/>
      <c r="T400" s="14"/>
      <c r="U400" s="14"/>
      <c r="V400" s="14"/>
      <c r="W400" s="14"/>
      <c r="X400" s="14"/>
      <c r="Y400" s="14"/>
      <c r="Z400" s="14"/>
      <c r="AA400" s="14"/>
      <c r="AB400" s="14"/>
    </row>
    <row r="401" spans="1:28" x14ac:dyDescent="0.25">
      <c r="A401" s="14"/>
      <c r="B401" s="14"/>
      <c r="C401" s="13"/>
      <c r="D401" s="13"/>
      <c r="E401" s="13"/>
      <c r="F401" s="13"/>
      <c r="G401" s="13"/>
      <c r="H401" s="13"/>
      <c r="I401" s="13"/>
      <c r="J401" s="14"/>
      <c r="K401" s="14"/>
      <c r="L401" s="14"/>
      <c r="M401" s="14"/>
      <c r="N401" s="23"/>
      <c r="O401" s="14"/>
      <c r="P401" s="14"/>
      <c r="Q401" s="14"/>
      <c r="R401" s="14"/>
      <c r="S401" s="14"/>
      <c r="T401" s="14"/>
      <c r="U401" s="14"/>
      <c r="V401" s="14"/>
      <c r="W401" s="14"/>
      <c r="X401" s="14"/>
      <c r="Y401" s="14"/>
      <c r="Z401" s="14"/>
      <c r="AA401" s="14"/>
      <c r="AB401" s="14"/>
    </row>
    <row r="402" spans="1:28" x14ac:dyDescent="0.25">
      <c r="A402" s="14"/>
      <c r="B402" s="14"/>
      <c r="C402" s="13"/>
      <c r="D402" s="13"/>
      <c r="E402" s="13"/>
      <c r="F402" s="13"/>
      <c r="G402" s="13"/>
      <c r="H402" s="13"/>
      <c r="I402" s="13"/>
      <c r="J402" s="14"/>
      <c r="K402" s="14"/>
      <c r="L402" s="14"/>
      <c r="M402" s="14"/>
      <c r="N402" s="23"/>
      <c r="O402" s="14"/>
      <c r="P402" s="14"/>
      <c r="Q402" s="14"/>
      <c r="R402" s="14"/>
      <c r="S402" s="14"/>
      <c r="T402" s="14"/>
      <c r="U402" s="14"/>
      <c r="V402" s="14"/>
      <c r="W402" s="14"/>
      <c r="X402" s="14"/>
      <c r="Y402" s="14"/>
      <c r="Z402" s="14"/>
      <c r="AA402" s="14"/>
      <c r="AB402" s="14"/>
    </row>
    <row r="403" spans="1:28" x14ac:dyDescent="0.25">
      <c r="A403" s="14"/>
      <c r="B403" s="14"/>
      <c r="C403" s="13"/>
      <c r="D403" s="13"/>
      <c r="E403" s="13"/>
      <c r="F403" s="13"/>
      <c r="G403" s="13"/>
      <c r="H403" s="13"/>
      <c r="I403" s="13"/>
      <c r="J403" s="14"/>
      <c r="K403" s="14"/>
      <c r="L403" s="14"/>
      <c r="M403" s="14"/>
      <c r="N403" s="23"/>
      <c r="O403" s="14"/>
      <c r="P403" s="14"/>
      <c r="Q403" s="14"/>
      <c r="R403" s="14"/>
      <c r="S403" s="14"/>
      <c r="T403" s="14"/>
      <c r="U403" s="14"/>
      <c r="V403" s="14"/>
      <c r="W403" s="14"/>
      <c r="X403" s="14"/>
      <c r="Y403" s="14"/>
      <c r="Z403" s="14"/>
      <c r="AA403" s="14"/>
      <c r="AB403" s="14"/>
    </row>
    <row r="404" spans="1:28" x14ac:dyDescent="0.25">
      <c r="A404" s="14"/>
      <c r="B404" s="14"/>
      <c r="C404" s="13"/>
      <c r="D404" s="13"/>
      <c r="E404" s="13"/>
      <c r="F404" s="13"/>
      <c r="G404" s="13"/>
      <c r="H404" s="13"/>
      <c r="I404" s="13"/>
      <c r="J404" s="14"/>
      <c r="K404" s="14"/>
      <c r="L404" s="14"/>
      <c r="M404" s="14"/>
      <c r="N404" s="23"/>
      <c r="O404" s="14"/>
      <c r="P404" s="14"/>
      <c r="Q404" s="14"/>
      <c r="R404" s="14"/>
      <c r="S404" s="14"/>
      <c r="T404" s="14"/>
      <c r="U404" s="14"/>
      <c r="V404" s="14"/>
      <c r="W404" s="14"/>
      <c r="X404" s="14"/>
      <c r="Y404" s="14"/>
      <c r="Z404" s="14"/>
      <c r="AA404" s="14"/>
      <c r="AB404" s="14"/>
    </row>
    <row r="405" spans="1:28" x14ac:dyDescent="0.25">
      <c r="A405" s="14"/>
      <c r="B405" s="14"/>
      <c r="C405" s="13"/>
      <c r="D405" s="13"/>
      <c r="E405" s="13"/>
      <c r="F405" s="13"/>
      <c r="G405" s="13"/>
      <c r="H405" s="13"/>
      <c r="I405" s="13"/>
      <c r="J405" s="14"/>
      <c r="K405" s="14"/>
      <c r="L405" s="14"/>
      <c r="M405" s="14"/>
      <c r="N405" s="23"/>
      <c r="O405" s="14"/>
      <c r="P405" s="14"/>
      <c r="Q405" s="14"/>
      <c r="R405" s="14"/>
      <c r="S405" s="14"/>
      <c r="T405" s="14"/>
      <c r="U405" s="14"/>
      <c r="V405" s="14"/>
      <c r="W405" s="14"/>
      <c r="X405" s="14"/>
      <c r="Y405" s="14"/>
      <c r="Z405" s="14"/>
      <c r="AA405" s="14"/>
      <c r="AB405" s="14"/>
    </row>
    <row r="406" spans="1:28" x14ac:dyDescent="0.25">
      <c r="A406" s="14"/>
      <c r="B406" s="14"/>
      <c r="C406" s="13"/>
      <c r="D406" s="13"/>
      <c r="E406" s="13"/>
      <c r="F406" s="13"/>
      <c r="G406" s="13"/>
      <c r="H406" s="13"/>
      <c r="I406" s="13"/>
      <c r="J406" s="14"/>
      <c r="K406" s="14"/>
      <c r="L406" s="14"/>
      <c r="M406" s="14"/>
      <c r="N406" s="23"/>
      <c r="O406" s="14"/>
      <c r="P406" s="14"/>
      <c r="Q406" s="14"/>
      <c r="R406" s="14"/>
      <c r="S406" s="14"/>
      <c r="T406" s="14"/>
      <c r="U406" s="14"/>
      <c r="V406" s="14"/>
      <c r="W406" s="14"/>
      <c r="X406" s="14"/>
      <c r="Y406" s="14"/>
      <c r="Z406" s="14"/>
      <c r="AA406" s="14"/>
      <c r="AB406" s="14"/>
    </row>
    <row r="407" spans="1:28" x14ac:dyDescent="0.25">
      <c r="A407" s="14"/>
      <c r="B407" s="14"/>
      <c r="C407" s="13"/>
      <c r="D407" s="13"/>
      <c r="E407" s="13"/>
      <c r="F407" s="13"/>
      <c r="G407" s="13"/>
      <c r="H407" s="13"/>
      <c r="I407" s="13"/>
      <c r="J407" s="14"/>
      <c r="K407" s="14"/>
      <c r="L407" s="14"/>
      <c r="M407" s="14"/>
      <c r="N407" s="23"/>
      <c r="O407" s="14"/>
      <c r="P407" s="14"/>
      <c r="Q407" s="14"/>
      <c r="R407" s="14"/>
      <c r="S407" s="14"/>
      <c r="T407" s="14"/>
      <c r="U407" s="14"/>
      <c r="V407" s="14"/>
      <c r="W407" s="14"/>
      <c r="X407" s="14"/>
      <c r="Y407" s="14"/>
      <c r="Z407" s="14"/>
      <c r="AA407" s="14"/>
      <c r="AB407" s="14"/>
    </row>
    <row r="408" spans="1:28" x14ac:dyDescent="0.25">
      <c r="A408" s="14"/>
      <c r="B408" s="14"/>
      <c r="C408" s="13"/>
      <c r="D408" s="13"/>
      <c r="E408" s="13"/>
      <c r="F408" s="13"/>
      <c r="G408" s="13"/>
      <c r="H408" s="13"/>
      <c r="I408" s="13"/>
      <c r="J408" s="14"/>
      <c r="K408" s="14"/>
      <c r="L408" s="14"/>
      <c r="M408" s="14"/>
      <c r="N408" s="23"/>
      <c r="O408" s="14"/>
      <c r="P408" s="14"/>
      <c r="Q408" s="14"/>
      <c r="R408" s="14"/>
      <c r="S408" s="14"/>
      <c r="T408" s="14"/>
      <c r="U408" s="14"/>
      <c r="V408" s="14"/>
      <c r="W408" s="14"/>
      <c r="X408" s="14"/>
      <c r="Y408" s="14"/>
      <c r="Z408" s="14"/>
      <c r="AA408" s="14"/>
      <c r="AB408" s="14"/>
    </row>
    <row r="409" spans="1:28" x14ac:dyDescent="0.25">
      <c r="A409" s="14"/>
      <c r="B409" s="14"/>
      <c r="C409" s="13"/>
      <c r="D409" s="13"/>
      <c r="E409" s="13"/>
      <c r="F409" s="13"/>
      <c r="G409" s="13"/>
      <c r="H409" s="13"/>
      <c r="I409" s="13"/>
      <c r="J409" s="14"/>
      <c r="K409" s="14"/>
      <c r="L409" s="14"/>
      <c r="M409" s="14"/>
      <c r="N409" s="23"/>
      <c r="O409" s="14"/>
      <c r="P409" s="14"/>
      <c r="Q409" s="14"/>
      <c r="R409" s="14"/>
      <c r="S409" s="14"/>
      <c r="T409" s="14"/>
      <c r="U409" s="14"/>
      <c r="V409" s="14"/>
      <c r="W409" s="14"/>
      <c r="X409" s="14"/>
      <c r="Y409" s="14"/>
      <c r="Z409" s="14"/>
      <c r="AA409" s="14"/>
      <c r="AB409" s="14"/>
    </row>
    <row r="410" spans="1:28" x14ac:dyDescent="0.25">
      <c r="A410" s="14"/>
      <c r="B410" s="14"/>
      <c r="C410" s="13"/>
      <c r="D410" s="13"/>
      <c r="E410" s="13"/>
      <c r="F410" s="13"/>
      <c r="G410" s="13"/>
      <c r="H410" s="13"/>
      <c r="I410" s="13"/>
      <c r="J410" s="14"/>
      <c r="K410" s="14"/>
      <c r="L410" s="14"/>
      <c r="M410" s="14"/>
      <c r="N410" s="23"/>
      <c r="O410" s="14"/>
      <c r="P410" s="14"/>
      <c r="Q410" s="14"/>
      <c r="R410" s="14"/>
      <c r="S410" s="14"/>
      <c r="T410" s="14"/>
      <c r="U410" s="14"/>
      <c r="V410" s="14"/>
      <c r="W410" s="14"/>
      <c r="X410" s="14"/>
      <c r="Y410" s="14"/>
      <c r="Z410" s="14"/>
      <c r="AA410" s="14"/>
      <c r="AB410" s="14"/>
    </row>
    <row r="411" spans="1:28" x14ac:dyDescent="0.25">
      <c r="A411" s="14"/>
      <c r="B411" s="14"/>
      <c r="C411" s="13"/>
      <c r="D411" s="13"/>
      <c r="E411" s="13"/>
      <c r="F411" s="13"/>
      <c r="G411" s="13"/>
      <c r="H411" s="13"/>
      <c r="I411" s="13"/>
      <c r="J411" s="14"/>
      <c r="K411" s="14"/>
      <c r="L411" s="14"/>
      <c r="M411" s="14"/>
      <c r="N411" s="23"/>
      <c r="O411" s="14"/>
      <c r="P411" s="14"/>
      <c r="Q411" s="14"/>
      <c r="R411" s="14"/>
      <c r="S411" s="14"/>
      <c r="T411" s="14"/>
      <c r="U411" s="14"/>
      <c r="V411" s="14"/>
      <c r="W411" s="14"/>
      <c r="X411" s="14"/>
      <c r="Y411" s="14"/>
      <c r="Z411" s="14"/>
      <c r="AA411" s="14"/>
      <c r="AB411" s="14"/>
    </row>
    <row r="412" spans="1:28" x14ac:dyDescent="0.25">
      <c r="A412" s="14"/>
      <c r="B412" s="14"/>
      <c r="C412" s="13"/>
      <c r="D412" s="13"/>
      <c r="E412" s="13"/>
      <c r="F412" s="13"/>
      <c r="G412" s="13"/>
      <c r="H412" s="13"/>
      <c r="I412" s="13"/>
      <c r="J412" s="14"/>
      <c r="K412" s="14"/>
      <c r="L412" s="14"/>
      <c r="M412" s="14"/>
      <c r="N412" s="23"/>
      <c r="O412" s="14"/>
      <c r="P412" s="14"/>
      <c r="Q412" s="14"/>
      <c r="R412" s="14"/>
      <c r="S412" s="14"/>
      <c r="T412" s="14"/>
      <c r="U412" s="14"/>
      <c r="V412" s="14"/>
      <c r="W412" s="14"/>
      <c r="X412" s="14"/>
      <c r="Y412" s="14"/>
      <c r="Z412" s="14"/>
      <c r="AA412" s="14"/>
      <c r="AB412" s="14"/>
    </row>
    <row r="413" spans="1:28" x14ac:dyDescent="0.25">
      <c r="A413" s="14"/>
      <c r="B413" s="14"/>
      <c r="C413" s="13"/>
      <c r="D413" s="13"/>
      <c r="E413" s="13"/>
      <c r="F413" s="13"/>
      <c r="G413" s="13"/>
      <c r="H413" s="13"/>
      <c r="I413" s="13"/>
      <c r="J413" s="14"/>
      <c r="K413" s="14"/>
      <c r="L413" s="14"/>
      <c r="M413" s="14"/>
      <c r="N413" s="23"/>
      <c r="O413" s="14"/>
      <c r="P413" s="14"/>
      <c r="Q413" s="14"/>
      <c r="R413" s="14"/>
      <c r="S413" s="14"/>
      <c r="T413" s="14"/>
      <c r="U413" s="14"/>
      <c r="V413" s="14"/>
      <c r="W413" s="14"/>
      <c r="X413" s="14"/>
      <c r="Y413" s="14"/>
      <c r="Z413" s="14"/>
      <c r="AA413" s="14"/>
      <c r="AB413" s="14"/>
    </row>
    <row r="414" spans="1:28" x14ac:dyDescent="0.25">
      <c r="A414" s="14"/>
      <c r="B414" s="14"/>
      <c r="C414" s="13"/>
      <c r="D414" s="13"/>
      <c r="E414" s="13"/>
      <c r="F414" s="13"/>
      <c r="G414" s="13"/>
      <c r="H414" s="13"/>
      <c r="I414" s="13"/>
      <c r="J414" s="14"/>
      <c r="K414" s="14"/>
      <c r="L414" s="14"/>
      <c r="M414" s="14"/>
      <c r="N414" s="23"/>
      <c r="O414" s="14"/>
      <c r="P414" s="14"/>
      <c r="Q414" s="14"/>
      <c r="R414" s="14"/>
      <c r="S414" s="14"/>
      <c r="T414" s="14"/>
      <c r="U414" s="14"/>
      <c r="V414" s="14"/>
      <c r="W414" s="14"/>
      <c r="X414" s="14"/>
      <c r="Y414" s="14"/>
      <c r="Z414" s="14"/>
      <c r="AA414" s="14"/>
      <c r="AB414" s="14"/>
    </row>
    <row r="415" spans="1:28" x14ac:dyDescent="0.25">
      <c r="A415" s="14"/>
      <c r="B415" s="14"/>
      <c r="C415" s="13"/>
      <c r="D415" s="13"/>
      <c r="E415" s="13"/>
      <c r="F415" s="13"/>
      <c r="G415" s="13"/>
      <c r="H415" s="13"/>
      <c r="I415" s="13"/>
      <c r="J415" s="14"/>
      <c r="K415" s="14"/>
      <c r="L415" s="14"/>
      <c r="M415" s="14"/>
      <c r="N415" s="23"/>
      <c r="O415" s="14"/>
      <c r="P415" s="14"/>
      <c r="Q415" s="14"/>
      <c r="R415" s="14"/>
      <c r="S415" s="14"/>
      <c r="T415" s="14"/>
      <c r="U415" s="14"/>
      <c r="V415" s="14"/>
      <c r="W415" s="14"/>
      <c r="X415" s="14"/>
      <c r="Y415" s="14"/>
      <c r="Z415" s="14"/>
      <c r="AA415" s="14"/>
      <c r="AB415" s="14"/>
    </row>
    <row r="416" spans="1:28" x14ac:dyDescent="0.25">
      <c r="A416" s="14"/>
      <c r="B416" s="14"/>
      <c r="C416" s="13"/>
      <c r="D416" s="13"/>
      <c r="E416" s="13"/>
      <c r="F416" s="13"/>
      <c r="G416" s="13"/>
      <c r="H416" s="13"/>
      <c r="I416" s="13"/>
      <c r="J416" s="14"/>
      <c r="K416" s="14"/>
      <c r="L416" s="14"/>
      <c r="M416" s="14"/>
      <c r="N416" s="23"/>
      <c r="O416" s="14"/>
      <c r="P416" s="14"/>
      <c r="Q416" s="14"/>
      <c r="R416" s="14"/>
      <c r="S416" s="14"/>
      <c r="T416" s="14"/>
      <c r="U416" s="14"/>
      <c r="V416" s="14"/>
      <c r="W416" s="14"/>
      <c r="X416" s="14"/>
      <c r="Y416" s="14"/>
      <c r="Z416" s="14"/>
      <c r="AA416" s="14"/>
      <c r="AB416" s="14"/>
    </row>
    <row r="417" spans="1:28" x14ac:dyDescent="0.25">
      <c r="A417" s="14"/>
      <c r="B417" s="14"/>
      <c r="C417" s="13"/>
      <c r="D417" s="13"/>
      <c r="E417" s="13"/>
      <c r="F417" s="13"/>
      <c r="G417" s="13"/>
      <c r="H417" s="13"/>
      <c r="I417" s="13"/>
      <c r="J417" s="14"/>
      <c r="K417" s="14"/>
      <c r="L417" s="14"/>
      <c r="M417" s="14"/>
      <c r="N417" s="23"/>
      <c r="O417" s="14"/>
      <c r="P417" s="14"/>
      <c r="Q417" s="14"/>
      <c r="R417" s="14"/>
      <c r="S417" s="14"/>
      <c r="T417" s="14"/>
      <c r="U417" s="14"/>
      <c r="V417" s="14"/>
      <c r="W417" s="14"/>
      <c r="X417" s="14"/>
      <c r="Y417" s="14"/>
      <c r="Z417" s="14"/>
      <c r="AA417" s="14"/>
      <c r="AB417" s="14"/>
    </row>
    <row r="418" spans="1:28" x14ac:dyDescent="0.25">
      <c r="A418" s="14"/>
      <c r="B418" s="14"/>
      <c r="C418" s="13"/>
      <c r="D418" s="13"/>
      <c r="E418" s="13"/>
      <c r="F418" s="13"/>
      <c r="G418" s="13"/>
      <c r="H418" s="13"/>
      <c r="I418" s="13"/>
      <c r="J418" s="14"/>
      <c r="K418" s="14"/>
      <c r="L418" s="14"/>
      <c r="M418" s="14"/>
      <c r="N418" s="23"/>
      <c r="O418" s="14"/>
      <c r="P418" s="14"/>
      <c r="Q418" s="14"/>
      <c r="R418" s="14"/>
      <c r="S418" s="14"/>
      <c r="T418" s="14"/>
      <c r="U418" s="14"/>
      <c r="V418" s="14"/>
      <c r="W418" s="14"/>
      <c r="X418" s="14"/>
      <c r="Y418" s="14"/>
      <c r="Z418" s="14"/>
      <c r="AA418" s="14"/>
      <c r="AB418" s="14"/>
    </row>
    <row r="419" spans="1:28" x14ac:dyDescent="0.25">
      <c r="A419" s="14"/>
      <c r="B419" s="14"/>
      <c r="C419" s="13"/>
      <c r="D419" s="13"/>
      <c r="E419" s="13"/>
      <c r="F419" s="13"/>
      <c r="G419" s="13"/>
      <c r="H419" s="13"/>
      <c r="I419" s="13"/>
      <c r="J419" s="14"/>
      <c r="K419" s="14"/>
      <c r="L419" s="14"/>
      <c r="M419" s="14"/>
      <c r="N419" s="23"/>
      <c r="O419" s="14"/>
      <c r="P419" s="14"/>
      <c r="Q419" s="14"/>
      <c r="R419" s="14"/>
      <c r="S419" s="14"/>
      <c r="T419" s="14"/>
      <c r="U419" s="14"/>
      <c r="V419" s="14"/>
      <c r="W419" s="14"/>
      <c r="X419" s="14"/>
      <c r="Y419" s="14"/>
      <c r="Z419" s="14"/>
      <c r="AA419" s="14"/>
      <c r="AB419" s="14"/>
    </row>
    <row r="420" spans="1:28" x14ac:dyDescent="0.25">
      <c r="A420" s="14"/>
      <c r="B420" s="14"/>
      <c r="C420" s="13"/>
      <c r="D420" s="13"/>
      <c r="E420" s="13"/>
      <c r="F420" s="13"/>
      <c r="G420" s="13"/>
      <c r="H420" s="13"/>
      <c r="I420" s="13"/>
      <c r="J420" s="14"/>
      <c r="K420" s="14"/>
      <c r="L420" s="14"/>
      <c r="M420" s="14"/>
      <c r="N420" s="23"/>
      <c r="O420" s="14"/>
      <c r="P420" s="14"/>
      <c r="Q420" s="14"/>
      <c r="R420" s="14"/>
      <c r="S420" s="14"/>
      <c r="T420" s="14"/>
      <c r="U420" s="14"/>
      <c r="V420" s="14"/>
      <c r="W420" s="14"/>
      <c r="X420" s="14"/>
      <c r="Y420" s="14"/>
      <c r="Z420" s="14"/>
      <c r="AA420" s="14"/>
      <c r="AB420" s="14"/>
    </row>
    <row r="421" spans="1:28" x14ac:dyDescent="0.25">
      <c r="A421" s="14"/>
      <c r="B421" s="14"/>
      <c r="C421" s="13"/>
      <c r="D421" s="13"/>
      <c r="E421" s="13"/>
      <c r="F421" s="13"/>
      <c r="G421" s="13"/>
      <c r="H421" s="13"/>
      <c r="I421" s="13"/>
      <c r="J421" s="14"/>
      <c r="K421" s="14"/>
      <c r="L421" s="14"/>
      <c r="M421" s="14"/>
      <c r="N421" s="23"/>
      <c r="O421" s="14"/>
      <c r="P421" s="14"/>
      <c r="Q421" s="14"/>
      <c r="R421" s="14"/>
      <c r="S421" s="14"/>
      <c r="T421" s="14"/>
      <c r="U421" s="14"/>
      <c r="V421" s="14"/>
      <c r="W421" s="14"/>
      <c r="X421" s="14"/>
      <c r="Y421" s="14"/>
      <c r="Z421" s="14"/>
      <c r="AA421" s="14"/>
      <c r="AB421" s="14"/>
    </row>
    <row r="422" spans="1:28" x14ac:dyDescent="0.25">
      <c r="A422" s="14"/>
      <c r="B422" s="14"/>
      <c r="C422" s="13"/>
      <c r="D422" s="13"/>
      <c r="E422" s="13"/>
      <c r="F422" s="13"/>
      <c r="G422" s="13"/>
      <c r="H422" s="13"/>
      <c r="I422" s="13"/>
      <c r="J422" s="14"/>
      <c r="K422" s="14"/>
      <c r="L422" s="14"/>
      <c r="M422" s="14"/>
      <c r="N422" s="23"/>
      <c r="O422" s="14"/>
      <c r="P422" s="14"/>
      <c r="Q422" s="14"/>
      <c r="R422" s="14"/>
      <c r="S422" s="14"/>
      <c r="T422" s="14"/>
      <c r="U422" s="14"/>
      <c r="V422" s="14"/>
      <c r="W422" s="14"/>
      <c r="X422" s="14"/>
      <c r="Y422" s="14"/>
      <c r="Z422" s="14"/>
      <c r="AA422" s="14"/>
      <c r="AB422" s="14"/>
    </row>
    <row r="423" spans="1:28" x14ac:dyDescent="0.25">
      <c r="A423" s="14"/>
      <c r="B423" s="14"/>
      <c r="C423" s="13"/>
      <c r="D423" s="13"/>
      <c r="E423" s="13"/>
      <c r="F423" s="13"/>
      <c r="G423" s="13"/>
      <c r="H423" s="13"/>
      <c r="I423" s="13"/>
      <c r="J423" s="14"/>
      <c r="K423" s="14"/>
      <c r="L423" s="14"/>
      <c r="M423" s="14"/>
      <c r="N423" s="23"/>
      <c r="O423" s="14"/>
      <c r="P423" s="14"/>
      <c r="Q423" s="14"/>
      <c r="R423" s="14"/>
      <c r="S423" s="14"/>
      <c r="T423" s="14"/>
      <c r="U423" s="14"/>
      <c r="V423" s="14"/>
      <c r="W423" s="14"/>
      <c r="X423" s="14"/>
      <c r="Y423" s="14"/>
      <c r="Z423" s="14"/>
      <c r="AA423" s="14"/>
      <c r="AB423" s="14"/>
    </row>
    <row r="424" spans="1:28" x14ac:dyDescent="0.25">
      <c r="A424" s="14"/>
      <c r="B424" s="14"/>
      <c r="C424" s="13"/>
      <c r="D424" s="13"/>
      <c r="E424" s="13"/>
      <c r="F424" s="13"/>
      <c r="G424" s="13"/>
      <c r="H424" s="13"/>
      <c r="I424" s="13"/>
      <c r="J424" s="14"/>
      <c r="K424" s="14"/>
      <c r="L424" s="14"/>
      <c r="M424" s="14"/>
      <c r="N424" s="23"/>
      <c r="O424" s="14"/>
      <c r="P424" s="14"/>
      <c r="Q424" s="14"/>
      <c r="R424" s="14"/>
      <c r="S424" s="14"/>
      <c r="T424" s="14"/>
      <c r="U424" s="14"/>
      <c r="V424" s="14"/>
      <c r="W424" s="14"/>
      <c r="X424" s="14"/>
      <c r="Y424" s="14"/>
      <c r="Z424" s="14"/>
      <c r="AA424" s="14"/>
      <c r="AB424" s="14"/>
    </row>
    <row r="425" spans="1:28" x14ac:dyDescent="0.25">
      <c r="A425" s="14"/>
      <c r="B425" s="14"/>
      <c r="C425" s="13"/>
      <c r="D425" s="13"/>
      <c r="E425" s="13"/>
      <c r="F425" s="13"/>
      <c r="G425" s="13"/>
      <c r="H425" s="13"/>
      <c r="I425" s="13"/>
      <c r="J425" s="14"/>
      <c r="K425" s="14"/>
      <c r="L425" s="14"/>
      <c r="M425" s="14"/>
      <c r="N425" s="23"/>
      <c r="O425" s="14"/>
      <c r="P425" s="14"/>
      <c r="Q425" s="14"/>
      <c r="R425" s="14"/>
      <c r="S425" s="14"/>
      <c r="T425" s="14"/>
      <c r="U425" s="14"/>
      <c r="V425" s="14"/>
      <c r="W425" s="14"/>
      <c r="X425" s="14"/>
      <c r="Y425" s="14"/>
      <c r="Z425" s="14"/>
      <c r="AA425" s="14"/>
      <c r="AB425" s="14"/>
    </row>
    <row r="426" spans="1:28" x14ac:dyDescent="0.25">
      <c r="A426" s="14"/>
      <c r="B426" s="14"/>
      <c r="C426" s="13"/>
      <c r="D426" s="13"/>
      <c r="E426" s="13"/>
      <c r="F426" s="13"/>
      <c r="G426" s="13"/>
      <c r="H426" s="13"/>
      <c r="I426" s="13"/>
      <c r="J426" s="14"/>
      <c r="K426" s="14"/>
      <c r="L426" s="14"/>
      <c r="M426" s="14"/>
      <c r="N426" s="23"/>
      <c r="O426" s="14"/>
      <c r="P426" s="14"/>
      <c r="Q426" s="14"/>
      <c r="R426" s="14"/>
      <c r="S426" s="14"/>
      <c r="T426" s="14"/>
      <c r="U426" s="14"/>
      <c r="V426" s="14"/>
      <c r="W426" s="14"/>
      <c r="X426" s="14"/>
      <c r="Y426" s="14"/>
      <c r="Z426" s="14"/>
      <c r="AA426" s="14"/>
      <c r="AB426" s="14"/>
    </row>
    <row r="427" spans="1:28" x14ac:dyDescent="0.25">
      <c r="A427" s="14"/>
      <c r="B427" s="14"/>
      <c r="C427" s="13"/>
      <c r="D427" s="13"/>
      <c r="E427" s="13"/>
      <c r="F427" s="13"/>
      <c r="G427" s="13"/>
      <c r="H427" s="13"/>
      <c r="I427" s="13"/>
      <c r="J427" s="14"/>
      <c r="K427" s="14"/>
      <c r="L427" s="14"/>
      <c r="M427" s="14"/>
      <c r="N427" s="23"/>
      <c r="O427" s="14"/>
      <c r="P427" s="14"/>
      <c r="Q427" s="14"/>
      <c r="R427" s="14"/>
      <c r="S427" s="14"/>
      <c r="T427" s="14"/>
      <c r="U427" s="14"/>
      <c r="V427" s="14"/>
      <c r="W427" s="14"/>
      <c r="X427" s="14"/>
      <c r="Y427" s="14"/>
      <c r="Z427" s="14"/>
      <c r="AA427" s="14"/>
      <c r="AB427" s="14"/>
    </row>
    <row r="428" spans="1:28" x14ac:dyDescent="0.25">
      <c r="A428" s="14"/>
      <c r="B428" s="14"/>
      <c r="C428" s="13"/>
      <c r="D428" s="13"/>
      <c r="E428" s="13"/>
      <c r="F428" s="13"/>
      <c r="G428" s="13"/>
      <c r="H428" s="13"/>
      <c r="I428" s="13"/>
      <c r="J428" s="14"/>
      <c r="K428" s="14"/>
      <c r="L428" s="14"/>
      <c r="M428" s="14"/>
      <c r="N428" s="23"/>
      <c r="O428" s="14"/>
      <c r="P428" s="14"/>
      <c r="Q428" s="14"/>
      <c r="R428" s="14"/>
      <c r="S428" s="14"/>
      <c r="T428" s="14"/>
      <c r="U428" s="14"/>
      <c r="V428" s="14"/>
      <c r="W428" s="14"/>
      <c r="X428" s="14"/>
      <c r="Y428" s="14"/>
      <c r="Z428" s="14"/>
      <c r="AA428" s="14"/>
      <c r="AB428" s="14"/>
    </row>
    <row r="429" spans="1:28" x14ac:dyDescent="0.25">
      <c r="A429" s="14"/>
      <c r="B429" s="14"/>
      <c r="C429" s="13"/>
      <c r="D429" s="13"/>
      <c r="E429" s="13"/>
      <c r="F429" s="13"/>
      <c r="G429" s="13"/>
      <c r="H429" s="13"/>
      <c r="I429" s="13"/>
      <c r="J429" s="14"/>
      <c r="K429" s="14"/>
      <c r="L429" s="14"/>
      <c r="M429" s="14"/>
      <c r="N429" s="23"/>
      <c r="O429" s="14"/>
      <c r="P429" s="14"/>
      <c r="Q429" s="14"/>
      <c r="R429" s="14"/>
      <c r="S429" s="14"/>
      <c r="T429" s="14"/>
      <c r="U429" s="14"/>
      <c r="V429" s="14"/>
      <c r="W429" s="14"/>
      <c r="X429" s="14"/>
      <c r="Y429" s="14"/>
      <c r="Z429" s="14"/>
      <c r="AA429" s="14"/>
      <c r="AB429" s="14"/>
    </row>
    <row r="430" spans="1:28" x14ac:dyDescent="0.25">
      <c r="A430" s="14"/>
      <c r="B430" s="14"/>
      <c r="C430" s="13"/>
      <c r="D430" s="13"/>
      <c r="E430" s="13"/>
      <c r="F430" s="13"/>
      <c r="G430" s="13"/>
      <c r="H430" s="13"/>
      <c r="I430" s="13"/>
      <c r="J430" s="14"/>
      <c r="K430" s="14"/>
      <c r="L430" s="14"/>
      <c r="M430" s="14"/>
      <c r="N430" s="23"/>
      <c r="O430" s="14"/>
      <c r="P430" s="14"/>
      <c r="Q430" s="14"/>
      <c r="R430" s="14"/>
      <c r="S430" s="14"/>
      <c r="T430" s="14"/>
      <c r="U430" s="14"/>
      <c r="V430" s="14"/>
      <c r="W430" s="14"/>
      <c r="X430" s="14"/>
      <c r="Y430" s="14"/>
      <c r="Z430" s="14"/>
      <c r="AA430" s="14"/>
      <c r="AB430" s="14"/>
    </row>
    <row r="431" spans="1:28" x14ac:dyDescent="0.25">
      <c r="A431" s="14"/>
      <c r="B431" s="14"/>
      <c r="C431" s="13"/>
      <c r="D431" s="13"/>
      <c r="E431" s="13"/>
      <c r="F431" s="13"/>
      <c r="G431" s="13"/>
      <c r="H431" s="13"/>
      <c r="I431" s="13"/>
      <c r="J431" s="14"/>
      <c r="K431" s="14"/>
      <c r="L431" s="14"/>
      <c r="M431" s="14"/>
      <c r="N431" s="23"/>
      <c r="O431" s="14"/>
      <c r="P431" s="14"/>
      <c r="Q431" s="14"/>
      <c r="R431" s="14"/>
      <c r="S431" s="14"/>
      <c r="T431" s="14"/>
      <c r="U431" s="14"/>
      <c r="V431" s="14"/>
      <c r="W431" s="14"/>
      <c r="X431" s="14"/>
      <c r="Y431" s="14"/>
      <c r="Z431" s="14"/>
      <c r="AA431" s="14"/>
      <c r="AB431" s="14"/>
    </row>
    <row r="432" spans="1:28" x14ac:dyDescent="0.25">
      <c r="A432" s="14"/>
      <c r="B432" s="14"/>
      <c r="C432" s="13"/>
      <c r="D432" s="13"/>
      <c r="E432" s="13"/>
      <c r="F432" s="13"/>
      <c r="G432" s="13"/>
      <c r="H432" s="13"/>
      <c r="I432" s="13"/>
      <c r="J432" s="14"/>
      <c r="K432" s="14"/>
      <c r="L432" s="14"/>
      <c r="M432" s="14"/>
      <c r="N432" s="23"/>
      <c r="O432" s="14"/>
      <c r="P432" s="14"/>
      <c r="Q432" s="14"/>
      <c r="R432" s="14"/>
      <c r="S432" s="14"/>
      <c r="T432" s="14"/>
      <c r="U432" s="14"/>
      <c r="V432" s="14"/>
      <c r="W432" s="14"/>
      <c r="X432" s="14"/>
      <c r="Y432" s="14"/>
      <c r="Z432" s="14"/>
      <c r="AA432" s="14"/>
      <c r="AB432" s="14"/>
    </row>
    <row r="433" spans="1:28" x14ac:dyDescent="0.25">
      <c r="A433" s="14"/>
      <c r="B433" s="14"/>
      <c r="C433" s="13"/>
      <c r="D433" s="13"/>
      <c r="E433" s="13"/>
      <c r="F433" s="13"/>
      <c r="G433" s="13"/>
      <c r="H433" s="13"/>
      <c r="I433" s="13"/>
      <c r="J433" s="14"/>
      <c r="K433" s="14"/>
      <c r="L433" s="14"/>
      <c r="M433" s="14"/>
      <c r="N433" s="23"/>
      <c r="O433" s="14"/>
      <c r="P433" s="14"/>
      <c r="Q433" s="14"/>
      <c r="R433" s="14"/>
      <c r="S433" s="14"/>
      <c r="T433" s="14"/>
      <c r="U433" s="14"/>
      <c r="V433" s="14"/>
      <c r="W433" s="14"/>
      <c r="X433" s="14"/>
      <c r="Y433" s="14"/>
      <c r="Z433" s="14"/>
      <c r="AA433" s="14"/>
      <c r="AB433" s="14"/>
    </row>
    <row r="434" spans="1:28" x14ac:dyDescent="0.25">
      <c r="A434" s="14"/>
      <c r="B434" s="14"/>
      <c r="C434" s="13"/>
      <c r="D434" s="13"/>
      <c r="E434" s="13"/>
      <c r="F434" s="13"/>
      <c r="G434" s="13"/>
      <c r="H434" s="13"/>
      <c r="I434" s="13"/>
      <c r="J434" s="14"/>
      <c r="K434" s="14"/>
      <c r="L434" s="14"/>
      <c r="M434" s="14"/>
      <c r="N434" s="23"/>
      <c r="O434" s="14"/>
      <c r="P434" s="14"/>
      <c r="Q434" s="14"/>
      <c r="R434" s="14"/>
      <c r="S434" s="14"/>
      <c r="T434" s="14"/>
      <c r="U434" s="14"/>
      <c r="V434" s="14"/>
      <c r="W434" s="14"/>
      <c r="X434" s="14"/>
      <c r="Y434" s="14"/>
      <c r="Z434" s="14"/>
      <c r="AA434" s="14"/>
      <c r="AB434" s="14"/>
    </row>
    <row r="435" spans="1:28" x14ac:dyDescent="0.25">
      <c r="A435" s="14"/>
      <c r="B435" s="14"/>
      <c r="C435" s="13"/>
      <c r="D435" s="13"/>
      <c r="E435" s="13"/>
      <c r="F435" s="13"/>
      <c r="G435" s="13"/>
      <c r="H435" s="13"/>
      <c r="I435" s="13"/>
      <c r="J435" s="14"/>
      <c r="K435" s="14"/>
      <c r="L435" s="14"/>
      <c r="M435" s="14"/>
      <c r="N435" s="23"/>
      <c r="O435" s="14"/>
      <c r="P435" s="14"/>
      <c r="Q435" s="14"/>
      <c r="R435" s="14"/>
      <c r="S435" s="14"/>
      <c r="T435" s="14"/>
      <c r="U435" s="14"/>
      <c r="V435" s="14"/>
      <c r="W435" s="14"/>
      <c r="X435" s="14"/>
      <c r="Y435" s="14"/>
      <c r="Z435" s="14"/>
      <c r="AA435" s="14"/>
      <c r="AB435" s="14"/>
    </row>
    <row r="436" spans="1:28" x14ac:dyDescent="0.25">
      <c r="A436" s="14"/>
      <c r="B436" s="14"/>
      <c r="C436" s="13"/>
      <c r="D436" s="13"/>
      <c r="E436" s="13"/>
      <c r="F436" s="13"/>
      <c r="G436" s="13"/>
      <c r="H436" s="13"/>
      <c r="I436" s="13"/>
      <c r="J436" s="14"/>
      <c r="K436" s="14"/>
      <c r="L436" s="14"/>
      <c r="M436" s="14"/>
      <c r="N436" s="23"/>
      <c r="O436" s="14"/>
      <c r="P436" s="14"/>
      <c r="Q436" s="14"/>
      <c r="R436" s="14"/>
      <c r="S436" s="14"/>
      <c r="T436" s="14"/>
      <c r="U436" s="14"/>
      <c r="V436" s="14"/>
      <c r="W436" s="14"/>
      <c r="X436" s="14"/>
      <c r="Y436" s="14"/>
      <c r="Z436" s="14"/>
      <c r="AA436" s="14"/>
      <c r="AB436" s="14"/>
    </row>
    <row r="437" spans="1:28" x14ac:dyDescent="0.25">
      <c r="A437" s="14"/>
      <c r="B437" s="14"/>
      <c r="C437" s="13"/>
      <c r="D437" s="13"/>
      <c r="E437" s="13"/>
      <c r="F437" s="13"/>
      <c r="G437" s="13"/>
      <c r="H437" s="13"/>
      <c r="I437" s="13"/>
      <c r="J437" s="14"/>
      <c r="K437" s="14"/>
      <c r="L437" s="14"/>
      <c r="M437" s="14"/>
      <c r="N437" s="23"/>
      <c r="O437" s="14"/>
      <c r="P437" s="14"/>
      <c r="Q437" s="14"/>
      <c r="R437" s="14"/>
      <c r="S437" s="14"/>
      <c r="T437" s="14"/>
      <c r="U437" s="14"/>
      <c r="V437" s="14"/>
      <c r="W437" s="14"/>
      <c r="X437" s="14"/>
      <c r="Y437" s="14"/>
      <c r="Z437" s="14"/>
      <c r="AA437" s="14"/>
      <c r="AB437" s="14"/>
    </row>
    <row r="438" spans="1:28" x14ac:dyDescent="0.25">
      <c r="A438" s="14"/>
      <c r="B438" s="14"/>
      <c r="C438" s="13"/>
      <c r="D438" s="13"/>
      <c r="E438" s="13"/>
      <c r="F438" s="13"/>
      <c r="G438" s="13"/>
      <c r="H438" s="13"/>
      <c r="I438" s="13"/>
      <c r="J438" s="14"/>
      <c r="K438" s="14"/>
      <c r="L438" s="14"/>
      <c r="M438" s="14"/>
      <c r="N438" s="23"/>
      <c r="O438" s="14"/>
      <c r="P438" s="14"/>
      <c r="Q438" s="14"/>
      <c r="R438" s="14"/>
      <c r="S438" s="14"/>
      <c r="T438" s="14"/>
      <c r="U438" s="14"/>
      <c r="V438" s="14"/>
      <c r="W438" s="14"/>
      <c r="X438" s="14"/>
      <c r="Y438" s="14"/>
      <c r="Z438" s="14"/>
      <c r="AA438" s="14"/>
      <c r="AB438" s="14"/>
    </row>
    <row r="439" spans="1:28" x14ac:dyDescent="0.25">
      <c r="A439" s="14"/>
      <c r="B439" s="14"/>
      <c r="C439" s="13"/>
      <c r="D439" s="13"/>
      <c r="E439" s="13"/>
      <c r="F439" s="13"/>
      <c r="G439" s="13"/>
      <c r="H439" s="13"/>
      <c r="I439" s="13"/>
      <c r="J439" s="14"/>
      <c r="K439" s="14"/>
      <c r="L439" s="14"/>
      <c r="M439" s="14"/>
      <c r="N439" s="23"/>
      <c r="O439" s="14"/>
      <c r="P439" s="14"/>
      <c r="Q439" s="14"/>
      <c r="R439" s="14"/>
      <c r="S439" s="14"/>
      <c r="T439" s="14"/>
      <c r="U439" s="14"/>
      <c r="V439" s="14"/>
      <c r="W439" s="14"/>
      <c r="X439" s="14"/>
      <c r="Y439" s="14"/>
      <c r="Z439" s="14"/>
      <c r="AA439" s="14"/>
      <c r="AB439" s="14"/>
    </row>
    <row r="440" spans="1:28" x14ac:dyDescent="0.25">
      <c r="A440" s="14"/>
      <c r="B440" s="14"/>
      <c r="C440" s="13"/>
      <c r="D440" s="13"/>
      <c r="E440" s="13"/>
      <c r="F440" s="13"/>
      <c r="G440" s="13"/>
      <c r="H440" s="13"/>
      <c r="I440" s="13"/>
      <c r="J440" s="14"/>
      <c r="K440" s="14"/>
      <c r="L440" s="14"/>
      <c r="M440" s="14"/>
      <c r="N440" s="23"/>
      <c r="O440" s="14"/>
      <c r="P440" s="14"/>
      <c r="Q440" s="14"/>
      <c r="R440" s="14"/>
      <c r="S440" s="14"/>
      <c r="T440" s="14"/>
      <c r="U440" s="14"/>
      <c r="V440" s="14"/>
      <c r="W440" s="14"/>
      <c r="X440" s="14"/>
      <c r="Y440" s="14"/>
      <c r="Z440" s="14"/>
      <c r="AA440" s="14"/>
      <c r="AB440" s="14"/>
    </row>
    <row r="441" spans="1:28" x14ac:dyDescent="0.25">
      <c r="A441" s="14"/>
      <c r="B441" s="14"/>
      <c r="C441" s="13"/>
      <c r="D441" s="13"/>
      <c r="E441" s="13"/>
      <c r="F441" s="13"/>
      <c r="G441" s="13"/>
      <c r="H441" s="13"/>
      <c r="I441" s="13"/>
      <c r="J441" s="14"/>
      <c r="K441" s="14"/>
      <c r="L441" s="14"/>
      <c r="M441" s="14"/>
      <c r="N441" s="23"/>
      <c r="O441" s="14"/>
      <c r="P441" s="14"/>
      <c r="Q441" s="14"/>
      <c r="R441" s="14"/>
      <c r="S441" s="14"/>
      <c r="T441" s="14"/>
      <c r="U441" s="14"/>
      <c r="V441" s="14"/>
      <c r="W441" s="14"/>
      <c r="X441" s="14"/>
      <c r="Y441" s="14"/>
      <c r="Z441" s="14"/>
      <c r="AA441" s="14"/>
      <c r="AB441" s="14"/>
    </row>
    <row r="442" spans="1:28" x14ac:dyDescent="0.25">
      <c r="A442" s="14"/>
      <c r="B442" s="14"/>
      <c r="C442" s="13"/>
      <c r="D442" s="13"/>
      <c r="E442" s="13"/>
      <c r="F442" s="13"/>
      <c r="G442" s="13"/>
      <c r="H442" s="13"/>
      <c r="I442" s="13"/>
      <c r="J442" s="14"/>
      <c r="K442" s="14"/>
      <c r="L442" s="14"/>
      <c r="M442" s="14"/>
      <c r="N442" s="23"/>
      <c r="O442" s="14"/>
      <c r="P442" s="14"/>
      <c r="Q442" s="14"/>
      <c r="R442" s="14"/>
      <c r="S442" s="14"/>
      <c r="T442" s="14"/>
      <c r="U442" s="14"/>
      <c r="V442" s="14"/>
      <c r="W442" s="14"/>
      <c r="X442" s="14"/>
      <c r="Y442" s="14"/>
      <c r="Z442" s="14"/>
      <c r="AA442" s="14"/>
      <c r="AB442" s="14"/>
    </row>
  </sheetData>
  <mergeCells count="35">
    <mergeCell ref="G198:K198"/>
    <mergeCell ref="G213:K213"/>
    <mergeCell ref="G216:I216"/>
    <mergeCell ref="H219:M219"/>
    <mergeCell ref="H225:M225"/>
    <mergeCell ref="G179:M179"/>
    <mergeCell ref="G183:M183"/>
    <mergeCell ref="G190:M190"/>
    <mergeCell ref="F196:X196"/>
    <mergeCell ref="G197:J197"/>
    <mergeCell ref="G167:M167"/>
    <mergeCell ref="G168:M168"/>
    <mergeCell ref="G169:M169"/>
    <mergeCell ref="G170:M170"/>
    <mergeCell ref="G177:M177"/>
    <mergeCell ref="G120:M120"/>
    <mergeCell ref="H122:M122"/>
    <mergeCell ref="H143:M143"/>
    <mergeCell ref="G150:M150"/>
    <mergeCell ref="G159:M159"/>
    <mergeCell ref="H61:M61"/>
    <mergeCell ref="H67:M67"/>
    <mergeCell ref="G87:M87"/>
    <mergeCell ref="G98:M98"/>
    <mergeCell ref="G103:J103"/>
    <mergeCell ref="E35:J35"/>
    <mergeCell ref="E39:J39"/>
    <mergeCell ref="E43:J43"/>
    <mergeCell ref="E49:J49"/>
    <mergeCell ref="G58:I58"/>
    <mergeCell ref="D8:I8"/>
    <mergeCell ref="E13:J13"/>
    <mergeCell ref="E21:J21"/>
    <mergeCell ref="E24:J24"/>
    <mergeCell ref="E30:J30"/>
  </mergeCells>
  <conditionalFormatting sqref="U1:X8 S9:X242 T243:X442">
    <cfRule type="containsText" dxfId="5" priority="1" operator="containsText" text="ja">
      <formula>NOT(ISERROR(SEARCH(("ja"),(U1))))</formula>
    </cfRule>
    <cfRule type="containsText" dxfId="4" priority="2" operator="containsText" text="nein">
      <formula>NOT(ISERROR(SEARCH(("nein"),(U1))))</formula>
    </cfRule>
  </conditionalFormatting>
  <dataValidations count="4">
    <dataValidation type="list" errorStyle="warning" showErrorMessage="1" sqref="A11:A13 A15:A19 A22:A23 A25:A29 A31:A34 A36:A38 A40:A42 A44:A48 A50:A54 A56:A66 A68:A185" xr:uid="{00000000-0002-0000-1300-000000000000}">
      <formula1>"ja,nein"</formula1>
    </dataValidation>
    <dataValidation type="list" errorStyle="warning" showErrorMessage="1" sqref="X79:X81 X84 X87:X89 X168 X190 X237:X239 X242 X10:X13 X21 X24 X30 X35 X38:X39 X43 X48:X49" xr:uid="{00000000-0002-0000-1300-000001000000}">
      <formula1>",Ready, CICD"</formula1>
    </dataValidation>
    <dataValidation type="list" errorStyle="warning" showErrorMessage="1" sqref="T58:U84 T87:U91 T94:U103 T105:U117 T120:U120 T122:U129 T134:U135 T137:U195 T197:U242 T10:U13 T21:U21 T24:U24 T30:U30 T35:U35 T38:U39 T43:U43 T48:U49" xr:uid="{00000000-0002-0000-1300-000002000000}">
      <formula1>"unbestimmt, ja, nein"</formula1>
    </dataValidation>
    <dataValidation type="list" errorStyle="warning" showErrorMessage="1" sqref="B11:B19 B22:B23 B25:B29 B31:B34 B36:B38 B40:B42 B44:B45 B46:B48 B50:B54 B56:B66 B68:B185" xr:uid="{00000000-0002-0000-1300-000003000000}">
      <formula1>"ELA,Meistertask,Cleverreach,Synology,Miro,Google,WhatsApp,Canva,Adobe,Contao,Wiki,ecoDMS,Wiki,Facebook,Instagram,TikTok,LinkedIn,Youtube,Xing,X,SalesForce,Lexware,Volksbank,Articulate,Outlook,easy2book,Domainfactory,1&amp;1"</formula1>
    </dataValidation>
  </dataValidations>
  <pageMargins left="0.75" right="0.75" top="1" bottom="1" header="0.5" footer="0.5"/>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A5"/>
  <sheetViews>
    <sheetView workbookViewId="0"/>
  </sheetViews>
  <sheetFormatPr baseColWidth="10" defaultColWidth="14.5703125" defaultRowHeight="15" x14ac:dyDescent="0.25"/>
  <cols>
    <col min="1" max="1" width="36" customWidth="1"/>
  </cols>
  <sheetData>
    <row r="2" spans="1:1" x14ac:dyDescent="0.25">
      <c r="A2" s="2" t="s">
        <v>5340</v>
      </c>
    </row>
    <row r="3" spans="1:1" x14ac:dyDescent="0.25">
      <c r="A3" s="44" t="s">
        <v>5341</v>
      </c>
    </row>
    <row r="4" spans="1:1" x14ac:dyDescent="0.25">
      <c r="A4" t="s">
        <v>5342</v>
      </c>
    </row>
    <row r="5" spans="1:1" x14ac:dyDescent="0.25">
      <c r="A5" t="s">
        <v>5343</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AN454"/>
  <sheetViews>
    <sheetView workbookViewId="0">
      <pane ySplit="9" topLeftCell="A10" activePane="bottomLeft" state="frozen"/>
      <selection pane="bottomLeft"/>
    </sheetView>
  </sheetViews>
  <sheetFormatPr baseColWidth="10" defaultColWidth="14.5703125" defaultRowHeight="15" x14ac:dyDescent="0.25"/>
  <cols>
    <col min="1" max="1" width="3.42578125" customWidth="1"/>
    <col min="2" max="2" width="6.140625" customWidth="1"/>
    <col min="3" max="8" width="3.42578125" customWidth="1"/>
    <col min="9" max="9" width="44.85546875" customWidth="1"/>
    <col min="10" max="10" width="89.5703125" customWidth="1"/>
    <col min="11" max="12" width="23.140625" style="323" customWidth="1"/>
    <col min="13" max="17" width="17" customWidth="1"/>
    <col min="18" max="18" width="52" customWidth="1"/>
    <col min="20" max="20" width="14.42578125" customWidth="1"/>
    <col min="21" max="21" width="13.85546875" customWidth="1"/>
    <col min="22" max="23" width="31.85546875" customWidth="1"/>
    <col min="24" max="24" width="14.42578125" customWidth="1"/>
  </cols>
  <sheetData>
    <row r="2" spans="1:24" x14ac:dyDescent="0.25">
      <c r="J2" s="455" t="s">
        <v>5344</v>
      </c>
    </row>
    <row r="3" spans="1:24" x14ac:dyDescent="0.25">
      <c r="J3" s="456" t="s">
        <v>5345</v>
      </c>
    </row>
    <row r="4" spans="1:24" x14ac:dyDescent="0.25">
      <c r="J4" s="459" t="s">
        <v>5346</v>
      </c>
    </row>
    <row r="5" spans="1:24" x14ac:dyDescent="0.25">
      <c r="J5" s="462" t="s">
        <v>5347</v>
      </c>
    </row>
    <row r="6" spans="1:24" x14ac:dyDescent="0.25">
      <c r="J6" s="369" t="s">
        <v>5348</v>
      </c>
    </row>
    <row r="7" spans="1:24" x14ac:dyDescent="0.25">
      <c r="J7" s="592" t="s">
        <v>5349</v>
      </c>
    </row>
    <row r="8" spans="1:24" x14ac:dyDescent="0.25">
      <c r="B8" s="838" t="s">
        <v>7</v>
      </c>
      <c r="C8" s="1151" t="s">
        <v>8</v>
      </c>
      <c r="D8" s="1152"/>
      <c r="E8" s="1152"/>
      <c r="F8" s="1152"/>
      <c r="G8" s="1152"/>
      <c r="H8" s="1153"/>
    </row>
    <row r="9" spans="1:24" s="2" customFormat="1" ht="36.75" customHeight="1" x14ac:dyDescent="0.25">
      <c r="A9"/>
      <c r="B9" s="7"/>
      <c r="C9" s="7" t="s">
        <v>9</v>
      </c>
      <c r="D9" s="32" t="s">
        <v>10</v>
      </c>
      <c r="E9" s="32" t="s">
        <v>11</v>
      </c>
      <c r="F9" s="32" t="s">
        <v>12</v>
      </c>
      <c r="G9" s="32" t="s">
        <v>13</v>
      </c>
      <c r="H9" s="32" t="s">
        <v>14</v>
      </c>
      <c r="I9" s="737" t="s">
        <v>15</v>
      </c>
      <c r="J9" s="738" t="s">
        <v>16</v>
      </c>
      <c r="K9" s="739" t="s">
        <v>5350</v>
      </c>
      <c r="L9" s="739" t="s">
        <v>17</v>
      </c>
      <c r="M9" s="740" t="s">
        <v>18</v>
      </c>
      <c r="N9" s="740" t="s">
        <v>19</v>
      </c>
      <c r="O9" s="33" t="s">
        <v>20</v>
      </c>
      <c r="P9" s="740" t="s">
        <v>21</v>
      </c>
      <c r="Q9" s="740" t="s">
        <v>22</v>
      </c>
      <c r="R9" s="740" t="s">
        <v>23</v>
      </c>
      <c r="S9" s="741" t="s">
        <v>24</v>
      </c>
      <c r="T9" s="34" t="s">
        <v>25</v>
      </c>
      <c r="U9" s="34" t="s">
        <v>26</v>
      </c>
      <c r="V9" s="35" t="s">
        <v>27</v>
      </c>
      <c r="W9" s="34" t="s">
        <v>28</v>
      </c>
      <c r="X9" s="34" t="s">
        <v>29</v>
      </c>
    </row>
    <row r="10" spans="1:24" s="2" customFormat="1" ht="20.25" customHeight="1" x14ac:dyDescent="0.25">
      <c r="A10"/>
      <c r="B10" s="742"/>
      <c r="C10" s="1042">
        <v>1</v>
      </c>
      <c r="D10" s="1072" t="s">
        <v>5351</v>
      </c>
      <c r="E10" s="1363"/>
      <c r="F10" s="1363"/>
      <c r="G10" s="1363"/>
      <c r="H10" s="1363"/>
      <c r="I10" s="1363"/>
      <c r="J10" s="1364"/>
      <c r="K10" s="1365"/>
      <c r="L10" s="1365"/>
      <c r="M10" s="1366"/>
      <c r="N10" s="1366"/>
      <c r="O10" s="1366"/>
      <c r="P10" s="1366"/>
      <c r="Q10" s="1366"/>
      <c r="R10" s="1366"/>
      <c r="S10" s="1366"/>
      <c r="T10" s="1366"/>
      <c r="U10" s="1366"/>
      <c r="V10" s="1366"/>
      <c r="W10" s="1366"/>
      <c r="X10" s="1367"/>
    </row>
    <row r="11" spans="1:24" s="29" customFormat="1" x14ac:dyDescent="0.25">
      <c r="B11" s="45"/>
      <c r="C11" s="381"/>
      <c r="D11" s="381"/>
      <c r="E11" s="381"/>
      <c r="F11" s="381"/>
      <c r="G11" s="381"/>
      <c r="H11" s="381"/>
      <c r="I11" s="351" t="s">
        <v>5352</v>
      </c>
      <c r="J11" s="45"/>
      <c r="K11" s="382"/>
      <c r="L11" s="382"/>
      <c r="M11" s="45"/>
      <c r="N11" s="45"/>
      <c r="O11" s="45"/>
      <c r="P11" s="45"/>
      <c r="Q11" s="45"/>
      <c r="R11" s="45"/>
      <c r="S11" s="45"/>
      <c r="T11" s="356"/>
      <c r="U11" s="356"/>
      <c r="V11" s="45"/>
      <c r="W11" s="45"/>
      <c r="X11" s="45"/>
    </row>
    <row r="12" spans="1:24" s="29" customFormat="1" x14ac:dyDescent="0.25">
      <c r="B12" s="45"/>
      <c r="C12" s="381"/>
      <c r="D12" s="381"/>
      <c r="E12" s="381"/>
      <c r="F12" s="381"/>
      <c r="G12" s="381"/>
      <c r="H12" s="381"/>
      <c r="I12" s="457" t="s">
        <v>5353</v>
      </c>
      <c r="J12" s="457" t="s">
        <v>5354</v>
      </c>
      <c r="K12" s="382" t="s">
        <v>1098</v>
      </c>
      <c r="L12" s="382"/>
      <c r="M12" s="45"/>
      <c r="N12" s="45"/>
      <c r="O12" s="45"/>
      <c r="P12" s="45"/>
      <c r="Q12" s="45"/>
      <c r="R12" s="45"/>
      <c r="S12" s="45"/>
      <c r="T12" s="356"/>
      <c r="U12" s="356"/>
      <c r="V12" s="45"/>
      <c r="W12" s="45"/>
      <c r="X12" s="45"/>
    </row>
    <row r="13" spans="1:24" s="29" customFormat="1" x14ac:dyDescent="0.25">
      <c r="B13" s="45"/>
      <c r="C13" s="381"/>
      <c r="D13" s="381"/>
      <c r="E13" s="381"/>
      <c r="F13" s="381"/>
      <c r="G13" s="381"/>
      <c r="H13" s="381"/>
      <c r="I13" s="462" t="s">
        <v>5355</v>
      </c>
      <c r="J13" s="462" t="s">
        <v>5356</v>
      </c>
      <c r="K13" s="166" t="s">
        <v>5357</v>
      </c>
      <c r="L13" s="166"/>
      <c r="M13" s="45"/>
      <c r="N13" s="45"/>
      <c r="O13" s="45"/>
      <c r="P13" s="45"/>
      <c r="Q13" s="45"/>
      <c r="R13" s="45"/>
      <c r="S13" s="45"/>
      <c r="T13" s="356"/>
      <c r="U13" s="356"/>
      <c r="V13" s="45"/>
      <c r="W13" s="45"/>
      <c r="X13" s="45"/>
    </row>
    <row r="14" spans="1:24" s="29" customFormat="1" x14ac:dyDescent="0.25">
      <c r="B14" s="45"/>
      <c r="C14" s="381"/>
      <c r="D14" s="381"/>
      <c r="E14" s="381"/>
      <c r="F14" s="381"/>
      <c r="G14" s="381"/>
      <c r="H14" s="381"/>
      <c r="I14" s="458" t="s">
        <v>5358</v>
      </c>
      <c r="J14" s="458" t="s">
        <v>5359</v>
      </c>
      <c r="K14" s="382"/>
      <c r="L14" s="382"/>
      <c r="M14" s="45"/>
      <c r="N14" s="45"/>
      <c r="O14" s="45"/>
      <c r="P14" s="45"/>
      <c r="Q14" s="45"/>
      <c r="R14" s="45"/>
      <c r="S14" s="45"/>
      <c r="T14" s="356"/>
      <c r="U14" s="356"/>
      <c r="V14" s="45"/>
      <c r="W14" s="45"/>
      <c r="X14" s="45"/>
    </row>
    <row r="15" spans="1:24" s="29" customFormat="1" x14ac:dyDescent="0.25">
      <c r="B15" s="45"/>
      <c r="C15" s="381"/>
      <c r="D15" s="381"/>
      <c r="E15" s="381"/>
      <c r="F15" s="381"/>
      <c r="G15" s="381"/>
      <c r="H15" s="381"/>
      <c r="I15" s="593" t="s">
        <v>5360</v>
      </c>
      <c r="J15" s="593" t="s">
        <v>5361</v>
      </c>
      <c r="K15" s="166" t="s">
        <v>5357</v>
      </c>
      <c r="L15" s="382"/>
      <c r="M15" s="45"/>
      <c r="N15" s="45"/>
      <c r="O15" s="45"/>
      <c r="P15" s="45"/>
      <c r="Q15" s="45"/>
      <c r="R15" s="45"/>
      <c r="S15" s="45"/>
      <c r="T15" s="356"/>
      <c r="U15" s="356"/>
      <c r="V15" s="45"/>
      <c r="W15" s="45"/>
      <c r="X15" s="45"/>
    </row>
    <row r="16" spans="1:24" s="29" customFormat="1" x14ac:dyDescent="0.25">
      <c r="B16" s="45"/>
      <c r="C16" s="381"/>
      <c r="D16" s="381"/>
      <c r="E16" s="381"/>
      <c r="F16" s="381"/>
      <c r="G16" s="381"/>
      <c r="H16" s="381"/>
      <c r="I16" s="599" t="s">
        <v>5362</v>
      </c>
      <c r="J16" s="599" t="s">
        <v>5363</v>
      </c>
      <c r="K16" s="382"/>
      <c r="L16" s="382"/>
      <c r="M16" s="45"/>
      <c r="N16" s="45"/>
      <c r="O16" s="45"/>
      <c r="P16" s="45"/>
      <c r="Q16" s="45"/>
      <c r="R16" s="45"/>
      <c r="S16" s="45"/>
      <c r="T16" s="356"/>
      <c r="U16" s="356"/>
      <c r="V16" s="45"/>
      <c r="W16" s="45"/>
      <c r="X16" s="45"/>
    </row>
    <row r="17" spans="2:24" s="29" customFormat="1" x14ac:dyDescent="0.25">
      <c r="B17" s="45"/>
      <c r="C17" s="381"/>
      <c r="D17" s="381"/>
      <c r="E17" s="381"/>
      <c r="F17" s="381"/>
      <c r="G17" s="381"/>
      <c r="H17" s="381"/>
      <c r="I17" s="600" t="s">
        <v>5364</v>
      </c>
      <c r="J17" s="600" t="s">
        <v>5365</v>
      </c>
      <c r="K17" s="382"/>
      <c r="L17" s="382"/>
      <c r="M17" s="45"/>
      <c r="N17" s="45"/>
      <c r="O17" s="45"/>
      <c r="P17" s="45"/>
      <c r="Q17" s="45"/>
      <c r="R17" s="45"/>
      <c r="S17" s="45"/>
      <c r="T17" s="356"/>
      <c r="U17" s="356"/>
      <c r="V17" s="45"/>
      <c r="W17" s="45"/>
      <c r="X17" s="45"/>
    </row>
    <row r="18" spans="2:24" s="29" customFormat="1" x14ac:dyDescent="0.25">
      <c r="B18" s="45"/>
      <c r="C18" s="381"/>
      <c r="D18" s="381"/>
      <c r="E18" s="381"/>
      <c r="F18" s="381"/>
      <c r="G18" s="381"/>
      <c r="H18" s="381"/>
      <c r="I18" s="457" t="s">
        <v>5366</v>
      </c>
      <c r="J18" s="457" t="s">
        <v>5367</v>
      </c>
      <c r="K18" s="382" t="s">
        <v>5368</v>
      </c>
      <c r="L18" s="382"/>
      <c r="M18" s="45"/>
      <c r="N18" s="45"/>
      <c r="O18" s="45"/>
      <c r="P18" s="45"/>
      <c r="Q18" s="45"/>
      <c r="R18" s="45"/>
      <c r="S18" s="45"/>
      <c r="T18" s="356"/>
      <c r="U18" s="356"/>
      <c r="V18" s="45"/>
      <c r="W18" s="45"/>
      <c r="X18" s="45"/>
    </row>
    <row r="19" spans="2:24" s="29" customFormat="1" x14ac:dyDescent="0.25">
      <c r="B19" s="45"/>
      <c r="C19" s="381"/>
      <c r="D19" s="381"/>
      <c r="E19" s="381"/>
      <c r="F19" s="381"/>
      <c r="G19" s="381"/>
      <c r="H19" s="381"/>
      <c r="I19" s="45" t="s">
        <v>5369</v>
      </c>
      <c r="J19" s="45" t="s">
        <v>5370</v>
      </c>
      <c r="K19" s="382" t="s">
        <v>5371</v>
      </c>
      <c r="L19" s="382"/>
      <c r="M19" s="45"/>
      <c r="N19" s="45"/>
      <c r="O19" s="45"/>
      <c r="P19" s="45"/>
      <c r="Q19" s="45"/>
      <c r="R19" s="45"/>
      <c r="S19" s="45"/>
      <c r="T19" s="356"/>
      <c r="U19" s="356"/>
      <c r="V19" s="45"/>
      <c r="W19" s="45"/>
      <c r="X19" s="45"/>
    </row>
    <row r="20" spans="2:24" s="29" customFormat="1" x14ac:dyDescent="0.25">
      <c r="B20" s="45"/>
      <c r="C20" s="381"/>
      <c r="D20" s="381"/>
      <c r="E20" s="381"/>
      <c r="F20" s="381"/>
      <c r="G20" s="381"/>
      <c r="H20" s="381"/>
      <c r="I20" s="45" t="s">
        <v>5372</v>
      </c>
      <c r="J20" s="45" t="s">
        <v>5373</v>
      </c>
      <c r="K20" s="356" t="s">
        <v>5374</v>
      </c>
      <c r="L20" s="356"/>
      <c r="M20" s="45"/>
      <c r="N20" s="45"/>
      <c r="O20" s="45"/>
      <c r="P20" s="45"/>
      <c r="Q20" s="45"/>
      <c r="R20" s="45"/>
      <c r="S20" s="45"/>
      <c r="T20" s="356"/>
      <c r="U20" s="356"/>
      <c r="V20" s="45"/>
      <c r="W20" s="45"/>
      <c r="X20" s="45"/>
    </row>
    <row r="21" spans="2:24" s="29" customFormat="1" x14ac:dyDescent="0.25">
      <c r="B21" s="45"/>
      <c r="C21" s="381"/>
      <c r="D21" s="381"/>
      <c r="E21" s="381"/>
      <c r="F21" s="381"/>
      <c r="G21" s="381"/>
      <c r="H21" s="381"/>
      <c r="I21" s="457" t="s">
        <v>5375</v>
      </c>
      <c r="J21" s="457" t="s">
        <v>5376</v>
      </c>
      <c r="K21" s="382" t="s">
        <v>5377</v>
      </c>
      <c r="L21" s="382"/>
      <c r="M21" s="45"/>
      <c r="N21" s="45"/>
      <c r="O21" s="45"/>
      <c r="P21" s="45"/>
      <c r="Q21" s="45"/>
      <c r="R21" s="45"/>
      <c r="S21" s="45"/>
      <c r="T21" s="356"/>
      <c r="U21" s="356"/>
      <c r="V21" s="45"/>
      <c r="W21" s="45"/>
      <c r="X21" s="45"/>
    </row>
    <row r="22" spans="2:24" s="29" customFormat="1" x14ac:dyDescent="0.25">
      <c r="B22" s="45"/>
      <c r="C22" s="381"/>
      <c r="D22" s="381"/>
      <c r="E22" s="381"/>
      <c r="F22" s="381"/>
      <c r="G22" s="381"/>
      <c r="H22" s="381"/>
      <c r="I22" s="455" t="s">
        <v>5378</v>
      </c>
      <c r="J22" s="455" t="s">
        <v>5379</v>
      </c>
      <c r="K22" s="382" t="s">
        <v>5380</v>
      </c>
      <c r="L22" s="382"/>
      <c r="M22" s="45"/>
      <c r="N22" s="45"/>
      <c r="O22" s="45"/>
      <c r="P22" s="45"/>
      <c r="Q22" s="45"/>
      <c r="R22" s="45" t="s">
        <v>5381</v>
      </c>
      <c r="S22" s="45"/>
      <c r="T22" s="356"/>
      <c r="U22" s="356"/>
      <c r="V22" s="45"/>
      <c r="W22" s="45"/>
      <c r="X22" s="45"/>
    </row>
    <row r="23" spans="2:24" s="29" customFormat="1" x14ac:dyDescent="0.25">
      <c r="B23" s="45"/>
      <c r="C23" s="381"/>
      <c r="D23" s="381"/>
      <c r="E23" s="381"/>
      <c r="F23" s="381"/>
      <c r="G23" s="381"/>
      <c r="H23" s="381"/>
      <c r="I23" s="457" t="s">
        <v>5382</v>
      </c>
      <c r="J23" s="457" t="s">
        <v>5383</v>
      </c>
      <c r="K23" s="382" t="s">
        <v>5384</v>
      </c>
      <c r="L23" s="382"/>
      <c r="M23" s="45"/>
      <c r="N23" s="45"/>
      <c r="O23" s="45"/>
      <c r="P23" s="45"/>
      <c r="Q23" s="45"/>
      <c r="R23" s="45"/>
      <c r="S23" s="45"/>
      <c r="T23" s="356"/>
      <c r="U23" s="356"/>
      <c r="V23" s="45"/>
      <c r="W23" s="45"/>
      <c r="X23" s="45"/>
    </row>
    <row r="24" spans="2:24" s="29" customFormat="1" x14ac:dyDescent="0.25">
      <c r="B24" s="45"/>
      <c r="C24" s="381"/>
      <c r="D24" s="381"/>
      <c r="E24" s="381"/>
      <c r="F24" s="381"/>
      <c r="G24" s="381"/>
      <c r="H24" s="381"/>
      <c r="I24" s="458" t="s">
        <v>5385</v>
      </c>
      <c r="J24" s="458" t="s">
        <v>5386</v>
      </c>
      <c r="K24" s="382"/>
      <c r="L24" s="382"/>
      <c r="M24" s="45"/>
      <c r="N24" s="45"/>
      <c r="O24" s="45"/>
      <c r="P24" s="45"/>
      <c r="Q24" s="45"/>
      <c r="R24" s="45"/>
      <c r="S24" s="45"/>
      <c r="T24" s="356"/>
      <c r="U24" s="356"/>
      <c r="V24" s="45"/>
      <c r="W24" s="45"/>
      <c r="X24" s="45"/>
    </row>
    <row r="25" spans="2:24" s="29" customFormat="1" x14ac:dyDescent="0.25">
      <c r="B25" s="45"/>
      <c r="C25" s="381"/>
      <c r="D25" s="381"/>
      <c r="E25" s="381"/>
      <c r="F25" s="381"/>
      <c r="G25" s="381"/>
      <c r="H25" s="381"/>
      <c r="I25" s="460" t="s">
        <v>5387</v>
      </c>
      <c r="J25" s="460" t="s">
        <v>5388</v>
      </c>
      <c r="K25" s="382" t="s">
        <v>5389</v>
      </c>
      <c r="L25" s="382"/>
      <c r="M25" s="45"/>
      <c r="N25" s="45"/>
      <c r="O25" s="45"/>
      <c r="P25" s="45"/>
      <c r="Q25" s="45"/>
      <c r="R25" s="45"/>
      <c r="S25" s="45"/>
      <c r="T25" s="356"/>
      <c r="U25" s="356"/>
      <c r="V25" s="45"/>
      <c r="W25" s="45"/>
      <c r="X25" s="45"/>
    </row>
    <row r="26" spans="2:24" s="29" customFormat="1" x14ac:dyDescent="0.25">
      <c r="B26" s="45"/>
      <c r="C26" s="381"/>
      <c r="D26" s="381"/>
      <c r="E26" s="381"/>
      <c r="F26" s="381"/>
      <c r="G26" s="381"/>
      <c r="H26" s="381"/>
      <c r="I26" s="351" t="s">
        <v>5390</v>
      </c>
      <c r="J26" s="45"/>
      <c r="K26" s="382"/>
      <c r="L26" s="382"/>
      <c r="M26" s="45"/>
      <c r="N26" s="45"/>
      <c r="O26" s="45"/>
      <c r="P26" s="45"/>
      <c r="Q26" s="45"/>
      <c r="R26" s="45"/>
      <c r="S26" s="45"/>
      <c r="T26" s="356"/>
      <c r="U26" s="356"/>
      <c r="V26" s="45"/>
      <c r="W26" s="45"/>
      <c r="X26" s="45"/>
    </row>
    <row r="27" spans="2:24" s="29" customFormat="1" x14ac:dyDescent="0.25">
      <c r="B27" s="45"/>
      <c r="C27" s="381"/>
      <c r="D27" s="381"/>
      <c r="E27" s="381"/>
      <c r="F27" s="381"/>
      <c r="G27" s="381"/>
      <c r="H27" s="381"/>
      <c r="I27" s="598" t="s">
        <v>5391</v>
      </c>
      <c r="J27" s="598" t="s">
        <v>5392</v>
      </c>
      <c r="K27" s="382"/>
      <c r="L27" s="382"/>
      <c r="M27" s="45"/>
      <c r="N27" s="45"/>
      <c r="O27" s="45"/>
      <c r="P27" s="45"/>
      <c r="Q27" s="45"/>
      <c r="R27" s="45"/>
      <c r="S27" s="45"/>
      <c r="T27" s="356"/>
      <c r="U27" s="356"/>
      <c r="V27" s="45"/>
      <c r="W27" s="45"/>
      <c r="X27" s="45"/>
    </row>
    <row r="28" spans="2:24" s="29" customFormat="1" x14ac:dyDescent="0.25">
      <c r="B28" s="45"/>
      <c r="C28" s="381"/>
      <c r="D28" s="381"/>
      <c r="E28" s="381"/>
      <c r="F28" s="381"/>
      <c r="G28" s="381"/>
      <c r="H28" s="381"/>
      <c r="I28" s="598" t="s">
        <v>5393</v>
      </c>
      <c r="J28" s="598" t="s">
        <v>5394</v>
      </c>
      <c r="K28" s="382"/>
      <c r="L28" s="382"/>
      <c r="M28" s="45"/>
      <c r="N28" s="45"/>
      <c r="O28" s="45"/>
      <c r="P28" s="45"/>
      <c r="Q28" s="45"/>
      <c r="R28" s="45"/>
      <c r="S28" s="45"/>
      <c r="T28" s="356"/>
      <c r="U28" s="356"/>
      <c r="V28" s="45"/>
      <c r="W28" s="45"/>
      <c r="X28" s="45"/>
    </row>
    <row r="29" spans="2:24" s="29" customFormat="1" x14ac:dyDescent="0.25">
      <c r="B29" s="45"/>
      <c r="C29" s="381"/>
      <c r="D29" s="381"/>
      <c r="E29" s="381"/>
      <c r="F29" s="381"/>
      <c r="G29" s="381"/>
      <c r="H29" s="381"/>
      <c r="I29" s="591" t="s">
        <v>5348</v>
      </c>
      <c r="J29" s="591" t="s">
        <v>5395</v>
      </c>
      <c r="K29" s="382" t="s">
        <v>5384</v>
      </c>
      <c r="L29" s="382"/>
      <c r="M29" s="45"/>
      <c r="N29" s="45"/>
      <c r="O29" s="45"/>
      <c r="P29" s="45"/>
      <c r="Q29" s="45"/>
      <c r="R29" s="45"/>
      <c r="S29" s="45"/>
      <c r="T29" s="356"/>
      <c r="U29" s="356"/>
      <c r="V29" s="45"/>
      <c r="W29" s="45"/>
      <c r="X29" s="45"/>
    </row>
    <row r="30" spans="2:24" s="29" customFormat="1" x14ac:dyDescent="0.25">
      <c r="B30" s="45"/>
      <c r="C30" s="381"/>
      <c r="D30" s="381"/>
      <c r="E30" s="381"/>
      <c r="F30" s="381"/>
      <c r="G30" s="381"/>
      <c r="H30" s="381"/>
      <c r="I30" s="593" t="s">
        <v>5396</v>
      </c>
      <c r="J30" s="593" t="s">
        <v>5397</v>
      </c>
      <c r="K30" s="382" t="s">
        <v>5398</v>
      </c>
      <c r="L30" s="382"/>
      <c r="M30" s="45"/>
      <c r="N30" s="45"/>
      <c r="O30" s="45"/>
      <c r="P30" s="45"/>
      <c r="Q30" s="45"/>
      <c r="R30" s="45"/>
      <c r="S30" s="45"/>
      <c r="T30" s="356"/>
      <c r="U30" s="356"/>
      <c r="V30" s="45"/>
      <c r="W30" s="45"/>
      <c r="X30" s="45"/>
    </row>
    <row r="31" spans="2:24" s="29" customFormat="1" x14ac:dyDescent="0.25">
      <c r="B31" s="45"/>
      <c r="C31" s="381"/>
      <c r="D31" s="381"/>
      <c r="E31" s="381"/>
      <c r="F31" s="381"/>
      <c r="G31" s="381"/>
      <c r="H31" s="381"/>
      <c r="I31" s="601" t="s">
        <v>5399</v>
      </c>
      <c r="J31" s="601" t="s">
        <v>5400</v>
      </c>
      <c r="K31" s="385"/>
      <c r="L31" s="385"/>
      <c r="M31" s="45"/>
      <c r="N31" s="45"/>
      <c r="O31" s="45"/>
      <c r="P31" s="45"/>
      <c r="Q31" s="45"/>
      <c r="R31" s="45"/>
      <c r="S31" s="45"/>
      <c r="T31" s="356"/>
      <c r="U31" s="356"/>
      <c r="V31" s="45"/>
      <c r="W31" s="45"/>
      <c r="X31" s="45"/>
    </row>
    <row r="32" spans="2:24" s="29" customFormat="1" x14ac:dyDescent="0.25">
      <c r="B32" s="45"/>
      <c r="C32" s="381"/>
      <c r="D32" s="381"/>
      <c r="E32" s="381"/>
      <c r="F32" s="381"/>
      <c r="G32" s="381"/>
      <c r="H32" s="381"/>
      <c r="I32" s="1043" t="s">
        <v>5401</v>
      </c>
      <c r="J32" s="1043" t="s">
        <v>5402</v>
      </c>
      <c r="K32" s="382" t="s">
        <v>5403</v>
      </c>
      <c r="L32" s="382"/>
      <c r="M32" s="45"/>
      <c r="N32" s="45"/>
      <c r="O32" s="45"/>
      <c r="P32" s="45"/>
      <c r="Q32" s="45"/>
      <c r="R32" s="45"/>
      <c r="S32" s="45"/>
      <c r="T32" s="356"/>
      <c r="U32" s="356"/>
      <c r="V32" s="45"/>
      <c r="W32" s="45"/>
      <c r="X32" s="45"/>
    </row>
    <row r="33" spans="2:40" s="29" customFormat="1" x14ac:dyDescent="0.25">
      <c r="B33" s="45"/>
      <c r="C33" s="381"/>
      <c r="D33" s="381"/>
      <c r="E33" s="381"/>
      <c r="F33" s="381"/>
      <c r="G33" s="381"/>
      <c r="H33" s="381"/>
      <c r="I33" s="458" t="s">
        <v>5404</v>
      </c>
      <c r="J33" s="458" t="s">
        <v>5405</v>
      </c>
      <c r="K33" s="382" t="s">
        <v>5384</v>
      </c>
      <c r="L33" s="382"/>
      <c r="M33" s="45"/>
      <c r="N33" s="45"/>
      <c r="O33" s="45"/>
      <c r="P33" s="45"/>
      <c r="Q33" s="45"/>
      <c r="R33" s="45"/>
      <c r="S33" s="45"/>
      <c r="T33" s="356"/>
      <c r="U33" s="356"/>
      <c r="V33" s="45"/>
      <c r="W33" s="45"/>
      <c r="X33" s="45"/>
    </row>
    <row r="34" spans="2:40" s="29" customFormat="1" x14ac:dyDescent="0.25">
      <c r="B34" s="45"/>
      <c r="C34" s="381"/>
      <c r="D34" s="381"/>
      <c r="E34" s="381"/>
      <c r="F34" s="381"/>
      <c r="G34" s="381"/>
      <c r="H34" s="381"/>
      <c r="I34" s="460" t="s">
        <v>5406</v>
      </c>
      <c r="J34" s="460" t="s">
        <v>5407</v>
      </c>
      <c r="K34" s="382" t="s">
        <v>5408</v>
      </c>
      <c r="L34" s="382"/>
      <c r="M34" s="45"/>
      <c r="N34" s="45"/>
      <c r="O34" s="45"/>
      <c r="P34" s="45"/>
      <c r="Q34" s="45"/>
      <c r="R34" s="45"/>
      <c r="S34" s="45"/>
      <c r="T34" s="356"/>
      <c r="U34" s="356"/>
      <c r="V34" s="45"/>
      <c r="W34" s="45"/>
      <c r="X34" s="45"/>
    </row>
    <row r="35" spans="2:40" s="29" customFormat="1" x14ac:dyDescent="0.25">
      <c r="B35" s="45"/>
      <c r="C35" s="381"/>
      <c r="D35" s="381"/>
      <c r="E35" s="381"/>
      <c r="F35" s="381"/>
      <c r="G35" s="381"/>
      <c r="H35" s="381"/>
      <c r="I35" s="479" t="s">
        <v>5409</v>
      </c>
      <c r="J35" s="479" t="s">
        <v>5410</v>
      </c>
      <c r="K35" s="382" t="s">
        <v>5384</v>
      </c>
      <c r="L35" s="382"/>
      <c r="M35" s="45"/>
      <c r="N35" s="45"/>
      <c r="O35" s="45"/>
      <c r="P35" s="45"/>
      <c r="Q35" s="45"/>
      <c r="R35" s="45"/>
      <c r="S35" s="45"/>
      <c r="T35" s="356"/>
      <c r="U35" s="356"/>
      <c r="V35" s="45"/>
      <c r="W35" s="45"/>
      <c r="X35" s="45"/>
    </row>
    <row r="36" spans="2:40" s="29" customFormat="1" x14ac:dyDescent="0.25">
      <c r="B36" s="45"/>
      <c r="C36" s="381"/>
      <c r="D36" s="381"/>
      <c r="E36" s="381"/>
      <c r="F36" s="381"/>
      <c r="G36" s="381"/>
      <c r="H36" s="381"/>
      <c r="I36" s="351" t="s">
        <v>5411</v>
      </c>
      <c r="J36" s="45"/>
      <c r="K36" s="382"/>
      <c r="L36" s="382"/>
      <c r="M36" s="45"/>
      <c r="N36" s="45"/>
      <c r="O36" s="45"/>
      <c r="P36" s="45"/>
      <c r="Q36" s="45"/>
      <c r="R36" s="45"/>
      <c r="S36" s="45"/>
      <c r="T36" s="356"/>
      <c r="U36" s="356"/>
      <c r="V36" s="45"/>
      <c r="W36" s="45"/>
      <c r="X36" s="45"/>
    </row>
    <row r="37" spans="2:40" s="29" customFormat="1" x14ac:dyDescent="0.25">
      <c r="B37" s="45"/>
      <c r="C37" s="381"/>
      <c r="D37" s="381"/>
      <c r="E37" s="381"/>
      <c r="F37" s="381"/>
      <c r="G37" s="381"/>
      <c r="H37" s="381"/>
      <c r="I37" s="460" t="s">
        <v>5412</v>
      </c>
      <c r="J37" s="460" t="s">
        <v>5413</v>
      </c>
      <c r="K37" s="382" t="s">
        <v>5414</v>
      </c>
      <c r="L37" s="382"/>
      <c r="M37" s="45"/>
      <c r="N37" s="45"/>
      <c r="O37" s="45"/>
      <c r="P37" s="45"/>
      <c r="Q37" s="45"/>
      <c r="R37" s="45"/>
      <c r="S37" s="45"/>
      <c r="T37" s="356"/>
      <c r="U37" s="356"/>
      <c r="V37" s="45"/>
      <c r="W37" s="45"/>
      <c r="X37" s="45"/>
    </row>
    <row r="38" spans="2:40" s="29" customFormat="1" x14ac:dyDescent="0.25">
      <c r="B38" s="45"/>
      <c r="C38" s="381"/>
      <c r="D38" s="381"/>
      <c r="E38" s="381"/>
      <c r="F38" s="381"/>
      <c r="G38" s="381"/>
      <c r="H38" s="381"/>
      <c r="I38" s="460" t="s">
        <v>5415</v>
      </c>
      <c r="J38" s="460" t="s">
        <v>5416</v>
      </c>
      <c r="K38" s="382" t="s">
        <v>5417</v>
      </c>
      <c r="L38" s="382"/>
      <c r="M38" s="45"/>
      <c r="N38" s="45"/>
      <c r="O38" s="45"/>
      <c r="P38" s="45"/>
      <c r="Q38" s="45"/>
      <c r="R38" s="45"/>
      <c r="S38" s="45"/>
      <c r="T38" s="356"/>
      <c r="U38" s="356"/>
      <c r="V38" s="45"/>
      <c r="W38" s="45"/>
      <c r="X38" s="45"/>
    </row>
    <row r="39" spans="2:40" s="29" customFormat="1" x14ac:dyDescent="0.25">
      <c r="B39" s="45"/>
      <c r="C39" s="381"/>
      <c r="D39" s="381"/>
      <c r="E39" s="381"/>
      <c r="F39" s="381"/>
      <c r="G39" s="381"/>
      <c r="H39" s="381"/>
      <c r="I39" s="462" t="s">
        <v>5418</v>
      </c>
      <c r="J39" s="462" t="s">
        <v>5419</v>
      </c>
      <c r="K39" s="382" t="s">
        <v>5420</v>
      </c>
      <c r="L39" s="382"/>
      <c r="M39" s="45"/>
      <c r="N39" s="45"/>
      <c r="O39" s="45"/>
      <c r="P39" s="45"/>
      <c r="Q39" s="45"/>
      <c r="R39" s="45"/>
      <c r="S39" s="45"/>
      <c r="T39" s="356"/>
      <c r="U39" s="356"/>
      <c r="V39" s="45"/>
      <c r="W39" s="45"/>
      <c r="X39" s="45"/>
    </row>
    <row r="40" spans="2:40" ht="20.25" customHeight="1" x14ac:dyDescent="0.25">
      <c r="B40" s="742"/>
      <c r="C40" s="1042">
        <v>2</v>
      </c>
      <c r="D40" s="1072" t="s">
        <v>5421</v>
      </c>
      <c r="E40" s="1363"/>
      <c r="F40" s="1363"/>
      <c r="G40" s="1363"/>
      <c r="H40" s="1363"/>
      <c r="I40" s="1363"/>
      <c r="J40" s="1364"/>
      <c r="K40" s="1365"/>
      <c r="L40" s="1365"/>
      <c r="M40" s="1366"/>
      <c r="N40" s="1366"/>
      <c r="O40" s="1366"/>
      <c r="P40" s="1366"/>
      <c r="Q40" s="1366"/>
      <c r="R40" s="1366"/>
      <c r="S40" s="1366"/>
      <c r="T40" s="1366"/>
      <c r="U40" s="1366"/>
      <c r="V40" s="1366"/>
      <c r="W40" s="1366"/>
      <c r="X40" s="1367"/>
      <c r="Y40" s="2"/>
      <c r="Z40" s="2"/>
      <c r="AA40" s="2"/>
      <c r="AB40" s="2"/>
      <c r="AC40" s="2"/>
      <c r="AD40" s="2"/>
      <c r="AE40" s="2"/>
      <c r="AF40" s="2"/>
      <c r="AG40" s="2"/>
      <c r="AH40" s="2"/>
      <c r="AI40" s="2"/>
      <c r="AJ40" s="2"/>
      <c r="AK40" s="2"/>
      <c r="AL40" s="2"/>
      <c r="AM40" s="2"/>
      <c r="AN40" s="2"/>
    </row>
    <row r="41" spans="2:40" s="29" customFormat="1" ht="15.75" customHeight="1" x14ac:dyDescent="0.25">
      <c r="B41" s="45"/>
      <c r="C41" s="381"/>
      <c r="D41" s="381"/>
      <c r="E41" s="381"/>
      <c r="F41" s="381"/>
      <c r="G41" s="381"/>
      <c r="H41" s="381"/>
      <c r="I41" s="351" t="s">
        <v>5352</v>
      </c>
      <c r="J41" s="45"/>
      <c r="K41" s="382"/>
      <c r="L41" s="382"/>
      <c r="M41" s="45"/>
      <c r="N41" s="45"/>
      <c r="O41" s="45"/>
      <c r="P41" s="45"/>
      <c r="Q41" s="45"/>
      <c r="R41" s="45"/>
      <c r="S41" s="45"/>
      <c r="T41" s="356"/>
      <c r="U41" s="356"/>
      <c r="V41" s="45"/>
      <c r="W41" s="45"/>
      <c r="X41" s="45"/>
    </row>
    <row r="42" spans="2:40" s="29" customFormat="1" x14ac:dyDescent="0.25">
      <c r="B42" s="45"/>
      <c r="C42" s="381"/>
      <c r="D42" s="381"/>
      <c r="E42" s="381"/>
      <c r="F42" s="381"/>
      <c r="G42" s="381"/>
      <c r="H42" s="381"/>
      <c r="I42" s="45" t="s">
        <v>5422</v>
      </c>
      <c r="J42" s="45" t="s">
        <v>5423</v>
      </c>
      <c r="K42" s="382"/>
      <c r="L42" s="382"/>
      <c r="M42" s="45"/>
      <c r="N42" s="45"/>
      <c r="O42" s="45"/>
      <c r="P42" s="45"/>
      <c r="Q42" s="45"/>
      <c r="R42" s="45"/>
      <c r="S42" s="45"/>
      <c r="T42" s="356"/>
      <c r="U42" s="356"/>
      <c r="V42" s="45"/>
      <c r="W42" s="45"/>
      <c r="X42" s="45"/>
    </row>
    <row r="43" spans="2:40" s="29" customFormat="1" x14ac:dyDescent="0.25">
      <c r="B43" s="45"/>
      <c r="C43" s="381"/>
      <c r="D43" s="381"/>
      <c r="E43" s="381"/>
      <c r="F43" s="381"/>
      <c r="G43" s="381"/>
      <c r="H43" s="381"/>
      <c r="I43" s="386" t="s">
        <v>5424</v>
      </c>
      <c r="J43" s="45" t="s">
        <v>5425</v>
      </c>
      <c r="K43" s="383"/>
      <c r="L43" s="383"/>
      <c r="M43" s="45"/>
      <c r="N43" s="45"/>
      <c r="O43" s="45"/>
      <c r="P43" s="45"/>
      <c r="Q43" s="45"/>
      <c r="R43" s="45"/>
      <c r="S43" s="45"/>
      <c r="T43" s="356"/>
      <c r="U43" s="356"/>
      <c r="V43" s="45"/>
      <c r="W43" s="45"/>
      <c r="X43" s="45"/>
    </row>
    <row r="44" spans="2:40" s="29" customFormat="1" x14ac:dyDescent="0.25">
      <c r="B44" s="45"/>
      <c r="C44" s="381"/>
      <c r="D44" s="381"/>
      <c r="E44" s="381"/>
      <c r="F44" s="381"/>
      <c r="G44" s="381"/>
      <c r="H44" s="381"/>
      <c r="I44" s="386" t="s">
        <v>1164</v>
      </c>
      <c r="J44" s="45" t="s">
        <v>5426</v>
      </c>
      <c r="K44" s="356"/>
      <c r="L44" s="356"/>
      <c r="M44" s="45"/>
      <c r="N44" s="45"/>
      <c r="O44" s="45"/>
      <c r="P44" s="45"/>
      <c r="Q44" s="45"/>
      <c r="R44" s="45"/>
      <c r="S44" s="45"/>
      <c r="T44" s="356"/>
      <c r="U44" s="356"/>
      <c r="V44" s="45"/>
      <c r="W44" s="45"/>
      <c r="X44" s="45"/>
    </row>
    <row r="45" spans="2:40" s="29" customFormat="1" x14ac:dyDescent="0.25">
      <c r="B45" s="45"/>
      <c r="C45" s="381"/>
      <c r="D45" s="381"/>
      <c r="E45" s="381"/>
      <c r="F45" s="381"/>
      <c r="G45" s="381"/>
      <c r="H45" s="381"/>
      <c r="I45" s="386" t="s">
        <v>5427</v>
      </c>
      <c r="J45" s="45" t="s">
        <v>5428</v>
      </c>
      <c r="K45" s="166"/>
      <c r="L45" s="166"/>
      <c r="M45" s="45"/>
      <c r="N45" s="45"/>
      <c r="O45" s="45"/>
      <c r="P45" s="45"/>
      <c r="Q45" s="45"/>
      <c r="R45" s="45"/>
      <c r="S45" s="45"/>
      <c r="T45" s="356"/>
      <c r="U45" s="356"/>
      <c r="V45" s="45"/>
      <c r="W45" s="45"/>
      <c r="X45" s="45"/>
    </row>
    <row r="46" spans="2:40" s="29" customFormat="1" x14ac:dyDescent="0.25">
      <c r="B46" s="45"/>
      <c r="C46" s="381"/>
      <c r="D46" s="381"/>
      <c r="E46" s="381"/>
      <c r="F46" s="381"/>
      <c r="G46" s="381"/>
      <c r="H46" s="381"/>
      <c r="I46" s="386" t="s">
        <v>5429</v>
      </c>
      <c r="J46" s="45" t="s">
        <v>5430</v>
      </c>
      <c r="K46" s="382"/>
      <c r="L46" s="382"/>
      <c r="M46" s="45"/>
      <c r="N46" s="45"/>
      <c r="O46" s="45"/>
      <c r="P46" s="45"/>
      <c r="Q46" s="45"/>
      <c r="R46" s="45"/>
      <c r="S46" s="45"/>
      <c r="T46" s="356"/>
      <c r="U46" s="356"/>
      <c r="V46" s="45"/>
      <c r="W46" s="45"/>
      <c r="X46" s="45"/>
    </row>
    <row r="47" spans="2:40" s="29" customFormat="1" x14ac:dyDescent="0.25">
      <c r="B47" s="45"/>
      <c r="C47" s="381"/>
      <c r="D47" s="381"/>
      <c r="E47" s="381"/>
      <c r="F47" s="381"/>
      <c r="G47" s="381"/>
      <c r="H47" s="381"/>
      <c r="I47" s="351" t="s">
        <v>5390</v>
      </c>
      <c r="J47" s="45"/>
      <c r="K47" s="382"/>
      <c r="L47" s="382"/>
      <c r="M47" s="45"/>
      <c r="N47" s="45"/>
      <c r="O47" s="45"/>
      <c r="P47" s="45"/>
      <c r="Q47" s="45"/>
      <c r="R47" s="45"/>
      <c r="S47" s="45"/>
      <c r="T47" s="356"/>
      <c r="U47" s="356"/>
      <c r="V47" s="45"/>
      <c r="W47" s="45"/>
      <c r="X47" s="45"/>
    </row>
    <row r="48" spans="2:40" s="29" customFormat="1" x14ac:dyDescent="0.25">
      <c r="B48" s="45"/>
      <c r="C48" s="381"/>
      <c r="D48" s="381"/>
      <c r="E48" s="381"/>
      <c r="F48" s="381"/>
      <c r="G48" s="381"/>
      <c r="H48" s="381"/>
      <c r="I48" s="386" t="s">
        <v>5431</v>
      </c>
      <c r="J48" s="45" t="s">
        <v>5432</v>
      </c>
      <c r="K48" s="382"/>
      <c r="L48" s="382"/>
      <c r="M48" s="45"/>
      <c r="N48" s="45"/>
      <c r="O48" s="45"/>
      <c r="P48" s="45"/>
      <c r="Q48" s="45"/>
      <c r="R48" s="45"/>
      <c r="S48" s="45"/>
      <c r="T48" s="356"/>
      <c r="U48" s="356"/>
      <c r="V48" s="45"/>
      <c r="W48" s="45"/>
      <c r="X48" s="45"/>
    </row>
    <row r="49" spans="2:24" s="29" customFormat="1" x14ac:dyDescent="0.25">
      <c r="B49" s="45"/>
      <c r="C49" s="381"/>
      <c r="D49" s="381"/>
      <c r="E49" s="381"/>
      <c r="F49" s="381"/>
      <c r="G49" s="381"/>
      <c r="H49" s="381"/>
      <c r="I49" s="386" t="s">
        <v>5433</v>
      </c>
      <c r="J49" s="45" t="s">
        <v>5434</v>
      </c>
      <c r="K49" s="382"/>
      <c r="L49" s="382"/>
      <c r="M49" s="45"/>
      <c r="N49" s="45"/>
      <c r="O49" s="45"/>
      <c r="P49" s="45"/>
      <c r="Q49" s="45"/>
      <c r="R49" s="45"/>
      <c r="S49" s="45"/>
      <c r="T49" s="356"/>
      <c r="U49" s="356"/>
      <c r="V49" s="45"/>
      <c r="W49" s="45"/>
      <c r="X49" s="45"/>
    </row>
    <row r="50" spans="2:24" s="29" customFormat="1" x14ac:dyDescent="0.25">
      <c r="B50" s="45"/>
      <c r="C50" s="381"/>
      <c r="D50" s="381"/>
      <c r="E50" s="381"/>
      <c r="F50" s="381"/>
      <c r="G50" s="381"/>
      <c r="H50" s="381"/>
      <c r="I50" s="386" t="s">
        <v>5435</v>
      </c>
      <c r="J50" s="45" t="s">
        <v>5436</v>
      </c>
      <c r="K50" s="382"/>
      <c r="L50" s="382"/>
      <c r="M50" s="45"/>
      <c r="N50" s="45"/>
      <c r="O50" s="45"/>
      <c r="P50" s="45"/>
      <c r="Q50" s="45"/>
      <c r="R50" s="45"/>
      <c r="S50" s="45"/>
      <c r="T50" s="356"/>
      <c r="U50" s="356"/>
      <c r="V50" s="45"/>
      <c r="W50" s="45"/>
      <c r="X50" s="45"/>
    </row>
    <row r="51" spans="2:24" s="29" customFormat="1" x14ac:dyDescent="0.25">
      <c r="B51" s="45"/>
      <c r="C51" s="381"/>
      <c r="D51" s="381"/>
      <c r="E51" s="381"/>
      <c r="F51" s="381"/>
      <c r="G51" s="381"/>
      <c r="H51" s="381"/>
      <c r="I51" s="386" t="s">
        <v>5429</v>
      </c>
      <c r="J51" s="45" t="s">
        <v>5437</v>
      </c>
      <c r="K51" s="382"/>
      <c r="L51" s="382"/>
      <c r="M51" s="45"/>
      <c r="N51" s="45"/>
      <c r="O51" s="45"/>
      <c r="P51" s="45"/>
      <c r="Q51" s="45"/>
      <c r="R51" s="45"/>
      <c r="S51" s="45"/>
      <c r="T51" s="356"/>
      <c r="U51" s="356"/>
      <c r="V51" s="45"/>
      <c r="W51" s="45"/>
      <c r="X51" s="45"/>
    </row>
    <row r="52" spans="2:24" s="29" customFormat="1" x14ac:dyDescent="0.25">
      <c r="B52" s="45"/>
      <c r="C52" s="381"/>
      <c r="D52" s="381"/>
      <c r="E52" s="381"/>
      <c r="F52" s="381"/>
      <c r="G52" s="381"/>
      <c r="H52" s="381"/>
      <c r="I52" s="386" t="s">
        <v>5438</v>
      </c>
      <c r="J52" s="45" t="s">
        <v>5439</v>
      </c>
      <c r="K52" s="382"/>
      <c r="L52" s="382"/>
      <c r="M52" s="45"/>
      <c r="N52" s="45"/>
      <c r="O52" s="45"/>
      <c r="P52" s="45"/>
      <c r="Q52" s="45"/>
      <c r="R52" s="45"/>
      <c r="S52" s="45"/>
      <c r="T52" s="356"/>
      <c r="U52" s="356"/>
      <c r="V52" s="45"/>
      <c r="W52" s="45"/>
      <c r="X52" s="45"/>
    </row>
    <row r="53" spans="2:24" s="29" customFormat="1" x14ac:dyDescent="0.25">
      <c r="B53" s="45"/>
      <c r="C53" s="381"/>
      <c r="D53" s="381"/>
      <c r="E53" s="381"/>
      <c r="F53" s="381"/>
      <c r="G53" s="381"/>
      <c r="H53" s="381"/>
      <c r="I53" s="594"/>
      <c r="J53" s="45"/>
      <c r="K53" s="382"/>
      <c r="L53" s="382"/>
      <c r="M53" s="45"/>
      <c r="N53" s="45"/>
      <c r="O53" s="45"/>
      <c r="P53" s="45"/>
      <c r="Q53" s="45"/>
      <c r="R53" s="45"/>
      <c r="S53" s="45"/>
      <c r="T53" s="356"/>
      <c r="U53" s="356"/>
      <c r="V53" s="45"/>
      <c r="W53" s="45"/>
      <c r="X53" s="45"/>
    </row>
    <row r="54" spans="2:24" s="29" customFormat="1" x14ac:dyDescent="0.25">
      <c r="B54" s="45"/>
      <c r="C54" s="381"/>
      <c r="D54" s="381"/>
      <c r="E54" s="381"/>
      <c r="F54" s="381"/>
      <c r="G54" s="381"/>
      <c r="H54" s="381"/>
      <c r="I54" s="594"/>
      <c r="J54" s="45"/>
      <c r="K54" s="382"/>
      <c r="L54" s="382"/>
      <c r="M54" s="45"/>
      <c r="N54" s="45"/>
      <c r="O54" s="45"/>
      <c r="P54" s="45"/>
      <c r="Q54" s="45"/>
      <c r="R54" s="45"/>
      <c r="S54" s="45"/>
      <c r="T54" s="356"/>
      <c r="U54" s="356"/>
      <c r="V54" s="45"/>
      <c r="W54" s="45"/>
      <c r="X54" s="45"/>
    </row>
    <row r="55" spans="2:24" s="29" customFormat="1" x14ac:dyDescent="0.25">
      <c r="B55" s="45"/>
      <c r="C55" s="381"/>
      <c r="D55" s="381"/>
      <c r="E55" s="381"/>
      <c r="F55" s="381"/>
      <c r="G55" s="381"/>
      <c r="H55" s="381"/>
      <c r="I55" s="594"/>
      <c r="J55" s="45"/>
      <c r="K55" s="382"/>
      <c r="L55" s="382"/>
      <c r="M55" s="45"/>
      <c r="N55" s="45"/>
      <c r="O55" s="45"/>
      <c r="P55" s="45"/>
      <c r="Q55" s="45"/>
      <c r="R55" s="45"/>
      <c r="S55" s="45"/>
      <c r="T55" s="356"/>
      <c r="U55" s="356"/>
      <c r="V55" s="45"/>
      <c r="W55" s="45"/>
      <c r="X55" s="45"/>
    </row>
    <row r="56" spans="2:24" s="29" customFormat="1" x14ac:dyDescent="0.25">
      <c r="B56" s="45"/>
      <c r="C56" s="381"/>
      <c r="D56" s="381"/>
      <c r="E56" s="381"/>
      <c r="F56" s="381"/>
      <c r="G56" s="381"/>
      <c r="H56" s="381"/>
      <c r="I56" s="384"/>
      <c r="J56" s="45"/>
      <c r="K56" s="382"/>
      <c r="L56" s="382"/>
      <c r="M56" s="45"/>
      <c r="N56" s="45"/>
      <c r="O56" s="45"/>
      <c r="P56" s="45"/>
      <c r="Q56" s="45"/>
      <c r="R56" s="45"/>
      <c r="S56" s="45"/>
      <c r="T56" s="356"/>
      <c r="U56" s="356"/>
      <c r="V56" s="45"/>
      <c r="W56" s="45"/>
      <c r="X56" s="45"/>
    </row>
    <row r="57" spans="2:24" s="29" customFormat="1" x14ac:dyDescent="0.25">
      <c r="B57" s="45"/>
      <c r="C57" s="381"/>
      <c r="D57" s="381"/>
      <c r="E57" s="381"/>
      <c r="F57" s="381"/>
      <c r="G57" s="381"/>
      <c r="H57" s="381"/>
      <c r="I57" s="384"/>
      <c r="J57" s="45"/>
      <c r="K57" s="382"/>
      <c r="L57" s="382"/>
      <c r="M57" s="45"/>
      <c r="N57" s="45"/>
      <c r="O57" s="45"/>
      <c r="P57" s="45"/>
      <c r="Q57" s="45"/>
      <c r="R57" s="45"/>
      <c r="S57" s="45"/>
      <c r="T57" s="356"/>
      <c r="U57" s="356"/>
      <c r="V57" s="45"/>
      <c r="W57" s="45"/>
      <c r="X57" s="45"/>
    </row>
    <row r="58" spans="2:24" s="29" customFormat="1" x14ac:dyDescent="0.25">
      <c r="B58" s="45"/>
      <c r="C58" s="381"/>
      <c r="D58" s="381"/>
      <c r="E58" s="381"/>
      <c r="F58" s="381"/>
      <c r="G58" s="381"/>
      <c r="H58" s="381"/>
      <c r="I58" s="1044"/>
      <c r="J58" s="45"/>
      <c r="K58" s="382"/>
      <c r="L58" s="382"/>
      <c r="M58" s="45"/>
      <c r="N58" s="45"/>
      <c r="O58" s="45"/>
      <c r="P58" s="45"/>
      <c r="Q58" s="45"/>
      <c r="R58" s="45"/>
      <c r="S58" s="45"/>
      <c r="T58" s="356"/>
      <c r="U58" s="356"/>
      <c r="V58" s="45"/>
      <c r="W58" s="45"/>
      <c r="X58" s="45"/>
    </row>
    <row r="59" spans="2:24" s="29" customFormat="1" ht="15.75" customHeight="1" x14ac:dyDescent="0.25">
      <c r="B59" s="45"/>
      <c r="C59" s="381"/>
      <c r="D59" s="381"/>
      <c r="E59" s="381"/>
      <c r="F59" s="381"/>
      <c r="G59" s="381"/>
      <c r="H59" s="381"/>
      <c r="I59" s="381"/>
      <c r="J59" s="45"/>
      <c r="K59" s="382"/>
      <c r="L59" s="382"/>
      <c r="M59" s="45"/>
      <c r="N59" s="45"/>
      <c r="O59" s="45"/>
      <c r="P59" s="45"/>
      <c r="Q59" s="45"/>
      <c r="R59" s="45"/>
      <c r="S59" s="45"/>
      <c r="T59" s="356"/>
      <c r="U59" s="356"/>
      <c r="V59" s="45"/>
      <c r="W59" s="45"/>
      <c r="X59" s="45"/>
    </row>
    <row r="60" spans="2:24" s="29" customFormat="1" x14ac:dyDescent="0.25">
      <c r="B60" s="45"/>
      <c r="C60" s="381"/>
      <c r="D60" s="381"/>
      <c r="E60" s="381"/>
      <c r="F60" s="381"/>
      <c r="G60" s="381"/>
      <c r="H60" s="381"/>
      <c r="I60" s="45"/>
      <c r="J60" s="45"/>
      <c r="K60" s="356"/>
      <c r="L60" s="356"/>
      <c r="M60" s="45"/>
      <c r="N60" s="45"/>
      <c r="O60" s="45"/>
      <c r="P60" s="45"/>
      <c r="Q60" s="45"/>
      <c r="R60" s="45"/>
      <c r="S60" s="45"/>
      <c r="T60" s="356"/>
      <c r="U60" s="356"/>
      <c r="V60" s="45"/>
      <c r="W60" s="45"/>
      <c r="X60" s="45"/>
    </row>
    <row r="61" spans="2:24" s="29" customFormat="1" x14ac:dyDescent="0.25">
      <c r="B61" s="45"/>
      <c r="C61" s="381"/>
      <c r="D61" s="381"/>
      <c r="E61" s="381"/>
      <c r="F61" s="381"/>
      <c r="G61" s="381"/>
      <c r="H61" s="381"/>
      <c r="I61" s="45"/>
      <c r="J61" s="45"/>
      <c r="K61" s="356"/>
      <c r="L61" s="356"/>
      <c r="M61" s="45"/>
      <c r="N61" s="45"/>
      <c r="O61" s="45"/>
      <c r="P61" s="45"/>
      <c r="Q61" s="45"/>
      <c r="R61" s="45"/>
      <c r="S61" s="45"/>
      <c r="T61" s="356"/>
      <c r="U61" s="356"/>
      <c r="V61" s="45"/>
      <c r="W61" s="45"/>
      <c r="X61" s="45"/>
    </row>
    <row r="62" spans="2:24" s="29" customFormat="1" ht="15.75" customHeight="1" x14ac:dyDescent="0.25">
      <c r="B62" s="45"/>
      <c r="C62" s="381"/>
      <c r="D62" s="381"/>
      <c r="E62" s="381"/>
      <c r="F62" s="381"/>
      <c r="G62" s="381"/>
      <c r="H62" s="381"/>
      <c r="I62" s="45"/>
      <c r="J62" s="45"/>
      <c r="K62" s="356"/>
      <c r="L62" s="356"/>
      <c r="M62" s="45"/>
      <c r="N62" s="45"/>
      <c r="O62" s="45"/>
      <c r="P62" s="45"/>
      <c r="Q62" s="45"/>
      <c r="R62" s="45"/>
      <c r="S62" s="45"/>
      <c r="T62" s="356"/>
      <c r="U62" s="356"/>
      <c r="V62" s="45"/>
      <c r="W62" s="45"/>
      <c r="X62" s="45"/>
    </row>
    <row r="63" spans="2:24" s="29" customFormat="1" ht="15.75" customHeight="1" x14ac:dyDescent="0.25">
      <c r="B63" s="45"/>
      <c r="C63" s="381"/>
      <c r="D63" s="381"/>
      <c r="E63" s="381"/>
      <c r="F63" s="381"/>
      <c r="G63" s="381"/>
      <c r="H63" s="381"/>
      <c r="I63" s="45"/>
      <c r="J63" s="45"/>
      <c r="K63" s="356"/>
      <c r="L63" s="356"/>
      <c r="M63" s="45"/>
      <c r="N63" s="45"/>
      <c r="O63" s="45"/>
      <c r="P63" s="45"/>
      <c r="Q63" s="45"/>
      <c r="R63" s="45"/>
      <c r="S63" s="45"/>
      <c r="T63" s="356"/>
      <c r="U63" s="356"/>
      <c r="V63" s="45"/>
      <c r="W63" s="45"/>
      <c r="X63" s="45"/>
    </row>
    <row r="64" spans="2:24" s="29" customFormat="1" ht="15.75" customHeight="1" x14ac:dyDescent="0.25">
      <c r="B64" s="45"/>
      <c r="C64" s="381"/>
      <c r="D64" s="381"/>
      <c r="E64" s="381"/>
      <c r="F64" s="381"/>
      <c r="G64" s="381"/>
      <c r="H64" s="381"/>
      <c r="I64" s="45"/>
      <c r="J64" s="45"/>
      <c r="K64" s="356"/>
      <c r="L64" s="356"/>
      <c r="M64" s="45"/>
      <c r="N64" s="45"/>
      <c r="O64" s="45"/>
      <c r="P64" s="45"/>
      <c r="Q64" s="45"/>
      <c r="R64" s="45"/>
      <c r="S64" s="45"/>
      <c r="T64" s="356"/>
      <c r="U64" s="356"/>
      <c r="V64" s="45"/>
      <c r="W64" s="45"/>
      <c r="X64" s="45"/>
    </row>
    <row r="65" spans="2:24" s="29" customFormat="1" x14ac:dyDescent="0.25">
      <c r="B65" s="45"/>
      <c r="C65" s="381"/>
      <c r="D65" s="381"/>
      <c r="E65" s="381"/>
      <c r="F65" s="381"/>
      <c r="G65" s="381"/>
      <c r="H65" s="381"/>
      <c r="I65" s="45"/>
      <c r="J65" s="45"/>
      <c r="K65" s="382"/>
      <c r="L65" s="382"/>
      <c r="M65" s="45"/>
      <c r="N65" s="45"/>
      <c r="O65" s="45"/>
      <c r="P65" s="45"/>
      <c r="Q65" s="45"/>
      <c r="R65" s="45"/>
      <c r="S65" s="45"/>
      <c r="T65" s="356"/>
      <c r="U65" s="356"/>
      <c r="V65" s="45"/>
      <c r="W65" s="45"/>
      <c r="X65" s="45"/>
    </row>
    <row r="66" spans="2:24" s="29" customFormat="1" x14ac:dyDescent="0.25">
      <c r="B66" s="45"/>
      <c r="C66" s="381"/>
      <c r="D66" s="381"/>
      <c r="E66" s="381"/>
      <c r="F66" s="381"/>
      <c r="G66" s="381"/>
      <c r="H66" s="381"/>
      <c r="I66" s="45"/>
      <c r="J66" s="45"/>
      <c r="K66" s="382"/>
      <c r="L66" s="382"/>
      <c r="M66" s="45"/>
      <c r="N66" s="45"/>
      <c r="O66" s="45"/>
      <c r="P66" s="45"/>
      <c r="Q66" s="45"/>
      <c r="R66" s="45"/>
      <c r="S66" s="45"/>
      <c r="T66" s="356"/>
      <c r="U66" s="356"/>
      <c r="V66" s="45"/>
      <c r="W66" s="45"/>
      <c r="X66" s="45"/>
    </row>
    <row r="67" spans="2:24" s="29" customFormat="1" ht="15.75" customHeight="1" x14ac:dyDescent="0.25">
      <c r="B67" s="45"/>
      <c r="C67" s="381"/>
      <c r="D67" s="381"/>
      <c r="E67" s="381"/>
      <c r="F67" s="381"/>
      <c r="G67" s="381"/>
      <c r="H67" s="381"/>
      <c r="I67" s="381"/>
      <c r="J67" s="45"/>
      <c r="K67" s="382"/>
      <c r="L67" s="382"/>
      <c r="M67" s="45"/>
      <c r="N67" s="45"/>
      <c r="O67" s="45"/>
      <c r="P67" s="45"/>
      <c r="Q67" s="45"/>
      <c r="R67" s="45"/>
      <c r="S67" s="45"/>
      <c r="T67" s="356"/>
      <c r="U67" s="356"/>
      <c r="V67" s="45"/>
      <c r="W67" s="45"/>
      <c r="X67" s="45"/>
    </row>
    <row r="68" spans="2:24" s="29" customFormat="1" x14ac:dyDescent="0.25">
      <c r="B68" s="45"/>
      <c r="C68" s="381"/>
      <c r="D68" s="381"/>
      <c r="E68" s="381"/>
      <c r="F68" s="381"/>
      <c r="G68" s="381"/>
      <c r="H68" s="381"/>
      <c r="I68" s="45"/>
      <c r="J68" s="45"/>
      <c r="K68" s="382"/>
      <c r="L68" s="382"/>
      <c r="M68" s="45"/>
      <c r="N68" s="45"/>
      <c r="O68" s="45"/>
      <c r="P68" s="45"/>
      <c r="Q68" s="45"/>
      <c r="R68" s="45"/>
      <c r="S68" s="45"/>
      <c r="T68" s="356"/>
      <c r="U68" s="356"/>
      <c r="V68" s="45"/>
      <c r="W68" s="45"/>
      <c r="X68" s="45"/>
    </row>
    <row r="69" spans="2:24" s="29" customFormat="1" x14ac:dyDescent="0.25">
      <c r="B69" s="45"/>
      <c r="C69" s="381"/>
      <c r="D69" s="381"/>
      <c r="E69" s="381"/>
      <c r="F69" s="381"/>
      <c r="G69" s="381"/>
      <c r="H69" s="381"/>
      <c r="I69" s="45"/>
      <c r="J69" s="45"/>
      <c r="K69" s="382"/>
      <c r="L69" s="382"/>
      <c r="M69" s="45"/>
      <c r="N69" s="45"/>
      <c r="O69" s="45"/>
      <c r="P69" s="45"/>
      <c r="Q69" s="45"/>
      <c r="R69" s="45"/>
      <c r="S69" s="45"/>
      <c r="T69" s="356"/>
      <c r="U69" s="356"/>
      <c r="V69" s="45"/>
      <c r="W69" s="45"/>
      <c r="X69" s="45"/>
    </row>
    <row r="70" spans="2:24" s="29" customFormat="1" x14ac:dyDescent="0.25">
      <c r="B70" s="45"/>
      <c r="C70" s="381"/>
      <c r="D70" s="381"/>
      <c r="E70" s="381"/>
      <c r="F70" s="381"/>
      <c r="G70" s="381"/>
      <c r="H70" s="381"/>
      <c r="I70" s="45"/>
      <c r="J70" s="45"/>
      <c r="K70" s="387"/>
      <c r="L70" s="387"/>
      <c r="M70" s="45"/>
      <c r="N70" s="45"/>
      <c r="O70" s="45"/>
      <c r="P70" s="45"/>
      <c r="Q70" s="45"/>
      <c r="R70" s="45"/>
      <c r="S70" s="45"/>
      <c r="T70" s="356"/>
      <c r="U70" s="356"/>
      <c r="V70" s="45"/>
      <c r="W70" s="45"/>
      <c r="X70" s="45"/>
    </row>
    <row r="71" spans="2:24" s="29" customFormat="1" x14ac:dyDescent="0.25">
      <c r="B71" s="45"/>
      <c r="C71" s="381"/>
      <c r="D71" s="381"/>
      <c r="E71" s="381"/>
      <c r="F71" s="381"/>
      <c r="G71" s="381"/>
      <c r="H71" s="381"/>
      <c r="I71" s="45"/>
      <c r="J71" s="45"/>
      <c r="K71" s="382"/>
      <c r="L71" s="382"/>
      <c r="M71" s="45"/>
      <c r="N71" s="45"/>
      <c r="O71" s="45"/>
      <c r="P71" s="45"/>
      <c r="Q71" s="45"/>
      <c r="R71" s="45"/>
      <c r="S71" s="45"/>
      <c r="T71" s="356"/>
      <c r="U71" s="356"/>
      <c r="V71" s="45"/>
      <c r="W71" s="45"/>
      <c r="X71" s="45"/>
    </row>
    <row r="72" spans="2:24" s="29" customFormat="1" x14ac:dyDescent="0.25">
      <c r="B72" s="45"/>
      <c r="C72" s="381"/>
      <c r="D72" s="381"/>
      <c r="E72" s="381"/>
      <c r="F72" s="381"/>
      <c r="G72" s="381"/>
      <c r="H72" s="381"/>
      <c r="I72" s="45"/>
      <c r="J72" s="45"/>
      <c r="K72" s="382"/>
      <c r="L72" s="382"/>
      <c r="M72" s="45"/>
      <c r="N72" s="45"/>
      <c r="O72" s="45"/>
      <c r="P72" s="45"/>
      <c r="Q72" s="45"/>
      <c r="R72" s="45"/>
      <c r="S72" s="45"/>
      <c r="T72" s="356"/>
      <c r="U72" s="356"/>
      <c r="V72" s="45"/>
      <c r="W72" s="45"/>
      <c r="X72" s="45"/>
    </row>
    <row r="73" spans="2:24" s="29" customFormat="1" x14ac:dyDescent="0.25">
      <c r="B73" s="45"/>
      <c r="C73" s="381"/>
      <c r="D73" s="381"/>
      <c r="E73" s="381"/>
      <c r="F73" s="381"/>
      <c r="G73" s="381"/>
      <c r="H73" s="381"/>
      <c r="I73" s="386"/>
      <c r="J73" s="386"/>
      <c r="K73" s="382"/>
      <c r="L73" s="382"/>
      <c r="M73" s="45"/>
      <c r="N73" s="45"/>
      <c r="O73" s="45"/>
      <c r="P73" s="45"/>
      <c r="Q73" s="45"/>
      <c r="R73" s="45"/>
      <c r="S73" s="45"/>
      <c r="T73" s="356"/>
      <c r="U73" s="356"/>
      <c r="V73" s="45"/>
      <c r="W73" s="45"/>
      <c r="X73" s="45"/>
    </row>
    <row r="74" spans="2:24" s="29" customFormat="1" x14ac:dyDescent="0.25">
      <c r="B74" s="45"/>
      <c r="C74" s="381"/>
      <c r="D74" s="381"/>
      <c r="E74" s="381"/>
      <c r="F74" s="381"/>
      <c r="G74" s="381"/>
      <c r="H74" s="381"/>
      <c r="I74" s="386"/>
      <c r="J74" s="386"/>
      <c r="K74" s="382"/>
      <c r="L74" s="382"/>
      <c r="M74" s="45"/>
      <c r="N74" s="45"/>
      <c r="O74" s="45"/>
      <c r="P74" s="45"/>
      <c r="Q74" s="45"/>
      <c r="R74" s="45"/>
      <c r="S74" s="45"/>
      <c r="T74" s="356"/>
      <c r="U74" s="356"/>
      <c r="V74" s="45"/>
      <c r="W74" s="45"/>
      <c r="X74" s="45"/>
    </row>
    <row r="75" spans="2:24" s="29" customFormat="1" x14ac:dyDescent="0.25">
      <c r="B75" s="45"/>
      <c r="C75" s="381"/>
      <c r="D75" s="381"/>
      <c r="E75" s="381"/>
      <c r="F75" s="381"/>
      <c r="G75" s="381"/>
      <c r="H75" s="381"/>
      <c r="I75" s="386"/>
      <c r="J75" s="386"/>
      <c r="K75" s="382"/>
      <c r="L75" s="382"/>
      <c r="M75" s="45"/>
      <c r="N75" s="45"/>
      <c r="O75" s="45"/>
      <c r="P75" s="45"/>
      <c r="Q75" s="45"/>
      <c r="R75" s="45"/>
      <c r="S75" s="45"/>
      <c r="T75" s="356"/>
      <c r="U75" s="356"/>
      <c r="V75" s="45"/>
      <c r="W75" s="45"/>
      <c r="X75" s="45"/>
    </row>
    <row r="76" spans="2:24" s="29" customFormat="1" ht="15.75" customHeight="1" x14ac:dyDescent="0.25">
      <c r="B76" s="45"/>
      <c r="C76" s="381"/>
      <c r="D76" s="381"/>
      <c r="E76" s="381"/>
      <c r="F76" s="381"/>
      <c r="G76" s="381"/>
      <c r="H76" s="381"/>
      <c r="I76" s="381"/>
      <c r="J76" s="45"/>
      <c r="K76" s="382"/>
      <c r="L76" s="382"/>
      <c r="M76" s="45"/>
      <c r="N76" s="45"/>
      <c r="O76" s="45"/>
      <c r="P76" s="45"/>
      <c r="Q76" s="45"/>
      <c r="R76" s="45"/>
      <c r="S76" s="45"/>
      <c r="T76" s="356"/>
      <c r="U76" s="356"/>
      <c r="V76" s="45"/>
      <c r="W76" s="45"/>
      <c r="X76" s="45"/>
    </row>
    <row r="77" spans="2:24" s="29" customFormat="1" x14ac:dyDescent="0.25">
      <c r="B77" s="45"/>
      <c r="C77" s="381"/>
      <c r="D77" s="381"/>
      <c r="E77" s="381"/>
      <c r="F77" s="381"/>
      <c r="G77" s="381"/>
      <c r="H77" s="381"/>
      <c r="I77" s="45"/>
      <c r="J77" s="45"/>
      <c r="K77" s="382"/>
      <c r="L77" s="382"/>
      <c r="M77" s="45"/>
      <c r="N77" s="45"/>
      <c r="O77" s="45"/>
      <c r="P77" s="45"/>
      <c r="Q77" s="45"/>
      <c r="R77" s="45"/>
      <c r="S77" s="45"/>
      <c r="T77" s="356"/>
      <c r="U77" s="356"/>
      <c r="V77" s="45"/>
      <c r="W77" s="45"/>
      <c r="X77" s="45"/>
    </row>
    <row r="78" spans="2:24" s="29" customFormat="1" x14ac:dyDescent="0.25">
      <c r="B78" s="45"/>
      <c r="C78" s="381"/>
      <c r="D78" s="381"/>
      <c r="E78" s="381"/>
      <c r="F78" s="381"/>
      <c r="G78" s="381"/>
      <c r="H78" s="381"/>
      <c r="I78" s="45"/>
      <c r="J78" s="45"/>
      <c r="K78" s="382"/>
      <c r="L78" s="382"/>
      <c r="M78" s="45"/>
      <c r="N78" s="45"/>
      <c r="O78" s="45"/>
      <c r="P78" s="45"/>
      <c r="Q78" s="45"/>
      <c r="R78" s="45"/>
      <c r="S78" s="45"/>
      <c r="T78" s="356"/>
      <c r="U78" s="356"/>
      <c r="V78" s="45"/>
      <c r="W78" s="45"/>
      <c r="X78" s="45"/>
    </row>
    <row r="79" spans="2:24" s="29" customFormat="1" x14ac:dyDescent="0.25">
      <c r="B79" s="45"/>
      <c r="C79" s="381"/>
      <c r="D79" s="381"/>
      <c r="E79" s="381"/>
      <c r="F79" s="381"/>
      <c r="G79" s="381"/>
      <c r="H79" s="381"/>
      <c r="I79" s="45"/>
      <c r="J79" s="45"/>
      <c r="K79" s="387"/>
      <c r="L79" s="387"/>
      <c r="M79" s="45"/>
      <c r="N79" s="45"/>
      <c r="O79" s="45"/>
      <c r="P79" s="45"/>
      <c r="Q79" s="45"/>
      <c r="R79" s="45"/>
      <c r="S79" s="45"/>
      <c r="T79" s="356"/>
      <c r="U79" s="356"/>
      <c r="V79" s="45"/>
      <c r="W79" s="45"/>
      <c r="X79" s="45"/>
    </row>
    <row r="80" spans="2:24" s="29" customFormat="1" x14ac:dyDescent="0.25">
      <c r="B80" s="45"/>
      <c r="C80" s="381"/>
      <c r="D80" s="381"/>
      <c r="E80" s="381"/>
      <c r="F80" s="381"/>
      <c r="G80" s="381"/>
      <c r="H80" s="381"/>
      <c r="I80" s="45"/>
      <c r="J80" s="45"/>
      <c r="K80" s="382"/>
      <c r="L80" s="382"/>
      <c r="M80" s="45"/>
      <c r="N80" s="45"/>
      <c r="O80" s="45"/>
      <c r="P80" s="45"/>
      <c r="Q80" s="45"/>
      <c r="R80" s="45"/>
      <c r="S80" s="45"/>
      <c r="T80" s="356"/>
      <c r="U80" s="356"/>
      <c r="V80" s="45"/>
      <c r="W80" s="45"/>
      <c r="X80" s="45"/>
    </row>
    <row r="81" spans="2:24" s="29" customFormat="1" x14ac:dyDescent="0.25">
      <c r="B81" s="45"/>
      <c r="C81" s="381"/>
      <c r="D81" s="381"/>
      <c r="E81" s="381"/>
      <c r="F81" s="381"/>
      <c r="G81" s="381"/>
      <c r="H81" s="381"/>
      <c r="I81" s="45"/>
      <c r="J81" s="45"/>
      <c r="K81" s="382"/>
      <c r="L81" s="382"/>
      <c r="M81" s="45"/>
      <c r="N81" s="45"/>
      <c r="O81" s="45"/>
      <c r="P81" s="45"/>
      <c r="Q81" s="45"/>
      <c r="R81" s="45"/>
      <c r="S81" s="45"/>
      <c r="T81" s="356"/>
      <c r="U81" s="356"/>
      <c r="V81" s="45"/>
      <c r="W81" s="45"/>
      <c r="X81" s="45"/>
    </row>
    <row r="82" spans="2:24" s="29" customFormat="1" x14ac:dyDescent="0.25">
      <c r="B82" s="45"/>
      <c r="C82" s="381"/>
      <c r="D82" s="381"/>
      <c r="E82" s="381"/>
      <c r="F82" s="381"/>
      <c r="G82" s="381"/>
      <c r="H82" s="381"/>
      <c r="I82" s="45"/>
      <c r="J82" s="386"/>
      <c r="K82" s="382"/>
      <c r="L82" s="382"/>
      <c r="M82" s="45"/>
      <c r="N82" s="45"/>
      <c r="O82" s="45"/>
      <c r="P82" s="45"/>
      <c r="Q82" s="45"/>
      <c r="R82" s="45"/>
      <c r="S82" s="45"/>
      <c r="T82" s="356"/>
      <c r="U82" s="356"/>
      <c r="V82" s="45"/>
      <c r="W82" s="45"/>
      <c r="X82" s="45"/>
    </row>
    <row r="83" spans="2:24" s="29" customFormat="1" x14ac:dyDescent="0.25">
      <c r="B83" s="45"/>
      <c r="C83" s="381"/>
      <c r="D83" s="381"/>
      <c r="E83" s="381"/>
      <c r="F83" s="381"/>
      <c r="G83" s="381"/>
      <c r="H83" s="381"/>
      <c r="I83" s="45"/>
      <c r="J83" s="45"/>
      <c r="K83" s="382"/>
      <c r="L83" s="382"/>
      <c r="M83" s="45"/>
      <c r="N83" s="45"/>
      <c r="O83" s="45"/>
      <c r="P83" s="45"/>
      <c r="Q83" s="45"/>
      <c r="R83" s="45"/>
      <c r="S83" s="45"/>
      <c r="T83" s="356"/>
      <c r="U83" s="356"/>
      <c r="V83" s="45"/>
      <c r="W83" s="45"/>
      <c r="X83" s="45"/>
    </row>
    <row r="84" spans="2:24" s="29" customFormat="1" x14ac:dyDescent="0.25">
      <c r="B84" s="45"/>
      <c r="C84" s="381"/>
      <c r="D84" s="381"/>
      <c r="E84" s="381"/>
      <c r="F84" s="381"/>
      <c r="G84" s="381"/>
      <c r="H84" s="381"/>
      <c r="I84" s="45"/>
      <c r="J84" s="45"/>
      <c r="K84" s="382"/>
      <c r="L84" s="382"/>
      <c r="M84" s="45"/>
      <c r="N84" s="45"/>
      <c r="O84" s="45"/>
      <c r="P84" s="45"/>
      <c r="Q84" s="45"/>
      <c r="R84" s="45"/>
      <c r="S84" s="45"/>
      <c r="T84" s="356"/>
      <c r="U84" s="356"/>
      <c r="V84" s="45"/>
      <c r="W84" s="45"/>
      <c r="X84" s="45"/>
    </row>
    <row r="85" spans="2:24" s="29" customFormat="1" ht="15.75" customHeight="1" x14ac:dyDescent="0.25">
      <c r="B85" s="45"/>
      <c r="C85" s="381"/>
      <c r="D85" s="381"/>
      <c r="E85" s="381"/>
      <c r="F85" s="381"/>
      <c r="G85" s="381"/>
      <c r="H85" s="381"/>
      <c r="I85" s="381"/>
      <c r="J85" s="45"/>
      <c r="K85" s="382"/>
      <c r="L85" s="382"/>
      <c r="M85" s="45"/>
      <c r="N85" s="45"/>
      <c r="O85" s="45"/>
      <c r="P85" s="45"/>
      <c r="Q85" s="45"/>
      <c r="R85" s="45"/>
      <c r="S85" s="45"/>
      <c r="T85" s="356"/>
      <c r="U85" s="356"/>
      <c r="V85" s="45"/>
      <c r="W85" s="45"/>
      <c r="X85" s="45"/>
    </row>
    <row r="86" spans="2:24" s="29" customFormat="1" ht="15.75" customHeight="1" x14ac:dyDescent="0.25">
      <c r="B86" s="45"/>
      <c r="C86" s="381"/>
      <c r="D86" s="381"/>
      <c r="E86" s="381"/>
      <c r="F86" s="381"/>
      <c r="G86" s="381"/>
      <c r="H86" s="381"/>
      <c r="I86" s="381"/>
      <c r="J86" s="45"/>
      <c r="K86" s="382"/>
      <c r="L86" s="382"/>
      <c r="M86" s="45"/>
      <c r="N86" s="45"/>
      <c r="O86" s="45"/>
      <c r="P86" s="45"/>
      <c r="Q86" s="45"/>
      <c r="R86" s="45"/>
      <c r="S86" s="45"/>
      <c r="T86" s="356"/>
      <c r="U86" s="356"/>
      <c r="V86" s="45"/>
      <c r="W86" s="45"/>
      <c r="X86" s="45"/>
    </row>
    <row r="87" spans="2:24" s="29" customFormat="1" ht="15.75" customHeight="1" x14ac:dyDescent="0.25">
      <c r="B87" s="45"/>
      <c r="C87" s="381"/>
      <c r="D87" s="381"/>
      <c r="E87" s="381"/>
      <c r="F87" s="381"/>
      <c r="G87" s="381"/>
      <c r="H87" s="381"/>
      <c r="I87" s="45"/>
      <c r="J87" s="45"/>
      <c r="K87" s="382"/>
      <c r="L87" s="382"/>
      <c r="M87" s="45"/>
      <c r="N87" s="45"/>
      <c r="O87" s="45"/>
      <c r="P87" s="45"/>
      <c r="Q87" s="45"/>
      <c r="R87" s="45"/>
      <c r="S87" s="45"/>
      <c r="T87" s="356"/>
      <c r="U87" s="356"/>
      <c r="V87" s="45"/>
      <c r="W87" s="45"/>
      <c r="X87" s="45"/>
    </row>
    <row r="88" spans="2:24" s="29" customFormat="1" x14ac:dyDescent="0.25">
      <c r="B88" s="45"/>
      <c r="C88" s="381"/>
      <c r="D88" s="381"/>
      <c r="E88" s="381"/>
      <c r="F88" s="381"/>
      <c r="G88" s="381"/>
      <c r="H88" s="381"/>
      <c r="I88" s="45"/>
      <c r="J88" s="45"/>
      <c r="K88" s="382"/>
      <c r="L88" s="382"/>
      <c r="M88" s="45"/>
      <c r="N88" s="45"/>
      <c r="O88" s="45"/>
      <c r="P88" s="45"/>
      <c r="Q88" s="45"/>
      <c r="R88" s="45"/>
      <c r="S88" s="45"/>
      <c r="T88" s="356"/>
      <c r="U88" s="356"/>
      <c r="V88" s="45"/>
      <c r="W88" s="45"/>
      <c r="X88" s="45"/>
    </row>
    <row r="89" spans="2:24" s="29" customFormat="1" ht="15.75" customHeight="1" x14ac:dyDescent="0.25">
      <c r="B89" s="45"/>
      <c r="C89" s="381"/>
      <c r="D89" s="381"/>
      <c r="E89" s="381"/>
      <c r="F89" s="381"/>
      <c r="G89" s="381"/>
      <c r="H89" s="381"/>
      <c r="I89" s="45"/>
      <c r="J89" s="45"/>
      <c r="K89" s="382"/>
      <c r="L89" s="382"/>
      <c r="M89" s="45"/>
      <c r="N89" s="45"/>
      <c r="O89" s="45"/>
      <c r="P89" s="45"/>
      <c r="Q89" s="45"/>
      <c r="R89" s="45"/>
      <c r="S89" s="45"/>
      <c r="T89" s="356"/>
      <c r="U89" s="356"/>
      <c r="V89" s="45"/>
      <c r="W89" s="45"/>
      <c r="X89" s="45"/>
    </row>
    <row r="90" spans="2:24" s="29" customFormat="1" x14ac:dyDescent="0.25">
      <c r="B90" s="45"/>
      <c r="C90" s="381"/>
      <c r="D90" s="381"/>
      <c r="E90" s="381"/>
      <c r="F90" s="381"/>
      <c r="G90" s="381"/>
      <c r="H90" s="381"/>
      <c r="I90" s="45"/>
      <c r="J90" s="45"/>
      <c r="K90" s="382"/>
      <c r="L90" s="382"/>
      <c r="M90" s="45"/>
      <c r="N90" s="45"/>
      <c r="O90" s="45"/>
      <c r="P90" s="45"/>
      <c r="Q90" s="45"/>
      <c r="R90" s="45"/>
      <c r="S90" s="45"/>
      <c r="T90" s="356"/>
      <c r="U90" s="356"/>
      <c r="V90" s="45"/>
      <c r="W90" s="45"/>
      <c r="X90" s="45"/>
    </row>
    <row r="91" spans="2:24" s="29" customFormat="1" ht="15.75" customHeight="1" x14ac:dyDescent="0.25">
      <c r="B91" s="45"/>
      <c r="C91" s="381"/>
      <c r="D91" s="381"/>
      <c r="E91" s="381"/>
      <c r="F91" s="381"/>
      <c r="G91" s="381"/>
      <c r="H91" s="381"/>
      <c r="I91" s="45"/>
      <c r="J91" s="45"/>
      <c r="K91" s="382"/>
      <c r="L91" s="382"/>
      <c r="M91" s="45"/>
      <c r="N91" s="45"/>
      <c r="O91" s="45"/>
      <c r="P91" s="45"/>
      <c r="Q91" s="45"/>
      <c r="R91" s="45"/>
      <c r="S91" s="45"/>
      <c r="T91" s="356"/>
      <c r="U91" s="356"/>
      <c r="V91" s="45"/>
      <c r="W91" s="45"/>
      <c r="X91" s="45"/>
    </row>
    <row r="92" spans="2:24" s="29" customFormat="1" x14ac:dyDescent="0.25">
      <c r="B92" s="45"/>
      <c r="C92" s="381"/>
      <c r="D92" s="381"/>
      <c r="E92" s="381"/>
      <c r="F92" s="381"/>
      <c r="G92" s="381"/>
      <c r="H92" s="381"/>
      <c r="I92" s="381"/>
      <c r="J92" s="45"/>
      <c r="K92" s="382"/>
      <c r="L92" s="382"/>
      <c r="M92" s="45"/>
      <c r="N92" s="45"/>
      <c r="O92" s="45"/>
      <c r="P92" s="45"/>
      <c r="Q92" s="45"/>
      <c r="R92" s="45"/>
      <c r="S92" s="45"/>
      <c r="T92" s="356"/>
      <c r="U92" s="356"/>
      <c r="V92" s="45"/>
      <c r="W92" s="45"/>
      <c r="X92" s="45"/>
    </row>
    <row r="93" spans="2:24" s="29" customFormat="1" x14ac:dyDescent="0.25">
      <c r="B93" s="45"/>
      <c r="C93" s="381"/>
      <c r="D93" s="381"/>
      <c r="E93" s="381"/>
      <c r="F93" s="381"/>
      <c r="G93" s="381"/>
      <c r="H93" s="381"/>
      <c r="I93" s="45"/>
      <c r="J93" s="45"/>
      <c r="K93" s="382"/>
      <c r="L93" s="382"/>
      <c r="M93" s="45"/>
      <c r="N93" s="45"/>
      <c r="O93" s="45"/>
      <c r="P93" s="45"/>
      <c r="Q93" s="45"/>
      <c r="R93" s="45"/>
      <c r="S93" s="45"/>
      <c r="T93" s="356"/>
      <c r="U93" s="356"/>
      <c r="V93" s="45"/>
      <c r="W93" s="45"/>
      <c r="X93" s="45"/>
    </row>
    <row r="94" spans="2:24" s="29" customFormat="1" x14ac:dyDescent="0.25">
      <c r="B94" s="45"/>
      <c r="C94" s="381"/>
      <c r="D94" s="381"/>
      <c r="E94" s="381"/>
      <c r="F94" s="381"/>
      <c r="G94" s="381"/>
      <c r="H94" s="381"/>
      <c r="I94" s="45"/>
      <c r="J94" s="45"/>
      <c r="K94" s="382"/>
      <c r="L94" s="382"/>
      <c r="M94" s="45"/>
      <c r="N94" s="45"/>
      <c r="O94" s="45"/>
      <c r="P94" s="45"/>
      <c r="Q94" s="45"/>
      <c r="R94" s="45"/>
      <c r="S94" s="45"/>
      <c r="T94" s="356"/>
      <c r="U94" s="356"/>
      <c r="V94" s="45"/>
      <c r="W94" s="45"/>
      <c r="X94" s="45"/>
    </row>
    <row r="95" spans="2:24" s="29" customFormat="1" x14ac:dyDescent="0.25">
      <c r="B95" s="45"/>
      <c r="C95" s="381"/>
      <c r="D95" s="381"/>
      <c r="E95" s="381"/>
      <c r="F95" s="381"/>
      <c r="G95" s="381"/>
      <c r="H95" s="381"/>
      <c r="I95" s="381"/>
      <c r="J95" s="45"/>
      <c r="K95" s="356"/>
      <c r="L95" s="356"/>
      <c r="M95" s="45"/>
      <c r="N95" s="45"/>
      <c r="O95" s="45"/>
      <c r="P95" s="45"/>
      <c r="Q95" s="45"/>
      <c r="R95" s="45"/>
      <c r="S95" s="45"/>
      <c r="T95" s="356"/>
      <c r="U95" s="356"/>
      <c r="V95" s="45"/>
      <c r="W95" s="45"/>
      <c r="X95" s="45"/>
    </row>
    <row r="96" spans="2:24" s="29" customFormat="1" x14ac:dyDescent="0.25">
      <c r="B96" s="45"/>
      <c r="C96" s="381"/>
      <c r="D96" s="381"/>
      <c r="E96" s="381"/>
      <c r="F96" s="381"/>
      <c r="G96" s="381"/>
      <c r="H96" s="381"/>
      <c r="I96" s="45"/>
      <c r="J96" s="45"/>
      <c r="K96" s="356"/>
      <c r="L96" s="356"/>
      <c r="M96" s="45"/>
      <c r="N96" s="45"/>
      <c r="O96" s="45"/>
      <c r="P96" s="45"/>
      <c r="Q96" s="45"/>
      <c r="R96" s="45"/>
      <c r="S96" s="45"/>
      <c r="T96" s="356"/>
      <c r="U96" s="356"/>
      <c r="V96" s="45"/>
      <c r="W96" s="45"/>
      <c r="X96" s="45"/>
    </row>
    <row r="97" spans="2:24" s="29" customFormat="1" x14ac:dyDescent="0.25">
      <c r="B97" s="45"/>
      <c r="C97" s="381"/>
      <c r="D97" s="381"/>
      <c r="E97" s="381"/>
      <c r="F97" s="381"/>
      <c r="G97" s="381"/>
      <c r="H97" s="381"/>
      <c r="I97" s="1044"/>
      <c r="J97" s="1044"/>
      <c r="K97" s="388"/>
      <c r="L97" s="388"/>
      <c r="M97" s="45"/>
      <c r="N97" s="45"/>
      <c r="O97" s="45"/>
      <c r="P97" s="45"/>
      <c r="Q97" s="45"/>
      <c r="R97" s="45"/>
      <c r="S97" s="45"/>
      <c r="T97" s="356"/>
      <c r="U97" s="356"/>
      <c r="V97" s="45"/>
      <c r="W97" s="45"/>
      <c r="X97" s="45"/>
    </row>
    <row r="98" spans="2:24" s="29" customFormat="1" x14ac:dyDescent="0.25">
      <c r="B98" s="45"/>
      <c r="C98" s="381"/>
      <c r="D98" s="381"/>
      <c r="E98" s="381"/>
      <c r="F98" s="381"/>
      <c r="G98" s="381"/>
      <c r="H98" s="381"/>
      <c r="I98" s="381"/>
      <c r="J98" s="45"/>
      <c r="K98" s="382"/>
      <c r="L98" s="382"/>
      <c r="M98" s="45"/>
      <c r="N98" s="45"/>
      <c r="O98" s="45"/>
      <c r="P98" s="45"/>
      <c r="Q98" s="45"/>
      <c r="R98" s="45"/>
      <c r="S98" s="45"/>
      <c r="T98" s="356"/>
      <c r="U98" s="356"/>
      <c r="V98" s="45"/>
      <c r="W98" s="45"/>
      <c r="X98" s="45"/>
    </row>
    <row r="99" spans="2:24" s="29" customFormat="1" x14ac:dyDescent="0.25">
      <c r="B99" s="45"/>
      <c r="C99" s="381"/>
      <c r="D99" s="381"/>
      <c r="E99" s="381"/>
      <c r="F99" s="381"/>
      <c r="G99" s="381"/>
      <c r="H99" s="381"/>
      <c r="I99" s="45"/>
      <c r="J99" s="45"/>
      <c r="K99" s="382"/>
      <c r="L99" s="382"/>
      <c r="M99" s="45"/>
      <c r="N99" s="45"/>
      <c r="O99" s="45"/>
      <c r="P99" s="45"/>
      <c r="Q99" s="45"/>
      <c r="R99" s="45"/>
      <c r="S99" s="45"/>
      <c r="T99" s="356"/>
      <c r="U99" s="356"/>
      <c r="V99" s="45"/>
      <c r="W99" s="45"/>
      <c r="X99" s="45"/>
    </row>
    <row r="100" spans="2:24" s="29" customFormat="1" x14ac:dyDescent="0.25">
      <c r="B100" s="45"/>
      <c r="C100" s="381"/>
      <c r="D100" s="381"/>
      <c r="E100" s="381"/>
      <c r="F100" s="381"/>
      <c r="G100" s="381"/>
      <c r="H100" s="381"/>
      <c r="I100" s="45"/>
      <c r="J100" s="45"/>
      <c r="K100" s="382"/>
      <c r="L100" s="382"/>
      <c r="M100" s="45"/>
      <c r="N100" s="45"/>
      <c r="O100" s="45"/>
      <c r="P100" s="45"/>
      <c r="Q100" s="45"/>
      <c r="R100" s="45"/>
      <c r="S100" s="45"/>
      <c r="T100" s="356"/>
      <c r="U100" s="356"/>
      <c r="V100" s="45"/>
      <c r="W100" s="45"/>
      <c r="X100" s="45"/>
    </row>
    <row r="101" spans="2:24" s="29" customFormat="1" x14ac:dyDescent="0.25">
      <c r="B101" s="45"/>
      <c r="C101" s="381"/>
      <c r="D101" s="381"/>
      <c r="E101" s="381"/>
      <c r="F101" s="381"/>
      <c r="G101" s="381"/>
      <c r="H101" s="381"/>
      <c r="I101" s="381"/>
      <c r="J101" s="45"/>
      <c r="K101" s="382"/>
      <c r="L101" s="382"/>
      <c r="M101" s="45"/>
      <c r="N101" s="45"/>
      <c r="O101" s="45"/>
      <c r="P101" s="45"/>
      <c r="Q101" s="45"/>
      <c r="R101" s="45"/>
      <c r="S101" s="45"/>
      <c r="T101" s="356"/>
      <c r="U101" s="356"/>
      <c r="V101" s="45"/>
      <c r="W101" s="45"/>
      <c r="X101" s="45"/>
    </row>
    <row r="102" spans="2:24" s="29" customFormat="1" x14ac:dyDescent="0.25">
      <c r="B102" s="45"/>
      <c r="C102" s="381"/>
      <c r="D102" s="381"/>
      <c r="E102" s="381"/>
      <c r="F102" s="381"/>
      <c r="G102" s="381"/>
      <c r="H102" s="381"/>
      <c r="I102" s="45"/>
      <c r="J102" s="45"/>
      <c r="K102" s="382"/>
      <c r="L102" s="382"/>
      <c r="M102" s="45"/>
      <c r="N102" s="45"/>
      <c r="O102" s="45"/>
      <c r="P102" s="45"/>
      <c r="Q102" s="45"/>
      <c r="R102" s="45"/>
      <c r="S102" s="45"/>
      <c r="T102" s="356"/>
      <c r="U102" s="356"/>
      <c r="V102" s="45"/>
      <c r="W102" s="45"/>
      <c r="X102" s="45"/>
    </row>
    <row r="103" spans="2:24" s="29" customFormat="1" x14ac:dyDescent="0.25">
      <c r="B103" s="45"/>
      <c r="C103" s="381"/>
      <c r="D103" s="381"/>
      <c r="E103" s="381"/>
      <c r="F103" s="381"/>
      <c r="G103" s="381"/>
      <c r="H103" s="381"/>
      <c r="I103" s="45"/>
      <c r="J103" s="45"/>
      <c r="K103" s="382"/>
      <c r="L103" s="382"/>
      <c r="M103" s="45"/>
      <c r="N103" s="45"/>
      <c r="O103" s="45"/>
      <c r="P103" s="45"/>
      <c r="Q103" s="45"/>
      <c r="R103" s="45"/>
      <c r="S103" s="45"/>
      <c r="T103" s="356"/>
      <c r="U103" s="356"/>
      <c r="V103" s="45"/>
      <c r="W103" s="45"/>
      <c r="X103" s="45"/>
    </row>
    <row r="104" spans="2:24" s="29" customFormat="1" x14ac:dyDescent="0.25">
      <c r="B104" s="45"/>
      <c r="C104" s="381"/>
      <c r="D104" s="381"/>
      <c r="E104" s="381"/>
      <c r="F104" s="381"/>
      <c r="G104" s="381"/>
      <c r="H104" s="381"/>
      <c r="I104" s="45"/>
      <c r="J104" s="45"/>
      <c r="K104" s="382"/>
      <c r="L104" s="382"/>
      <c r="M104" s="45"/>
      <c r="N104" s="45"/>
      <c r="O104" s="45"/>
      <c r="P104" s="45"/>
      <c r="Q104" s="45"/>
      <c r="R104" s="45"/>
      <c r="S104" s="45"/>
      <c r="T104" s="356"/>
      <c r="U104" s="356"/>
      <c r="V104" s="45"/>
      <c r="W104" s="45"/>
      <c r="X104" s="45"/>
    </row>
    <row r="105" spans="2:24" s="29" customFormat="1" x14ac:dyDescent="0.25">
      <c r="B105" s="45"/>
      <c r="C105" s="381"/>
      <c r="D105" s="381"/>
      <c r="E105" s="381"/>
      <c r="F105" s="381"/>
      <c r="G105" s="381"/>
      <c r="H105" s="381"/>
      <c r="I105" s="45"/>
      <c r="J105" s="45"/>
      <c r="K105" s="382"/>
      <c r="L105" s="382"/>
      <c r="M105" s="45"/>
      <c r="N105" s="45"/>
      <c r="O105" s="45"/>
      <c r="P105" s="45"/>
      <c r="Q105" s="45"/>
      <c r="R105" s="45"/>
      <c r="S105" s="45"/>
      <c r="T105" s="356"/>
      <c r="U105" s="356"/>
      <c r="V105" s="45"/>
      <c r="W105" s="45"/>
      <c r="X105" s="45"/>
    </row>
    <row r="106" spans="2:24" s="29" customFormat="1" x14ac:dyDescent="0.25">
      <c r="B106" s="45"/>
      <c r="C106" s="381"/>
      <c r="D106" s="381"/>
      <c r="E106" s="381"/>
      <c r="F106" s="381"/>
      <c r="G106" s="381"/>
      <c r="H106" s="381"/>
      <c r="I106" s="381"/>
      <c r="J106" s="45"/>
      <c r="K106" s="382"/>
      <c r="L106" s="382"/>
      <c r="M106" s="45"/>
      <c r="N106" s="45"/>
      <c r="O106" s="45"/>
      <c r="P106" s="45"/>
      <c r="Q106" s="45"/>
      <c r="R106" s="45"/>
      <c r="S106" s="45"/>
      <c r="T106" s="356"/>
      <c r="U106" s="356"/>
      <c r="V106" s="45"/>
      <c r="W106" s="45"/>
      <c r="X106" s="45"/>
    </row>
    <row r="107" spans="2:24" s="29" customFormat="1" x14ac:dyDescent="0.25">
      <c r="B107" s="45"/>
      <c r="C107" s="381"/>
      <c r="D107" s="381"/>
      <c r="E107" s="381"/>
      <c r="F107" s="381"/>
      <c r="G107" s="381"/>
      <c r="H107" s="381"/>
      <c r="I107" s="45"/>
      <c r="J107" s="45"/>
      <c r="K107" s="382"/>
      <c r="L107" s="382"/>
      <c r="M107" s="45"/>
      <c r="N107" s="45"/>
      <c r="O107" s="45"/>
      <c r="P107" s="45"/>
      <c r="Q107" s="45"/>
      <c r="R107" s="45"/>
      <c r="S107" s="45"/>
      <c r="T107" s="356"/>
      <c r="U107" s="356"/>
      <c r="V107" s="45"/>
      <c r="W107" s="45"/>
      <c r="X107" s="45"/>
    </row>
    <row r="108" spans="2:24" s="29" customFormat="1" x14ac:dyDescent="0.25">
      <c r="B108" s="45"/>
      <c r="C108" s="381"/>
      <c r="D108" s="381"/>
      <c r="E108" s="381"/>
      <c r="F108" s="381"/>
      <c r="G108" s="381"/>
      <c r="H108" s="381"/>
      <c r="I108" s="384"/>
      <c r="J108" s="384"/>
      <c r="K108" s="385"/>
      <c r="L108" s="385"/>
      <c r="M108" s="45"/>
      <c r="N108" s="45"/>
      <c r="O108" s="45"/>
      <c r="P108" s="45"/>
      <c r="Q108" s="45"/>
      <c r="R108" s="45"/>
      <c r="S108" s="45"/>
      <c r="T108" s="356"/>
      <c r="U108" s="356"/>
      <c r="V108" s="45"/>
      <c r="W108" s="45"/>
      <c r="X108" s="45"/>
    </row>
    <row r="109" spans="2:24" s="29" customFormat="1" x14ac:dyDescent="0.25">
      <c r="B109" s="45"/>
      <c r="C109" s="381"/>
      <c r="D109" s="381"/>
      <c r="E109" s="381"/>
      <c r="F109" s="381"/>
      <c r="G109" s="381"/>
      <c r="H109" s="381"/>
      <c r="I109" s="45"/>
      <c r="J109" s="45"/>
      <c r="K109" s="382"/>
      <c r="L109" s="382"/>
      <c r="M109" s="45"/>
      <c r="N109" s="45"/>
      <c r="O109" s="45"/>
      <c r="P109" s="45"/>
      <c r="Q109" s="45"/>
      <c r="R109" s="45"/>
      <c r="S109" s="45"/>
      <c r="T109" s="356"/>
      <c r="U109" s="356"/>
      <c r="V109" s="45"/>
      <c r="W109" s="45"/>
      <c r="X109" s="45"/>
    </row>
    <row r="110" spans="2:24" s="29" customFormat="1" x14ac:dyDescent="0.25">
      <c r="B110" s="45"/>
      <c r="C110" s="381"/>
      <c r="D110" s="381"/>
      <c r="E110" s="381"/>
      <c r="F110" s="381"/>
      <c r="G110" s="381"/>
      <c r="H110" s="381"/>
      <c r="I110" s="45"/>
      <c r="J110" s="45"/>
      <c r="K110" s="382"/>
      <c r="L110" s="382"/>
      <c r="M110" s="45"/>
      <c r="N110" s="45"/>
      <c r="O110" s="45"/>
      <c r="P110" s="45"/>
      <c r="Q110" s="45"/>
      <c r="R110" s="45"/>
      <c r="S110" s="45"/>
      <c r="T110" s="356"/>
      <c r="U110" s="356"/>
      <c r="V110" s="45"/>
      <c r="W110" s="45"/>
      <c r="X110" s="45"/>
    </row>
    <row r="111" spans="2:24" s="29" customFormat="1" x14ac:dyDescent="0.25">
      <c r="B111" s="45"/>
      <c r="C111" s="381"/>
      <c r="D111" s="381"/>
      <c r="E111" s="381"/>
      <c r="F111" s="381"/>
      <c r="G111" s="381"/>
      <c r="H111" s="381"/>
      <c r="I111" s="45"/>
      <c r="J111" s="45"/>
      <c r="K111" s="382"/>
      <c r="L111" s="382"/>
      <c r="M111" s="45"/>
      <c r="N111" s="45"/>
      <c r="O111" s="45"/>
      <c r="P111" s="45"/>
      <c r="Q111" s="45"/>
      <c r="R111" s="45"/>
      <c r="S111" s="45"/>
      <c r="T111" s="356"/>
      <c r="U111" s="356"/>
      <c r="V111" s="45"/>
      <c r="W111" s="45"/>
      <c r="X111" s="45"/>
    </row>
    <row r="112" spans="2:24" s="29" customFormat="1" x14ac:dyDescent="0.25">
      <c r="B112" s="45"/>
      <c r="C112" s="381"/>
      <c r="D112" s="381"/>
      <c r="E112" s="381"/>
      <c r="F112" s="381"/>
      <c r="G112" s="381"/>
      <c r="H112" s="381"/>
      <c r="I112" s="381"/>
      <c r="J112" s="45"/>
      <c r="K112" s="382"/>
      <c r="L112" s="382"/>
      <c r="M112" s="45"/>
      <c r="N112" s="45"/>
      <c r="O112" s="45"/>
      <c r="P112" s="45"/>
      <c r="Q112" s="45"/>
      <c r="R112" s="45"/>
      <c r="S112" s="45"/>
      <c r="T112" s="356"/>
      <c r="U112" s="356"/>
      <c r="V112" s="45"/>
      <c r="W112" s="45"/>
      <c r="X112" s="45"/>
    </row>
    <row r="113" spans="2:24" s="29" customFormat="1" x14ac:dyDescent="0.25">
      <c r="B113" s="45"/>
      <c r="C113" s="381"/>
      <c r="D113" s="381"/>
      <c r="E113" s="381"/>
      <c r="F113" s="381"/>
      <c r="G113" s="381"/>
      <c r="H113" s="381"/>
      <c r="I113" s="45"/>
      <c r="J113" s="45"/>
      <c r="K113" s="382"/>
      <c r="L113" s="382"/>
      <c r="M113" s="45"/>
      <c r="N113" s="45"/>
      <c r="O113" s="45"/>
      <c r="P113" s="45"/>
      <c r="Q113" s="45"/>
      <c r="R113" s="45"/>
      <c r="S113" s="45"/>
      <c r="T113" s="356"/>
      <c r="U113" s="356"/>
      <c r="V113" s="45"/>
      <c r="W113" s="45"/>
      <c r="X113" s="45"/>
    </row>
    <row r="114" spans="2:24" s="29" customFormat="1" x14ac:dyDescent="0.25">
      <c r="B114" s="45"/>
      <c r="C114" s="381"/>
      <c r="D114" s="381"/>
      <c r="E114" s="381"/>
      <c r="F114" s="381"/>
      <c r="G114" s="381"/>
      <c r="H114" s="381"/>
      <c r="I114" s="384"/>
      <c r="J114" s="384"/>
      <c r="K114" s="385"/>
      <c r="L114" s="385"/>
      <c r="M114" s="45"/>
      <c r="N114" s="45"/>
      <c r="O114" s="45"/>
      <c r="P114" s="45"/>
      <c r="Q114" s="45"/>
      <c r="R114" s="45"/>
      <c r="S114" s="45"/>
      <c r="T114" s="356"/>
      <c r="U114" s="356"/>
      <c r="V114" s="45"/>
      <c r="W114" s="45"/>
      <c r="X114" s="45"/>
    </row>
    <row r="115" spans="2:24" s="29" customFormat="1" x14ac:dyDescent="0.25">
      <c r="B115" s="45"/>
      <c r="C115" s="381"/>
      <c r="D115" s="381"/>
      <c r="E115" s="381"/>
      <c r="F115" s="381"/>
      <c r="G115" s="381"/>
      <c r="H115" s="381"/>
      <c r="I115" s="45"/>
      <c r="J115" s="45"/>
      <c r="K115" s="356"/>
      <c r="L115" s="356"/>
      <c r="M115" s="45"/>
      <c r="N115" s="45"/>
      <c r="O115" s="45"/>
      <c r="P115" s="45"/>
      <c r="Q115" s="45"/>
      <c r="R115" s="45"/>
      <c r="S115" s="45"/>
      <c r="T115" s="356"/>
      <c r="U115" s="356"/>
      <c r="V115" s="45"/>
      <c r="W115" s="45"/>
      <c r="X115" s="45"/>
    </row>
    <row r="116" spans="2:24" s="29" customFormat="1" x14ac:dyDescent="0.25">
      <c r="B116" s="45"/>
      <c r="C116" s="381"/>
      <c r="D116" s="381"/>
      <c r="E116" s="381"/>
      <c r="F116" s="381"/>
      <c r="G116" s="381"/>
      <c r="H116" s="381"/>
      <c r="I116" s="45"/>
      <c r="J116" s="45"/>
      <c r="K116" s="382"/>
      <c r="L116" s="382"/>
      <c r="M116" s="45"/>
      <c r="N116" s="45"/>
      <c r="O116" s="45"/>
      <c r="P116" s="45"/>
      <c r="Q116" s="45"/>
      <c r="R116" s="45"/>
      <c r="S116" s="45"/>
      <c r="T116" s="356"/>
      <c r="U116" s="356"/>
      <c r="V116" s="45"/>
      <c r="W116" s="45"/>
      <c r="X116" s="45"/>
    </row>
    <row r="117" spans="2:24" s="29" customFormat="1" x14ac:dyDescent="0.25">
      <c r="B117" s="45"/>
      <c r="C117" s="381"/>
      <c r="D117" s="381"/>
      <c r="E117" s="381"/>
      <c r="F117" s="381"/>
      <c r="G117" s="381"/>
      <c r="H117" s="381"/>
      <c r="I117" s="45"/>
      <c r="J117" s="45"/>
      <c r="K117" s="382"/>
      <c r="L117" s="382"/>
      <c r="M117" s="45"/>
      <c r="N117" s="45"/>
      <c r="O117" s="45"/>
      <c r="P117" s="45"/>
      <c r="Q117" s="45"/>
      <c r="R117" s="45"/>
      <c r="S117" s="45"/>
      <c r="T117" s="356"/>
      <c r="U117" s="356"/>
      <c r="V117" s="45"/>
      <c r="W117" s="45"/>
      <c r="X117" s="45"/>
    </row>
    <row r="118" spans="2:24" s="29" customFormat="1" x14ac:dyDescent="0.25">
      <c r="B118" s="45"/>
      <c r="C118" s="381"/>
      <c r="D118" s="381"/>
      <c r="E118" s="381"/>
      <c r="F118" s="381"/>
      <c r="G118" s="381"/>
      <c r="H118" s="381"/>
      <c r="I118" s="384"/>
      <c r="J118" s="384"/>
      <c r="K118" s="385"/>
      <c r="L118" s="385"/>
      <c r="M118" s="45"/>
      <c r="N118" s="45"/>
      <c r="O118" s="45"/>
      <c r="P118" s="45"/>
      <c r="Q118" s="45"/>
      <c r="R118" s="45"/>
      <c r="S118" s="45"/>
      <c r="T118" s="356"/>
      <c r="U118" s="356"/>
      <c r="V118" s="45"/>
      <c r="W118" s="45"/>
      <c r="X118" s="45"/>
    </row>
    <row r="119" spans="2:24" s="29" customFormat="1" x14ac:dyDescent="0.25">
      <c r="B119" s="45"/>
      <c r="C119" s="381"/>
      <c r="D119" s="381"/>
      <c r="E119" s="381"/>
      <c r="F119" s="381"/>
      <c r="G119" s="381"/>
      <c r="H119" s="381"/>
      <c r="I119" s="45"/>
      <c r="J119" s="45"/>
      <c r="K119" s="382"/>
      <c r="L119" s="382"/>
      <c r="M119" s="45"/>
      <c r="N119" s="45"/>
      <c r="O119" s="45"/>
      <c r="P119" s="45"/>
      <c r="Q119" s="45"/>
      <c r="R119" s="45"/>
      <c r="S119" s="45"/>
      <c r="T119" s="356"/>
      <c r="U119" s="356"/>
      <c r="V119" s="45"/>
      <c r="W119" s="45"/>
      <c r="X119" s="45"/>
    </row>
    <row r="120" spans="2:24" s="29" customFormat="1" ht="15.75" customHeight="1" x14ac:dyDescent="0.25">
      <c r="B120" s="45"/>
      <c r="C120" s="381"/>
      <c r="D120" s="381"/>
      <c r="E120" s="381"/>
      <c r="F120" s="381"/>
      <c r="G120" s="381"/>
      <c r="H120" s="381"/>
      <c r="I120" s="381"/>
      <c r="J120" s="45"/>
      <c r="K120" s="382"/>
      <c r="L120" s="382"/>
      <c r="M120" s="45"/>
      <c r="N120" s="45"/>
      <c r="O120" s="45"/>
      <c r="P120" s="45"/>
      <c r="Q120" s="45"/>
      <c r="R120" s="45"/>
      <c r="S120" s="45"/>
      <c r="T120" s="356"/>
      <c r="U120" s="356"/>
      <c r="V120" s="45"/>
      <c r="W120" s="45"/>
      <c r="X120" s="45"/>
    </row>
    <row r="121" spans="2:24" s="29" customFormat="1" x14ac:dyDescent="0.25">
      <c r="B121" s="45"/>
      <c r="C121" s="381"/>
      <c r="D121" s="381"/>
      <c r="E121" s="381"/>
      <c r="F121" s="381"/>
      <c r="G121" s="381"/>
      <c r="H121" s="381"/>
      <c r="I121" s="45"/>
      <c r="J121" s="45"/>
      <c r="K121" s="382"/>
      <c r="L121" s="382"/>
      <c r="M121" s="45"/>
      <c r="N121" s="45"/>
      <c r="O121" s="45"/>
      <c r="P121" s="45"/>
      <c r="Q121" s="45"/>
      <c r="R121" s="45"/>
      <c r="S121" s="45"/>
      <c r="T121" s="356"/>
      <c r="U121" s="356"/>
      <c r="V121" s="45"/>
      <c r="W121" s="45"/>
      <c r="X121" s="45"/>
    </row>
    <row r="122" spans="2:24" s="29" customFormat="1" x14ac:dyDescent="0.25">
      <c r="B122" s="45"/>
      <c r="C122" s="381"/>
      <c r="D122" s="381"/>
      <c r="E122" s="381"/>
      <c r="F122" s="381"/>
      <c r="G122" s="381"/>
      <c r="H122" s="381"/>
      <c r="I122" s="45"/>
      <c r="J122" s="45"/>
      <c r="K122" s="382"/>
      <c r="L122" s="382"/>
      <c r="M122" s="45"/>
      <c r="N122" s="45"/>
      <c r="O122" s="45"/>
      <c r="P122" s="45"/>
      <c r="Q122" s="45"/>
      <c r="R122" s="45"/>
      <c r="S122" s="45"/>
      <c r="T122" s="356"/>
      <c r="U122" s="356"/>
      <c r="V122" s="45"/>
      <c r="W122" s="45"/>
      <c r="X122" s="45"/>
    </row>
    <row r="123" spans="2:24" s="29" customFormat="1" x14ac:dyDescent="0.25">
      <c r="B123" s="45"/>
      <c r="C123" s="381"/>
      <c r="D123" s="381"/>
      <c r="E123" s="381"/>
      <c r="F123" s="381"/>
      <c r="G123" s="381"/>
      <c r="H123" s="381"/>
      <c r="I123" s="45"/>
      <c r="J123" s="45"/>
      <c r="K123" s="382"/>
      <c r="L123" s="382"/>
      <c r="M123" s="45"/>
      <c r="N123" s="45"/>
      <c r="O123" s="45"/>
      <c r="P123" s="45"/>
      <c r="Q123" s="45"/>
      <c r="R123" s="45"/>
      <c r="S123" s="45"/>
      <c r="T123" s="356"/>
      <c r="U123" s="356"/>
      <c r="V123" s="45"/>
      <c r="W123" s="45"/>
      <c r="X123" s="45"/>
    </row>
    <row r="124" spans="2:24" s="29" customFormat="1" x14ac:dyDescent="0.25">
      <c r="B124" s="45"/>
      <c r="C124" s="381"/>
      <c r="D124" s="381"/>
      <c r="E124" s="381"/>
      <c r="F124" s="381"/>
      <c r="G124" s="381"/>
      <c r="H124" s="381"/>
      <c r="I124" s="45"/>
      <c r="J124" s="45"/>
      <c r="K124" s="382"/>
      <c r="L124" s="382"/>
      <c r="M124" s="45"/>
      <c r="N124" s="45"/>
      <c r="O124" s="45"/>
      <c r="P124" s="45"/>
      <c r="Q124" s="45"/>
      <c r="R124" s="45"/>
      <c r="S124" s="45"/>
      <c r="T124" s="356"/>
      <c r="U124" s="356"/>
      <c r="V124" s="45"/>
      <c r="W124" s="45"/>
      <c r="X124" s="45"/>
    </row>
    <row r="125" spans="2:24" s="29" customFormat="1" x14ac:dyDescent="0.25">
      <c r="B125" s="45"/>
      <c r="C125" s="381"/>
      <c r="D125" s="381"/>
      <c r="E125" s="381"/>
      <c r="F125" s="381"/>
      <c r="G125" s="381"/>
      <c r="H125" s="381"/>
      <c r="I125" s="45"/>
      <c r="J125" s="45"/>
      <c r="K125" s="382"/>
      <c r="L125" s="382"/>
      <c r="M125" s="45"/>
      <c r="N125" s="45"/>
      <c r="O125" s="45"/>
      <c r="P125" s="45"/>
      <c r="Q125" s="45"/>
      <c r="R125" s="45"/>
      <c r="S125" s="45"/>
      <c r="T125" s="356"/>
      <c r="U125" s="356"/>
      <c r="V125" s="45"/>
      <c r="W125" s="45"/>
      <c r="X125" s="45"/>
    </row>
    <row r="126" spans="2:24" s="29" customFormat="1" x14ac:dyDescent="0.25">
      <c r="B126" s="45"/>
      <c r="C126" s="381"/>
      <c r="D126" s="381"/>
      <c r="E126" s="381"/>
      <c r="F126" s="381"/>
      <c r="G126" s="381"/>
      <c r="H126" s="381"/>
      <c r="I126" s="45"/>
      <c r="J126" s="45"/>
      <c r="K126" s="382"/>
      <c r="L126" s="382"/>
      <c r="M126" s="45"/>
      <c r="N126" s="45"/>
      <c r="O126" s="45"/>
      <c r="P126" s="45"/>
      <c r="Q126" s="45"/>
      <c r="R126" s="45"/>
      <c r="S126" s="45"/>
      <c r="T126" s="356"/>
      <c r="U126" s="356"/>
      <c r="V126" s="45"/>
      <c r="W126" s="45"/>
      <c r="X126" s="45"/>
    </row>
    <row r="127" spans="2:24" s="29" customFormat="1" x14ac:dyDescent="0.25">
      <c r="B127" s="45"/>
      <c r="C127" s="381"/>
      <c r="D127" s="381"/>
      <c r="E127" s="381"/>
      <c r="F127" s="381"/>
      <c r="G127" s="381"/>
      <c r="H127" s="381"/>
      <c r="I127" s="45"/>
      <c r="J127" s="45"/>
      <c r="K127" s="382"/>
      <c r="L127" s="382"/>
      <c r="M127" s="45"/>
      <c r="N127" s="45"/>
      <c r="O127" s="45"/>
      <c r="P127" s="45"/>
      <c r="Q127" s="45"/>
      <c r="R127" s="45"/>
      <c r="S127" s="45"/>
      <c r="T127" s="356"/>
      <c r="U127" s="356"/>
      <c r="V127" s="45"/>
      <c r="W127" s="45"/>
      <c r="X127" s="45"/>
    </row>
    <row r="128" spans="2:24" s="29" customFormat="1" ht="15.75" customHeight="1" x14ac:dyDescent="0.25">
      <c r="B128" s="45"/>
      <c r="C128" s="381"/>
      <c r="D128" s="381"/>
      <c r="E128" s="381"/>
      <c r="F128" s="381"/>
      <c r="G128" s="381"/>
      <c r="H128" s="381"/>
      <c r="I128" s="381"/>
      <c r="J128" s="45"/>
      <c r="K128" s="382"/>
      <c r="L128" s="382"/>
      <c r="M128" s="45"/>
      <c r="N128" s="45"/>
      <c r="O128" s="45"/>
      <c r="P128" s="45"/>
      <c r="Q128" s="45"/>
      <c r="R128" s="45"/>
      <c r="S128" s="45"/>
      <c r="T128" s="356"/>
      <c r="U128" s="356"/>
      <c r="V128" s="45"/>
      <c r="W128" s="45"/>
      <c r="X128" s="45"/>
    </row>
    <row r="129" spans="2:24" s="29" customFormat="1" x14ac:dyDescent="0.25">
      <c r="B129" s="45"/>
      <c r="C129" s="381"/>
      <c r="D129" s="381"/>
      <c r="E129" s="381"/>
      <c r="F129" s="381"/>
      <c r="G129" s="381"/>
      <c r="H129" s="381"/>
      <c r="I129" s="45"/>
      <c r="J129" s="45"/>
      <c r="K129" s="382"/>
      <c r="L129" s="382"/>
      <c r="M129" s="45"/>
      <c r="N129" s="45"/>
      <c r="O129" s="45"/>
      <c r="P129" s="45"/>
      <c r="Q129" s="45"/>
      <c r="R129" s="45"/>
      <c r="S129" s="45"/>
      <c r="T129" s="356"/>
      <c r="U129" s="356"/>
      <c r="V129" s="45"/>
      <c r="W129" s="45"/>
      <c r="X129" s="45"/>
    </row>
    <row r="130" spans="2:24" s="29" customFormat="1" x14ac:dyDescent="0.25">
      <c r="B130" s="45"/>
      <c r="C130" s="45"/>
      <c r="D130" s="45"/>
      <c r="E130" s="45"/>
      <c r="F130" s="45"/>
      <c r="G130" s="45"/>
      <c r="H130" s="45"/>
      <c r="I130" s="45"/>
      <c r="J130" s="45"/>
      <c r="K130" s="166"/>
      <c r="L130" s="166"/>
      <c r="M130" s="45"/>
      <c r="N130" s="45"/>
      <c r="O130" s="45"/>
      <c r="P130" s="45"/>
      <c r="Q130" s="45"/>
      <c r="R130" s="45"/>
      <c r="S130" s="45"/>
      <c r="T130" s="356"/>
      <c r="U130" s="356"/>
      <c r="V130" s="45"/>
      <c r="W130" s="45"/>
      <c r="X130" s="45"/>
    </row>
    <row r="131" spans="2:24" s="29" customFormat="1" x14ac:dyDescent="0.25">
      <c r="B131" s="45"/>
      <c r="C131" s="45"/>
      <c r="D131" s="45"/>
      <c r="E131" s="45"/>
      <c r="F131" s="45"/>
      <c r="G131" s="45"/>
      <c r="H131" s="45"/>
      <c r="I131" s="45"/>
      <c r="J131" s="45"/>
      <c r="K131" s="382"/>
      <c r="L131" s="382"/>
      <c r="M131" s="45"/>
      <c r="N131" s="45"/>
      <c r="O131" s="45"/>
      <c r="P131" s="45"/>
      <c r="Q131" s="45"/>
      <c r="R131" s="45"/>
      <c r="S131" s="45"/>
      <c r="T131" s="356"/>
      <c r="U131" s="356"/>
      <c r="V131" s="45"/>
      <c r="W131" s="45"/>
      <c r="X131" s="45"/>
    </row>
    <row r="132" spans="2:24" s="29" customFormat="1" x14ac:dyDescent="0.25">
      <c r="B132" s="45"/>
      <c r="C132" s="45"/>
      <c r="D132" s="45"/>
      <c r="E132" s="45"/>
      <c r="F132" s="45"/>
      <c r="G132" s="45"/>
      <c r="H132" s="45"/>
      <c r="I132" s="45"/>
      <c r="J132" s="45"/>
      <c r="K132" s="382"/>
      <c r="L132" s="382"/>
      <c r="M132" s="45"/>
      <c r="N132" s="45"/>
      <c r="O132" s="45"/>
      <c r="P132" s="45"/>
      <c r="Q132" s="45"/>
      <c r="R132" s="45"/>
      <c r="S132" s="45"/>
      <c r="T132" s="356"/>
      <c r="U132" s="356"/>
      <c r="V132" s="45"/>
      <c r="W132" s="45"/>
      <c r="X132" s="45"/>
    </row>
    <row r="133" spans="2:24" s="29" customFormat="1" ht="15.75" customHeight="1" x14ac:dyDescent="0.25">
      <c r="B133" s="45"/>
      <c r="C133" s="45"/>
      <c r="D133" s="45"/>
      <c r="E133" s="45"/>
      <c r="F133" s="45"/>
      <c r="G133" s="45"/>
      <c r="H133" s="45"/>
      <c r="I133" s="45"/>
      <c r="J133" s="45"/>
      <c r="K133" s="382"/>
      <c r="L133" s="382"/>
      <c r="M133" s="45"/>
      <c r="N133" s="45"/>
      <c r="O133" s="45"/>
      <c r="P133" s="45"/>
      <c r="Q133" s="45"/>
      <c r="R133" s="45"/>
      <c r="S133" s="45"/>
      <c r="T133" s="356"/>
      <c r="U133" s="356"/>
      <c r="V133" s="45"/>
      <c r="W133" s="45"/>
      <c r="X133" s="45"/>
    </row>
    <row r="134" spans="2:24" s="29" customFormat="1" ht="15.75" customHeight="1" x14ac:dyDescent="0.25">
      <c r="B134" s="45"/>
      <c r="C134" s="45"/>
      <c r="D134" s="45"/>
      <c r="E134" s="45"/>
      <c r="F134" s="45"/>
      <c r="G134" s="45"/>
      <c r="H134" s="45"/>
      <c r="I134" s="45"/>
      <c r="J134" s="45"/>
      <c r="K134" s="382"/>
      <c r="L134" s="382"/>
      <c r="M134" s="45"/>
      <c r="N134" s="45"/>
      <c r="O134" s="45"/>
      <c r="P134" s="45"/>
      <c r="Q134" s="45"/>
      <c r="R134" s="45"/>
      <c r="S134" s="45"/>
      <c r="T134" s="356"/>
      <c r="U134" s="356"/>
      <c r="V134" s="45"/>
      <c r="W134" s="45"/>
      <c r="X134" s="45"/>
    </row>
    <row r="135" spans="2:24" s="29" customFormat="1" ht="15.75" customHeight="1" x14ac:dyDescent="0.25">
      <c r="B135" s="45"/>
      <c r="C135" s="45"/>
      <c r="D135" s="45"/>
      <c r="E135" s="45"/>
      <c r="F135" s="45"/>
      <c r="G135" s="45"/>
      <c r="H135" s="45"/>
      <c r="I135" s="45"/>
      <c r="J135" s="45"/>
      <c r="K135" s="382"/>
      <c r="L135" s="382"/>
      <c r="M135" s="45"/>
      <c r="N135" s="45"/>
      <c r="O135" s="45"/>
      <c r="P135" s="45"/>
      <c r="Q135" s="45"/>
      <c r="R135" s="45"/>
      <c r="S135" s="45"/>
      <c r="T135" s="356"/>
      <c r="U135" s="356"/>
      <c r="V135" s="45"/>
      <c r="W135" s="45"/>
      <c r="X135" s="45"/>
    </row>
    <row r="136" spans="2:24" s="29" customFormat="1" x14ac:dyDescent="0.25">
      <c r="B136" s="45"/>
      <c r="C136" s="45"/>
      <c r="D136" s="45"/>
      <c r="E136" s="45"/>
      <c r="F136" s="45"/>
      <c r="G136" s="45"/>
      <c r="H136" s="45"/>
      <c r="I136" s="45"/>
      <c r="J136" s="45"/>
      <c r="K136" s="382"/>
      <c r="L136" s="382"/>
      <c r="M136" s="45"/>
      <c r="N136" s="45"/>
      <c r="O136" s="45"/>
      <c r="P136" s="45"/>
      <c r="Q136" s="45"/>
      <c r="R136" s="45"/>
      <c r="S136" s="45"/>
      <c r="T136" s="356"/>
      <c r="U136" s="356"/>
      <c r="V136" s="45"/>
      <c r="W136" s="45"/>
      <c r="X136" s="45"/>
    </row>
    <row r="137" spans="2:24" s="29" customFormat="1" ht="15.75" customHeight="1" x14ac:dyDescent="0.25">
      <c r="B137" s="45"/>
      <c r="C137" s="45"/>
      <c r="D137" s="45"/>
      <c r="E137" s="45"/>
      <c r="F137" s="45"/>
      <c r="G137" s="45"/>
      <c r="H137" s="45"/>
      <c r="I137" s="45"/>
      <c r="J137" s="45"/>
      <c r="K137" s="382"/>
      <c r="L137" s="382"/>
      <c r="M137" s="45"/>
      <c r="N137" s="45"/>
      <c r="O137" s="45"/>
      <c r="P137" s="45"/>
      <c r="Q137" s="45"/>
      <c r="R137" s="45"/>
      <c r="S137" s="45"/>
      <c r="T137" s="356"/>
      <c r="U137" s="356"/>
      <c r="V137" s="45"/>
      <c r="W137" s="45"/>
      <c r="X137" s="45"/>
    </row>
    <row r="138" spans="2:24" s="29" customFormat="1" x14ac:dyDescent="0.25">
      <c r="B138" s="45"/>
      <c r="C138" s="45"/>
      <c r="D138" s="45"/>
      <c r="E138" s="45"/>
      <c r="F138" s="45"/>
      <c r="G138" s="45"/>
      <c r="H138" s="45"/>
      <c r="I138" s="45"/>
      <c r="J138" s="45"/>
      <c r="K138" s="382"/>
      <c r="L138" s="382"/>
      <c r="M138" s="45"/>
      <c r="N138" s="45"/>
      <c r="O138" s="45"/>
      <c r="P138" s="45"/>
      <c r="Q138" s="45"/>
      <c r="R138" s="45"/>
      <c r="S138" s="45"/>
      <c r="T138" s="356"/>
      <c r="U138" s="356"/>
      <c r="V138" s="45"/>
      <c r="W138" s="45"/>
      <c r="X138" s="45"/>
    </row>
    <row r="139" spans="2:24" s="29" customFormat="1" x14ac:dyDescent="0.25">
      <c r="B139" s="45"/>
      <c r="C139" s="45"/>
      <c r="D139" s="45"/>
      <c r="E139" s="45"/>
      <c r="F139" s="45"/>
      <c r="G139" s="45"/>
      <c r="H139" s="45"/>
      <c r="I139" s="45"/>
      <c r="J139" s="45"/>
      <c r="K139" s="382"/>
      <c r="L139" s="382"/>
      <c r="M139" s="45"/>
      <c r="N139" s="45"/>
      <c r="O139" s="45"/>
      <c r="P139" s="45"/>
      <c r="Q139" s="45"/>
      <c r="R139" s="45"/>
      <c r="S139" s="45"/>
      <c r="T139" s="356"/>
      <c r="U139" s="356"/>
      <c r="V139" s="45"/>
      <c r="W139" s="45"/>
      <c r="X139" s="45"/>
    </row>
    <row r="140" spans="2:24" s="29" customFormat="1" ht="15.75" customHeight="1" x14ac:dyDescent="0.25">
      <c r="B140" s="45"/>
      <c r="C140" s="45"/>
      <c r="D140" s="45"/>
      <c r="E140" s="45"/>
      <c r="F140" s="45"/>
      <c r="G140" s="45"/>
      <c r="H140" s="45"/>
      <c r="I140" s="45"/>
      <c r="J140" s="45"/>
      <c r="K140" s="382"/>
      <c r="L140" s="382"/>
      <c r="M140" s="45"/>
      <c r="N140" s="45"/>
      <c r="O140" s="45"/>
      <c r="P140" s="45"/>
      <c r="Q140" s="45"/>
      <c r="R140" s="45"/>
      <c r="S140" s="45"/>
      <c r="T140" s="356"/>
      <c r="U140" s="356"/>
      <c r="V140" s="45"/>
      <c r="W140" s="45"/>
      <c r="X140" s="45"/>
    </row>
    <row r="141" spans="2:24" s="29" customFormat="1" ht="15.75" customHeight="1" x14ac:dyDescent="0.25">
      <c r="B141" s="45"/>
      <c r="C141" s="45"/>
      <c r="D141" s="45"/>
      <c r="E141" s="45"/>
      <c r="F141" s="45"/>
      <c r="G141" s="45"/>
      <c r="H141" s="45"/>
      <c r="I141" s="45"/>
      <c r="J141" s="45"/>
      <c r="K141" s="382"/>
      <c r="L141" s="382"/>
      <c r="M141" s="45"/>
      <c r="N141" s="45"/>
      <c r="O141" s="45"/>
      <c r="P141" s="45"/>
      <c r="Q141" s="45"/>
      <c r="R141" s="45"/>
      <c r="S141" s="45"/>
      <c r="T141" s="356"/>
      <c r="U141" s="356"/>
      <c r="V141" s="45"/>
      <c r="W141" s="45"/>
      <c r="X141" s="45"/>
    </row>
    <row r="142" spans="2:24" s="29" customFormat="1" ht="15.75" customHeight="1" x14ac:dyDescent="0.25">
      <c r="B142" s="45"/>
      <c r="C142" s="45"/>
      <c r="D142" s="45"/>
      <c r="E142" s="45"/>
      <c r="F142" s="45"/>
      <c r="G142" s="45"/>
      <c r="H142" s="45"/>
      <c r="I142" s="45"/>
      <c r="J142" s="45"/>
      <c r="K142" s="382"/>
      <c r="L142" s="382"/>
      <c r="M142" s="45"/>
      <c r="N142" s="45"/>
      <c r="O142" s="45"/>
      <c r="P142" s="45"/>
      <c r="Q142" s="45"/>
      <c r="R142" s="45"/>
      <c r="S142" s="45"/>
      <c r="T142" s="356"/>
      <c r="U142" s="356"/>
      <c r="V142" s="45"/>
      <c r="W142" s="45"/>
      <c r="X142" s="45"/>
    </row>
    <row r="143" spans="2:24" s="29" customFormat="1" x14ac:dyDescent="0.25">
      <c r="B143" s="45"/>
      <c r="C143" s="45"/>
      <c r="D143" s="45"/>
      <c r="E143" s="45"/>
      <c r="F143" s="45"/>
      <c r="G143" s="45"/>
      <c r="H143" s="45"/>
      <c r="I143" s="45"/>
      <c r="J143" s="45"/>
      <c r="K143" s="382"/>
      <c r="L143" s="382"/>
      <c r="M143" s="45"/>
      <c r="N143" s="45"/>
      <c r="O143" s="45"/>
      <c r="P143" s="45"/>
      <c r="Q143" s="45"/>
      <c r="R143" s="45"/>
      <c r="S143" s="45"/>
      <c r="T143" s="356"/>
      <c r="U143" s="356"/>
      <c r="V143" s="45"/>
      <c r="W143" s="45"/>
      <c r="X143" s="45"/>
    </row>
    <row r="144" spans="2:24" s="29" customFormat="1" ht="15.75" customHeight="1" x14ac:dyDescent="0.25">
      <c r="B144" s="45"/>
      <c r="C144" s="45"/>
      <c r="D144" s="45"/>
      <c r="E144" s="45"/>
      <c r="F144" s="45"/>
      <c r="G144" s="45"/>
      <c r="H144" s="45"/>
      <c r="I144" s="45"/>
      <c r="J144" s="45"/>
      <c r="K144" s="382"/>
      <c r="L144" s="382"/>
      <c r="M144" s="45"/>
      <c r="N144" s="45"/>
      <c r="O144" s="45"/>
      <c r="P144" s="45"/>
      <c r="Q144" s="45"/>
      <c r="R144" s="45"/>
      <c r="S144" s="45"/>
      <c r="T144" s="356"/>
      <c r="U144" s="356"/>
      <c r="V144" s="45"/>
      <c r="W144" s="45"/>
      <c r="X144" s="45"/>
    </row>
    <row r="145" spans="2:24" s="29" customFormat="1" x14ac:dyDescent="0.25">
      <c r="B145" s="45"/>
      <c r="C145" s="45"/>
      <c r="D145" s="45"/>
      <c r="E145" s="45"/>
      <c r="F145" s="45"/>
      <c r="G145" s="45"/>
      <c r="H145" s="45"/>
      <c r="I145" s="45"/>
      <c r="J145" s="45"/>
      <c r="K145" s="382"/>
      <c r="L145" s="382"/>
      <c r="M145" s="45"/>
      <c r="N145" s="45"/>
      <c r="O145" s="45"/>
      <c r="P145" s="45"/>
      <c r="Q145" s="45"/>
      <c r="R145" s="45"/>
      <c r="S145" s="45"/>
      <c r="T145" s="356"/>
      <c r="U145" s="356"/>
      <c r="V145" s="45"/>
      <c r="W145" s="45"/>
      <c r="X145" s="45"/>
    </row>
    <row r="146" spans="2:24" s="29" customFormat="1" x14ac:dyDescent="0.25">
      <c r="B146" s="45"/>
      <c r="C146" s="45"/>
      <c r="D146" s="45"/>
      <c r="E146" s="45"/>
      <c r="F146" s="45"/>
      <c r="G146" s="45"/>
      <c r="H146" s="45"/>
      <c r="I146" s="45"/>
      <c r="J146" s="45"/>
      <c r="K146" s="382"/>
      <c r="L146" s="382"/>
      <c r="M146" s="45"/>
      <c r="N146" s="45"/>
      <c r="O146" s="45"/>
      <c r="P146" s="45"/>
      <c r="Q146" s="45"/>
      <c r="R146" s="45"/>
      <c r="S146" s="45"/>
      <c r="T146" s="356"/>
      <c r="U146" s="356"/>
      <c r="V146" s="45"/>
      <c r="W146" s="45"/>
      <c r="X146" s="45"/>
    </row>
    <row r="147" spans="2:24" s="29" customFormat="1" ht="15.75" customHeight="1" x14ac:dyDescent="0.25">
      <c r="B147" s="45"/>
      <c r="C147" s="45"/>
      <c r="D147" s="45"/>
      <c r="E147" s="45"/>
      <c r="F147" s="45"/>
      <c r="G147" s="45"/>
      <c r="H147" s="45"/>
      <c r="I147" s="45"/>
      <c r="J147" s="45"/>
      <c r="K147" s="382"/>
      <c r="L147" s="382"/>
      <c r="M147" s="45"/>
      <c r="N147" s="45"/>
      <c r="O147" s="45"/>
      <c r="P147" s="45"/>
      <c r="Q147" s="45"/>
      <c r="R147" s="45"/>
      <c r="S147" s="45"/>
      <c r="T147" s="356"/>
      <c r="U147" s="356"/>
      <c r="V147" s="45"/>
      <c r="W147" s="45"/>
      <c r="X147" s="45"/>
    </row>
    <row r="148" spans="2:24" s="29" customFormat="1" ht="15.75" customHeight="1" x14ac:dyDescent="0.25">
      <c r="B148" s="45"/>
      <c r="C148" s="45"/>
      <c r="D148" s="45"/>
      <c r="E148" s="45"/>
      <c r="F148" s="45"/>
      <c r="G148" s="45"/>
      <c r="H148" s="45"/>
      <c r="I148" s="45"/>
      <c r="J148" s="45"/>
      <c r="K148" s="382"/>
      <c r="L148" s="382"/>
      <c r="M148" s="45"/>
      <c r="N148" s="45"/>
      <c r="O148" s="45"/>
      <c r="P148" s="45"/>
      <c r="Q148" s="45"/>
      <c r="R148" s="45"/>
      <c r="S148" s="45"/>
      <c r="T148" s="356"/>
      <c r="U148" s="356"/>
      <c r="V148" s="45"/>
      <c r="W148" s="45"/>
      <c r="X148" s="45"/>
    </row>
    <row r="149" spans="2:24" s="29" customFormat="1" ht="15.75" customHeight="1" x14ac:dyDescent="0.25">
      <c r="B149" s="45"/>
      <c r="C149" s="45"/>
      <c r="D149" s="45"/>
      <c r="E149" s="45"/>
      <c r="F149" s="45"/>
      <c r="G149" s="45"/>
      <c r="H149" s="45"/>
      <c r="I149" s="45"/>
      <c r="J149" s="45"/>
      <c r="K149" s="382"/>
      <c r="L149" s="382"/>
      <c r="M149" s="45"/>
      <c r="N149" s="45"/>
      <c r="O149" s="45"/>
      <c r="P149" s="45"/>
      <c r="Q149" s="45"/>
      <c r="R149" s="45"/>
      <c r="S149" s="45"/>
      <c r="T149" s="356"/>
      <c r="U149" s="356"/>
      <c r="V149" s="45"/>
      <c r="W149" s="45"/>
      <c r="X149" s="45"/>
    </row>
    <row r="150" spans="2:24" s="29" customFormat="1" x14ac:dyDescent="0.25">
      <c r="B150" s="45"/>
      <c r="C150" s="45"/>
      <c r="D150" s="45"/>
      <c r="E150" s="45"/>
      <c r="F150" s="45"/>
      <c r="G150" s="45"/>
      <c r="H150" s="45"/>
      <c r="I150" s="45"/>
      <c r="J150" s="45"/>
      <c r="K150" s="382"/>
      <c r="L150" s="382"/>
      <c r="M150" s="45"/>
      <c r="N150" s="45"/>
      <c r="O150" s="45"/>
      <c r="P150" s="45"/>
      <c r="Q150" s="45"/>
      <c r="R150" s="45"/>
      <c r="S150" s="45"/>
      <c r="T150" s="356"/>
      <c r="U150" s="356"/>
      <c r="V150" s="45"/>
      <c r="W150" s="45"/>
      <c r="X150" s="45"/>
    </row>
    <row r="151" spans="2:24" s="29" customFormat="1" ht="15.75" customHeight="1" x14ac:dyDescent="0.25">
      <c r="B151" s="45"/>
      <c r="C151" s="45"/>
      <c r="D151" s="45"/>
      <c r="E151" s="45"/>
      <c r="F151" s="45"/>
      <c r="G151" s="45"/>
      <c r="H151" s="45"/>
      <c r="I151" s="45"/>
      <c r="J151" s="45"/>
      <c r="K151" s="382"/>
      <c r="L151" s="382"/>
      <c r="M151" s="45"/>
      <c r="N151" s="45"/>
      <c r="O151" s="45"/>
      <c r="P151" s="45"/>
      <c r="Q151" s="45"/>
      <c r="R151" s="45"/>
      <c r="S151" s="45"/>
      <c r="T151" s="356"/>
      <c r="U151" s="356"/>
      <c r="V151" s="45"/>
      <c r="W151" s="45"/>
      <c r="X151" s="45"/>
    </row>
    <row r="152" spans="2:24" s="29" customFormat="1" x14ac:dyDescent="0.25">
      <c r="B152" s="45"/>
      <c r="C152" s="45"/>
      <c r="D152" s="45"/>
      <c r="E152" s="45"/>
      <c r="F152" s="45"/>
      <c r="G152" s="45"/>
      <c r="H152" s="45"/>
      <c r="I152" s="45"/>
      <c r="J152" s="45"/>
      <c r="K152" s="382"/>
      <c r="L152" s="382"/>
      <c r="M152" s="45"/>
      <c r="N152" s="45"/>
      <c r="O152" s="45"/>
      <c r="P152" s="45"/>
      <c r="Q152" s="45"/>
      <c r="R152" s="45"/>
      <c r="S152" s="45"/>
      <c r="T152" s="356"/>
      <c r="U152" s="356"/>
      <c r="V152" s="45"/>
      <c r="W152" s="45"/>
      <c r="X152" s="45"/>
    </row>
    <row r="153" spans="2:24" s="29" customFormat="1" x14ac:dyDescent="0.25">
      <c r="B153" s="45"/>
      <c r="C153" s="45"/>
      <c r="D153" s="45"/>
      <c r="E153" s="45"/>
      <c r="F153" s="45"/>
      <c r="G153" s="45"/>
      <c r="H153" s="45"/>
      <c r="I153" s="45"/>
      <c r="J153" s="45"/>
      <c r="K153" s="382"/>
      <c r="L153" s="382"/>
      <c r="M153" s="45"/>
      <c r="N153" s="45"/>
      <c r="O153" s="45"/>
      <c r="P153" s="45"/>
      <c r="Q153" s="45"/>
      <c r="R153" s="45"/>
      <c r="S153" s="45"/>
      <c r="T153" s="356"/>
      <c r="U153" s="356"/>
      <c r="V153" s="45"/>
      <c r="W153" s="45"/>
      <c r="X153" s="45"/>
    </row>
    <row r="154" spans="2:24" s="29" customFormat="1" x14ac:dyDescent="0.25">
      <c r="B154" s="45"/>
      <c r="C154" s="45"/>
      <c r="D154" s="45"/>
      <c r="E154" s="45"/>
      <c r="F154" s="45"/>
      <c r="G154" s="45"/>
      <c r="H154" s="45"/>
      <c r="I154" s="45"/>
      <c r="J154" s="45"/>
      <c r="K154" s="382"/>
      <c r="L154" s="382"/>
      <c r="M154" s="45"/>
      <c r="N154" s="45"/>
      <c r="O154" s="45"/>
      <c r="P154" s="45"/>
      <c r="Q154" s="45"/>
      <c r="R154" s="45"/>
      <c r="S154" s="45"/>
      <c r="T154" s="356"/>
      <c r="U154" s="356"/>
      <c r="V154" s="45"/>
      <c r="W154" s="45"/>
      <c r="X154" s="45"/>
    </row>
    <row r="155" spans="2:24" s="29" customFormat="1" x14ac:dyDescent="0.25">
      <c r="B155" s="45"/>
      <c r="C155" s="45"/>
      <c r="D155" s="45"/>
      <c r="E155" s="45"/>
      <c r="F155" s="45"/>
      <c r="G155" s="45"/>
      <c r="H155" s="45"/>
      <c r="I155" s="45"/>
      <c r="J155" s="45"/>
      <c r="K155" s="382"/>
      <c r="L155" s="382"/>
      <c r="M155" s="45"/>
      <c r="N155" s="45"/>
      <c r="O155" s="45"/>
      <c r="P155" s="45"/>
      <c r="Q155" s="45"/>
      <c r="R155" s="45"/>
      <c r="S155" s="45"/>
      <c r="T155" s="356"/>
      <c r="U155" s="356"/>
      <c r="V155" s="45"/>
      <c r="W155" s="45"/>
      <c r="X155" s="45"/>
    </row>
    <row r="156" spans="2:24" s="29" customFormat="1" x14ac:dyDescent="0.25">
      <c r="B156" s="45"/>
      <c r="C156" s="45"/>
      <c r="D156" s="45"/>
      <c r="E156" s="45"/>
      <c r="F156" s="45"/>
      <c r="G156" s="45"/>
      <c r="H156" s="45"/>
      <c r="I156" s="45"/>
      <c r="J156" s="45"/>
      <c r="K156" s="382"/>
      <c r="L156" s="382"/>
      <c r="M156" s="45"/>
      <c r="N156" s="45"/>
      <c r="O156" s="45"/>
      <c r="P156" s="45"/>
      <c r="Q156" s="45"/>
      <c r="R156" s="45"/>
      <c r="S156" s="45"/>
      <c r="T156" s="356"/>
      <c r="U156" s="356"/>
      <c r="V156" s="45"/>
      <c r="W156" s="45"/>
      <c r="X156" s="45"/>
    </row>
    <row r="157" spans="2:24" s="29" customFormat="1" x14ac:dyDescent="0.25">
      <c r="B157" s="45"/>
      <c r="C157" s="45"/>
      <c r="D157" s="45"/>
      <c r="E157" s="45"/>
      <c r="F157" s="45"/>
      <c r="G157" s="45"/>
      <c r="H157" s="45"/>
      <c r="I157" s="45"/>
      <c r="J157" s="45"/>
      <c r="K157" s="382"/>
      <c r="L157" s="382"/>
      <c r="M157" s="45"/>
      <c r="N157" s="45"/>
      <c r="O157" s="45"/>
      <c r="P157" s="45"/>
      <c r="Q157" s="45"/>
      <c r="R157" s="45"/>
      <c r="S157" s="45"/>
      <c r="T157" s="356"/>
      <c r="U157" s="356"/>
      <c r="V157" s="45"/>
      <c r="W157" s="45"/>
      <c r="X157" s="45"/>
    </row>
    <row r="158" spans="2:24" s="29" customFormat="1" x14ac:dyDescent="0.25">
      <c r="B158" s="45"/>
      <c r="C158" s="45"/>
      <c r="D158" s="45"/>
      <c r="E158" s="45"/>
      <c r="F158" s="45"/>
      <c r="G158" s="45"/>
      <c r="H158" s="45"/>
      <c r="I158" s="45"/>
      <c r="J158" s="45"/>
      <c r="K158" s="382"/>
      <c r="L158" s="382"/>
      <c r="M158" s="45"/>
      <c r="N158" s="45"/>
      <c r="O158" s="45"/>
      <c r="P158" s="45"/>
      <c r="Q158" s="45"/>
      <c r="R158" s="45"/>
      <c r="S158" s="45"/>
      <c r="T158" s="356"/>
      <c r="U158" s="356"/>
      <c r="V158" s="45"/>
      <c r="W158" s="45"/>
      <c r="X158" s="45"/>
    </row>
    <row r="159" spans="2:24" s="29" customFormat="1" x14ac:dyDescent="0.25">
      <c r="B159" s="45"/>
      <c r="C159" s="45"/>
      <c r="D159" s="45"/>
      <c r="E159" s="45"/>
      <c r="F159" s="45"/>
      <c r="G159" s="45"/>
      <c r="H159" s="45"/>
      <c r="I159" s="45"/>
      <c r="J159" s="45"/>
      <c r="K159" s="382"/>
      <c r="L159" s="382"/>
      <c r="M159" s="45"/>
      <c r="N159" s="45"/>
      <c r="O159" s="45"/>
      <c r="P159" s="45"/>
      <c r="Q159" s="45"/>
      <c r="R159" s="45"/>
      <c r="S159" s="45"/>
      <c r="T159" s="356"/>
      <c r="U159" s="356"/>
      <c r="V159" s="45"/>
      <c r="W159" s="45"/>
      <c r="X159" s="45"/>
    </row>
    <row r="160" spans="2:24" s="29" customFormat="1" x14ac:dyDescent="0.25">
      <c r="B160" s="45"/>
      <c r="C160" s="45"/>
      <c r="D160" s="45"/>
      <c r="E160" s="45"/>
      <c r="F160" s="45"/>
      <c r="G160" s="45"/>
      <c r="H160" s="45"/>
      <c r="I160" s="45"/>
      <c r="J160" s="45"/>
      <c r="K160" s="382"/>
      <c r="L160" s="382"/>
      <c r="M160" s="45"/>
      <c r="N160" s="45"/>
      <c r="O160" s="45"/>
      <c r="P160" s="45"/>
      <c r="Q160" s="45"/>
      <c r="R160" s="45"/>
      <c r="S160" s="45"/>
      <c r="T160" s="356"/>
      <c r="U160" s="356"/>
      <c r="V160" s="45"/>
      <c r="W160" s="45"/>
      <c r="X160" s="45"/>
    </row>
    <row r="161" spans="2:24" s="29" customFormat="1" ht="15.75" customHeight="1" x14ac:dyDescent="0.25">
      <c r="B161" s="45"/>
      <c r="C161" s="45"/>
      <c r="D161" s="45"/>
      <c r="E161" s="45"/>
      <c r="F161" s="45"/>
      <c r="G161" s="45"/>
      <c r="H161" s="45"/>
      <c r="I161" s="45"/>
      <c r="J161" s="45"/>
      <c r="K161" s="382"/>
      <c r="L161" s="382"/>
      <c r="M161" s="45"/>
      <c r="N161" s="45"/>
      <c r="O161" s="45"/>
      <c r="P161" s="45"/>
      <c r="Q161" s="45"/>
      <c r="R161" s="45"/>
      <c r="S161" s="45"/>
      <c r="T161" s="356"/>
      <c r="U161" s="356"/>
      <c r="V161" s="45"/>
      <c r="W161" s="45"/>
      <c r="X161" s="45"/>
    </row>
    <row r="162" spans="2:24" s="29" customFormat="1" ht="15.75" customHeight="1" x14ac:dyDescent="0.25">
      <c r="B162" s="45"/>
      <c r="C162" s="45"/>
      <c r="D162" s="45"/>
      <c r="E162" s="45"/>
      <c r="F162" s="45"/>
      <c r="G162" s="45"/>
      <c r="H162" s="45"/>
      <c r="I162" s="45"/>
      <c r="J162" s="45"/>
      <c r="K162" s="382"/>
      <c r="L162" s="382"/>
      <c r="M162" s="45"/>
      <c r="N162" s="45"/>
      <c r="O162" s="45"/>
      <c r="P162" s="45"/>
      <c r="Q162" s="45"/>
      <c r="R162" s="45"/>
      <c r="S162" s="45"/>
      <c r="T162" s="356"/>
      <c r="U162" s="356"/>
      <c r="V162" s="45"/>
      <c r="W162" s="45"/>
      <c r="X162" s="45"/>
    </row>
    <row r="163" spans="2:24" s="29" customFormat="1" ht="15.75" customHeight="1" x14ac:dyDescent="0.25">
      <c r="B163" s="45"/>
      <c r="C163" s="45"/>
      <c r="D163" s="45"/>
      <c r="E163" s="45"/>
      <c r="F163" s="45"/>
      <c r="G163" s="45"/>
      <c r="H163" s="45"/>
      <c r="I163" s="45"/>
      <c r="J163" s="45"/>
      <c r="K163" s="382"/>
      <c r="L163" s="382"/>
      <c r="M163" s="45"/>
      <c r="N163" s="45"/>
      <c r="O163" s="45"/>
      <c r="P163" s="45"/>
      <c r="Q163" s="45"/>
      <c r="R163" s="45"/>
      <c r="S163" s="45"/>
      <c r="T163" s="356"/>
      <c r="U163" s="356"/>
      <c r="V163" s="45"/>
      <c r="W163" s="45"/>
      <c r="X163" s="45"/>
    </row>
    <row r="164" spans="2:24" s="29" customFormat="1" x14ac:dyDescent="0.25">
      <c r="B164" s="45"/>
      <c r="C164" s="45"/>
      <c r="D164" s="45"/>
      <c r="E164" s="45"/>
      <c r="F164" s="45"/>
      <c r="G164" s="45"/>
      <c r="H164" s="45"/>
      <c r="I164" s="45"/>
      <c r="J164" s="45"/>
      <c r="K164" s="382"/>
      <c r="L164" s="382"/>
      <c r="M164" s="45"/>
      <c r="N164" s="45"/>
      <c r="O164" s="45"/>
      <c r="P164" s="45"/>
      <c r="Q164" s="45"/>
      <c r="R164" s="45"/>
      <c r="S164" s="45"/>
      <c r="T164" s="356"/>
      <c r="U164" s="356"/>
      <c r="V164" s="45"/>
      <c r="W164" s="45"/>
      <c r="X164" s="45"/>
    </row>
    <row r="165" spans="2:24" s="29" customFormat="1" ht="15.75" customHeight="1" x14ac:dyDescent="0.25">
      <c r="B165" s="45"/>
      <c r="C165" s="45"/>
      <c r="D165" s="45"/>
      <c r="E165" s="45"/>
      <c r="F165" s="45"/>
      <c r="G165" s="45"/>
      <c r="H165" s="45"/>
      <c r="I165" s="45"/>
      <c r="J165" s="45"/>
      <c r="K165" s="382"/>
      <c r="L165" s="382"/>
      <c r="M165" s="45"/>
      <c r="N165" s="45"/>
      <c r="O165" s="45"/>
      <c r="P165" s="45"/>
      <c r="Q165" s="45"/>
      <c r="R165" s="45"/>
      <c r="S165" s="45"/>
      <c r="T165" s="356"/>
      <c r="U165" s="356"/>
      <c r="V165" s="45"/>
      <c r="W165" s="45"/>
      <c r="X165" s="45"/>
    </row>
    <row r="166" spans="2:24" s="29" customFormat="1" x14ac:dyDescent="0.25">
      <c r="B166" s="45"/>
      <c r="C166" s="45"/>
      <c r="D166" s="45"/>
      <c r="E166" s="45"/>
      <c r="F166" s="45"/>
      <c r="G166" s="45"/>
      <c r="H166" s="45"/>
      <c r="I166" s="45"/>
      <c r="J166" s="45"/>
      <c r="K166" s="382"/>
      <c r="L166" s="382"/>
      <c r="M166" s="45"/>
      <c r="N166" s="45"/>
      <c r="O166" s="45"/>
      <c r="P166" s="45"/>
      <c r="Q166" s="45"/>
      <c r="R166" s="45"/>
      <c r="S166" s="45"/>
      <c r="T166" s="356"/>
      <c r="U166" s="356"/>
      <c r="V166" s="45"/>
      <c r="W166" s="45"/>
      <c r="X166" s="45"/>
    </row>
    <row r="167" spans="2:24" s="29" customFormat="1" x14ac:dyDescent="0.25">
      <c r="B167" s="45"/>
      <c r="C167" s="45"/>
      <c r="D167" s="45"/>
      <c r="E167" s="45"/>
      <c r="F167" s="45"/>
      <c r="G167" s="45"/>
      <c r="H167" s="45"/>
      <c r="I167" s="45"/>
      <c r="J167" s="45"/>
      <c r="K167" s="382"/>
      <c r="L167" s="382"/>
      <c r="M167" s="45"/>
      <c r="N167" s="45"/>
      <c r="O167" s="45"/>
      <c r="P167" s="45"/>
      <c r="Q167" s="45"/>
      <c r="R167" s="45"/>
      <c r="S167" s="45"/>
      <c r="T167" s="356"/>
      <c r="U167" s="356"/>
      <c r="V167" s="45"/>
      <c r="W167" s="45"/>
      <c r="X167" s="45"/>
    </row>
    <row r="168" spans="2:24" s="29" customFormat="1" x14ac:dyDescent="0.25">
      <c r="B168" s="45"/>
      <c r="C168" s="45"/>
      <c r="D168" s="45"/>
      <c r="E168" s="45"/>
      <c r="F168" s="45"/>
      <c r="G168" s="45"/>
      <c r="H168" s="45"/>
      <c r="I168" s="45"/>
      <c r="J168" s="45"/>
      <c r="K168" s="382"/>
      <c r="L168" s="382"/>
      <c r="M168" s="45"/>
      <c r="N168" s="45"/>
      <c r="O168" s="45"/>
      <c r="P168" s="45"/>
      <c r="Q168" s="45"/>
      <c r="R168" s="45"/>
      <c r="S168" s="45"/>
      <c r="T168" s="356"/>
      <c r="U168" s="356"/>
      <c r="V168" s="45"/>
      <c r="W168" s="45"/>
      <c r="X168" s="45"/>
    </row>
    <row r="169" spans="2:24" s="29" customFormat="1" x14ac:dyDescent="0.25">
      <c r="B169" s="45"/>
      <c r="C169" s="45"/>
      <c r="D169" s="45"/>
      <c r="E169" s="45"/>
      <c r="F169" s="45"/>
      <c r="G169" s="45"/>
      <c r="H169" s="45"/>
      <c r="I169" s="45"/>
      <c r="J169" s="45"/>
      <c r="K169" s="382"/>
      <c r="L169" s="382"/>
      <c r="M169" s="45"/>
      <c r="N169" s="45"/>
      <c r="O169" s="45"/>
      <c r="P169" s="45"/>
      <c r="Q169" s="45"/>
      <c r="R169" s="45"/>
      <c r="S169" s="45"/>
      <c r="T169" s="356"/>
      <c r="U169" s="356"/>
      <c r="V169" s="45"/>
      <c r="W169" s="45"/>
      <c r="X169" s="45"/>
    </row>
    <row r="170" spans="2:24" s="29" customFormat="1" x14ac:dyDescent="0.25">
      <c r="B170" s="45"/>
      <c r="C170" s="45"/>
      <c r="D170" s="45"/>
      <c r="E170" s="45"/>
      <c r="F170" s="45"/>
      <c r="G170" s="45"/>
      <c r="H170" s="45"/>
      <c r="I170" s="45"/>
      <c r="J170" s="45"/>
      <c r="K170" s="382"/>
      <c r="L170" s="382"/>
      <c r="M170" s="45"/>
      <c r="N170" s="45"/>
      <c r="O170" s="45"/>
      <c r="P170" s="45"/>
      <c r="Q170" s="45"/>
      <c r="R170" s="45"/>
      <c r="S170" s="45"/>
      <c r="T170" s="356"/>
      <c r="U170" s="356"/>
      <c r="V170" s="45"/>
      <c r="W170" s="45"/>
      <c r="X170" s="45"/>
    </row>
    <row r="171" spans="2:24" s="29" customFormat="1" x14ac:dyDescent="0.25">
      <c r="B171" s="45"/>
      <c r="C171" s="45"/>
      <c r="D171" s="45"/>
      <c r="E171" s="45"/>
      <c r="F171" s="45"/>
      <c r="G171" s="45"/>
      <c r="H171" s="45"/>
      <c r="I171" s="45"/>
      <c r="J171" s="45"/>
      <c r="K171" s="382"/>
      <c r="L171" s="382"/>
      <c r="M171" s="45"/>
      <c r="N171" s="45"/>
      <c r="O171" s="45"/>
      <c r="P171" s="45"/>
      <c r="Q171" s="45"/>
      <c r="R171" s="45"/>
      <c r="S171" s="45"/>
      <c r="T171" s="356"/>
      <c r="U171" s="356"/>
      <c r="V171" s="45"/>
      <c r="W171" s="45"/>
      <c r="X171" s="45"/>
    </row>
    <row r="172" spans="2:24" s="29" customFormat="1" x14ac:dyDescent="0.25">
      <c r="B172" s="45"/>
      <c r="C172" s="45"/>
      <c r="D172" s="45"/>
      <c r="E172" s="45"/>
      <c r="F172" s="45"/>
      <c r="G172" s="45"/>
      <c r="H172" s="45"/>
      <c r="I172" s="45"/>
      <c r="J172" s="45"/>
      <c r="K172" s="382"/>
      <c r="L172" s="382"/>
      <c r="M172" s="45"/>
      <c r="N172" s="45"/>
      <c r="O172" s="45"/>
      <c r="P172" s="45"/>
      <c r="Q172" s="45"/>
      <c r="R172" s="45"/>
      <c r="S172" s="45"/>
      <c r="T172" s="356"/>
      <c r="U172" s="356"/>
      <c r="V172" s="45"/>
      <c r="W172" s="45"/>
      <c r="X172" s="45"/>
    </row>
    <row r="173" spans="2:24" s="29" customFormat="1" x14ac:dyDescent="0.25">
      <c r="B173" s="45"/>
      <c r="C173" s="45"/>
      <c r="D173" s="45"/>
      <c r="E173" s="45"/>
      <c r="F173" s="45"/>
      <c r="G173" s="45"/>
      <c r="H173" s="45"/>
      <c r="I173" s="45"/>
      <c r="J173" s="45"/>
      <c r="K173" s="382"/>
      <c r="L173" s="382"/>
      <c r="M173" s="45"/>
      <c r="N173" s="45"/>
      <c r="O173" s="45"/>
      <c r="P173" s="45"/>
      <c r="Q173" s="45"/>
      <c r="R173" s="45"/>
      <c r="S173" s="45"/>
      <c r="T173" s="356"/>
      <c r="U173" s="356"/>
      <c r="V173" s="45"/>
      <c r="W173" s="45"/>
      <c r="X173" s="45"/>
    </row>
    <row r="174" spans="2:24" s="29" customFormat="1" x14ac:dyDescent="0.25">
      <c r="B174" s="45"/>
      <c r="C174" s="45"/>
      <c r="D174" s="45"/>
      <c r="E174" s="45"/>
      <c r="F174" s="45"/>
      <c r="G174" s="45"/>
      <c r="H174" s="45"/>
      <c r="I174" s="45"/>
      <c r="J174" s="45"/>
      <c r="K174" s="382"/>
      <c r="L174" s="382"/>
      <c r="M174" s="45"/>
      <c r="N174" s="45"/>
      <c r="O174" s="45"/>
      <c r="P174" s="45"/>
      <c r="Q174" s="45"/>
      <c r="R174" s="45"/>
      <c r="S174" s="45"/>
      <c r="T174" s="356"/>
      <c r="U174" s="356"/>
      <c r="V174" s="45"/>
      <c r="W174" s="45"/>
      <c r="X174" s="45"/>
    </row>
    <row r="175" spans="2:24" s="29" customFormat="1" ht="15.75" customHeight="1" x14ac:dyDescent="0.25">
      <c r="B175" s="45"/>
      <c r="C175" s="45"/>
      <c r="D175" s="45"/>
      <c r="E175" s="45"/>
      <c r="F175" s="45"/>
      <c r="G175" s="45"/>
      <c r="H175" s="45"/>
      <c r="I175" s="45"/>
      <c r="J175" s="45"/>
      <c r="K175" s="382"/>
      <c r="L175" s="382"/>
      <c r="M175" s="45"/>
      <c r="N175" s="45"/>
      <c r="O175" s="45"/>
      <c r="P175" s="45"/>
      <c r="Q175" s="45"/>
      <c r="R175" s="45"/>
      <c r="S175" s="45"/>
      <c r="T175" s="356"/>
      <c r="U175" s="356"/>
      <c r="V175" s="45"/>
      <c r="W175" s="45"/>
      <c r="X175" s="45"/>
    </row>
    <row r="176" spans="2:24" s="29" customFormat="1" ht="15.75" customHeight="1" x14ac:dyDescent="0.25">
      <c r="B176" s="45"/>
      <c r="C176" s="45"/>
      <c r="D176" s="45"/>
      <c r="E176" s="45"/>
      <c r="F176" s="45"/>
      <c r="G176" s="45"/>
      <c r="H176" s="45"/>
      <c r="I176" s="45"/>
      <c r="J176" s="45"/>
      <c r="K176" s="382"/>
      <c r="L176" s="382"/>
      <c r="M176" s="45"/>
      <c r="N176" s="45"/>
      <c r="O176" s="45"/>
      <c r="P176" s="45"/>
      <c r="Q176" s="45"/>
      <c r="R176" s="45"/>
      <c r="S176" s="45"/>
      <c r="T176" s="356"/>
      <c r="U176" s="356"/>
      <c r="V176" s="45"/>
      <c r="W176" s="45"/>
      <c r="X176" s="45"/>
    </row>
    <row r="177" spans="2:24" s="29" customFormat="1" x14ac:dyDescent="0.25">
      <c r="B177" s="45"/>
      <c r="C177" s="45"/>
      <c r="D177" s="45"/>
      <c r="E177" s="45"/>
      <c r="F177" s="45"/>
      <c r="G177" s="45"/>
      <c r="H177" s="45"/>
      <c r="I177" s="45"/>
      <c r="J177" s="45"/>
      <c r="K177" s="382"/>
      <c r="L177" s="382"/>
      <c r="M177" s="45"/>
      <c r="N177" s="45"/>
      <c r="O177" s="45"/>
      <c r="P177" s="45"/>
      <c r="Q177" s="45"/>
      <c r="R177" s="45"/>
      <c r="S177" s="45"/>
      <c r="T177" s="356"/>
      <c r="U177" s="356"/>
      <c r="V177" s="45"/>
      <c r="W177" s="45"/>
      <c r="X177" s="45"/>
    </row>
    <row r="178" spans="2:24" s="29" customFormat="1" x14ac:dyDescent="0.25">
      <c r="B178" s="45"/>
      <c r="C178" s="45"/>
      <c r="D178" s="45"/>
      <c r="E178" s="45"/>
      <c r="F178" s="45"/>
      <c r="G178" s="45"/>
      <c r="H178" s="45"/>
      <c r="I178" s="45"/>
      <c r="J178" s="45"/>
      <c r="K178" s="382"/>
      <c r="L178" s="382"/>
      <c r="M178" s="45"/>
      <c r="N178" s="45"/>
      <c r="O178" s="45"/>
      <c r="P178" s="45"/>
      <c r="Q178" s="45"/>
      <c r="R178" s="45"/>
      <c r="S178" s="45"/>
      <c r="T178" s="356"/>
      <c r="U178" s="356"/>
      <c r="V178" s="45"/>
      <c r="W178" s="45"/>
      <c r="X178" s="45"/>
    </row>
    <row r="179" spans="2:24" s="29" customFormat="1" ht="15.75" customHeight="1" x14ac:dyDescent="0.25">
      <c r="B179" s="45"/>
      <c r="C179" s="45"/>
      <c r="D179" s="45"/>
      <c r="E179" s="45"/>
      <c r="F179" s="45"/>
      <c r="G179" s="45"/>
      <c r="H179" s="45"/>
      <c r="I179" s="45"/>
      <c r="J179" s="45"/>
      <c r="K179" s="382"/>
      <c r="L179" s="382"/>
      <c r="M179" s="45"/>
      <c r="N179" s="45"/>
      <c r="O179" s="45"/>
      <c r="P179" s="45"/>
      <c r="Q179" s="45"/>
      <c r="R179" s="45"/>
      <c r="S179" s="45"/>
      <c r="T179" s="356"/>
      <c r="U179" s="356"/>
      <c r="V179" s="45"/>
      <c r="W179" s="45"/>
      <c r="X179" s="45"/>
    </row>
    <row r="180" spans="2:24" s="29" customFormat="1" x14ac:dyDescent="0.25">
      <c r="B180" s="45"/>
      <c r="C180" s="45"/>
      <c r="D180" s="45"/>
      <c r="E180" s="45"/>
      <c r="F180" s="45"/>
      <c r="G180" s="45"/>
      <c r="H180" s="45"/>
      <c r="I180" s="45"/>
      <c r="J180" s="45"/>
      <c r="K180" s="382"/>
      <c r="L180" s="382"/>
      <c r="M180" s="45"/>
      <c r="N180" s="45"/>
      <c r="O180" s="45"/>
      <c r="P180" s="45"/>
      <c r="Q180" s="45"/>
      <c r="R180" s="45"/>
      <c r="S180" s="45"/>
      <c r="T180" s="356"/>
      <c r="U180" s="356"/>
      <c r="V180" s="45"/>
      <c r="W180" s="45"/>
      <c r="X180" s="45"/>
    </row>
    <row r="181" spans="2:24" s="29" customFormat="1" x14ac:dyDescent="0.25">
      <c r="B181" s="45"/>
      <c r="C181" s="45"/>
      <c r="D181" s="45"/>
      <c r="E181" s="45"/>
      <c r="F181" s="45"/>
      <c r="G181" s="45"/>
      <c r="H181" s="45"/>
      <c r="I181" s="45"/>
      <c r="J181" s="45"/>
      <c r="K181" s="382"/>
      <c r="L181" s="382"/>
      <c r="M181" s="45"/>
      <c r="N181" s="45"/>
      <c r="O181" s="45"/>
      <c r="P181" s="45"/>
      <c r="Q181" s="45"/>
      <c r="R181" s="45"/>
      <c r="S181" s="45"/>
      <c r="T181" s="356"/>
      <c r="U181" s="356"/>
      <c r="V181" s="45"/>
      <c r="W181" s="45"/>
      <c r="X181" s="45"/>
    </row>
    <row r="182" spans="2:24" s="29" customFormat="1" ht="15.75" customHeight="1" x14ac:dyDescent="0.25">
      <c r="B182" s="45"/>
      <c r="C182" s="45"/>
      <c r="D182" s="45"/>
      <c r="E182" s="45"/>
      <c r="F182" s="45"/>
      <c r="G182" s="45"/>
      <c r="H182" s="45"/>
      <c r="I182" s="45"/>
      <c r="J182" s="45"/>
      <c r="K182" s="382"/>
      <c r="L182" s="382"/>
      <c r="M182" s="45"/>
      <c r="N182" s="45"/>
      <c r="O182" s="45"/>
      <c r="P182" s="45"/>
      <c r="Q182" s="45"/>
      <c r="R182" s="45"/>
      <c r="S182" s="45"/>
      <c r="T182" s="356"/>
      <c r="U182" s="356"/>
      <c r="V182" s="45"/>
      <c r="W182" s="45"/>
      <c r="X182" s="45"/>
    </row>
    <row r="183" spans="2:24" s="29" customFormat="1" x14ac:dyDescent="0.25">
      <c r="B183" s="45"/>
      <c r="C183" s="45"/>
      <c r="D183" s="45"/>
      <c r="E183" s="45"/>
      <c r="F183" s="45"/>
      <c r="G183" s="45"/>
      <c r="H183" s="45"/>
      <c r="I183" s="45"/>
      <c r="J183" s="45"/>
      <c r="K183" s="382"/>
      <c r="L183" s="382"/>
      <c r="M183" s="45"/>
      <c r="N183" s="45"/>
      <c r="O183" s="45"/>
      <c r="P183" s="45"/>
      <c r="Q183" s="45"/>
      <c r="R183" s="45"/>
      <c r="S183" s="45"/>
      <c r="T183" s="356"/>
      <c r="U183" s="356"/>
      <c r="V183" s="45"/>
      <c r="W183" s="45"/>
      <c r="X183" s="45"/>
    </row>
    <row r="184" spans="2:24" s="29" customFormat="1" x14ac:dyDescent="0.25">
      <c r="B184" s="45"/>
      <c r="C184" s="45"/>
      <c r="D184" s="45"/>
      <c r="E184" s="45"/>
      <c r="F184" s="45"/>
      <c r="G184" s="45"/>
      <c r="H184" s="45"/>
      <c r="I184" s="45"/>
      <c r="J184" s="45"/>
      <c r="K184" s="382"/>
      <c r="L184" s="382"/>
      <c r="M184" s="45"/>
      <c r="N184" s="45"/>
      <c r="O184" s="45"/>
      <c r="P184" s="45"/>
      <c r="Q184" s="45"/>
      <c r="R184" s="45"/>
      <c r="S184" s="45"/>
      <c r="T184" s="356"/>
      <c r="U184" s="356"/>
      <c r="V184" s="45"/>
      <c r="W184" s="45"/>
      <c r="X184" s="45"/>
    </row>
    <row r="185" spans="2:24" s="29" customFormat="1" ht="15.75" customHeight="1" x14ac:dyDescent="0.25">
      <c r="B185" s="45"/>
      <c r="C185" s="45"/>
      <c r="D185" s="45"/>
      <c r="E185" s="45"/>
      <c r="F185" s="45"/>
      <c r="G185" s="45"/>
      <c r="H185" s="45"/>
      <c r="I185" s="45"/>
      <c r="J185" s="45"/>
      <c r="K185" s="382"/>
      <c r="L185" s="382"/>
      <c r="M185" s="45"/>
      <c r="N185" s="45"/>
      <c r="O185" s="45"/>
      <c r="P185" s="45"/>
      <c r="Q185" s="45"/>
      <c r="R185" s="45"/>
      <c r="S185" s="45"/>
      <c r="T185" s="356"/>
      <c r="U185" s="356"/>
      <c r="V185" s="45"/>
      <c r="W185" s="45"/>
      <c r="X185" s="45"/>
    </row>
    <row r="186" spans="2:24" s="29" customFormat="1" x14ac:dyDescent="0.25">
      <c r="B186" s="45"/>
      <c r="C186" s="45"/>
      <c r="D186" s="45"/>
      <c r="E186" s="45"/>
      <c r="F186" s="45"/>
      <c r="G186" s="45"/>
      <c r="H186" s="45"/>
      <c r="I186" s="45"/>
      <c r="J186" s="45"/>
      <c r="K186" s="382"/>
      <c r="L186" s="382"/>
      <c r="M186" s="45"/>
      <c r="N186" s="45"/>
      <c r="O186" s="45"/>
      <c r="P186" s="45"/>
      <c r="Q186" s="45"/>
      <c r="R186" s="45"/>
      <c r="S186" s="45"/>
      <c r="T186" s="356"/>
      <c r="U186" s="356"/>
      <c r="V186" s="45"/>
      <c r="W186" s="45"/>
      <c r="X186" s="45"/>
    </row>
    <row r="187" spans="2:24" s="29" customFormat="1" x14ac:dyDescent="0.25">
      <c r="B187" s="45"/>
      <c r="C187" s="45"/>
      <c r="D187" s="45"/>
      <c r="E187" s="45"/>
      <c r="F187" s="45"/>
      <c r="G187" s="45"/>
      <c r="H187" s="45"/>
      <c r="I187" s="45"/>
      <c r="J187" s="45"/>
      <c r="K187" s="382"/>
      <c r="L187" s="382"/>
      <c r="M187" s="45"/>
      <c r="N187" s="45"/>
      <c r="O187" s="45"/>
      <c r="P187" s="45"/>
      <c r="Q187" s="45"/>
      <c r="R187" s="45"/>
      <c r="S187" s="45"/>
      <c r="T187" s="356"/>
      <c r="U187" s="356"/>
      <c r="V187" s="45"/>
      <c r="W187" s="45"/>
      <c r="X187" s="45"/>
    </row>
    <row r="188" spans="2:24" s="29" customFormat="1" x14ac:dyDescent="0.25">
      <c r="B188" s="45"/>
      <c r="C188" s="45"/>
      <c r="D188" s="45"/>
      <c r="E188" s="45"/>
      <c r="F188" s="45"/>
      <c r="G188" s="45"/>
      <c r="H188" s="45"/>
      <c r="I188" s="45"/>
      <c r="J188" s="45"/>
      <c r="K188" s="382"/>
      <c r="L188" s="382"/>
      <c r="M188" s="45"/>
      <c r="N188" s="45"/>
      <c r="O188" s="45"/>
      <c r="P188" s="45"/>
      <c r="Q188" s="45"/>
      <c r="R188" s="45"/>
      <c r="S188" s="45"/>
      <c r="T188" s="356"/>
      <c r="U188" s="356"/>
      <c r="V188" s="45"/>
      <c r="W188" s="45"/>
      <c r="X188" s="45"/>
    </row>
    <row r="189" spans="2:24" s="29" customFormat="1" x14ac:dyDescent="0.25">
      <c r="B189" s="45"/>
      <c r="C189" s="45"/>
      <c r="D189" s="45"/>
      <c r="E189" s="45"/>
      <c r="F189" s="45"/>
      <c r="G189" s="45"/>
      <c r="H189" s="45"/>
      <c r="I189" s="1044"/>
      <c r="J189" s="45"/>
      <c r="K189" s="382"/>
      <c r="L189" s="382"/>
      <c r="M189" s="45"/>
      <c r="N189" s="45"/>
      <c r="O189" s="45"/>
      <c r="P189" s="45"/>
      <c r="Q189" s="45"/>
      <c r="R189" s="45"/>
      <c r="S189" s="45"/>
      <c r="T189" s="356"/>
      <c r="U189" s="356"/>
      <c r="V189" s="45"/>
      <c r="W189" s="45"/>
      <c r="X189" s="45"/>
    </row>
    <row r="190" spans="2:24" s="29" customFormat="1" x14ac:dyDescent="0.25">
      <c r="B190" s="45"/>
      <c r="C190" s="45"/>
      <c r="D190" s="45"/>
      <c r="E190" s="45"/>
      <c r="F190" s="45"/>
      <c r="G190" s="45"/>
      <c r="H190" s="45"/>
      <c r="I190" s="45"/>
      <c r="J190" s="45"/>
      <c r="K190" s="382"/>
      <c r="L190" s="382"/>
      <c r="M190" s="45"/>
      <c r="N190" s="45"/>
      <c r="O190" s="45"/>
      <c r="P190" s="45"/>
      <c r="Q190" s="45"/>
      <c r="R190" s="45"/>
      <c r="S190" s="45"/>
      <c r="T190" s="356"/>
      <c r="U190" s="356"/>
      <c r="V190" s="45"/>
      <c r="W190" s="45"/>
      <c r="X190" s="45"/>
    </row>
    <row r="191" spans="2:24" s="29" customFormat="1" x14ac:dyDescent="0.25">
      <c r="B191" s="45"/>
      <c r="C191" s="45"/>
      <c r="D191" s="45"/>
      <c r="E191" s="45"/>
      <c r="F191" s="45"/>
      <c r="G191" s="45"/>
      <c r="H191" s="45"/>
      <c r="I191" s="45"/>
      <c r="J191" s="45"/>
      <c r="K191" s="382"/>
      <c r="L191" s="382"/>
      <c r="M191" s="45"/>
      <c r="N191" s="45"/>
      <c r="O191" s="45"/>
      <c r="P191" s="45"/>
      <c r="Q191" s="45"/>
      <c r="R191" s="45"/>
      <c r="S191" s="45"/>
      <c r="T191" s="356"/>
      <c r="U191" s="356"/>
      <c r="V191" s="45"/>
      <c r="W191" s="45"/>
      <c r="X191" s="45"/>
    </row>
    <row r="192" spans="2:24" s="29" customFormat="1" x14ac:dyDescent="0.25">
      <c r="B192" s="45"/>
      <c r="C192" s="45"/>
      <c r="D192" s="45"/>
      <c r="E192" s="45"/>
      <c r="F192" s="45"/>
      <c r="G192" s="45"/>
      <c r="H192" s="45"/>
      <c r="I192" s="45"/>
      <c r="J192" s="45"/>
      <c r="K192" s="382"/>
      <c r="L192" s="382"/>
      <c r="M192" s="45"/>
      <c r="N192" s="45"/>
      <c r="O192" s="45"/>
      <c r="P192" s="45"/>
      <c r="Q192" s="45"/>
      <c r="R192" s="45"/>
      <c r="S192" s="45"/>
      <c r="T192" s="356"/>
      <c r="U192" s="356"/>
      <c r="V192" s="45"/>
      <c r="W192" s="45"/>
      <c r="X192" s="45"/>
    </row>
    <row r="193" spans="2:24" s="29" customFormat="1" x14ac:dyDescent="0.25">
      <c r="B193" s="45"/>
      <c r="C193" s="45"/>
      <c r="D193" s="45"/>
      <c r="E193" s="45"/>
      <c r="F193" s="45"/>
      <c r="G193" s="45"/>
      <c r="H193" s="45"/>
      <c r="I193" s="45"/>
      <c r="J193" s="45"/>
      <c r="K193" s="382"/>
      <c r="L193" s="382"/>
      <c r="M193" s="45"/>
      <c r="N193" s="45"/>
      <c r="O193" s="45"/>
      <c r="P193" s="45"/>
      <c r="Q193" s="45"/>
      <c r="R193" s="45"/>
      <c r="S193" s="45"/>
      <c r="T193" s="356"/>
      <c r="U193" s="356"/>
      <c r="V193" s="45"/>
      <c r="W193" s="45"/>
      <c r="X193" s="45"/>
    </row>
    <row r="194" spans="2:24" s="29" customFormat="1" x14ac:dyDescent="0.25">
      <c r="B194" s="45"/>
      <c r="C194" s="45"/>
      <c r="D194" s="45"/>
      <c r="E194" s="45"/>
      <c r="F194" s="45"/>
      <c r="G194" s="45"/>
      <c r="H194" s="45"/>
      <c r="I194" s="45"/>
      <c r="J194" s="45"/>
      <c r="K194" s="382"/>
      <c r="L194" s="382"/>
      <c r="M194" s="45"/>
      <c r="N194" s="45"/>
      <c r="O194" s="45"/>
      <c r="P194" s="45"/>
      <c r="Q194" s="45"/>
      <c r="R194" s="45"/>
      <c r="S194" s="45"/>
      <c r="T194" s="356"/>
      <c r="U194" s="356"/>
      <c r="V194" s="45"/>
      <c r="W194" s="45"/>
      <c r="X194" s="45"/>
    </row>
    <row r="195" spans="2:24" s="29" customFormat="1" x14ac:dyDescent="0.25">
      <c r="B195" s="45"/>
      <c r="C195" s="45"/>
      <c r="D195" s="45"/>
      <c r="E195" s="45"/>
      <c r="F195" s="45"/>
      <c r="G195" s="45"/>
      <c r="H195" s="45"/>
      <c r="I195" s="45"/>
      <c r="J195" s="45"/>
      <c r="K195" s="382"/>
      <c r="L195" s="382"/>
      <c r="M195" s="45"/>
      <c r="N195" s="45"/>
      <c r="O195" s="45"/>
      <c r="P195" s="45"/>
      <c r="Q195" s="45"/>
      <c r="R195" s="45"/>
      <c r="S195" s="45"/>
      <c r="T195" s="356"/>
      <c r="U195" s="356"/>
      <c r="V195" s="45"/>
      <c r="W195" s="45"/>
      <c r="X195" s="45"/>
    </row>
    <row r="196" spans="2:24" s="29" customFormat="1" x14ac:dyDescent="0.25">
      <c r="B196" s="45"/>
      <c r="C196" s="45"/>
      <c r="D196" s="45"/>
      <c r="E196" s="45"/>
      <c r="F196" s="45"/>
      <c r="G196" s="45"/>
      <c r="H196" s="45"/>
      <c r="I196" s="45"/>
      <c r="J196" s="45"/>
      <c r="K196" s="382"/>
      <c r="L196" s="382"/>
      <c r="M196" s="45"/>
      <c r="N196" s="45"/>
      <c r="O196" s="45"/>
      <c r="P196" s="45"/>
      <c r="Q196" s="45"/>
      <c r="R196" s="45"/>
      <c r="S196" s="45"/>
      <c r="T196" s="356"/>
      <c r="U196" s="356"/>
      <c r="V196" s="45"/>
      <c r="W196" s="45"/>
      <c r="X196" s="45"/>
    </row>
    <row r="197" spans="2:24" s="29" customFormat="1" x14ac:dyDescent="0.25">
      <c r="B197" s="45"/>
      <c r="C197" s="45"/>
      <c r="D197" s="45"/>
      <c r="E197" s="45"/>
      <c r="F197" s="45"/>
      <c r="G197" s="45"/>
      <c r="H197" s="45"/>
      <c r="I197" s="45"/>
      <c r="J197" s="45"/>
      <c r="K197" s="382"/>
      <c r="L197" s="382"/>
      <c r="M197" s="45"/>
      <c r="N197" s="45"/>
      <c r="O197" s="45"/>
      <c r="P197" s="45"/>
      <c r="Q197" s="45"/>
      <c r="R197" s="45"/>
      <c r="S197" s="45"/>
      <c r="T197" s="356"/>
      <c r="U197" s="356"/>
      <c r="V197" s="45"/>
      <c r="W197" s="45"/>
      <c r="X197" s="45"/>
    </row>
    <row r="198" spans="2:24" s="29" customFormat="1" x14ac:dyDescent="0.25">
      <c r="B198" s="45"/>
      <c r="C198" s="45"/>
      <c r="D198" s="45"/>
      <c r="E198" s="45"/>
      <c r="F198" s="45"/>
      <c r="G198" s="45"/>
      <c r="H198" s="45"/>
      <c r="I198" s="45"/>
      <c r="J198" s="45"/>
      <c r="K198" s="382"/>
      <c r="L198" s="382"/>
      <c r="M198" s="45"/>
      <c r="N198" s="45"/>
      <c r="O198" s="45"/>
      <c r="P198" s="45"/>
      <c r="Q198" s="45"/>
      <c r="R198" s="45"/>
      <c r="S198" s="45"/>
      <c r="T198" s="356"/>
      <c r="U198" s="356"/>
      <c r="V198" s="45"/>
      <c r="W198" s="45"/>
      <c r="X198" s="45"/>
    </row>
    <row r="199" spans="2:24" s="29" customFormat="1" x14ac:dyDescent="0.25">
      <c r="B199" s="45"/>
      <c r="C199" s="45"/>
      <c r="D199" s="45"/>
      <c r="E199" s="45"/>
      <c r="F199" s="45"/>
      <c r="G199" s="45"/>
      <c r="H199" s="45"/>
      <c r="I199" s="45"/>
      <c r="J199" s="45"/>
      <c r="K199" s="382"/>
      <c r="L199" s="382"/>
      <c r="M199" s="45"/>
      <c r="N199" s="45"/>
      <c r="O199" s="45"/>
      <c r="P199" s="45"/>
      <c r="Q199" s="45"/>
      <c r="R199" s="45"/>
      <c r="S199" s="45"/>
      <c r="T199" s="356"/>
      <c r="U199" s="356"/>
      <c r="V199" s="45"/>
      <c r="W199" s="45"/>
      <c r="X199" s="45"/>
    </row>
    <row r="200" spans="2:24" s="29" customFormat="1" x14ac:dyDescent="0.25">
      <c r="B200" s="45"/>
      <c r="C200" s="45"/>
      <c r="D200" s="45"/>
      <c r="E200" s="45"/>
      <c r="F200" s="45"/>
      <c r="G200" s="45"/>
      <c r="H200" s="45"/>
      <c r="I200" s="45"/>
      <c r="J200" s="45"/>
      <c r="K200" s="382"/>
      <c r="L200" s="382"/>
      <c r="M200" s="45"/>
      <c r="N200" s="45"/>
      <c r="O200" s="45"/>
      <c r="P200" s="45"/>
      <c r="Q200" s="45"/>
      <c r="R200" s="45"/>
      <c r="S200" s="45"/>
      <c r="T200" s="356"/>
      <c r="U200" s="356"/>
      <c r="V200" s="45"/>
      <c r="W200" s="45"/>
      <c r="X200" s="45"/>
    </row>
    <row r="201" spans="2:24" s="29" customFormat="1" x14ac:dyDescent="0.25">
      <c r="B201" s="45"/>
      <c r="C201" s="45"/>
      <c r="D201" s="45"/>
      <c r="E201" s="45"/>
      <c r="F201" s="45"/>
      <c r="G201" s="45"/>
      <c r="H201" s="45"/>
      <c r="I201" s="45"/>
      <c r="J201" s="45"/>
      <c r="K201" s="382"/>
      <c r="L201" s="382"/>
      <c r="M201" s="45"/>
      <c r="N201" s="45"/>
      <c r="O201" s="45"/>
      <c r="P201" s="45"/>
      <c r="Q201" s="45"/>
      <c r="R201" s="45"/>
      <c r="S201" s="45"/>
      <c r="T201" s="356"/>
      <c r="U201" s="356"/>
      <c r="V201" s="45"/>
      <c r="W201" s="45"/>
      <c r="X201" s="45"/>
    </row>
    <row r="202" spans="2:24" s="29" customFormat="1" x14ac:dyDescent="0.25">
      <c r="B202" s="45"/>
      <c r="C202" s="45"/>
      <c r="D202" s="45"/>
      <c r="E202" s="45"/>
      <c r="F202" s="45"/>
      <c r="G202" s="45"/>
      <c r="H202" s="45"/>
      <c r="I202" s="45"/>
      <c r="J202" s="45"/>
      <c r="K202" s="382"/>
      <c r="L202" s="382"/>
      <c r="M202" s="45"/>
      <c r="N202" s="45"/>
      <c r="O202" s="45"/>
      <c r="P202" s="45"/>
      <c r="Q202" s="45"/>
      <c r="R202" s="45"/>
      <c r="S202" s="45"/>
      <c r="T202" s="356"/>
      <c r="U202" s="356"/>
      <c r="V202" s="45"/>
      <c r="W202" s="45"/>
      <c r="X202" s="45"/>
    </row>
    <row r="203" spans="2:24" s="29" customFormat="1" x14ac:dyDescent="0.25">
      <c r="B203" s="45"/>
      <c r="C203" s="45"/>
      <c r="D203" s="45"/>
      <c r="E203" s="45"/>
      <c r="F203" s="45"/>
      <c r="G203" s="45"/>
      <c r="H203" s="45"/>
      <c r="I203" s="45"/>
      <c r="J203" s="45"/>
      <c r="K203" s="382"/>
      <c r="L203" s="382"/>
      <c r="M203" s="45"/>
      <c r="N203" s="45"/>
      <c r="O203" s="45"/>
      <c r="P203" s="45"/>
      <c r="Q203" s="45"/>
      <c r="R203" s="45"/>
      <c r="S203" s="45"/>
      <c r="T203" s="356"/>
      <c r="U203" s="356"/>
      <c r="V203" s="45"/>
      <c r="W203" s="45"/>
      <c r="X203" s="45"/>
    </row>
    <row r="204" spans="2:24" s="29" customFormat="1" x14ac:dyDescent="0.25">
      <c r="B204" s="45"/>
      <c r="C204" s="45"/>
      <c r="D204" s="45"/>
      <c r="E204" s="45"/>
      <c r="F204" s="45"/>
      <c r="G204" s="45"/>
      <c r="H204" s="45"/>
      <c r="I204" s="45"/>
      <c r="J204" s="45"/>
      <c r="K204" s="382"/>
      <c r="L204" s="382"/>
      <c r="M204" s="45"/>
      <c r="N204" s="45"/>
      <c r="O204" s="45"/>
      <c r="P204" s="45"/>
      <c r="Q204" s="45"/>
      <c r="R204" s="45"/>
      <c r="S204" s="45"/>
      <c r="T204" s="356"/>
      <c r="U204" s="356"/>
      <c r="V204" s="45"/>
      <c r="W204" s="45"/>
      <c r="X204" s="45"/>
    </row>
    <row r="205" spans="2:24" s="29" customFormat="1" x14ac:dyDescent="0.25">
      <c r="B205" s="45"/>
      <c r="C205" s="45"/>
      <c r="D205" s="45"/>
      <c r="E205" s="45"/>
      <c r="F205" s="45"/>
      <c r="G205" s="45"/>
      <c r="H205" s="45"/>
      <c r="I205" s="45"/>
      <c r="J205" s="45"/>
      <c r="K205" s="382"/>
      <c r="L205" s="382"/>
      <c r="M205" s="45"/>
      <c r="N205" s="45"/>
      <c r="O205" s="45"/>
      <c r="P205" s="45"/>
      <c r="Q205" s="45"/>
      <c r="R205" s="45"/>
      <c r="S205" s="45"/>
      <c r="T205" s="356"/>
      <c r="U205" s="356"/>
      <c r="V205" s="45"/>
      <c r="W205" s="45"/>
      <c r="X205" s="45"/>
    </row>
    <row r="206" spans="2:24" s="29" customFormat="1" x14ac:dyDescent="0.25">
      <c r="B206" s="45"/>
      <c r="C206" s="45"/>
      <c r="D206" s="45"/>
      <c r="E206" s="45"/>
      <c r="F206" s="45"/>
      <c r="G206" s="45"/>
      <c r="H206" s="45"/>
      <c r="I206" s="45"/>
      <c r="J206" s="45"/>
      <c r="K206" s="382"/>
      <c r="L206" s="382"/>
      <c r="M206" s="45"/>
      <c r="N206" s="45"/>
      <c r="O206" s="45"/>
      <c r="P206" s="45"/>
      <c r="Q206" s="45"/>
      <c r="R206" s="45"/>
      <c r="S206" s="45"/>
      <c r="T206" s="356"/>
      <c r="U206" s="356"/>
      <c r="V206" s="45"/>
      <c r="W206" s="45"/>
      <c r="X206" s="45"/>
    </row>
    <row r="207" spans="2:24" s="29" customFormat="1" x14ac:dyDescent="0.25">
      <c r="B207" s="45"/>
      <c r="C207" s="45"/>
      <c r="D207" s="45"/>
      <c r="E207" s="45"/>
      <c r="F207" s="45"/>
      <c r="G207" s="45"/>
      <c r="H207" s="45"/>
      <c r="I207" s="45"/>
      <c r="J207" s="45"/>
      <c r="K207" s="382"/>
      <c r="L207" s="382"/>
      <c r="M207" s="45"/>
      <c r="N207" s="45"/>
      <c r="O207" s="45"/>
      <c r="P207" s="45"/>
      <c r="Q207" s="45"/>
      <c r="R207" s="45"/>
      <c r="S207" s="45"/>
      <c r="T207" s="356"/>
      <c r="U207" s="356"/>
      <c r="V207" s="45"/>
      <c r="W207" s="45"/>
      <c r="X207" s="45"/>
    </row>
    <row r="208" spans="2:24" s="29" customFormat="1" x14ac:dyDescent="0.25">
      <c r="B208" s="45"/>
      <c r="C208" s="45"/>
      <c r="D208" s="45"/>
      <c r="E208" s="45"/>
      <c r="F208" s="45"/>
      <c r="G208" s="45"/>
      <c r="H208" s="45"/>
      <c r="I208" s="45"/>
      <c r="J208" s="45"/>
      <c r="K208" s="382"/>
      <c r="L208" s="382"/>
      <c r="M208" s="45"/>
      <c r="N208" s="45"/>
      <c r="O208" s="45"/>
      <c r="P208" s="45"/>
      <c r="Q208" s="45"/>
      <c r="R208" s="45"/>
      <c r="S208" s="45"/>
      <c r="T208" s="356"/>
      <c r="U208" s="356"/>
      <c r="V208" s="45"/>
      <c r="W208" s="45"/>
      <c r="X208" s="45"/>
    </row>
    <row r="209" spans="2:24" s="29" customFormat="1" x14ac:dyDescent="0.25">
      <c r="B209" s="45"/>
      <c r="C209" s="45"/>
      <c r="D209" s="45"/>
      <c r="E209" s="45"/>
      <c r="F209" s="45"/>
      <c r="G209" s="45"/>
      <c r="H209" s="45"/>
      <c r="I209" s="45"/>
      <c r="J209" s="45"/>
      <c r="K209" s="382"/>
      <c r="L209" s="382"/>
      <c r="M209" s="45"/>
      <c r="N209" s="45"/>
      <c r="O209" s="45"/>
      <c r="P209" s="45"/>
      <c r="Q209" s="45"/>
      <c r="R209" s="45"/>
      <c r="S209" s="45"/>
      <c r="T209" s="356"/>
      <c r="U209" s="356"/>
      <c r="V209" s="45"/>
      <c r="W209" s="45"/>
      <c r="X209" s="45"/>
    </row>
    <row r="210" spans="2:24" s="29" customFormat="1" x14ac:dyDescent="0.25">
      <c r="B210" s="45"/>
      <c r="C210" s="45"/>
      <c r="D210" s="45"/>
      <c r="E210" s="45"/>
      <c r="F210" s="45"/>
      <c r="G210" s="45"/>
      <c r="H210" s="45"/>
      <c r="I210" s="45"/>
      <c r="J210" s="45"/>
      <c r="K210" s="382"/>
      <c r="L210" s="382"/>
      <c r="M210" s="45"/>
      <c r="N210" s="45"/>
      <c r="O210" s="45"/>
      <c r="P210" s="45"/>
      <c r="Q210" s="45"/>
      <c r="R210" s="45"/>
      <c r="S210" s="45"/>
      <c r="T210" s="356"/>
      <c r="U210" s="356"/>
      <c r="V210" s="45"/>
      <c r="W210" s="45"/>
      <c r="X210" s="45"/>
    </row>
    <row r="211" spans="2:24" s="29" customFormat="1" x14ac:dyDescent="0.25">
      <c r="B211" s="45"/>
      <c r="C211" s="45"/>
      <c r="D211" s="45"/>
      <c r="E211" s="45"/>
      <c r="F211" s="45"/>
      <c r="G211" s="45"/>
      <c r="H211" s="45"/>
      <c r="I211" s="45"/>
      <c r="J211" s="45"/>
      <c r="K211" s="382"/>
      <c r="L211" s="382"/>
      <c r="M211" s="45"/>
      <c r="N211" s="45"/>
      <c r="O211" s="45"/>
      <c r="P211" s="45"/>
      <c r="Q211" s="45"/>
      <c r="R211" s="45"/>
      <c r="S211" s="45"/>
      <c r="T211" s="356"/>
      <c r="U211" s="356"/>
      <c r="V211" s="45"/>
      <c r="W211" s="45"/>
      <c r="X211" s="45"/>
    </row>
    <row r="212" spans="2:24" s="29" customFormat="1" x14ac:dyDescent="0.25">
      <c r="B212" s="45"/>
      <c r="C212" s="45"/>
      <c r="D212" s="45"/>
      <c r="E212" s="45"/>
      <c r="F212" s="45"/>
      <c r="G212" s="45"/>
      <c r="H212" s="45"/>
      <c r="I212" s="45"/>
      <c r="J212" s="45"/>
      <c r="K212" s="382"/>
      <c r="L212" s="382"/>
      <c r="M212" s="45"/>
      <c r="N212" s="45"/>
      <c r="O212" s="45"/>
      <c r="P212" s="45"/>
      <c r="Q212" s="45"/>
      <c r="R212" s="45"/>
      <c r="S212" s="45"/>
      <c r="T212" s="356"/>
      <c r="U212" s="356"/>
      <c r="V212" s="45"/>
      <c r="W212" s="45"/>
      <c r="X212" s="45"/>
    </row>
    <row r="213" spans="2:24" s="29" customFormat="1" x14ac:dyDescent="0.25">
      <c r="B213" s="45"/>
      <c r="C213" s="45"/>
      <c r="D213" s="45"/>
      <c r="E213" s="45"/>
      <c r="F213" s="45"/>
      <c r="G213" s="45"/>
      <c r="H213" s="45"/>
      <c r="I213" s="45"/>
      <c r="J213" s="45"/>
      <c r="K213" s="382"/>
      <c r="L213" s="382"/>
      <c r="M213" s="45"/>
      <c r="N213" s="45"/>
      <c r="O213" s="45"/>
      <c r="P213" s="45"/>
      <c r="Q213" s="45"/>
      <c r="R213" s="45"/>
      <c r="S213" s="45"/>
      <c r="T213" s="356"/>
      <c r="U213" s="356"/>
      <c r="V213" s="45"/>
      <c r="W213" s="45"/>
      <c r="X213" s="45"/>
    </row>
    <row r="214" spans="2:24" s="29" customFormat="1" x14ac:dyDescent="0.25">
      <c r="B214" s="45"/>
      <c r="C214" s="45"/>
      <c r="D214" s="45"/>
      <c r="E214" s="45"/>
      <c r="F214" s="45"/>
      <c r="G214" s="45"/>
      <c r="H214" s="45"/>
      <c r="I214" s="45"/>
      <c r="J214" s="45"/>
      <c r="K214" s="382"/>
      <c r="L214" s="382"/>
      <c r="M214" s="45"/>
      <c r="N214" s="45"/>
      <c r="O214" s="45"/>
      <c r="P214" s="45"/>
      <c r="Q214" s="45"/>
      <c r="R214" s="45"/>
      <c r="S214" s="45"/>
      <c r="T214" s="356"/>
      <c r="U214" s="356"/>
      <c r="V214" s="45"/>
      <c r="W214" s="45"/>
      <c r="X214" s="45"/>
    </row>
    <row r="215" spans="2:24" s="29" customFormat="1" ht="15.75" customHeight="1" x14ac:dyDescent="0.25">
      <c r="B215" s="45"/>
      <c r="C215" s="45"/>
      <c r="D215" s="45"/>
      <c r="E215" s="45"/>
      <c r="F215" s="45"/>
      <c r="G215" s="45"/>
      <c r="H215" s="45"/>
      <c r="I215" s="45"/>
      <c r="J215" s="45"/>
      <c r="K215" s="382"/>
      <c r="L215" s="382"/>
      <c r="M215" s="45"/>
      <c r="N215" s="45"/>
      <c r="O215" s="45"/>
      <c r="P215" s="45"/>
      <c r="Q215" s="45"/>
      <c r="R215" s="45"/>
      <c r="S215" s="45"/>
      <c r="T215" s="356"/>
      <c r="U215" s="356"/>
      <c r="V215" s="45"/>
      <c r="W215" s="45"/>
      <c r="X215" s="45"/>
    </row>
    <row r="216" spans="2:24" s="29" customFormat="1" ht="15.75" customHeight="1" x14ac:dyDescent="0.25">
      <c r="B216" s="45"/>
      <c r="C216" s="45"/>
      <c r="D216" s="45"/>
      <c r="E216" s="45"/>
      <c r="F216" s="45"/>
      <c r="G216" s="45"/>
      <c r="H216" s="45"/>
      <c r="I216" s="45"/>
      <c r="J216" s="45"/>
      <c r="K216" s="382"/>
      <c r="L216" s="382"/>
      <c r="M216" s="45"/>
      <c r="N216" s="45"/>
      <c r="O216" s="45"/>
      <c r="P216" s="45"/>
      <c r="Q216" s="45"/>
      <c r="R216" s="45"/>
      <c r="S216" s="45"/>
      <c r="T216" s="356"/>
      <c r="U216" s="356"/>
      <c r="V216" s="45"/>
      <c r="W216" s="45"/>
      <c r="X216" s="45"/>
    </row>
    <row r="217" spans="2:24" s="29" customFormat="1" x14ac:dyDescent="0.25">
      <c r="B217" s="45"/>
      <c r="C217" s="45"/>
      <c r="D217" s="45"/>
      <c r="E217" s="45"/>
      <c r="F217" s="45"/>
      <c r="G217" s="45"/>
      <c r="H217" s="45"/>
      <c r="I217" s="45"/>
      <c r="J217" s="45"/>
      <c r="K217" s="382"/>
      <c r="L217" s="382"/>
      <c r="M217" s="45"/>
      <c r="N217" s="45"/>
      <c r="O217" s="45"/>
      <c r="P217" s="45"/>
      <c r="Q217" s="45"/>
      <c r="R217" s="45"/>
      <c r="S217" s="45"/>
      <c r="T217" s="356"/>
      <c r="U217" s="356"/>
      <c r="V217" s="45"/>
      <c r="W217" s="45"/>
      <c r="X217" s="45"/>
    </row>
    <row r="218" spans="2:24" s="29" customFormat="1" x14ac:dyDescent="0.25">
      <c r="B218" s="45"/>
      <c r="C218" s="45"/>
      <c r="D218" s="45"/>
      <c r="E218" s="45"/>
      <c r="F218" s="45"/>
      <c r="G218" s="45"/>
      <c r="H218" s="45"/>
      <c r="I218" s="45"/>
      <c r="J218" s="45"/>
      <c r="K218" s="382"/>
      <c r="L218" s="382"/>
      <c r="M218" s="45"/>
      <c r="N218" s="45"/>
      <c r="O218" s="45"/>
      <c r="P218" s="45"/>
      <c r="Q218" s="45"/>
      <c r="R218" s="45"/>
      <c r="S218" s="45"/>
      <c r="T218" s="356"/>
      <c r="U218" s="356"/>
      <c r="V218" s="45"/>
      <c r="W218" s="45"/>
      <c r="X218" s="45"/>
    </row>
    <row r="219" spans="2:24" s="29" customFormat="1" x14ac:dyDescent="0.25">
      <c r="B219" s="45"/>
      <c r="C219" s="45"/>
      <c r="D219" s="45"/>
      <c r="E219" s="45"/>
      <c r="F219" s="45"/>
      <c r="G219" s="45"/>
      <c r="H219" s="45"/>
      <c r="I219" s="45"/>
      <c r="J219" s="45"/>
      <c r="K219" s="382"/>
      <c r="L219" s="382"/>
      <c r="M219" s="45"/>
      <c r="N219" s="45"/>
      <c r="O219" s="45"/>
      <c r="P219" s="45"/>
      <c r="Q219" s="45"/>
      <c r="R219" s="45"/>
      <c r="S219" s="45"/>
      <c r="T219" s="356"/>
      <c r="U219" s="356"/>
      <c r="V219" s="45"/>
      <c r="W219" s="45"/>
      <c r="X219" s="45"/>
    </row>
    <row r="220" spans="2:24" s="29" customFormat="1" x14ac:dyDescent="0.25">
      <c r="B220" s="45"/>
      <c r="C220" s="45"/>
      <c r="D220" s="45"/>
      <c r="E220" s="45"/>
      <c r="F220" s="45"/>
      <c r="G220" s="45"/>
      <c r="H220" s="45"/>
      <c r="I220" s="45"/>
      <c r="J220" s="45"/>
      <c r="K220" s="382"/>
      <c r="L220" s="382"/>
      <c r="M220" s="45"/>
      <c r="N220" s="45"/>
      <c r="O220" s="45"/>
      <c r="P220" s="45"/>
      <c r="Q220" s="45"/>
      <c r="R220" s="45"/>
      <c r="S220" s="45"/>
      <c r="T220" s="356"/>
      <c r="U220" s="356"/>
      <c r="V220" s="45"/>
      <c r="W220" s="45"/>
      <c r="X220" s="45"/>
    </row>
    <row r="221" spans="2:24" s="29" customFormat="1" x14ac:dyDescent="0.25">
      <c r="B221" s="45"/>
      <c r="C221" s="45"/>
      <c r="D221" s="45"/>
      <c r="E221" s="45"/>
      <c r="F221" s="45"/>
      <c r="G221" s="45"/>
      <c r="H221" s="45"/>
      <c r="I221" s="45"/>
      <c r="J221" s="45"/>
      <c r="K221" s="382"/>
      <c r="L221" s="382"/>
      <c r="M221" s="45"/>
      <c r="N221" s="45"/>
      <c r="O221" s="45"/>
      <c r="P221" s="45"/>
      <c r="Q221" s="45"/>
      <c r="R221" s="45"/>
      <c r="S221" s="45"/>
      <c r="T221" s="356"/>
      <c r="U221" s="356"/>
      <c r="V221" s="45"/>
      <c r="W221" s="45"/>
      <c r="X221" s="45"/>
    </row>
    <row r="222" spans="2:24" s="29" customFormat="1" x14ac:dyDescent="0.25">
      <c r="B222" s="45"/>
      <c r="C222" s="45"/>
      <c r="D222" s="45"/>
      <c r="E222" s="45"/>
      <c r="F222" s="45"/>
      <c r="G222" s="45"/>
      <c r="H222" s="45"/>
      <c r="I222" s="45"/>
      <c r="J222" s="45"/>
      <c r="K222" s="382"/>
      <c r="L222" s="382"/>
      <c r="M222" s="45"/>
      <c r="N222" s="45"/>
      <c r="O222" s="45"/>
      <c r="P222" s="45"/>
      <c r="Q222" s="45"/>
      <c r="R222" s="45"/>
      <c r="S222" s="45"/>
      <c r="T222" s="356"/>
      <c r="U222" s="356"/>
      <c r="V222" s="45"/>
      <c r="W222" s="45"/>
      <c r="X222" s="45"/>
    </row>
    <row r="223" spans="2:24" s="29" customFormat="1" x14ac:dyDescent="0.25">
      <c r="B223" s="45"/>
      <c r="C223" s="45"/>
      <c r="D223" s="45"/>
      <c r="E223" s="45"/>
      <c r="F223" s="45"/>
      <c r="G223" s="45"/>
      <c r="H223" s="45"/>
      <c r="I223" s="45"/>
      <c r="J223" s="45"/>
      <c r="K223" s="382"/>
      <c r="L223" s="382"/>
      <c r="M223" s="45"/>
      <c r="N223" s="45"/>
      <c r="O223" s="45"/>
      <c r="P223" s="45"/>
      <c r="Q223" s="45"/>
      <c r="R223" s="45"/>
      <c r="S223" s="45"/>
      <c r="T223" s="356"/>
      <c r="U223" s="356"/>
      <c r="V223" s="45"/>
      <c r="W223" s="45"/>
      <c r="X223" s="45"/>
    </row>
    <row r="224" spans="2:24" s="29" customFormat="1" x14ac:dyDescent="0.25">
      <c r="B224" s="45"/>
      <c r="C224" s="45"/>
      <c r="D224" s="45"/>
      <c r="E224" s="45"/>
      <c r="F224" s="45"/>
      <c r="G224" s="45"/>
      <c r="H224" s="45"/>
      <c r="I224" s="45"/>
      <c r="J224" s="45"/>
      <c r="K224" s="382"/>
      <c r="L224" s="382"/>
      <c r="M224" s="45"/>
      <c r="N224" s="45"/>
      <c r="O224" s="45"/>
      <c r="P224" s="45"/>
      <c r="Q224" s="45"/>
      <c r="R224" s="45"/>
      <c r="S224" s="45"/>
      <c r="T224" s="356"/>
      <c r="U224" s="356"/>
      <c r="V224" s="45"/>
      <c r="W224" s="45"/>
      <c r="X224" s="45"/>
    </row>
    <row r="225" spans="2:40" s="29" customFormat="1" x14ac:dyDescent="0.25">
      <c r="B225" s="45"/>
      <c r="C225" s="45"/>
      <c r="D225" s="45"/>
      <c r="E225" s="45"/>
      <c r="F225" s="45"/>
      <c r="G225" s="45"/>
      <c r="H225" s="45"/>
      <c r="I225" s="45"/>
      <c r="J225" s="45"/>
      <c r="K225" s="382"/>
      <c r="L225" s="382"/>
      <c r="M225" s="45"/>
      <c r="N225" s="45"/>
      <c r="O225" s="45"/>
      <c r="P225" s="45"/>
      <c r="Q225" s="45"/>
      <c r="R225" s="45"/>
      <c r="S225" s="45"/>
      <c r="T225" s="356"/>
      <c r="U225" s="356"/>
      <c r="V225" s="45"/>
      <c r="W225" s="45"/>
      <c r="X225" s="45"/>
    </row>
    <row r="226" spans="2:40" s="29" customFormat="1" x14ac:dyDescent="0.25">
      <c r="B226" s="45"/>
      <c r="C226" s="45"/>
      <c r="D226" s="45"/>
      <c r="E226" s="45"/>
      <c r="F226" s="45"/>
      <c r="G226" s="45"/>
      <c r="H226" s="45"/>
      <c r="I226" s="45"/>
      <c r="J226" s="45"/>
      <c r="K226" s="382"/>
      <c r="L226" s="382"/>
      <c r="M226" s="45"/>
      <c r="N226" s="45"/>
      <c r="O226" s="45"/>
      <c r="P226" s="45"/>
      <c r="Q226" s="45"/>
      <c r="R226" s="45"/>
      <c r="S226" s="45"/>
      <c r="T226" s="356"/>
      <c r="U226" s="356"/>
      <c r="V226" s="45"/>
      <c r="W226" s="45"/>
      <c r="X226" s="45"/>
    </row>
    <row r="227" spans="2:40" s="29" customFormat="1" x14ac:dyDescent="0.25">
      <c r="B227" s="45"/>
      <c r="C227" s="45"/>
      <c r="D227" s="45"/>
      <c r="E227" s="45"/>
      <c r="F227" s="45"/>
      <c r="G227" s="45"/>
      <c r="H227" s="45"/>
      <c r="I227" s="45"/>
      <c r="J227" s="45"/>
      <c r="K227" s="382"/>
      <c r="L227" s="382"/>
      <c r="M227" s="45"/>
      <c r="N227" s="45"/>
      <c r="O227" s="45"/>
      <c r="P227" s="45"/>
      <c r="Q227" s="45"/>
      <c r="R227" s="45"/>
      <c r="S227" s="45"/>
      <c r="T227" s="356"/>
      <c r="U227" s="356"/>
      <c r="V227" s="45"/>
      <c r="W227" s="45"/>
      <c r="X227" s="45"/>
    </row>
    <row r="228" spans="2:40" s="29" customFormat="1" x14ac:dyDescent="0.25">
      <c r="B228" s="45"/>
      <c r="C228" s="45"/>
      <c r="D228" s="45"/>
      <c r="E228" s="45"/>
      <c r="F228" s="45"/>
      <c r="G228" s="45"/>
      <c r="H228" s="45"/>
      <c r="I228" s="45"/>
      <c r="J228" s="45"/>
      <c r="K228" s="382"/>
      <c r="L228" s="382"/>
      <c r="M228" s="45"/>
      <c r="N228" s="45"/>
      <c r="O228" s="45"/>
      <c r="P228" s="45"/>
      <c r="Q228" s="45"/>
      <c r="R228" s="45"/>
      <c r="S228" s="45"/>
      <c r="T228" s="356"/>
      <c r="U228" s="356"/>
      <c r="V228" s="45"/>
      <c r="W228" s="45"/>
      <c r="X228" s="45"/>
    </row>
    <row r="229" spans="2:40" s="29" customFormat="1" x14ac:dyDescent="0.25">
      <c r="B229" s="45"/>
      <c r="C229" s="45"/>
      <c r="D229" s="45"/>
      <c r="E229" s="45"/>
      <c r="F229" s="45"/>
      <c r="G229" s="45"/>
      <c r="H229" s="45"/>
      <c r="I229" s="45"/>
      <c r="J229" s="45"/>
      <c r="K229" s="382"/>
      <c r="L229" s="382"/>
      <c r="M229" s="45"/>
      <c r="N229" s="45"/>
      <c r="O229" s="45"/>
      <c r="P229" s="45"/>
      <c r="Q229" s="45"/>
      <c r="R229" s="45"/>
      <c r="S229" s="45"/>
      <c r="T229" s="356"/>
      <c r="U229" s="356"/>
      <c r="V229" s="45"/>
      <c r="W229" s="45"/>
      <c r="X229" s="45"/>
    </row>
    <row r="230" spans="2:40" s="29" customFormat="1" ht="20.25" customHeight="1" x14ac:dyDescent="0.25">
      <c r="B230" s="389"/>
      <c r="C230" s="389"/>
      <c r="D230" s="1368"/>
      <c r="E230" s="1368"/>
      <c r="F230" s="1368"/>
      <c r="G230" s="1368"/>
      <c r="H230" s="1368"/>
      <c r="I230" s="1368"/>
      <c r="J230" s="1369"/>
      <c r="K230" s="1370"/>
      <c r="L230" s="1370"/>
      <c r="M230" s="1371"/>
      <c r="N230" s="1371"/>
      <c r="O230" s="1371"/>
      <c r="P230" s="1371"/>
      <c r="Q230" s="1371"/>
      <c r="R230" s="1371"/>
      <c r="S230" s="1371"/>
      <c r="T230" s="1371"/>
      <c r="U230" s="1371"/>
      <c r="V230" s="1371"/>
      <c r="W230" s="1371"/>
      <c r="X230" s="1372"/>
      <c r="Y230" s="196"/>
      <c r="Z230" s="196"/>
      <c r="AA230" s="196"/>
      <c r="AB230" s="196"/>
      <c r="AC230" s="196"/>
      <c r="AD230" s="196"/>
      <c r="AE230" s="196"/>
      <c r="AF230" s="196"/>
      <c r="AG230" s="196"/>
      <c r="AH230" s="196"/>
      <c r="AI230" s="196"/>
      <c r="AJ230" s="196"/>
      <c r="AK230" s="196"/>
      <c r="AL230" s="196"/>
      <c r="AM230" s="196"/>
      <c r="AN230" s="196"/>
    </row>
    <row r="231" spans="2:40" s="29" customFormat="1" x14ac:dyDescent="0.25">
      <c r="B231" s="45"/>
      <c r="C231" s="45"/>
      <c r="D231" s="45"/>
      <c r="E231" s="45"/>
      <c r="F231" s="45"/>
      <c r="G231" s="45"/>
      <c r="H231" s="45"/>
      <c r="I231" s="45"/>
      <c r="J231" s="45"/>
      <c r="K231" s="382"/>
      <c r="L231" s="382"/>
      <c r="M231" s="45"/>
      <c r="N231" s="45"/>
      <c r="O231" s="45"/>
      <c r="P231" s="45"/>
      <c r="Q231" s="45"/>
      <c r="R231" s="45"/>
      <c r="S231" s="45"/>
      <c r="T231" s="356"/>
      <c r="U231" s="356"/>
      <c r="V231" s="45"/>
      <c r="W231" s="45"/>
      <c r="X231" s="45"/>
    </row>
    <row r="232" spans="2:40" s="29" customFormat="1" x14ac:dyDescent="0.25">
      <c r="B232" s="45"/>
      <c r="C232" s="45"/>
      <c r="D232" s="45"/>
      <c r="E232" s="45"/>
      <c r="F232" s="45"/>
      <c r="G232" s="45"/>
      <c r="H232" s="45"/>
      <c r="I232" s="45"/>
      <c r="J232" s="45"/>
      <c r="K232" s="382"/>
      <c r="L232" s="382"/>
      <c r="M232" s="45"/>
      <c r="N232" s="45"/>
      <c r="O232" s="45"/>
      <c r="P232" s="45"/>
      <c r="Q232" s="45"/>
      <c r="R232" s="45"/>
      <c r="S232" s="45"/>
      <c r="T232" s="356"/>
      <c r="U232" s="356"/>
      <c r="V232" s="45"/>
      <c r="W232" s="45"/>
      <c r="X232" s="45"/>
    </row>
    <row r="233" spans="2:40" s="29" customFormat="1" x14ac:dyDescent="0.25">
      <c r="B233" s="45"/>
      <c r="C233" s="45"/>
      <c r="D233" s="45"/>
      <c r="E233" s="45"/>
      <c r="F233" s="45"/>
      <c r="G233" s="45"/>
      <c r="H233" s="45"/>
      <c r="I233" s="45"/>
      <c r="J233" s="45"/>
      <c r="K233" s="382"/>
      <c r="L233" s="382"/>
      <c r="M233" s="45"/>
      <c r="N233" s="45"/>
      <c r="O233" s="45"/>
      <c r="P233" s="45"/>
      <c r="Q233" s="45"/>
      <c r="R233" s="45"/>
      <c r="S233" s="45"/>
      <c r="T233" s="356"/>
      <c r="U233" s="356"/>
      <c r="V233" s="45"/>
      <c r="W233" s="45"/>
      <c r="X233" s="45"/>
    </row>
    <row r="234" spans="2:40" s="29" customFormat="1" x14ac:dyDescent="0.25">
      <c r="B234" s="45"/>
      <c r="C234" s="45"/>
      <c r="D234" s="45"/>
      <c r="E234" s="45"/>
      <c r="F234" s="45"/>
      <c r="G234" s="45"/>
      <c r="H234" s="45"/>
      <c r="I234" s="45"/>
      <c r="J234" s="45"/>
      <c r="K234" s="382"/>
      <c r="L234" s="382"/>
      <c r="M234" s="45"/>
      <c r="N234" s="45"/>
      <c r="O234" s="45"/>
      <c r="P234" s="45"/>
      <c r="Q234" s="45"/>
      <c r="R234" s="45"/>
      <c r="S234" s="45"/>
      <c r="T234" s="356"/>
      <c r="U234" s="356"/>
      <c r="V234" s="45"/>
      <c r="W234" s="45"/>
      <c r="X234" s="45"/>
    </row>
    <row r="235" spans="2:40" s="29" customFormat="1" x14ac:dyDescent="0.25">
      <c r="B235" s="45"/>
      <c r="C235" s="45"/>
      <c r="D235" s="45"/>
      <c r="E235" s="45"/>
      <c r="F235" s="45"/>
      <c r="G235" s="45"/>
      <c r="H235" s="45"/>
      <c r="I235" s="45"/>
      <c r="J235" s="45"/>
      <c r="K235" s="382"/>
      <c r="L235" s="382"/>
      <c r="M235" s="45"/>
      <c r="N235" s="45"/>
      <c r="O235" s="45"/>
      <c r="P235" s="45"/>
      <c r="Q235" s="45"/>
      <c r="R235" s="45"/>
      <c r="S235" s="45"/>
      <c r="T235" s="356"/>
      <c r="U235" s="356"/>
      <c r="V235" s="45"/>
      <c r="W235" s="45"/>
      <c r="X235" s="45"/>
    </row>
    <row r="236" spans="2:40" s="29" customFormat="1" ht="15.75" customHeight="1" x14ac:dyDescent="0.25">
      <c r="B236" s="45"/>
      <c r="C236" s="45"/>
      <c r="D236" s="45"/>
      <c r="E236" s="45"/>
      <c r="F236" s="45"/>
      <c r="G236" s="45"/>
      <c r="H236" s="45"/>
      <c r="I236" s="45"/>
      <c r="J236" s="45"/>
      <c r="K236" s="356"/>
      <c r="L236" s="356"/>
      <c r="M236" s="45"/>
      <c r="N236" s="45"/>
      <c r="O236" s="45"/>
      <c r="P236" s="45"/>
      <c r="Q236" s="45"/>
      <c r="R236" s="45"/>
      <c r="S236" s="45"/>
      <c r="T236" s="356"/>
      <c r="U236" s="356"/>
      <c r="V236" s="45"/>
      <c r="W236" s="45"/>
      <c r="X236" s="45"/>
    </row>
    <row r="237" spans="2:40" s="29" customFormat="1" x14ac:dyDescent="0.25">
      <c r="B237" s="45"/>
      <c r="C237" s="45"/>
      <c r="D237" s="45"/>
      <c r="E237" s="45"/>
      <c r="F237" s="45"/>
      <c r="G237" s="45"/>
      <c r="H237" s="45"/>
      <c r="I237" s="45"/>
      <c r="J237" s="45"/>
      <c r="K237" s="356"/>
      <c r="L237" s="356"/>
      <c r="M237" s="45"/>
      <c r="N237" s="45"/>
      <c r="O237" s="45"/>
      <c r="P237" s="45"/>
      <c r="Q237" s="45"/>
      <c r="R237" s="45"/>
      <c r="S237" s="45"/>
      <c r="T237" s="356"/>
      <c r="U237" s="356"/>
      <c r="V237" s="45"/>
      <c r="W237" s="45"/>
      <c r="X237" s="45"/>
    </row>
    <row r="238" spans="2:40" s="29" customFormat="1" x14ac:dyDescent="0.25">
      <c r="B238" s="45"/>
      <c r="C238" s="45"/>
      <c r="D238" s="45"/>
      <c r="E238" s="45"/>
      <c r="F238" s="45"/>
      <c r="G238" s="45"/>
      <c r="H238" s="45"/>
      <c r="I238" s="45"/>
      <c r="J238" s="45"/>
      <c r="K238" s="356"/>
      <c r="L238" s="356"/>
      <c r="M238" s="45"/>
      <c r="N238" s="45"/>
      <c r="O238" s="45"/>
      <c r="P238" s="45"/>
      <c r="Q238" s="45"/>
      <c r="R238" s="45"/>
      <c r="S238" s="45"/>
      <c r="T238" s="356"/>
      <c r="U238" s="356"/>
      <c r="V238" s="45"/>
      <c r="W238" s="45"/>
      <c r="X238" s="45"/>
    </row>
    <row r="239" spans="2:40" s="29" customFormat="1" x14ac:dyDescent="0.25">
      <c r="B239" s="45"/>
      <c r="C239" s="45"/>
      <c r="D239" s="45"/>
      <c r="E239" s="45"/>
      <c r="F239" s="45"/>
      <c r="G239" s="45"/>
      <c r="H239" s="45"/>
      <c r="I239" s="45"/>
      <c r="J239" s="45"/>
      <c r="K239" s="356"/>
      <c r="L239" s="356"/>
      <c r="M239" s="45"/>
      <c r="N239" s="45"/>
      <c r="O239" s="45"/>
      <c r="P239" s="45"/>
      <c r="Q239" s="45"/>
      <c r="R239" s="45"/>
      <c r="S239" s="45"/>
      <c r="T239" s="356"/>
      <c r="U239" s="356"/>
      <c r="V239" s="45"/>
      <c r="W239" s="45"/>
      <c r="X239" s="45"/>
    </row>
    <row r="240" spans="2:40" s="29" customFormat="1" x14ac:dyDescent="0.25">
      <c r="B240" s="45"/>
      <c r="C240" s="45"/>
      <c r="D240" s="45"/>
      <c r="E240" s="45"/>
      <c r="F240" s="45"/>
      <c r="G240" s="45"/>
      <c r="H240" s="45"/>
      <c r="I240" s="45"/>
      <c r="J240" s="45"/>
      <c r="K240" s="356"/>
      <c r="L240" s="356"/>
      <c r="M240" s="45"/>
      <c r="N240" s="45"/>
      <c r="O240" s="45"/>
      <c r="P240" s="45"/>
      <c r="Q240" s="45"/>
      <c r="R240" s="45"/>
      <c r="S240" s="45"/>
      <c r="T240" s="356"/>
      <c r="U240" s="356"/>
      <c r="V240" s="45"/>
      <c r="W240" s="45"/>
      <c r="X240" s="45"/>
    </row>
    <row r="241" spans="2:40" s="29" customFormat="1" x14ac:dyDescent="0.25">
      <c r="B241" s="45"/>
      <c r="C241" s="45"/>
      <c r="D241" s="45"/>
      <c r="E241" s="45"/>
      <c r="F241" s="45"/>
      <c r="G241" s="45"/>
      <c r="H241" s="45"/>
      <c r="I241" s="45"/>
      <c r="J241" s="45"/>
      <c r="K241" s="356"/>
      <c r="L241" s="356"/>
      <c r="M241" s="45"/>
      <c r="N241" s="45"/>
      <c r="O241" s="45"/>
      <c r="P241" s="45"/>
      <c r="Q241" s="45"/>
      <c r="R241" s="45"/>
      <c r="S241" s="45"/>
      <c r="T241" s="356"/>
      <c r="U241" s="356"/>
      <c r="V241" s="45"/>
      <c r="W241" s="45"/>
      <c r="X241" s="45"/>
    </row>
    <row r="242" spans="2:40" s="29" customFormat="1" x14ac:dyDescent="0.25">
      <c r="B242" s="45"/>
      <c r="C242" s="45"/>
      <c r="D242" s="45"/>
      <c r="E242" s="45"/>
      <c r="F242" s="45"/>
      <c r="G242" s="45"/>
      <c r="H242" s="45"/>
      <c r="I242" s="45"/>
      <c r="J242" s="45"/>
      <c r="K242" s="356"/>
      <c r="L242" s="356"/>
      <c r="M242" s="45"/>
      <c r="N242" s="45"/>
      <c r="O242" s="45"/>
      <c r="P242" s="45"/>
      <c r="Q242" s="45"/>
      <c r="R242" s="45"/>
      <c r="S242" s="45"/>
      <c r="T242" s="356"/>
      <c r="U242" s="356"/>
      <c r="V242" s="45"/>
      <c r="W242" s="45"/>
      <c r="X242" s="45"/>
    </row>
    <row r="243" spans="2:40" s="29" customFormat="1" ht="20.25" customHeight="1" x14ac:dyDescent="0.25">
      <c r="B243" s="389"/>
      <c r="C243" s="389"/>
      <c r="D243" s="1368"/>
      <c r="E243" s="1368"/>
      <c r="F243" s="1368"/>
      <c r="G243" s="1368"/>
      <c r="H243" s="1368"/>
      <c r="I243" s="1368"/>
      <c r="J243" s="1369"/>
      <c r="K243" s="1370"/>
      <c r="L243" s="1370"/>
      <c r="M243" s="1371"/>
      <c r="N243" s="1371"/>
      <c r="O243" s="1371"/>
      <c r="P243" s="1371"/>
      <c r="Q243" s="1371"/>
      <c r="R243" s="1371"/>
      <c r="S243" s="1371"/>
      <c r="T243" s="1371"/>
      <c r="U243" s="1371"/>
      <c r="V243" s="1371"/>
      <c r="W243" s="1371"/>
      <c r="X243" s="1372"/>
      <c r="Y243" s="196"/>
      <c r="Z243" s="196"/>
      <c r="AA243" s="196"/>
      <c r="AB243" s="196"/>
      <c r="AC243" s="196"/>
      <c r="AD243" s="196"/>
      <c r="AE243" s="196"/>
      <c r="AF243" s="196"/>
      <c r="AG243" s="196"/>
      <c r="AH243" s="196"/>
      <c r="AI243" s="196"/>
      <c r="AJ243" s="196"/>
      <c r="AK243" s="196"/>
      <c r="AL243" s="196"/>
      <c r="AM243" s="196"/>
      <c r="AN243" s="196"/>
    </row>
    <row r="244" spans="2:40" s="29" customFormat="1" ht="20.25" customHeight="1" x14ac:dyDescent="0.25">
      <c r="B244" s="389"/>
      <c r="C244" s="389"/>
      <c r="D244" s="1368"/>
      <c r="E244" s="1368"/>
      <c r="F244" s="1368"/>
      <c r="G244" s="1368"/>
      <c r="H244" s="1368"/>
      <c r="I244" s="1368"/>
      <c r="J244" s="1369"/>
      <c r="K244" s="1370"/>
      <c r="L244" s="1370"/>
      <c r="M244" s="1371"/>
      <c r="N244" s="1371"/>
      <c r="O244" s="1371"/>
      <c r="P244" s="1371"/>
      <c r="Q244" s="1371"/>
      <c r="R244" s="1371"/>
      <c r="S244" s="1371"/>
      <c r="T244" s="1371"/>
      <c r="U244" s="1371"/>
      <c r="V244" s="1371"/>
      <c r="W244" s="1371"/>
      <c r="X244" s="1372"/>
      <c r="Y244" s="196"/>
      <c r="Z244" s="196"/>
      <c r="AA244" s="196"/>
      <c r="AB244" s="196"/>
      <c r="AC244" s="196"/>
      <c r="AD244" s="196"/>
      <c r="AE244" s="196"/>
      <c r="AF244" s="196"/>
      <c r="AG244" s="196"/>
      <c r="AH244" s="196"/>
      <c r="AI244" s="196"/>
      <c r="AJ244" s="196"/>
      <c r="AK244" s="196"/>
      <c r="AL244" s="196"/>
      <c r="AM244" s="196"/>
      <c r="AN244" s="196"/>
    </row>
    <row r="245" spans="2:40" s="29" customFormat="1" x14ac:dyDescent="0.25">
      <c r="B245" s="45"/>
      <c r="C245" s="45"/>
      <c r="D245" s="45"/>
      <c r="E245" s="45"/>
      <c r="F245" s="45"/>
      <c r="G245" s="45"/>
      <c r="H245" s="45"/>
      <c r="I245" s="45"/>
      <c r="J245" s="45"/>
      <c r="K245" s="356"/>
      <c r="L245" s="356"/>
      <c r="M245" s="45"/>
      <c r="N245" s="45"/>
      <c r="O245" s="45"/>
      <c r="P245" s="45"/>
      <c r="Q245" s="45"/>
      <c r="R245" s="45"/>
      <c r="S245" s="45"/>
      <c r="T245" s="356"/>
      <c r="U245" s="356"/>
      <c r="V245" s="45"/>
      <c r="W245" s="45"/>
      <c r="X245" s="45"/>
    </row>
    <row r="246" spans="2:40" s="29" customFormat="1" x14ac:dyDescent="0.25">
      <c r="B246" s="45"/>
      <c r="C246" s="45"/>
      <c r="D246" s="45"/>
      <c r="E246" s="45"/>
      <c r="F246" s="45"/>
      <c r="G246" s="45"/>
      <c r="H246" s="45"/>
      <c r="I246" s="45"/>
      <c r="J246" s="45"/>
      <c r="K246" s="356"/>
      <c r="L246" s="356"/>
      <c r="M246" s="45"/>
      <c r="N246" s="45"/>
      <c r="O246" s="45"/>
      <c r="P246" s="45"/>
      <c r="Q246" s="45"/>
      <c r="R246" s="45"/>
      <c r="S246" s="45"/>
      <c r="T246" s="356"/>
      <c r="U246" s="356"/>
      <c r="V246" s="45"/>
      <c r="W246" s="45"/>
      <c r="X246" s="45"/>
    </row>
    <row r="247" spans="2:40" s="29" customFormat="1" ht="20.25" customHeight="1" x14ac:dyDescent="0.25">
      <c r="B247" s="389"/>
      <c r="C247" s="389"/>
      <c r="D247" s="1368"/>
      <c r="E247" s="1368"/>
      <c r="F247" s="1368"/>
      <c r="G247" s="1368"/>
      <c r="H247" s="1368"/>
      <c r="I247" s="1368"/>
      <c r="J247" s="1369"/>
      <c r="K247" s="1370"/>
      <c r="L247" s="1370"/>
      <c r="M247" s="1371"/>
      <c r="N247" s="1371"/>
      <c r="O247" s="1371"/>
      <c r="P247" s="1371"/>
      <c r="Q247" s="1371"/>
      <c r="R247" s="1371"/>
      <c r="S247" s="1371"/>
      <c r="T247" s="1371"/>
      <c r="U247" s="1371"/>
      <c r="V247" s="1371"/>
      <c r="W247" s="1371"/>
      <c r="X247" s="1372"/>
      <c r="Y247" s="196"/>
      <c r="Z247" s="196"/>
      <c r="AA247" s="196"/>
      <c r="AB247" s="196"/>
      <c r="AC247" s="196"/>
      <c r="AD247" s="196"/>
      <c r="AE247" s="196"/>
      <c r="AF247" s="196"/>
      <c r="AG247" s="196"/>
      <c r="AH247" s="196"/>
      <c r="AI247" s="196"/>
      <c r="AJ247" s="196"/>
      <c r="AK247" s="196"/>
      <c r="AL247" s="196"/>
      <c r="AM247" s="196"/>
      <c r="AN247" s="196"/>
    </row>
    <row r="248" spans="2:40" s="29" customFormat="1" x14ac:dyDescent="0.25">
      <c r="B248" s="45"/>
      <c r="C248" s="45"/>
      <c r="D248" s="45"/>
      <c r="E248" s="45"/>
      <c r="F248" s="45"/>
      <c r="G248" s="45"/>
      <c r="H248" s="45"/>
      <c r="I248" s="45"/>
      <c r="J248" s="45"/>
      <c r="K248" s="382"/>
      <c r="L248" s="382"/>
      <c r="M248" s="45"/>
      <c r="N248" s="45"/>
      <c r="O248" s="45"/>
      <c r="P248" s="45"/>
      <c r="Q248" s="45"/>
      <c r="R248" s="45"/>
      <c r="S248" s="45"/>
      <c r="T248" s="356"/>
      <c r="U248" s="356"/>
      <c r="V248" s="45"/>
      <c r="W248" s="45"/>
      <c r="X248" s="45"/>
    </row>
    <row r="249" spans="2:40" s="29" customFormat="1" ht="20.25" customHeight="1" x14ac:dyDescent="0.25">
      <c r="B249" s="389"/>
      <c r="C249" s="389"/>
      <c r="D249" s="390"/>
      <c r="E249" s="390"/>
      <c r="F249" s="390"/>
      <c r="G249" s="390"/>
      <c r="H249" s="390"/>
      <c r="I249" s="390"/>
      <c r="J249" s="391"/>
      <c r="K249" s="392"/>
      <c r="L249" s="392"/>
      <c r="M249" s="393"/>
      <c r="N249" s="393"/>
      <c r="O249" s="393"/>
      <c r="P249" s="393"/>
      <c r="Q249" s="393"/>
      <c r="R249" s="393"/>
      <c r="S249" s="393"/>
      <c r="T249" s="393"/>
      <c r="U249" s="393"/>
      <c r="V249" s="393"/>
      <c r="W249" s="393"/>
      <c r="X249" s="394"/>
      <c r="Y249" s="196"/>
      <c r="Z249" s="196"/>
      <c r="AA249" s="196"/>
      <c r="AB249" s="196"/>
      <c r="AC249" s="196"/>
      <c r="AD249" s="196"/>
      <c r="AE249" s="196"/>
      <c r="AF249" s="196"/>
      <c r="AG249" s="196"/>
      <c r="AH249" s="196"/>
      <c r="AI249" s="196"/>
      <c r="AJ249" s="196"/>
      <c r="AK249" s="196"/>
      <c r="AL249" s="196"/>
      <c r="AM249" s="196"/>
      <c r="AN249" s="196"/>
    </row>
    <row r="250" spans="2:40" s="29" customFormat="1" x14ac:dyDescent="0.25">
      <c r="B250" s="45"/>
      <c r="C250" s="45"/>
      <c r="D250" s="45"/>
      <c r="E250" s="45"/>
      <c r="F250" s="45"/>
      <c r="G250" s="45"/>
      <c r="H250" s="45"/>
      <c r="I250" s="45"/>
      <c r="J250" s="45"/>
      <c r="K250" s="356"/>
      <c r="L250" s="356"/>
      <c r="M250" s="45"/>
      <c r="N250" s="45"/>
      <c r="O250" s="45"/>
      <c r="P250" s="45"/>
      <c r="Q250" s="45"/>
      <c r="R250" s="45"/>
      <c r="S250" s="45"/>
      <c r="T250" s="356"/>
      <c r="U250" s="356"/>
      <c r="V250" s="45"/>
      <c r="W250" s="45"/>
      <c r="X250" s="45"/>
    </row>
    <row r="251" spans="2:40" s="29" customFormat="1" ht="20.25" customHeight="1" x14ac:dyDescent="0.25">
      <c r="B251" s="389"/>
      <c r="C251" s="389"/>
      <c r="D251" s="1368"/>
      <c r="E251" s="1368"/>
      <c r="F251" s="1368"/>
      <c r="G251" s="1368"/>
      <c r="H251" s="1368"/>
      <c r="I251" s="1368"/>
      <c r="J251" s="1369"/>
      <c r="K251" s="1370"/>
      <c r="L251" s="1370"/>
      <c r="M251" s="1371"/>
      <c r="N251" s="1371"/>
      <c r="O251" s="1371"/>
      <c r="P251" s="1371"/>
      <c r="Q251" s="1371"/>
      <c r="R251" s="1371"/>
      <c r="S251" s="1371"/>
      <c r="T251" s="1371"/>
      <c r="U251" s="1371"/>
      <c r="V251" s="1371"/>
      <c r="W251" s="1371"/>
      <c r="X251" s="1372"/>
      <c r="Y251" s="196"/>
      <c r="Z251" s="196"/>
      <c r="AA251" s="196"/>
      <c r="AB251" s="196"/>
      <c r="AC251" s="196"/>
      <c r="AD251" s="196"/>
      <c r="AE251" s="196"/>
      <c r="AF251" s="196"/>
      <c r="AG251" s="196"/>
      <c r="AH251" s="196"/>
      <c r="AI251" s="196"/>
      <c r="AJ251" s="196"/>
      <c r="AK251" s="196"/>
      <c r="AL251" s="196"/>
      <c r="AM251" s="196"/>
      <c r="AN251" s="196"/>
    </row>
    <row r="252" spans="2:40" s="29" customFormat="1" x14ac:dyDescent="0.25">
      <c r="B252" s="45"/>
      <c r="C252" s="45"/>
      <c r="D252" s="45"/>
      <c r="E252" s="45"/>
      <c r="F252" s="45"/>
      <c r="G252" s="45"/>
      <c r="H252" s="45"/>
      <c r="I252" s="45"/>
      <c r="J252" s="45"/>
      <c r="K252" s="166"/>
      <c r="L252" s="166"/>
      <c r="M252" s="45"/>
      <c r="N252" s="45"/>
      <c r="O252" s="45"/>
      <c r="P252" s="45"/>
      <c r="Q252" s="45"/>
      <c r="R252" s="45"/>
      <c r="S252" s="45"/>
      <c r="T252" s="356"/>
      <c r="U252" s="356"/>
      <c r="V252" s="45"/>
      <c r="W252" s="45"/>
      <c r="X252" s="45"/>
    </row>
    <row r="253" spans="2:40" s="29" customFormat="1" x14ac:dyDescent="0.25">
      <c r="B253" s="45"/>
      <c r="C253" s="45"/>
      <c r="D253" s="45"/>
      <c r="E253" s="45"/>
      <c r="F253" s="45"/>
      <c r="G253" s="45"/>
      <c r="H253" s="45"/>
      <c r="I253" s="45"/>
      <c r="J253" s="45"/>
      <c r="K253" s="382"/>
      <c r="L253" s="382"/>
      <c r="M253" s="45"/>
      <c r="N253" s="45"/>
      <c r="O253" s="45"/>
      <c r="P253" s="45"/>
      <c r="Q253" s="45"/>
      <c r="R253" s="45"/>
      <c r="S253" s="45"/>
      <c r="T253" s="356"/>
      <c r="U253" s="356"/>
      <c r="V253" s="45"/>
      <c r="W253" s="45"/>
      <c r="X253" s="45"/>
    </row>
    <row r="254" spans="2:40" s="29" customFormat="1" x14ac:dyDescent="0.25">
      <c r="B254" s="45"/>
      <c r="C254" s="45"/>
      <c r="D254" s="45"/>
      <c r="E254" s="45"/>
      <c r="F254" s="45"/>
      <c r="G254" s="45"/>
      <c r="H254" s="45"/>
      <c r="I254" s="45"/>
      <c r="J254" s="45"/>
      <c r="K254" s="382"/>
      <c r="L254" s="382"/>
      <c r="M254" s="45"/>
      <c r="N254" s="45"/>
      <c r="O254" s="45"/>
      <c r="P254" s="45"/>
      <c r="Q254" s="45"/>
      <c r="R254" s="45"/>
      <c r="S254" s="45"/>
      <c r="T254" s="356"/>
      <c r="U254" s="356"/>
      <c r="V254" s="45"/>
      <c r="W254" s="45"/>
      <c r="X254" s="45"/>
    </row>
    <row r="255" spans="2:40" s="29" customFormat="1" x14ac:dyDescent="0.25">
      <c r="B255" s="45"/>
      <c r="C255" s="45"/>
      <c r="D255" s="45"/>
      <c r="E255" s="45"/>
      <c r="F255" s="45"/>
      <c r="G255" s="45"/>
      <c r="H255" s="45"/>
      <c r="I255" s="45"/>
      <c r="J255" s="45"/>
      <c r="K255" s="382"/>
      <c r="L255" s="382"/>
      <c r="M255" s="45"/>
      <c r="N255" s="45"/>
      <c r="O255" s="45"/>
      <c r="P255" s="45"/>
      <c r="Q255" s="45"/>
      <c r="R255" s="45"/>
      <c r="S255" s="45"/>
      <c r="T255" s="356"/>
      <c r="U255" s="356"/>
      <c r="V255" s="45"/>
      <c r="W255" s="45"/>
      <c r="X255" s="45"/>
    </row>
    <row r="256" spans="2:40" s="29" customFormat="1" x14ac:dyDescent="0.25">
      <c r="B256" s="45"/>
      <c r="C256" s="45"/>
      <c r="D256" s="45"/>
      <c r="E256" s="45"/>
      <c r="F256" s="45"/>
      <c r="G256" s="45"/>
      <c r="H256" s="45"/>
      <c r="I256" s="45"/>
      <c r="J256" s="45"/>
      <c r="K256" s="382"/>
      <c r="L256" s="382"/>
      <c r="M256" s="45"/>
      <c r="N256" s="45"/>
      <c r="O256" s="45"/>
      <c r="P256" s="45"/>
      <c r="Q256" s="45"/>
      <c r="R256" s="45"/>
      <c r="S256" s="45"/>
      <c r="T256" s="356"/>
      <c r="U256" s="356"/>
      <c r="V256" s="45"/>
      <c r="W256" s="45"/>
      <c r="X256" s="45"/>
    </row>
    <row r="257" spans="2:40" s="29" customFormat="1" x14ac:dyDescent="0.25">
      <c r="B257" s="45"/>
      <c r="C257" s="45"/>
      <c r="D257" s="45"/>
      <c r="E257" s="45"/>
      <c r="F257" s="45"/>
      <c r="G257" s="45"/>
      <c r="H257" s="45"/>
      <c r="I257" s="45"/>
      <c r="J257" s="45"/>
      <c r="K257" s="382"/>
      <c r="L257" s="382"/>
      <c r="M257" s="45"/>
      <c r="N257" s="45"/>
      <c r="O257" s="45"/>
      <c r="P257" s="45"/>
      <c r="Q257" s="45"/>
      <c r="R257" s="45"/>
      <c r="S257" s="45"/>
      <c r="T257" s="356"/>
      <c r="U257" s="356"/>
      <c r="V257" s="45"/>
      <c r="W257" s="45"/>
      <c r="X257" s="45"/>
    </row>
    <row r="258" spans="2:40" s="29" customFormat="1" x14ac:dyDescent="0.25">
      <c r="B258" s="45"/>
      <c r="C258" s="45"/>
      <c r="D258" s="45"/>
      <c r="E258" s="45"/>
      <c r="F258" s="45"/>
      <c r="G258" s="45"/>
      <c r="H258" s="45"/>
      <c r="I258" s="45"/>
      <c r="J258" s="45"/>
      <c r="K258" s="382"/>
      <c r="L258" s="382"/>
      <c r="M258" s="45"/>
      <c r="N258" s="45"/>
      <c r="O258" s="45"/>
      <c r="P258" s="45"/>
      <c r="Q258" s="45"/>
      <c r="R258" s="45"/>
      <c r="S258" s="45"/>
      <c r="T258" s="356"/>
      <c r="U258" s="356"/>
      <c r="V258" s="45"/>
      <c r="W258" s="45"/>
      <c r="X258" s="45"/>
    </row>
    <row r="259" spans="2:40" s="29" customFormat="1" x14ac:dyDescent="0.25">
      <c r="B259" s="45"/>
      <c r="C259" s="45"/>
      <c r="D259" s="45"/>
      <c r="E259" s="45"/>
      <c r="F259" s="45"/>
      <c r="G259" s="45"/>
      <c r="H259" s="45"/>
      <c r="I259" s="45"/>
      <c r="J259" s="45"/>
      <c r="K259" s="356"/>
      <c r="L259" s="356"/>
      <c r="M259" s="45"/>
      <c r="N259" s="45"/>
      <c r="O259" s="45"/>
      <c r="P259" s="45"/>
      <c r="Q259" s="45"/>
      <c r="R259" s="45"/>
      <c r="S259" s="45"/>
      <c r="T259" s="356"/>
      <c r="U259" s="356"/>
      <c r="V259" s="45"/>
      <c r="W259" s="45"/>
      <c r="X259" s="45"/>
    </row>
    <row r="260" spans="2:40" s="29" customFormat="1" x14ac:dyDescent="0.25">
      <c r="B260" s="45"/>
      <c r="C260" s="45"/>
      <c r="D260" s="45"/>
      <c r="E260" s="45"/>
      <c r="F260" s="45"/>
      <c r="G260" s="45"/>
      <c r="H260" s="45"/>
      <c r="I260" s="45"/>
      <c r="J260" s="45"/>
      <c r="K260" s="356"/>
      <c r="L260" s="356"/>
      <c r="M260" s="45"/>
      <c r="N260" s="45"/>
      <c r="O260" s="45"/>
      <c r="P260" s="45"/>
      <c r="Q260" s="45"/>
      <c r="R260" s="45"/>
      <c r="S260" s="45"/>
      <c r="T260" s="356"/>
      <c r="U260" s="356"/>
      <c r="V260" s="45"/>
      <c r="W260" s="45"/>
      <c r="X260" s="45"/>
    </row>
    <row r="261" spans="2:40" s="29" customFormat="1" ht="15.75" customHeight="1" x14ac:dyDescent="0.25">
      <c r="B261" s="45"/>
      <c r="C261" s="45"/>
      <c r="D261" s="45"/>
      <c r="E261" s="45"/>
      <c r="F261" s="45"/>
      <c r="G261" s="45"/>
      <c r="H261" s="45"/>
      <c r="I261" s="45"/>
      <c r="J261" s="45"/>
      <c r="K261" s="382"/>
      <c r="L261" s="382"/>
      <c r="M261" s="45"/>
      <c r="N261" s="45"/>
      <c r="O261" s="45"/>
      <c r="P261" s="45"/>
      <c r="Q261" s="45"/>
      <c r="R261" s="45"/>
      <c r="S261" s="45"/>
      <c r="T261" s="356"/>
      <c r="U261" s="356"/>
      <c r="V261" s="45"/>
      <c r="W261" s="45"/>
      <c r="X261" s="45"/>
    </row>
    <row r="262" spans="2:40" s="29" customFormat="1" ht="15.75" customHeight="1" x14ac:dyDescent="0.25">
      <c r="B262" s="45"/>
      <c r="C262" s="45"/>
      <c r="D262" s="45"/>
      <c r="E262" s="45"/>
      <c r="F262" s="45"/>
      <c r="G262" s="45"/>
      <c r="H262" s="45"/>
      <c r="I262" s="45"/>
      <c r="J262" s="45"/>
      <c r="K262" s="382"/>
      <c r="L262" s="382"/>
      <c r="M262" s="45"/>
      <c r="N262" s="45"/>
      <c r="O262" s="45"/>
      <c r="P262" s="45"/>
      <c r="Q262" s="45"/>
      <c r="R262" s="45"/>
      <c r="S262" s="45"/>
      <c r="T262" s="356"/>
      <c r="U262" s="356"/>
      <c r="V262" s="45"/>
      <c r="W262" s="45"/>
      <c r="X262" s="45"/>
    </row>
    <row r="263" spans="2:40" s="29" customFormat="1" ht="15.75" customHeight="1" x14ac:dyDescent="0.25">
      <c r="B263" s="45"/>
      <c r="C263" s="45"/>
      <c r="D263" s="45"/>
      <c r="E263" s="45"/>
      <c r="F263" s="45"/>
      <c r="G263" s="45"/>
      <c r="H263" s="45"/>
      <c r="I263" s="45"/>
      <c r="J263" s="45"/>
      <c r="K263" s="382"/>
      <c r="L263" s="382"/>
      <c r="M263" s="45"/>
      <c r="N263" s="45"/>
      <c r="O263" s="45"/>
      <c r="P263" s="45"/>
      <c r="Q263" s="45"/>
      <c r="R263" s="45"/>
      <c r="S263" s="45"/>
      <c r="T263" s="356"/>
      <c r="U263" s="356"/>
      <c r="V263" s="45"/>
      <c r="W263" s="45"/>
      <c r="X263" s="45"/>
    </row>
    <row r="264" spans="2:40" s="29" customFormat="1" ht="15.75" customHeight="1" x14ac:dyDescent="0.25">
      <c r="B264" s="45"/>
      <c r="C264" s="45"/>
      <c r="D264" s="45"/>
      <c r="E264" s="45"/>
      <c r="F264" s="45"/>
      <c r="G264" s="45"/>
      <c r="H264" s="45"/>
      <c r="I264" s="45"/>
      <c r="J264" s="45"/>
      <c r="K264" s="382"/>
      <c r="L264" s="382"/>
      <c r="M264" s="45"/>
      <c r="N264" s="45"/>
      <c r="O264" s="45"/>
      <c r="P264" s="45"/>
      <c r="Q264" s="45"/>
      <c r="R264" s="45"/>
      <c r="S264" s="45"/>
      <c r="T264" s="356"/>
      <c r="U264" s="356"/>
      <c r="V264" s="45"/>
      <c r="W264" s="45"/>
      <c r="X264" s="45"/>
    </row>
    <row r="265" spans="2:40" s="29" customFormat="1" x14ac:dyDescent="0.25">
      <c r="B265" s="45"/>
      <c r="C265" s="45"/>
      <c r="D265" s="45"/>
      <c r="E265" s="45"/>
      <c r="F265" s="45"/>
      <c r="G265" s="45"/>
      <c r="H265" s="45"/>
      <c r="I265" s="45"/>
      <c r="J265" s="45"/>
      <c r="K265" s="382"/>
      <c r="L265" s="382"/>
      <c r="M265" s="45"/>
      <c r="N265" s="45"/>
      <c r="O265" s="45"/>
      <c r="P265" s="45"/>
      <c r="Q265" s="45"/>
      <c r="R265" s="45"/>
      <c r="S265" s="45"/>
      <c r="T265" s="356"/>
      <c r="U265" s="356"/>
      <c r="V265" s="45"/>
      <c r="W265" s="45"/>
      <c r="X265" s="45"/>
    </row>
    <row r="266" spans="2:40" s="29" customFormat="1" x14ac:dyDescent="0.25">
      <c r="B266" s="45"/>
      <c r="C266" s="45"/>
      <c r="D266" s="45"/>
      <c r="E266" s="45"/>
      <c r="F266" s="45"/>
      <c r="G266" s="45"/>
      <c r="H266" s="45"/>
      <c r="I266" s="45"/>
      <c r="J266" s="45"/>
      <c r="K266" s="382"/>
      <c r="L266" s="382"/>
      <c r="M266" s="45"/>
      <c r="N266" s="45"/>
      <c r="O266" s="45"/>
      <c r="P266" s="45"/>
      <c r="Q266" s="45"/>
      <c r="R266" s="45"/>
      <c r="S266" s="45"/>
      <c r="T266" s="356"/>
      <c r="U266" s="356"/>
      <c r="V266" s="45"/>
      <c r="W266" s="45"/>
      <c r="X266" s="45"/>
    </row>
    <row r="267" spans="2:40" s="29" customFormat="1" x14ac:dyDescent="0.25">
      <c r="B267" s="45"/>
      <c r="C267" s="45"/>
      <c r="D267" s="45"/>
      <c r="E267" s="45"/>
      <c r="F267" s="45"/>
      <c r="G267" s="45"/>
      <c r="H267" s="45"/>
      <c r="I267" s="45"/>
      <c r="J267" s="45"/>
      <c r="K267" s="382"/>
      <c r="L267" s="382"/>
      <c r="M267" s="45"/>
      <c r="N267" s="45"/>
      <c r="O267" s="45"/>
      <c r="P267" s="45"/>
      <c r="Q267" s="45"/>
      <c r="R267" s="45"/>
      <c r="S267" s="45"/>
      <c r="T267" s="356"/>
      <c r="U267" s="356"/>
      <c r="V267" s="45"/>
      <c r="W267" s="45"/>
      <c r="X267" s="45"/>
    </row>
    <row r="268" spans="2:40" s="29" customFormat="1" x14ac:dyDescent="0.25">
      <c r="B268" s="45"/>
      <c r="C268" s="45"/>
      <c r="D268" s="45"/>
      <c r="E268" s="45"/>
      <c r="F268" s="45"/>
      <c r="G268" s="45"/>
      <c r="H268" s="45"/>
      <c r="I268" s="45"/>
      <c r="J268" s="45"/>
      <c r="K268" s="356"/>
      <c r="L268" s="356"/>
      <c r="M268" s="45"/>
      <c r="N268" s="45"/>
      <c r="O268" s="45"/>
      <c r="P268" s="45"/>
      <c r="Q268" s="45"/>
      <c r="R268" s="45"/>
      <c r="S268" s="45"/>
      <c r="T268" s="356"/>
      <c r="U268" s="356"/>
      <c r="V268" s="45"/>
      <c r="W268" s="45"/>
      <c r="X268" s="45"/>
    </row>
    <row r="269" spans="2:40" s="29" customFormat="1" ht="20.25" customHeight="1" x14ac:dyDescent="0.25">
      <c r="B269" s="389"/>
      <c r="C269" s="389"/>
      <c r="D269" s="1368"/>
      <c r="E269" s="1368"/>
      <c r="F269" s="1368"/>
      <c r="G269" s="1368"/>
      <c r="H269" s="1368"/>
      <c r="I269" s="1368"/>
      <c r="J269" s="1369"/>
      <c r="K269" s="1370"/>
      <c r="L269" s="1370"/>
      <c r="M269" s="1371"/>
      <c r="N269" s="1371"/>
      <c r="O269" s="1371"/>
      <c r="P269" s="1371"/>
      <c r="Q269" s="1371"/>
      <c r="R269" s="1371"/>
      <c r="S269" s="1371"/>
      <c r="T269" s="1371"/>
      <c r="U269" s="1371"/>
      <c r="V269" s="1371"/>
      <c r="W269" s="1371"/>
      <c r="X269" s="1372"/>
      <c r="Y269" s="196"/>
      <c r="Z269" s="196"/>
      <c r="AA269" s="196"/>
      <c r="AB269" s="196"/>
      <c r="AC269" s="196"/>
      <c r="AD269" s="196"/>
      <c r="AE269" s="196"/>
      <c r="AF269" s="196"/>
      <c r="AG269" s="196"/>
      <c r="AH269" s="196"/>
      <c r="AI269" s="196"/>
      <c r="AJ269" s="196"/>
      <c r="AK269" s="196"/>
      <c r="AL269" s="196"/>
      <c r="AM269" s="196"/>
      <c r="AN269" s="196"/>
    </row>
    <row r="270" spans="2:40" s="29" customFormat="1" x14ac:dyDescent="0.25">
      <c r="B270" s="45"/>
      <c r="C270" s="45"/>
      <c r="D270" s="45"/>
      <c r="E270" s="45"/>
      <c r="F270" s="45"/>
      <c r="G270" s="45"/>
      <c r="H270" s="45"/>
      <c r="I270" s="45"/>
      <c r="J270" s="45"/>
      <c r="K270" s="382"/>
      <c r="L270" s="382"/>
      <c r="M270" s="45"/>
      <c r="N270" s="45"/>
      <c r="O270" s="45"/>
      <c r="P270" s="45"/>
      <c r="Q270" s="45"/>
      <c r="R270" s="45"/>
      <c r="S270" s="45"/>
      <c r="T270" s="356"/>
      <c r="U270" s="356"/>
      <c r="V270" s="45"/>
      <c r="W270" s="45"/>
      <c r="X270" s="45"/>
    </row>
    <row r="271" spans="2:40" s="29" customFormat="1" x14ac:dyDescent="0.25">
      <c r="B271" s="45"/>
      <c r="C271" s="45"/>
      <c r="D271" s="45"/>
      <c r="E271" s="45"/>
      <c r="F271" s="45"/>
      <c r="G271" s="45"/>
      <c r="H271" s="45"/>
      <c r="I271" s="45"/>
      <c r="J271" s="45"/>
      <c r="K271" s="382"/>
      <c r="L271" s="382"/>
      <c r="M271" s="45"/>
      <c r="N271" s="45"/>
      <c r="O271" s="45"/>
      <c r="P271" s="45"/>
      <c r="Q271" s="45"/>
      <c r="R271" s="45"/>
      <c r="S271" s="45"/>
      <c r="T271" s="356"/>
      <c r="U271" s="356"/>
      <c r="V271" s="45"/>
      <c r="W271" s="45"/>
      <c r="X271" s="45"/>
    </row>
    <row r="272" spans="2:40" s="29" customFormat="1" x14ac:dyDescent="0.25">
      <c r="B272" s="45"/>
      <c r="C272" s="45"/>
      <c r="D272" s="45"/>
      <c r="E272" s="45"/>
      <c r="F272" s="45"/>
      <c r="G272" s="45"/>
      <c r="H272" s="45"/>
      <c r="I272" s="45"/>
      <c r="J272" s="45"/>
      <c r="K272" s="382"/>
      <c r="L272" s="382"/>
      <c r="M272" s="45"/>
      <c r="N272" s="45"/>
      <c r="O272" s="45"/>
      <c r="P272" s="45"/>
      <c r="Q272" s="45"/>
      <c r="R272" s="45"/>
      <c r="S272" s="45"/>
      <c r="T272" s="356"/>
      <c r="U272" s="356"/>
      <c r="V272" s="45"/>
      <c r="W272" s="45"/>
      <c r="X272" s="45"/>
    </row>
    <row r="273" spans="2:40" s="29" customFormat="1" ht="15.75" customHeight="1" x14ac:dyDescent="0.25">
      <c r="B273" s="45"/>
      <c r="C273" s="45"/>
      <c r="D273" s="45"/>
      <c r="E273" s="45"/>
      <c r="F273" s="45"/>
      <c r="G273" s="45"/>
      <c r="H273" s="45"/>
      <c r="I273" s="45"/>
      <c r="J273" s="45"/>
      <c r="K273" s="356"/>
      <c r="L273" s="356"/>
      <c r="M273" s="45"/>
      <c r="N273" s="45"/>
      <c r="O273" s="45"/>
      <c r="P273" s="45"/>
      <c r="Q273" s="45"/>
      <c r="R273" s="45"/>
      <c r="S273" s="45"/>
      <c r="T273" s="356"/>
      <c r="U273" s="356"/>
      <c r="V273" s="45"/>
      <c r="W273" s="45"/>
      <c r="X273" s="45"/>
    </row>
    <row r="274" spans="2:40" s="29" customFormat="1" x14ac:dyDescent="0.25">
      <c r="B274" s="45"/>
      <c r="C274" s="45"/>
      <c r="D274" s="45"/>
      <c r="E274" s="45"/>
      <c r="F274" s="45"/>
      <c r="G274" s="45"/>
      <c r="H274" s="45"/>
      <c r="I274" s="45"/>
      <c r="J274" s="45"/>
      <c r="K274" s="356"/>
      <c r="L274" s="356"/>
      <c r="M274" s="45"/>
      <c r="N274" s="45"/>
      <c r="O274" s="45"/>
      <c r="P274" s="45"/>
      <c r="Q274" s="45"/>
      <c r="R274" s="45"/>
      <c r="S274" s="45"/>
      <c r="T274" s="356"/>
      <c r="U274" s="356"/>
      <c r="V274" s="45"/>
      <c r="W274" s="45"/>
      <c r="X274" s="45"/>
    </row>
    <row r="275" spans="2:40" s="29" customFormat="1" ht="15.75" customHeight="1" x14ac:dyDescent="0.25">
      <c r="B275" s="45"/>
      <c r="C275" s="45"/>
      <c r="D275" s="45"/>
      <c r="E275" s="45"/>
      <c r="F275" s="45"/>
      <c r="G275" s="45"/>
      <c r="H275" s="45"/>
      <c r="I275" s="45"/>
      <c r="J275" s="45"/>
      <c r="K275" s="382"/>
      <c r="L275" s="382"/>
      <c r="M275" s="45"/>
      <c r="N275" s="45"/>
      <c r="O275" s="45"/>
      <c r="P275" s="45"/>
      <c r="Q275" s="45"/>
      <c r="R275" s="45"/>
      <c r="S275" s="45"/>
      <c r="T275" s="356"/>
      <c r="U275" s="356"/>
      <c r="V275" s="45"/>
      <c r="W275" s="45"/>
      <c r="X275" s="45"/>
    </row>
    <row r="276" spans="2:40" s="29" customFormat="1" x14ac:dyDescent="0.25">
      <c r="B276" s="45"/>
      <c r="C276" s="45"/>
      <c r="D276" s="45"/>
      <c r="E276" s="45"/>
      <c r="F276" s="45"/>
      <c r="G276" s="45"/>
      <c r="H276" s="45"/>
      <c r="I276" s="45"/>
      <c r="J276" s="45"/>
      <c r="K276" s="356"/>
      <c r="L276" s="356"/>
      <c r="M276" s="45"/>
      <c r="N276" s="45"/>
      <c r="O276" s="45"/>
      <c r="P276" s="45"/>
      <c r="Q276" s="45"/>
      <c r="R276" s="45"/>
      <c r="S276" s="45"/>
      <c r="T276" s="356"/>
      <c r="U276" s="356"/>
      <c r="V276" s="45"/>
      <c r="W276" s="45"/>
      <c r="X276" s="45"/>
    </row>
    <row r="277" spans="2:40" s="29" customFormat="1" x14ac:dyDescent="0.25">
      <c r="B277" s="45"/>
      <c r="C277" s="45"/>
      <c r="D277" s="45"/>
      <c r="E277" s="45"/>
      <c r="F277" s="45"/>
      <c r="G277" s="45"/>
      <c r="H277" s="45"/>
      <c r="I277" s="45"/>
      <c r="J277" s="45"/>
      <c r="K277" s="356"/>
      <c r="L277" s="356"/>
      <c r="M277" s="45"/>
      <c r="N277" s="45"/>
      <c r="O277" s="45"/>
      <c r="P277" s="45"/>
      <c r="Q277" s="45"/>
      <c r="R277" s="45"/>
      <c r="S277" s="45"/>
      <c r="T277" s="356"/>
      <c r="U277" s="356"/>
      <c r="V277" s="45"/>
      <c r="W277" s="45"/>
      <c r="X277" s="45"/>
    </row>
    <row r="278" spans="2:40" s="29" customFormat="1" ht="20.25" customHeight="1" x14ac:dyDescent="0.25">
      <c r="B278" s="389"/>
      <c r="C278" s="389"/>
      <c r="D278" s="1368"/>
      <c r="E278" s="1368"/>
      <c r="F278" s="1368"/>
      <c r="G278" s="1368"/>
      <c r="H278" s="1368"/>
      <c r="I278" s="1368"/>
      <c r="J278" s="1369"/>
      <c r="K278" s="1370"/>
      <c r="L278" s="1370"/>
      <c r="M278" s="1371"/>
      <c r="N278" s="1371"/>
      <c r="O278" s="1371"/>
      <c r="P278" s="1371"/>
      <c r="Q278" s="1371"/>
      <c r="R278" s="1371"/>
      <c r="S278" s="1371"/>
      <c r="T278" s="1371"/>
      <c r="U278" s="1371"/>
      <c r="V278" s="1371"/>
      <c r="W278" s="1371"/>
      <c r="X278" s="1372"/>
      <c r="Y278" s="196"/>
      <c r="Z278" s="196"/>
      <c r="AA278" s="196"/>
      <c r="AB278" s="196"/>
      <c r="AC278" s="196"/>
      <c r="AD278" s="196"/>
      <c r="AE278" s="196"/>
      <c r="AF278" s="196"/>
      <c r="AG278" s="196"/>
      <c r="AH278" s="196"/>
      <c r="AI278" s="196"/>
      <c r="AJ278" s="196"/>
      <c r="AK278" s="196"/>
      <c r="AL278" s="196"/>
      <c r="AM278" s="196"/>
      <c r="AN278" s="196"/>
    </row>
    <row r="279" spans="2:40" s="29" customFormat="1" x14ac:dyDescent="0.25">
      <c r="B279" s="45"/>
      <c r="C279" s="45"/>
      <c r="D279" s="45"/>
      <c r="E279" s="45"/>
      <c r="F279" s="45"/>
      <c r="G279" s="45"/>
      <c r="H279" s="45"/>
      <c r="I279" s="45"/>
      <c r="J279" s="45"/>
      <c r="K279" s="382"/>
      <c r="L279" s="382"/>
      <c r="M279" s="45"/>
      <c r="N279" s="45"/>
      <c r="O279" s="45"/>
      <c r="P279" s="45"/>
      <c r="Q279" s="45"/>
      <c r="R279" s="45"/>
      <c r="S279" s="45"/>
      <c r="T279" s="356"/>
      <c r="U279" s="356"/>
      <c r="V279" s="45"/>
      <c r="W279" s="45"/>
      <c r="X279" s="45"/>
    </row>
    <row r="280" spans="2:40" s="29" customFormat="1" x14ac:dyDescent="0.25">
      <c r="B280" s="45"/>
      <c r="C280" s="45"/>
      <c r="D280" s="45"/>
      <c r="E280" s="45"/>
      <c r="F280" s="45"/>
      <c r="G280" s="45"/>
      <c r="H280" s="45"/>
      <c r="I280" s="45"/>
      <c r="J280" s="45"/>
      <c r="K280" s="382"/>
      <c r="L280" s="382"/>
      <c r="M280" s="45"/>
      <c r="N280" s="45"/>
      <c r="O280" s="45"/>
      <c r="P280" s="45"/>
      <c r="Q280" s="45"/>
      <c r="R280" s="45"/>
      <c r="S280" s="45"/>
      <c r="T280" s="356"/>
      <c r="U280" s="356"/>
      <c r="V280" s="45"/>
      <c r="W280" s="45"/>
      <c r="X280" s="45"/>
    </row>
    <row r="281" spans="2:40" s="29" customFormat="1" ht="20.25" customHeight="1" x14ac:dyDescent="0.25">
      <c r="B281" s="389"/>
      <c r="C281" s="389"/>
      <c r="D281" s="1368"/>
      <c r="E281" s="1368"/>
      <c r="F281" s="1368"/>
      <c r="G281" s="1368"/>
      <c r="H281" s="1368"/>
      <c r="I281" s="1368"/>
      <c r="J281" s="1369"/>
      <c r="K281" s="1370"/>
      <c r="L281" s="1370"/>
      <c r="M281" s="1371"/>
      <c r="N281" s="1371"/>
      <c r="O281" s="1371"/>
      <c r="P281" s="1371"/>
      <c r="Q281" s="1371"/>
      <c r="R281" s="1371"/>
      <c r="S281" s="1371"/>
      <c r="T281" s="1371"/>
      <c r="U281" s="1371"/>
      <c r="V281" s="1371"/>
      <c r="W281" s="1371"/>
      <c r="X281" s="1372"/>
      <c r="Y281" s="196"/>
      <c r="Z281" s="196"/>
      <c r="AA281" s="196"/>
      <c r="AB281" s="196"/>
      <c r="AC281" s="196"/>
      <c r="AD281" s="196"/>
      <c r="AE281" s="196"/>
      <c r="AF281" s="196"/>
      <c r="AG281" s="196"/>
      <c r="AH281" s="196"/>
      <c r="AI281" s="196"/>
      <c r="AJ281" s="196"/>
      <c r="AK281" s="196"/>
      <c r="AL281" s="196"/>
      <c r="AM281" s="196"/>
      <c r="AN281" s="196"/>
    </row>
    <row r="282" spans="2:40" s="29" customFormat="1" ht="15.75" customHeight="1" x14ac:dyDescent="0.25">
      <c r="B282" s="45"/>
      <c r="C282" s="45"/>
      <c r="D282" s="45"/>
      <c r="E282" s="45"/>
      <c r="F282" s="45"/>
      <c r="G282" s="45"/>
      <c r="H282" s="45"/>
      <c r="I282" s="45"/>
      <c r="J282" s="45"/>
      <c r="K282" s="382"/>
      <c r="L282" s="382"/>
      <c r="M282" s="45"/>
      <c r="N282" s="45"/>
      <c r="O282" s="45"/>
      <c r="P282" s="45"/>
      <c r="Q282" s="45"/>
      <c r="R282" s="45"/>
      <c r="S282" s="45"/>
      <c r="T282" s="356"/>
      <c r="U282" s="356"/>
      <c r="V282" s="45"/>
      <c r="W282" s="45"/>
      <c r="X282" s="45"/>
    </row>
    <row r="283" spans="2:40" s="29" customFormat="1" ht="15.75" customHeight="1" x14ac:dyDescent="0.25">
      <c r="B283" s="45"/>
      <c r="C283" s="45"/>
      <c r="D283" s="45"/>
      <c r="E283" s="45"/>
      <c r="F283" s="45"/>
      <c r="G283" s="45"/>
      <c r="H283" s="45"/>
      <c r="I283" s="45"/>
      <c r="J283" s="45"/>
      <c r="K283" s="356"/>
      <c r="L283" s="356"/>
      <c r="M283" s="45"/>
      <c r="N283" s="45"/>
      <c r="O283" s="45"/>
      <c r="P283" s="45"/>
      <c r="Q283" s="45"/>
      <c r="R283" s="45"/>
      <c r="S283" s="45"/>
      <c r="T283" s="356"/>
      <c r="U283" s="356"/>
      <c r="V283" s="45"/>
      <c r="W283" s="45"/>
      <c r="X283" s="45"/>
    </row>
    <row r="284" spans="2:40" s="29" customFormat="1" ht="20.25" customHeight="1" x14ac:dyDescent="0.25">
      <c r="B284" s="389"/>
      <c r="C284" s="389"/>
      <c r="D284" s="390"/>
      <c r="E284" s="390"/>
      <c r="F284" s="390"/>
      <c r="G284" s="390"/>
      <c r="H284" s="390"/>
      <c r="I284" s="390"/>
      <c r="J284" s="391"/>
      <c r="K284" s="392"/>
      <c r="L284" s="392"/>
      <c r="M284" s="393"/>
      <c r="N284" s="393"/>
      <c r="O284" s="393"/>
      <c r="P284" s="393"/>
      <c r="Q284" s="393"/>
      <c r="R284" s="393"/>
      <c r="S284" s="393"/>
      <c r="T284" s="393"/>
      <c r="U284" s="393"/>
      <c r="V284" s="393"/>
      <c r="W284" s="393"/>
      <c r="X284" s="394"/>
      <c r="Y284" s="196"/>
      <c r="Z284" s="196"/>
      <c r="AA284" s="196"/>
      <c r="AB284" s="196"/>
      <c r="AC284" s="196"/>
      <c r="AD284" s="196"/>
      <c r="AE284" s="196"/>
      <c r="AF284" s="196"/>
      <c r="AG284" s="196"/>
      <c r="AH284" s="196"/>
      <c r="AI284" s="196"/>
      <c r="AJ284" s="196"/>
      <c r="AK284" s="196"/>
      <c r="AL284" s="196"/>
      <c r="AM284" s="196"/>
      <c r="AN284" s="196"/>
    </row>
    <row r="285" spans="2:40" s="29" customFormat="1" ht="15.75" customHeight="1" x14ac:dyDescent="0.25">
      <c r="B285" s="45"/>
      <c r="C285" s="45"/>
      <c r="D285" s="45"/>
      <c r="E285" s="45"/>
      <c r="F285" s="45"/>
      <c r="G285" s="45"/>
      <c r="H285" s="45"/>
      <c r="I285" s="45"/>
      <c r="J285" s="45"/>
      <c r="K285" s="356"/>
      <c r="L285" s="356"/>
      <c r="M285" s="45"/>
      <c r="N285" s="45"/>
      <c r="O285" s="45"/>
      <c r="P285" s="45"/>
      <c r="Q285" s="45"/>
      <c r="R285" s="45"/>
      <c r="S285" s="45"/>
      <c r="T285" s="356"/>
      <c r="U285" s="356"/>
      <c r="V285" s="45"/>
      <c r="W285" s="45"/>
      <c r="X285" s="45"/>
    </row>
    <row r="286" spans="2:40" s="29" customFormat="1" ht="15.75" customHeight="1" x14ac:dyDescent="0.25">
      <c r="B286" s="45"/>
      <c r="C286" s="45"/>
      <c r="D286" s="45"/>
      <c r="E286" s="45"/>
      <c r="F286" s="45"/>
      <c r="G286" s="45"/>
      <c r="H286" s="45"/>
      <c r="I286" s="45"/>
      <c r="J286" s="45"/>
      <c r="K286" s="356"/>
      <c r="L286" s="356"/>
      <c r="M286" s="45"/>
      <c r="N286" s="45"/>
      <c r="O286" s="45"/>
      <c r="P286" s="45"/>
      <c r="Q286" s="45"/>
      <c r="R286" s="45"/>
      <c r="S286" s="45"/>
      <c r="T286" s="356"/>
      <c r="U286" s="356"/>
      <c r="V286" s="45"/>
      <c r="W286" s="45"/>
      <c r="X286" s="45"/>
    </row>
    <row r="287" spans="2:40" s="29" customFormat="1" ht="15.75" customHeight="1" x14ac:dyDescent="0.25">
      <c r="B287" s="45"/>
      <c r="C287" s="45"/>
      <c r="D287" s="45"/>
      <c r="E287" s="45"/>
      <c r="F287" s="45"/>
      <c r="G287" s="45"/>
      <c r="H287" s="45"/>
      <c r="I287" s="45"/>
      <c r="J287" s="45"/>
      <c r="K287" s="356"/>
      <c r="L287" s="356"/>
      <c r="M287" s="45"/>
      <c r="N287" s="45"/>
      <c r="O287" s="45"/>
      <c r="P287" s="45"/>
      <c r="Q287" s="45"/>
      <c r="R287" s="45"/>
      <c r="S287" s="45"/>
      <c r="T287" s="356"/>
      <c r="U287" s="356"/>
      <c r="V287" s="45"/>
      <c r="W287" s="45"/>
      <c r="X287" s="45"/>
    </row>
    <row r="288" spans="2:40" s="29" customFormat="1" ht="20.25" customHeight="1" x14ac:dyDescent="0.25">
      <c r="B288" s="389"/>
      <c r="C288" s="389"/>
      <c r="D288" s="1368"/>
      <c r="E288" s="1368"/>
      <c r="F288" s="1368"/>
      <c r="G288" s="1368"/>
      <c r="H288" s="1368"/>
      <c r="I288" s="1368"/>
      <c r="J288" s="1369"/>
      <c r="K288" s="1370"/>
      <c r="L288" s="1370"/>
      <c r="M288" s="1371"/>
      <c r="N288" s="1371"/>
      <c r="O288" s="1371"/>
      <c r="P288" s="1371"/>
      <c r="Q288" s="1371"/>
      <c r="R288" s="1371"/>
      <c r="S288" s="1371"/>
      <c r="T288" s="1371"/>
      <c r="U288" s="1371"/>
      <c r="V288" s="1371"/>
      <c r="W288" s="1371"/>
      <c r="X288" s="1372"/>
      <c r="Y288" s="196"/>
      <c r="Z288" s="196"/>
      <c r="AA288" s="196"/>
      <c r="AB288" s="196"/>
      <c r="AC288" s="196"/>
      <c r="AD288" s="196"/>
      <c r="AE288" s="196"/>
      <c r="AF288" s="196"/>
      <c r="AG288" s="196"/>
      <c r="AH288" s="196"/>
      <c r="AI288" s="196"/>
      <c r="AJ288" s="196"/>
      <c r="AK288" s="196"/>
      <c r="AL288" s="196"/>
      <c r="AM288" s="196"/>
      <c r="AN288" s="196"/>
    </row>
    <row r="289" spans="2:40" s="29" customFormat="1" x14ac:dyDescent="0.25">
      <c r="B289" s="45"/>
      <c r="C289" s="45"/>
      <c r="D289" s="45"/>
      <c r="E289" s="45"/>
      <c r="F289" s="45"/>
      <c r="G289" s="45"/>
      <c r="H289" s="45"/>
      <c r="I289" s="45"/>
      <c r="J289" s="45"/>
      <c r="K289" s="356"/>
      <c r="L289" s="356"/>
      <c r="M289" s="45"/>
      <c r="N289" s="45"/>
      <c r="O289" s="45"/>
      <c r="P289" s="45"/>
      <c r="Q289" s="45"/>
      <c r="R289" s="45"/>
      <c r="S289" s="45"/>
      <c r="T289" s="356"/>
      <c r="U289" s="356"/>
      <c r="V289" s="45"/>
      <c r="W289" s="45"/>
      <c r="X289" s="45"/>
    </row>
    <row r="290" spans="2:40" s="29" customFormat="1" x14ac:dyDescent="0.25">
      <c r="B290" s="45"/>
      <c r="C290" s="45"/>
      <c r="D290" s="45"/>
      <c r="E290" s="45"/>
      <c r="F290" s="45"/>
      <c r="G290" s="45"/>
      <c r="H290" s="45"/>
      <c r="I290" s="45"/>
      <c r="J290" s="45"/>
      <c r="K290" s="356"/>
      <c r="L290" s="356"/>
      <c r="M290" s="45"/>
      <c r="N290" s="45"/>
      <c r="O290" s="45"/>
      <c r="P290" s="45"/>
      <c r="Q290" s="45"/>
      <c r="R290" s="45"/>
      <c r="S290" s="45"/>
      <c r="T290" s="356"/>
      <c r="U290" s="356"/>
      <c r="V290" s="45"/>
      <c r="W290" s="45"/>
      <c r="X290" s="45"/>
    </row>
    <row r="291" spans="2:40" s="29" customFormat="1" ht="20.25" customHeight="1" x14ac:dyDescent="0.25">
      <c r="B291" s="389"/>
      <c r="C291" s="389"/>
      <c r="D291" s="1368"/>
      <c r="E291" s="1368"/>
      <c r="F291" s="1368"/>
      <c r="G291" s="1368"/>
      <c r="H291" s="1368"/>
      <c r="I291" s="1368"/>
      <c r="J291" s="1369"/>
      <c r="K291" s="1370"/>
      <c r="L291" s="1370"/>
      <c r="M291" s="1371"/>
      <c r="N291" s="1371"/>
      <c r="O291" s="1371"/>
      <c r="P291" s="1371"/>
      <c r="Q291" s="1371"/>
      <c r="R291" s="1371"/>
      <c r="S291" s="1371"/>
      <c r="T291" s="1371"/>
      <c r="U291" s="1371"/>
      <c r="V291" s="1371"/>
      <c r="W291" s="1371"/>
      <c r="X291" s="1372"/>
      <c r="Y291" s="196"/>
      <c r="Z291" s="196"/>
      <c r="AA291" s="196"/>
      <c r="AB291" s="196"/>
      <c r="AC291" s="196"/>
      <c r="AD291" s="196"/>
      <c r="AE291" s="196"/>
      <c r="AF291" s="196"/>
      <c r="AG291" s="196"/>
      <c r="AH291" s="196"/>
      <c r="AI291" s="196"/>
      <c r="AJ291" s="196"/>
      <c r="AK291" s="196"/>
      <c r="AL291" s="196"/>
      <c r="AM291" s="196"/>
      <c r="AN291" s="196"/>
    </row>
    <row r="292" spans="2:40" s="29" customFormat="1" x14ac:dyDescent="0.25">
      <c r="B292" s="45"/>
      <c r="C292" s="45"/>
      <c r="D292" s="45"/>
      <c r="E292" s="45"/>
      <c r="F292" s="45"/>
      <c r="G292" s="45"/>
      <c r="H292" s="45"/>
      <c r="I292" s="45"/>
      <c r="J292" s="45"/>
      <c r="K292" s="382"/>
      <c r="L292" s="382"/>
      <c r="M292" s="45"/>
      <c r="N292" s="45"/>
      <c r="O292" s="45"/>
      <c r="P292" s="45"/>
      <c r="Q292" s="45"/>
      <c r="R292" s="45"/>
      <c r="S292" s="45"/>
      <c r="T292" s="356"/>
      <c r="U292" s="356"/>
      <c r="V292" s="45"/>
      <c r="W292" s="45"/>
      <c r="X292" s="45"/>
    </row>
    <row r="293" spans="2:40" s="29" customFormat="1" ht="15.75" customHeight="1" x14ac:dyDescent="0.25">
      <c r="B293" s="45"/>
      <c r="C293" s="45"/>
      <c r="D293" s="45"/>
      <c r="E293" s="45"/>
      <c r="F293" s="45"/>
      <c r="G293" s="45"/>
      <c r="H293" s="45"/>
      <c r="I293" s="45"/>
      <c r="J293" s="45"/>
      <c r="K293" s="382"/>
      <c r="L293" s="382"/>
      <c r="M293" s="45"/>
      <c r="N293" s="45"/>
      <c r="O293" s="45"/>
      <c r="P293" s="45"/>
      <c r="Q293" s="45"/>
      <c r="R293" s="45"/>
      <c r="S293" s="45"/>
      <c r="T293" s="356"/>
      <c r="U293" s="356"/>
      <c r="V293" s="45"/>
      <c r="W293" s="45"/>
      <c r="X293" s="45"/>
    </row>
    <row r="294" spans="2:40" s="29" customFormat="1" ht="15.75" customHeight="1" x14ac:dyDescent="0.25">
      <c r="B294" s="45"/>
      <c r="C294" s="45"/>
      <c r="D294" s="45"/>
      <c r="E294" s="45"/>
      <c r="F294" s="45"/>
      <c r="G294" s="45"/>
      <c r="H294" s="45"/>
      <c r="I294" s="45"/>
      <c r="J294" s="45"/>
      <c r="K294" s="382"/>
      <c r="L294" s="382"/>
      <c r="M294" s="45"/>
      <c r="N294" s="45"/>
      <c r="O294" s="45"/>
      <c r="P294" s="45"/>
      <c r="Q294" s="45"/>
      <c r="R294" s="45"/>
      <c r="S294" s="45"/>
      <c r="T294" s="356"/>
      <c r="U294" s="356"/>
      <c r="V294" s="45"/>
      <c r="W294" s="45"/>
      <c r="X294" s="45"/>
    </row>
    <row r="295" spans="2:40" s="29" customFormat="1" ht="15.75" customHeight="1" x14ac:dyDescent="0.25">
      <c r="B295" s="45"/>
      <c r="C295" s="45"/>
      <c r="D295" s="45"/>
      <c r="E295" s="45"/>
      <c r="F295" s="45"/>
      <c r="G295" s="45"/>
      <c r="H295" s="45"/>
      <c r="I295" s="45"/>
      <c r="J295" s="45"/>
      <c r="K295" s="382"/>
      <c r="L295" s="382"/>
      <c r="M295" s="45"/>
      <c r="N295" s="45"/>
      <c r="O295" s="45"/>
      <c r="P295" s="45"/>
      <c r="Q295" s="45"/>
      <c r="R295" s="45"/>
      <c r="S295" s="45"/>
      <c r="T295" s="356"/>
      <c r="U295" s="356"/>
      <c r="V295" s="45"/>
      <c r="W295" s="45"/>
      <c r="X295" s="45"/>
    </row>
    <row r="296" spans="2:40" s="29" customFormat="1" ht="15.75" customHeight="1" x14ac:dyDescent="0.25">
      <c r="B296" s="45"/>
      <c r="C296" s="45"/>
      <c r="D296" s="45"/>
      <c r="E296" s="45"/>
      <c r="F296" s="45"/>
      <c r="G296" s="45"/>
      <c r="H296" s="45"/>
      <c r="I296" s="45"/>
      <c r="J296" s="45"/>
      <c r="K296" s="382"/>
      <c r="L296" s="382"/>
      <c r="M296" s="45"/>
      <c r="N296" s="45"/>
      <c r="O296" s="45"/>
      <c r="P296" s="45"/>
      <c r="Q296" s="45"/>
      <c r="R296" s="45"/>
      <c r="S296" s="45"/>
      <c r="T296" s="356"/>
      <c r="U296" s="356"/>
      <c r="V296" s="45"/>
      <c r="W296" s="45"/>
      <c r="X296" s="45"/>
    </row>
    <row r="297" spans="2:40" s="29" customFormat="1" ht="15.75" customHeight="1" x14ac:dyDescent="0.25">
      <c r="B297" s="45"/>
      <c r="C297" s="45"/>
      <c r="D297" s="45"/>
      <c r="E297" s="45"/>
      <c r="F297" s="45"/>
      <c r="G297" s="45"/>
      <c r="H297" s="45"/>
      <c r="I297" s="45"/>
      <c r="J297" s="45"/>
      <c r="K297" s="356"/>
      <c r="L297" s="356"/>
      <c r="M297" s="45"/>
      <c r="N297" s="45"/>
      <c r="O297" s="45"/>
      <c r="P297" s="45"/>
      <c r="Q297" s="45"/>
      <c r="R297" s="45"/>
      <c r="S297" s="45"/>
      <c r="T297" s="356"/>
      <c r="U297" s="356"/>
      <c r="V297" s="45"/>
      <c r="W297" s="45"/>
      <c r="X297" s="45"/>
    </row>
    <row r="298" spans="2:40" s="29" customFormat="1" x14ac:dyDescent="0.25">
      <c r="B298" s="45"/>
      <c r="C298" s="45"/>
      <c r="D298" s="45"/>
      <c r="E298" s="45"/>
      <c r="F298" s="45"/>
      <c r="G298" s="45"/>
      <c r="H298" s="45"/>
      <c r="I298" s="45"/>
      <c r="J298" s="45"/>
      <c r="K298" s="382"/>
      <c r="L298" s="382"/>
      <c r="M298" s="45"/>
      <c r="N298" s="45"/>
      <c r="O298" s="45"/>
      <c r="P298" s="45"/>
      <c r="Q298" s="45"/>
      <c r="R298" s="45"/>
      <c r="S298" s="45"/>
      <c r="T298" s="356"/>
      <c r="U298" s="356"/>
      <c r="V298" s="45"/>
      <c r="W298" s="45"/>
      <c r="X298" s="45"/>
    </row>
    <row r="299" spans="2:40" s="29" customFormat="1" x14ac:dyDescent="0.25">
      <c r="B299" s="45"/>
      <c r="C299" s="45"/>
      <c r="D299" s="45"/>
      <c r="E299" s="45"/>
      <c r="F299" s="45"/>
      <c r="G299" s="45"/>
      <c r="H299" s="45"/>
      <c r="I299" s="45"/>
      <c r="J299" s="45"/>
      <c r="K299" s="382"/>
      <c r="L299" s="382"/>
      <c r="M299" s="45"/>
      <c r="N299" s="45"/>
      <c r="O299" s="45"/>
      <c r="P299" s="45"/>
      <c r="Q299" s="45"/>
      <c r="R299" s="45"/>
      <c r="S299" s="45"/>
      <c r="T299" s="356"/>
      <c r="U299" s="356"/>
      <c r="V299" s="45"/>
      <c r="W299" s="45"/>
      <c r="X299" s="45"/>
    </row>
    <row r="300" spans="2:40" s="29" customFormat="1" x14ac:dyDescent="0.25">
      <c r="B300" s="45"/>
      <c r="C300" s="45"/>
      <c r="D300" s="45"/>
      <c r="E300" s="45"/>
      <c r="F300" s="45"/>
      <c r="G300" s="45"/>
      <c r="H300" s="45"/>
      <c r="I300" s="45"/>
      <c r="J300" s="45"/>
      <c r="K300" s="382"/>
      <c r="L300" s="382"/>
      <c r="M300" s="45"/>
      <c r="N300" s="45"/>
      <c r="O300" s="45"/>
      <c r="P300" s="45"/>
      <c r="Q300" s="45"/>
      <c r="R300" s="45"/>
      <c r="S300" s="45"/>
      <c r="T300" s="356"/>
      <c r="U300" s="356"/>
      <c r="V300" s="45"/>
      <c r="W300" s="45"/>
      <c r="X300" s="45"/>
    </row>
    <row r="301" spans="2:40" s="29" customFormat="1" ht="15.75" customHeight="1" x14ac:dyDescent="0.25">
      <c r="B301" s="45"/>
      <c r="C301" s="45"/>
      <c r="D301" s="45"/>
      <c r="E301" s="45"/>
      <c r="F301" s="45"/>
      <c r="G301" s="45"/>
      <c r="H301" s="45"/>
      <c r="I301" s="45"/>
      <c r="J301" s="45"/>
      <c r="K301" s="356"/>
      <c r="L301" s="356"/>
      <c r="M301" s="45"/>
      <c r="N301" s="45"/>
      <c r="O301" s="45"/>
      <c r="P301" s="45"/>
      <c r="Q301" s="45"/>
      <c r="R301" s="45"/>
      <c r="S301" s="45"/>
      <c r="T301" s="356"/>
      <c r="U301" s="356"/>
      <c r="V301" s="45"/>
      <c r="W301" s="45"/>
      <c r="X301" s="45"/>
    </row>
    <row r="302" spans="2:40" s="29" customFormat="1" x14ac:dyDescent="0.25">
      <c r="B302" s="45"/>
      <c r="C302" s="45"/>
      <c r="D302" s="45"/>
      <c r="E302" s="45"/>
      <c r="F302" s="45"/>
      <c r="G302" s="45"/>
      <c r="H302" s="45"/>
      <c r="I302" s="45"/>
      <c r="J302" s="45"/>
      <c r="K302" s="382"/>
      <c r="L302" s="382"/>
      <c r="M302" s="45"/>
      <c r="N302" s="45"/>
      <c r="O302" s="45"/>
      <c r="P302" s="45"/>
      <c r="Q302" s="45"/>
      <c r="R302" s="45"/>
      <c r="S302" s="45"/>
      <c r="T302" s="356"/>
      <c r="U302" s="356"/>
      <c r="V302" s="45"/>
      <c r="W302" s="45"/>
      <c r="X302" s="45"/>
    </row>
    <row r="303" spans="2:40" s="29" customFormat="1" x14ac:dyDescent="0.25">
      <c r="B303" s="45"/>
      <c r="C303" s="45"/>
      <c r="D303" s="45"/>
      <c r="E303" s="45"/>
      <c r="F303" s="45"/>
      <c r="G303" s="45"/>
      <c r="H303" s="45"/>
      <c r="I303" s="45"/>
      <c r="J303" s="45"/>
      <c r="K303" s="356"/>
      <c r="L303" s="356"/>
      <c r="M303" s="45"/>
      <c r="N303" s="45"/>
      <c r="O303" s="45"/>
      <c r="P303" s="45"/>
      <c r="Q303" s="45"/>
      <c r="R303" s="45"/>
      <c r="S303" s="45"/>
      <c r="T303" s="356"/>
      <c r="U303" s="356"/>
      <c r="V303" s="45"/>
      <c r="W303" s="45"/>
      <c r="X303" s="45"/>
    </row>
    <row r="304" spans="2:40" s="29" customFormat="1" ht="15.75" customHeight="1" x14ac:dyDescent="0.25">
      <c r="B304" s="45"/>
      <c r="C304" s="45"/>
      <c r="D304" s="45"/>
      <c r="E304" s="45"/>
      <c r="F304" s="45"/>
      <c r="G304" s="45"/>
      <c r="H304" s="45"/>
      <c r="I304" s="45"/>
      <c r="J304" s="45"/>
      <c r="K304" s="382"/>
      <c r="L304" s="382"/>
      <c r="M304" s="45"/>
      <c r="N304" s="45"/>
      <c r="O304" s="45"/>
      <c r="P304" s="45"/>
      <c r="Q304" s="45"/>
      <c r="R304" s="45"/>
      <c r="S304" s="45"/>
      <c r="T304" s="356"/>
      <c r="U304" s="356"/>
      <c r="V304" s="45"/>
      <c r="W304" s="45"/>
      <c r="X304" s="45"/>
    </row>
    <row r="305" spans="2:40" s="29" customFormat="1" ht="15.75" customHeight="1" x14ac:dyDescent="0.25">
      <c r="B305" s="45"/>
      <c r="C305" s="45"/>
      <c r="D305" s="45"/>
      <c r="E305" s="45"/>
      <c r="F305" s="45"/>
      <c r="G305" s="45"/>
      <c r="H305" s="45"/>
      <c r="I305" s="45"/>
      <c r="J305" s="45"/>
      <c r="K305" s="382"/>
      <c r="L305" s="382"/>
      <c r="M305" s="45"/>
      <c r="N305" s="45"/>
      <c r="O305" s="45"/>
      <c r="P305" s="45"/>
      <c r="Q305" s="45"/>
      <c r="R305" s="45"/>
      <c r="S305" s="45"/>
      <c r="T305" s="356"/>
      <c r="U305" s="356"/>
      <c r="V305" s="45"/>
      <c r="W305" s="45"/>
      <c r="X305" s="45"/>
    </row>
    <row r="306" spans="2:40" s="29" customFormat="1" ht="15.75" customHeight="1" x14ac:dyDescent="0.25">
      <c r="B306" s="45"/>
      <c r="C306" s="45"/>
      <c r="D306" s="45"/>
      <c r="E306" s="45"/>
      <c r="F306" s="45"/>
      <c r="G306" s="45"/>
      <c r="H306" s="45"/>
      <c r="I306" s="45"/>
      <c r="J306" s="45"/>
      <c r="K306" s="382"/>
      <c r="L306" s="382"/>
      <c r="M306" s="45"/>
      <c r="N306" s="45"/>
      <c r="O306" s="45"/>
      <c r="P306" s="45"/>
      <c r="Q306" s="45"/>
      <c r="R306" s="45"/>
      <c r="S306" s="45"/>
      <c r="T306" s="356"/>
      <c r="U306" s="356"/>
      <c r="V306" s="45"/>
      <c r="W306" s="45"/>
      <c r="X306" s="45"/>
    </row>
    <row r="307" spans="2:40" s="29" customFormat="1" ht="15.75" customHeight="1" x14ac:dyDescent="0.25">
      <c r="B307" s="45"/>
      <c r="C307" s="45"/>
      <c r="D307" s="45"/>
      <c r="E307" s="45"/>
      <c r="F307" s="45"/>
      <c r="G307" s="45"/>
      <c r="H307" s="45"/>
      <c r="I307" s="45"/>
      <c r="J307" s="45"/>
      <c r="K307" s="382"/>
      <c r="L307" s="382"/>
      <c r="M307" s="45"/>
      <c r="N307" s="45"/>
      <c r="O307" s="45"/>
      <c r="P307" s="45"/>
      <c r="Q307" s="45"/>
      <c r="R307" s="45"/>
      <c r="S307" s="45"/>
      <c r="T307" s="356"/>
      <c r="U307" s="356"/>
      <c r="V307" s="45"/>
      <c r="W307" s="45"/>
      <c r="X307" s="45"/>
    </row>
    <row r="308" spans="2:40" s="29" customFormat="1" ht="15.75" customHeight="1" x14ac:dyDescent="0.25">
      <c r="B308" s="45"/>
      <c r="C308" s="45"/>
      <c r="D308" s="45"/>
      <c r="E308" s="45"/>
      <c r="F308" s="45"/>
      <c r="G308" s="45"/>
      <c r="H308" s="45"/>
      <c r="I308" s="45"/>
      <c r="J308" s="45"/>
      <c r="K308" s="382"/>
      <c r="L308" s="382"/>
      <c r="M308" s="45"/>
      <c r="N308" s="45"/>
      <c r="O308" s="45"/>
      <c r="P308" s="45"/>
      <c r="Q308" s="45"/>
      <c r="R308" s="45"/>
      <c r="S308" s="45"/>
      <c r="T308" s="356"/>
      <c r="U308" s="356"/>
      <c r="V308" s="45"/>
      <c r="W308" s="45"/>
      <c r="X308" s="45"/>
    </row>
    <row r="309" spans="2:40" s="29" customFormat="1" ht="15.75" customHeight="1" x14ac:dyDescent="0.25">
      <c r="B309" s="45"/>
      <c r="C309" s="45"/>
      <c r="D309" s="45"/>
      <c r="E309" s="45"/>
      <c r="F309" s="45"/>
      <c r="G309" s="45"/>
      <c r="H309" s="45"/>
      <c r="I309" s="45"/>
      <c r="J309" s="45"/>
      <c r="K309" s="382"/>
      <c r="L309" s="382"/>
      <c r="M309" s="45"/>
      <c r="N309" s="45"/>
      <c r="O309" s="45"/>
      <c r="P309" s="45"/>
      <c r="Q309" s="45"/>
      <c r="R309" s="45"/>
      <c r="S309" s="45"/>
      <c r="T309" s="356"/>
      <c r="U309" s="356"/>
      <c r="V309" s="45"/>
      <c r="W309" s="45"/>
      <c r="X309" s="45"/>
    </row>
    <row r="310" spans="2:40" s="29" customFormat="1" ht="15.75" customHeight="1" x14ac:dyDescent="0.25">
      <c r="B310" s="45"/>
      <c r="C310" s="45"/>
      <c r="D310" s="45"/>
      <c r="E310" s="45"/>
      <c r="F310" s="45"/>
      <c r="G310" s="45"/>
      <c r="H310" s="45"/>
      <c r="I310" s="45"/>
      <c r="J310" s="45"/>
      <c r="K310" s="382"/>
      <c r="L310" s="382"/>
      <c r="M310" s="45"/>
      <c r="N310" s="45"/>
      <c r="O310" s="45"/>
      <c r="P310" s="45"/>
      <c r="Q310" s="45"/>
      <c r="R310" s="45"/>
      <c r="S310" s="45"/>
      <c r="T310" s="356"/>
      <c r="U310" s="356"/>
      <c r="V310" s="45"/>
      <c r="W310" s="45"/>
      <c r="X310" s="45"/>
    </row>
    <row r="311" spans="2:40" s="29" customFormat="1" ht="20.25" customHeight="1" x14ac:dyDescent="0.25">
      <c r="B311" s="389"/>
      <c r="C311" s="389"/>
      <c r="D311" s="1368"/>
      <c r="E311" s="1368"/>
      <c r="F311" s="1368"/>
      <c r="G311" s="1368"/>
      <c r="H311" s="1368"/>
      <c r="I311" s="1368"/>
      <c r="J311" s="1369"/>
      <c r="K311" s="1370"/>
      <c r="L311" s="1370"/>
      <c r="M311" s="1371"/>
      <c r="N311" s="1371"/>
      <c r="O311" s="1371"/>
      <c r="P311" s="1371"/>
      <c r="Q311" s="1371"/>
      <c r="R311" s="1371"/>
      <c r="S311" s="1371"/>
      <c r="T311" s="1371"/>
      <c r="U311" s="1371"/>
      <c r="V311" s="1371"/>
      <c r="W311" s="1371"/>
      <c r="X311" s="1372"/>
      <c r="Y311" s="196"/>
      <c r="Z311" s="196"/>
      <c r="AA311" s="196"/>
      <c r="AB311" s="196"/>
      <c r="AC311" s="196"/>
      <c r="AD311" s="196"/>
      <c r="AE311" s="196"/>
      <c r="AF311" s="196"/>
      <c r="AG311" s="196"/>
      <c r="AH311" s="196"/>
      <c r="AI311" s="196"/>
      <c r="AJ311" s="196"/>
      <c r="AK311" s="196"/>
      <c r="AL311" s="196"/>
      <c r="AM311" s="196"/>
      <c r="AN311" s="196"/>
    </row>
    <row r="312" spans="2:40" s="29" customFormat="1" ht="15.75" customHeight="1" x14ac:dyDescent="0.25">
      <c r="B312" s="45"/>
      <c r="C312" s="45"/>
      <c r="D312" s="45"/>
      <c r="E312" s="45"/>
      <c r="F312" s="45"/>
      <c r="G312" s="45"/>
      <c r="H312" s="45"/>
      <c r="I312" s="45"/>
      <c r="J312" s="45"/>
      <c r="K312" s="382"/>
      <c r="L312" s="382"/>
      <c r="M312" s="45"/>
      <c r="N312" s="45"/>
      <c r="O312" s="45"/>
      <c r="P312" s="45"/>
      <c r="Q312" s="45"/>
      <c r="R312" s="45"/>
      <c r="S312" s="45"/>
      <c r="T312" s="356"/>
      <c r="U312" s="356"/>
      <c r="V312" s="45"/>
      <c r="W312" s="45"/>
      <c r="X312" s="45"/>
    </row>
    <row r="313" spans="2:40" s="29" customFormat="1" ht="15.75" customHeight="1" x14ac:dyDescent="0.25">
      <c r="B313" s="45"/>
      <c r="C313" s="45"/>
      <c r="D313" s="45"/>
      <c r="E313" s="45"/>
      <c r="F313" s="45"/>
      <c r="G313" s="45"/>
      <c r="H313" s="45"/>
      <c r="I313" s="45"/>
      <c r="J313" s="45"/>
      <c r="K313" s="382"/>
      <c r="L313" s="382"/>
      <c r="M313" s="45"/>
      <c r="N313" s="45"/>
      <c r="O313" s="45"/>
      <c r="P313" s="45"/>
      <c r="Q313" s="45"/>
      <c r="R313" s="45"/>
      <c r="S313" s="45"/>
      <c r="T313" s="356"/>
      <c r="U313" s="356"/>
      <c r="V313" s="45"/>
      <c r="W313" s="45"/>
      <c r="X313" s="45"/>
    </row>
    <row r="314" spans="2:40" s="29" customFormat="1" ht="15.75" customHeight="1" x14ac:dyDescent="0.25">
      <c r="B314" s="45"/>
      <c r="C314" s="45"/>
      <c r="D314" s="45"/>
      <c r="E314" s="45"/>
      <c r="F314" s="45"/>
      <c r="G314" s="45"/>
      <c r="H314" s="45"/>
      <c r="I314" s="45"/>
      <c r="J314" s="45"/>
      <c r="K314" s="382"/>
      <c r="L314" s="382"/>
      <c r="M314" s="45"/>
      <c r="N314" s="45"/>
      <c r="O314" s="45"/>
      <c r="P314" s="45"/>
      <c r="Q314" s="45"/>
      <c r="R314" s="45"/>
      <c r="S314" s="45"/>
      <c r="T314" s="356"/>
      <c r="U314" s="356"/>
      <c r="V314" s="45"/>
      <c r="W314" s="45"/>
      <c r="X314" s="45"/>
    </row>
    <row r="315" spans="2:40" s="29" customFormat="1" ht="20.25" customHeight="1" x14ac:dyDescent="0.25">
      <c r="B315" s="389"/>
      <c r="C315" s="389"/>
      <c r="D315" s="1368"/>
      <c r="E315" s="1368"/>
      <c r="F315" s="1368"/>
      <c r="G315" s="1368"/>
      <c r="H315" s="1368"/>
      <c r="I315" s="1368"/>
      <c r="J315" s="1369"/>
      <c r="K315" s="1370"/>
      <c r="L315" s="1370"/>
      <c r="M315" s="1371"/>
      <c r="N315" s="1371"/>
      <c r="O315" s="1371"/>
      <c r="P315" s="1371"/>
      <c r="Q315" s="1371"/>
      <c r="R315" s="1371"/>
      <c r="S315" s="1371"/>
      <c r="T315" s="1371"/>
      <c r="U315" s="1371"/>
      <c r="V315" s="1371"/>
      <c r="W315" s="1371"/>
      <c r="X315" s="1372"/>
      <c r="Y315" s="196"/>
      <c r="Z315" s="196"/>
      <c r="AA315" s="196"/>
      <c r="AB315" s="196"/>
      <c r="AC315" s="196"/>
      <c r="AD315" s="196"/>
      <c r="AE315" s="196"/>
      <c r="AF315" s="196"/>
      <c r="AG315" s="196"/>
      <c r="AH315" s="196"/>
      <c r="AI315" s="196"/>
      <c r="AJ315" s="196"/>
      <c r="AK315" s="196"/>
      <c r="AL315" s="196"/>
      <c r="AM315" s="196"/>
      <c r="AN315" s="196"/>
    </row>
    <row r="316" spans="2:40" s="29" customFormat="1" ht="15.75" customHeight="1" x14ac:dyDescent="0.25">
      <c r="B316" s="45"/>
      <c r="C316" s="45"/>
      <c r="D316" s="45"/>
      <c r="E316" s="45"/>
      <c r="F316" s="45"/>
      <c r="G316" s="45"/>
      <c r="H316" s="45"/>
      <c r="I316" s="45"/>
      <c r="J316" s="45"/>
      <c r="K316" s="382"/>
      <c r="L316" s="382"/>
      <c r="M316" s="45"/>
      <c r="N316" s="45"/>
      <c r="O316" s="45"/>
      <c r="P316" s="45"/>
      <c r="Q316" s="45"/>
      <c r="R316" s="45"/>
      <c r="S316" s="45"/>
      <c r="T316" s="356"/>
      <c r="U316" s="356"/>
      <c r="V316" s="45"/>
      <c r="W316" s="45"/>
      <c r="X316" s="45"/>
    </row>
    <row r="317" spans="2:40" s="29" customFormat="1" ht="15.75" customHeight="1" x14ac:dyDescent="0.25">
      <c r="B317" s="45"/>
      <c r="C317" s="45"/>
      <c r="D317" s="45"/>
      <c r="E317" s="45"/>
      <c r="F317" s="45"/>
      <c r="G317" s="45"/>
      <c r="H317" s="45"/>
      <c r="I317" s="45"/>
      <c r="J317" s="45"/>
      <c r="K317" s="382"/>
      <c r="L317" s="382"/>
      <c r="M317" s="45"/>
      <c r="N317" s="45"/>
      <c r="O317" s="45"/>
      <c r="P317" s="45"/>
      <c r="Q317" s="45"/>
      <c r="R317" s="45"/>
      <c r="S317" s="45"/>
      <c r="T317" s="356"/>
      <c r="U317" s="356"/>
      <c r="V317" s="45"/>
      <c r="W317" s="45"/>
      <c r="X317" s="45"/>
    </row>
    <row r="318" spans="2:40" s="29" customFormat="1" ht="15.75" customHeight="1" x14ac:dyDescent="0.25">
      <c r="B318" s="45"/>
      <c r="C318" s="45"/>
      <c r="D318" s="45"/>
      <c r="E318" s="45"/>
      <c r="F318" s="45"/>
      <c r="G318" s="45"/>
      <c r="H318" s="45"/>
      <c r="I318" s="45"/>
      <c r="J318" s="45"/>
      <c r="K318" s="166"/>
      <c r="L318" s="166"/>
      <c r="M318" s="45"/>
      <c r="N318" s="45"/>
      <c r="O318" s="45"/>
      <c r="P318" s="45"/>
      <c r="Q318" s="45"/>
      <c r="R318" s="45"/>
      <c r="S318" s="45"/>
      <c r="T318" s="356"/>
      <c r="U318" s="356"/>
      <c r="V318" s="45"/>
      <c r="W318" s="45"/>
      <c r="X318" s="45"/>
    </row>
    <row r="319" spans="2:40" s="29" customFormat="1" ht="15.75" customHeight="1" x14ac:dyDescent="0.25">
      <c r="B319" s="45"/>
      <c r="C319" s="45"/>
      <c r="D319" s="45"/>
      <c r="E319" s="45"/>
      <c r="F319" s="45"/>
      <c r="G319" s="45"/>
      <c r="H319" s="45"/>
      <c r="I319" s="45"/>
      <c r="J319" s="45"/>
      <c r="K319" s="166"/>
      <c r="L319" s="166"/>
      <c r="M319" s="45"/>
      <c r="N319" s="45"/>
      <c r="O319" s="45"/>
      <c r="P319" s="45"/>
      <c r="Q319" s="45"/>
      <c r="R319" s="45"/>
      <c r="S319" s="45"/>
      <c r="T319" s="356"/>
      <c r="U319" s="356"/>
      <c r="V319" s="45"/>
      <c r="W319" s="45"/>
      <c r="X319" s="45"/>
    </row>
    <row r="320" spans="2:40" s="29" customFormat="1" ht="15.75" customHeight="1" x14ac:dyDescent="0.25">
      <c r="B320" s="45"/>
      <c r="C320" s="45"/>
      <c r="D320" s="45"/>
      <c r="E320" s="45"/>
      <c r="F320" s="45"/>
      <c r="G320" s="45"/>
      <c r="H320" s="45"/>
      <c r="I320" s="45"/>
      <c r="J320" s="45"/>
      <c r="K320" s="166"/>
      <c r="L320" s="166"/>
      <c r="M320" s="45"/>
      <c r="N320" s="45"/>
      <c r="O320" s="45"/>
      <c r="P320" s="45"/>
      <c r="Q320" s="45"/>
      <c r="R320" s="45"/>
      <c r="S320" s="45"/>
      <c r="T320" s="356"/>
      <c r="U320" s="356"/>
      <c r="V320" s="45"/>
      <c r="W320" s="45"/>
      <c r="X320" s="45"/>
    </row>
    <row r="321" spans="2:24" s="29" customFormat="1" ht="15.75" customHeight="1" x14ac:dyDescent="0.25">
      <c r="B321" s="45"/>
      <c r="C321" s="45"/>
      <c r="D321" s="45"/>
      <c r="E321" s="45"/>
      <c r="F321" s="45"/>
      <c r="G321" s="45"/>
      <c r="H321" s="45"/>
      <c r="I321" s="45"/>
      <c r="J321" s="45"/>
      <c r="K321" s="166"/>
      <c r="L321" s="166"/>
      <c r="M321" s="45"/>
      <c r="N321" s="45"/>
      <c r="O321" s="45"/>
      <c r="P321" s="45"/>
      <c r="Q321" s="45"/>
      <c r="R321" s="45"/>
      <c r="S321" s="45"/>
      <c r="T321" s="356"/>
      <c r="U321" s="356"/>
      <c r="V321" s="45"/>
      <c r="W321" s="45"/>
      <c r="X321" s="45"/>
    </row>
    <row r="322" spans="2:24" s="29" customFormat="1" ht="15.75" customHeight="1" x14ac:dyDescent="0.25">
      <c r="B322" s="45"/>
      <c r="C322" s="45"/>
      <c r="D322" s="45"/>
      <c r="E322" s="45"/>
      <c r="F322" s="45"/>
      <c r="G322" s="45"/>
      <c r="H322" s="45"/>
      <c r="I322" s="45"/>
      <c r="J322" s="45"/>
      <c r="K322" s="166"/>
      <c r="L322" s="166"/>
      <c r="M322" s="45"/>
      <c r="N322" s="45"/>
      <c r="O322" s="45"/>
      <c r="P322" s="45"/>
      <c r="Q322" s="45"/>
      <c r="R322" s="45"/>
      <c r="S322" s="45"/>
      <c r="T322" s="356"/>
      <c r="U322" s="356"/>
      <c r="V322" s="45"/>
      <c r="W322" s="45"/>
      <c r="X322" s="45"/>
    </row>
    <row r="323" spans="2:24" s="29" customFormat="1" ht="15.75" customHeight="1" x14ac:dyDescent="0.25">
      <c r="B323" s="45"/>
      <c r="C323" s="45"/>
      <c r="D323" s="45"/>
      <c r="E323" s="45"/>
      <c r="F323" s="45"/>
      <c r="G323" s="45"/>
      <c r="H323" s="45"/>
      <c r="I323" s="45"/>
      <c r="J323" s="45"/>
      <c r="K323" s="166"/>
      <c r="L323" s="166"/>
      <c r="M323" s="45"/>
      <c r="N323" s="45"/>
      <c r="O323" s="45"/>
      <c r="P323" s="45"/>
      <c r="Q323" s="45"/>
      <c r="R323" s="45"/>
      <c r="S323" s="45"/>
      <c r="T323" s="356"/>
      <c r="U323" s="356"/>
      <c r="V323" s="45"/>
      <c r="W323" s="45"/>
      <c r="X323" s="45"/>
    </row>
    <row r="324" spans="2:24" s="29" customFormat="1" ht="15.75" customHeight="1" x14ac:dyDescent="0.25">
      <c r="B324" s="45"/>
      <c r="C324" s="45"/>
      <c r="D324" s="45"/>
      <c r="E324" s="45"/>
      <c r="F324" s="45"/>
      <c r="G324" s="45"/>
      <c r="H324" s="45"/>
      <c r="I324" s="45"/>
      <c r="J324" s="45"/>
      <c r="K324" s="166"/>
      <c r="L324" s="166"/>
      <c r="M324" s="45"/>
      <c r="N324" s="45"/>
      <c r="O324" s="45"/>
      <c r="P324" s="45"/>
      <c r="Q324" s="45"/>
      <c r="R324" s="45"/>
      <c r="S324" s="45"/>
      <c r="T324" s="356"/>
      <c r="U324" s="356"/>
      <c r="V324" s="45"/>
      <c r="W324" s="45"/>
      <c r="X324" s="45"/>
    </row>
    <row r="325" spans="2:24" s="29" customFormat="1" ht="15.75" customHeight="1" x14ac:dyDescent="0.25">
      <c r="B325" s="45"/>
      <c r="C325" s="45"/>
      <c r="D325" s="45"/>
      <c r="E325" s="45"/>
      <c r="F325" s="45"/>
      <c r="G325" s="45"/>
      <c r="H325" s="45"/>
      <c r="I325" s="45"/>
      <c r="J325" s="45"/>
      <c r="K325" s="166"/>
      <c r="L325" s="166"/>
      <c r="M325" s="45"/>
      <c r="N325" s="45"/>
      <c r="O325" s="45"/>
      <c r="P325" s="45"/>
      <c r="Q325" s="45"/>
      <c r="R325" s="45"/>
      <c r="S325" s="45"/>
      <c r="T325" s="356"/>
      <c r="U325" s="356"/>
      <c r="V325" s="45"/>
      <c r="W325" s="45"/>
      <c r="X325" s="45"/>
    </row>
    <row r="326" spans="2:24" s="29" customFormat="1" ht="15.75" customHeight="1" x14ac:dyDescent="0.25">
      <c r="B326" s="45"/>
      <c r="C326" s="45"/>
      <c r="D326" s="45"/>
      <c r="E326" s="45"/>
      <c r="F326" s="45"/>
      <c r="G326" s="45"/>
      <c r="H326" s="45"/>
      <c r="I326" s="45"/>
      <c r="J326" s="45"/>
      <c r="K326" s="166"/>
      <c r="L326" s="166"/>
      <c r="M326" s="45"/>
      <c r="N326" s="45"/>
      <c r="O326" s="45"/>
      <c r="P326" s="45"/>
      <c r="Q326" s="45"/>
      <c r="R326" s="45"/>
      <c r="S326" s="45"/>
      <c r="T326" s="356"/>
      <c r="U326" s="356"/>
      <c r="V326" s="45"/>
      <c r="W326" s="45"/>
      <c r="X326" s="45"/>
    </row>
    <row r="327" spans="2:24" s="29" customFormat="1" ht="15.75" customHeight="1" x14ac:dyDescent="0.25">
      <c r="B327" s="45"/>
      <c r="C327" s="45"/>
      <c r="D327" s="45"/>
      <c r="E327" s="45"/>
      <c r="F327" s="45"/>
      <c r="G327" s="45"/>
      <c r="H327" s="45"/>
      <c r="I327" s="45"/>
      <c r="J327" s="45"/>
      <c r="K327" s="166"/>
      <c r="L327" s="166"/>
      <c r="M327" s="45"/>
      <c r="N327" s="45"/>
      <c r="O327" s="45"/>
      <c r="P327" s="45"/>
      <c r="Q327" s="45"/>
      <c r="R327" s="45"/>
      <c r="S327" s="45"/>
      <c r="T327" s="356"/>
      <c r="U327" s="356"/>
      <c r="V327" s="45"/>
      <c r="W327" s="45"/>
      <c r="X327" s="45"/>
    </row>
    <row r="328" spans="2:24" s="29" customFormat="1" x14ac:dyDescent="0.25">
      <c r="I328" s="196"/>
      <c r="K328" s="355"/>
      <c r="L328" s="355"/>
    </row>
    <row r="329" spans="2:24" s="29" customFormat="1" x14ac:dyDescent="0.25">
      <c r="K329" s="355"/>
      <c r="L329" s="355"/>
    </row>
    <row r="330" spans="2:24" s="29" customFormat="1" x14ac:dyDescent="0.25">
      <c r="I330" s="196"/>
      <c r="K330" s="355"/>
      <c r="L330" s="355"/>
    </row>
    <row r="331" spans="2:24" s="29" customFormat="1" x14ac:dyDescent="0.25">
      <c r="K331" s="355"/>
      <c r="L331" s="355"/>
    </row>
    <row r="332" spans="2:24" s="29" customFormat="1" x14ac:dyDescent="0.25">
      <c r="I332" s="196"/>
      <c r="K332" s="355"/>
      <c r="L332" s="355"/>
    </row>
    <row r="333" spans="2:24" s="29" customFormat="1" x14ac:dyDescent="0.25">
      <c r="K333" s="355"/>
      <c r="L333" s="355"/>
    </row>
    <row r="334" spans="2:24" s="29" customFormat="1" x14ac:dyDescent="0.25">
      <c r="I334" s="196"/>
      <c r="K334" s="355"/>
      <c r="L334" s="355"/>
    </row>
    <row r="335" spans="2:24" s="29" customFormat="1" x14ac:dyDescent="0.25">
      <c r="K335" s="355"/>
      <c r="L335" s="355"/>
    </row>
    <row r="336" spans="2:24" s="29" customFormat="1" x14ac:dyDescent="0.25">
      <c r="I336" s="196"/>
      <c r="K336" s="355"/>
      <c r="L336" s="355"/>
    </row>
    <row r="337" spans="9:12" s="29" customFormat="1" x14ac:dyDescent="0.25">
      <c r="K337" s="355"/>
      <c r="L337" s="355"/>
    </row>
    <row r="338" spans="9:12" s="29" customFormat="1" x14ac:dyDescent="0.25">
      <c r="I338" s="196"/>
      <c r="K338" s="355"/>
      <c r="L338" s="355"/>
    </row>
    <row r="339" spans="9:12" s="29" customFormat="1" x14ac:dyDescent="0.25">
      <c r="K339" s="355"/>
      <c r="L339" s="355"/>
    </row>
    <row r="340" spans="9:12" s="29" customFormat="1" x14ac:dyDescent="0.25">
      <c r="I340" s="196"/>
      <c r="K340" s="355"/>
      <c r="L340" s="355"/>
    </row>
    <row r="341" spans="9:12" s="29" customFormat="1" x14ac:dyDescent="0.25">
      <c r="K341" s="355"/>
      <c r="L341" s="355"/>
    </row>
    <row r="342" spans="9:12" s="29" customFormat="1" x14ac:dyDescent="0.25">
      <c r="I342" s="196"/>
      <c r="K342" s="355"/>
      <c r="L342" s="355"/>
    </row>
    <row r="343" spans="9:12" s="29" customFormat="1" x14ac:dyDescent="0.25">
      <c r="K343" s="355"/>
      <c r="L343" s="355"/>
    </row>
    <row r="344" spans="9:12" s="29" customFormat="1" x14ac:dyDescent="0.25">
      <c r="I344" s="196"/>
      <c r="K344" s="355"/>
      <c r="L344" s="355"/>
    </row>
    <row r="345" spans="9:12" s="29" customFormat="1" x14ac:dyDescent="0.25">
      <c r="K345" s="355"/>
      <c r="L345" s="355"/>
    </row>
    <row r="346" spans="9:12" s="29" customFormat="1" x14ac:dyDescent="0.25">
      <c r="I346" s="196"/>
      <c r="K346" s="355"/>
      <c r="L346" s="355"/>
    </row>
    <row r="347" spans="9:12" s="29" customFormat="1" x14ac:dyDescent="0.25">
      <c r="K347" s="355"/>
      <c r="L347" s="355"/>
    </row>
    <row r="348" spans="9:12" s="29" customFormat="1" x14ac:dyDescent="0.25">
      <c r="K348" s="355"/>
      <c r="L348" s="355"/>
    </row>
    <row r="349" spans="9:12" s="29" customFormat="1" x14ac:dyDescent="0.25">
      <c r="K349" s="355"/>
      <c r="L349" s="355"/>
    </row>
    <row r="350" spans="9:12" s="29" customFormat="1" x14ac:dyDescent="0.25">
      <c r="K350" s="355"/>
      <c r="L350" s="355"/>
    </row>
    <row r="351" spans="9:12" s="29" customFormat="1" x14ac:dyDescent="0.25">
      <c r="K351" s="355"/>
      <c r="L351" s="355"/>
    </row>
    <row r="352" spans="9:12" s="29" customFormat="1" x14ac:dyDescent="0.25">
      <c r="K352" s="355"/>
      <c r="L352" s="355"/>
    </row>
    <row r="399" spans="1:25" s="2" customFormat="1" x14ac:dyDescent="0.25">
      <c r="A399"/>
      <c r="B399"/>
      <c r="C399"/>
      <c r="D399"/>
      <c r="E399"/>
      <c r="F399"/>
      <c r="G399"/>
      <c r="H399"/>
      <c r="I399"/>
      <c r="J399"/>
      <c r="K399" s="323"/>
      <c r="L399" s="323"/>
      <c r="M399"/>
      <c r="N399"/>
      <c r="O399"/>
      <c r="P399"/>
      <c r="Q399"/>
      <c r="R399"/>
      <c r="S399"/>
      <c r="T399"/>
      <c r="U399"/>
      <c r="V399"/>
      <c r="W399"/>
      <c r="X399"/>
      <c r="Y399"/>
    </row>
    <row r="407" spans="1:25" s="2" customFormat="1" x14ac:dyDescent="0.25">
      <c r="A407"/>
      <c r="B407"/>
      <c r="C407"/>
      <c r="D407"/>
      <c r="E407"/>
      <c r="F407"/>
      <c r="G407"/>
      <c r="H407"/>
      <c r="I407"/>
      <c r="J407"/>
      <c r="K407" s="323"/>
      <c r="L407" s="323"/>
      <c r="M407"/>
      <c r="N407"/>
      <c r="O407"/>
      <c r="P407"/>
      <c r="Q407"/>
      <c r="R407"/>
      <c r="S407"/>
      <c r="T407"/>
      <c r="U407"/>
      <c r="V407"/>
      <c r="W407"/>
      <c r="X407"/>
      <c r="Y407"/>
    </row>
    <row r="454" spans="1:25" s="2" customFormat="1" x14ac:dyDescent="0.25">
      <c r="A454"/>
      <c r="B454"/>
      <c r="C454"/>
      <c r="D454"/>
      <c r="E454"/>
      <c r="F454"/>
      <c r="G454"/>
      <c r="H454"/>
      <c r="I454"/>
      <c r="J454"/>
      <c r="K454" s="323"/>
      <c r="L454" s="323"/>
      <c r="M454"/>
      <c r="N454"/>
      <c r="O454"/>
      <c r="P454"/>
      <c r="Q454"/>
      <c r="R454"/>
      <c r="S454"/>
      <c r="T454"/>
      <c r="U454"/>
      <c r="V454"/>
      <c r="W454"/>
      <c r="X454"/>
      <c r="Y454"/>
    </row>
  </sheetData>
  <mergeCells count="15">
    <mergeCell ref="D281:X281"/>
    <mergeCell ref="D288:X288"/>
    <mergeCell ref="D291:X291"/>
    <mergeCell ref="D311:X311"/>
    <mergeCell ref="D315:X315"/>
    <mergeCell ref="D244:X244"/>
    <mergeCell ref="D247:X247"/>
    <mergeCell ref="D251:X251"/>
    <mergeCell ref="D269:X269"/>
    <mergeCell ref="D278:X278"/>
    <mergeCell ref="C8:H8"/>
    <mergeCell ref="D10:X10"/>
    <mergeCell ref="D40:X40"/>
    <mergeCell ref="D230:X230"/>
    <mergeCell ref="D243:X243"/>
  </mergeCells>
  <conditionalFormatting sqref="U1:X8 S9:X327 T328:X575">
    <cfRule type="containsText" dxfId="3" priority="1" operator="containsText" text="ja">
      <formula>NOT(ISERROR(SEARCH(("ja"),(U1))))</formula>
    </cfRule>
    <cfRule type="containsText" dxfId="2" priority="2" operator="containsText" text="nein">
      <formula>NOT(ISERROR(SEARCH(("nein"),(U1))))</formula>
    </cfRule>
  </conditionalFormatting>
  <dataValidations count="1">
    <dataValidation type="list" errorStyle="warning" showErrorMessage="1" sqref="U130:U229 U231:U242 U245:U246 U248 U250 U252:U268 U270:U277 U279:U280 U282:U283 U285:U287 U294:U305 U306:U310 U316:U327 T130:T229 T231:T242 T245:T246 T248 T250 T252:T268 T270:T277 T279:T280 T282:T283 T285:T287 T294:T305 T306:T310 T316:T327 T292:U293 T289:U290 T312:U314 T41:U41 T44:U129 T11:U39 T42:U43" xr:uid="{00000000-0002-0000-1500-000000000000}">
      <formula1>"unbestimmt, ja, nein"</formula1>
    </dataValidation>
  </dataValidations>
  <pageMargins left="0.75" right="0.75" top="1" bottom="1" header="0.5" footer="0.5"/>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15"/>
  <sheetViews>
    <sheetView workbookViewId="0"/>
  </sheetViews>
  <sheetFormatPr baseColWidth="10" defaultColWidth="14.5703125" defaultRowHeight="15" x14ac:dyDescent="0.25"/>
  <cols>
    <col min="1" max="1" width="33.140625" style="433" customWidth="1"/>
    <col min="2" max="2" width="72.5703125" style="31" customWidth="1"/>
    <col min="3" max="3" width="48.140625" style="31" customWidth="1"/>
    <col min="4" max="4" width="79.5703125" style="31" customWidth="1"/>
    <col min="5" max="5" width="14.5703125" style="31" customWidth="1"/>
    <col min="6" max="16384" width="14.5703125" style="31"/>
  </cols>
  <sheetData>
    <row r="1" spans="1:4" s="454" customFormat="1" ht="26.25" customHeight="1" x14ac:dyDescent="0.25">
      <c r="A1" s="440" t="s">
        <v>5440</v>
      </c>
      <c r="B1" s="440" t="s">
        <v>5441</v>
      </c>
      <c r="C1" s="440" t="s">
        <v>5442</v>
      </c>
      <c r="D1" s="440" t="s">
        <v>5443</v>
      </c>
    </row>
    <row r="2" spans="1:4" ht="72" customHeight="1" x14ac:dyDescent="0.25">
      <c r="A2" s="451">
        <v>1</v>
      </c>
      <c r="B2" s="730" t="str">
        <f>HYPERLINK("https://synology.bildungscampus-backnang.de:50823/?launchApp=SYNO.SDS.Drive.Application#file_id=700408466392528768", "Bildungszielplanung (BZP) der Kostenträger (BA/JC) ")</f>
        <v xml:space="preserve">Bildungszielplanung (BZP) der Kostenträger (BA/JC) </v>
      </c>
      <c r="C2" s="12" t="s">
        <v>5444</v>
      </c>
      <c r="D2" s="12" t="s">
        <v>5445</v>
      </c>
    </row>
    <row r="3" spans="1:4" ht="123.75" customHeight="1" x14ac:dyDescent="0.25">
      <c r="A3" s="420">
        <v>2</v>
      </c>
      <c r="B3" s="966" t="s">
        <v>5446</v>
      </c>
      <c r="C3" s="750" t="s">
        <v>5447</v>
      </c>
      <c r="D3" s="750" t="s">
        <v>5448</v>
      </c>
    </row>
    <row r="4" spans="1:4" ht="60.75" customHeight="1" x14ac:dyDescent="0.25">
      <c r="A4" s="421">
        <v>2</v>
      </c>
      <c r="B4" s="342" t="s">
        <v>5449</v>
      </c>
      <c r="C4" s="12" t="s">
        <v>5450</v>
      </c>
      <c r="D4" s="712"/>
    </row>
    <row r="5" spans="1:4" ht="84" customHeight="1" x14ac:dyDescent="0.25">
      <c r="A5" s="422">
        <v>2</v>
      </c>
      <c r="B5" s="966" t="s">
        <v>5451</v>
      </c>
      <c r="C5" s="750" t="s">
        <v>5452</v>
      </c>
      <c r="D5" s="991" t="str">
        <f>HYPERLINK("https://synology.bildungscampus-backnang.de:50823/?launchApp=SYNO.SDS.Drive.Application#file_id=710936521317869802", "z.B. IHK z.T. geförderte Weiterbildungen oder Fördermöglichkeiten der BA")</f>
        <v>z.B. IHK z.T. geförderte Weiterbildungen oder Fördermöglichkeiten der BA</v>
      </c>
    </row>
    <row r="6" spans="1:4" ht="90" x14ac:dyDescent="0.25">
      <c r="A6" s="422">
        <v>2</v>
      </c>
      <c r="B6" s="344" t="s">
        <v>5453</v>
      </c>
      <c r="C6" s="446" t="s">
        <v>5454</v>
      </c>
      <c r="D6" s="63" t="s">
        <v>5455</v>
      </c>
    </row>
    <row r="7" spans="1:4" ht="75" x14ac:dyDescent="0.25">
      <c r="A7" s="422">
        <v>2</v>
      </c>
      <c r="B7" s="869" t="s">
        <v>5456</v>
      </c>
      <c r="C7" s="750" t="s">
        <v>5454</v>
      </c>
      <c r="D7" s="750" t="s">
        <v>5457</v>
      </c>
    </row>
    <row r="8" spans="1:4" s="443" customFormat="1" ht="105" x14ac:dyDescent="0.25">
      <c r="A8" s="450">
        <v>3</v>
      </c>
      <c r="B8" s="730" t="str">
        <f>HYPERLINK("https://statistik.arbeitsagentur.de/DE/Navigation/Statistiken/Statistiken-aktuell/Statistiken-aktuell-Nav.html;jsessionid=9FF72ACA99C6646D22A70E8B37AC4423", "Auswertung des stat. Dienst der BA")</f>
        <v>Auswertung des stat. Dienst der BA</v>
      </c>
      <c r="C8" s="63" t="s">
        <v>5458</v>
      </c>
      <c r="D8" s="218" t="s">
        <v>5459</v>
      </c>
    </row>
    <row r="9" spans="1:4" s="443" customFormat="1" ht="90" x14ac:dyDescent="0.25">
      <c r="A9" s="448">
        <v>3</v>
      </c>
      <c r="B9" s="1045" t="str">
        <f>HYPERLINK("https://iab.de/", "Publikationen des IAB")</f>
        <v>Publikationen des IAB</v>
      </c>
      <c r="C9" s="750" t="s">
        <v>5460</v>
      </c>
      <c r="D9" s="1046" t="str">
        <f>HYPERLINK("https://job-futuromat.iab.de/", "Arbeitsmarktforschungsinstitut der BA (auch: Jobfuturomat: https://job-futuromat.iab.de/)")</f>
        <v>Arbeitsmarktforschungsinstitut der BA (auch: Jobfuturomat: https://job-futuromat.iab.de/)</v>
      </c>
    </row>
    <row r="10" spans="1:4" s="443" customFormat="1" ht="105" x14ac:dyDescent="0.25">
      <c r="A10" s="449">
        <v>3</v>
      </c>
      <c r="B10" s="380" t="s">
        <v>5461</v>
      </c>
      <c r="C10" s="63" t="s">
        <v>5458</v>
      </c>
      <c r="D10" s="731" t="str">
        <f>HYPERLINK("https://www.bmas.de/DE/Service/Statistiken-Open-Data/Arbeitsmarktstatistiken/arbeitsmarktstatistiken.html#doc2eac6961-10f0-40fb-92d7-c1cbbda06e36bodyText7", "z.B. des BMAS")</f>
        <v>z.B. des BMAS</v>
      </c>
    </row>
    <row r="11" spans="1:4" ht="60" x14ac:dyDescent="0.25">
      <c r="A11" s="1047">
        <v>4</v>
      </c>
      <c r="B11" s="1048" t="s">
        <v>5462</v>
      </c>
      <c r="C11" s="1049" t="s">
        <v>5463</v>
      </c>
      <c r="D11" s="1049" t="s">
        <v>5464</v>
      </c>
    </row>
    <row r="12" spans="1:4" ht="86.25" customHeight="1" x14ac:dyDescent="0.25">
      <c r="A12" s="453" t="s">
        <v>5465</v>
      </c>
      <c r="B12" s="192" t="s">
        <v>5466</v>
      </c>
      <c r="C12" s="447" t="s">
        <v>5467</v>
      </c>
      <c r="D12" s="732" t="str">
        <f>HYPERLINK("https://www.arbeitsagentur.de/vor-ort/muenchen/unternehmen-qualifizierungsportal", "z.B. Qualifizierungsportal BA München")</f>
        <v>z.B. Qualifizierungsportal BA München</v>
      </c>
    </row>
    <row r="13" spans="1:4" s="444" customFormat="1" ht="109.5" customHeight="1" x14ac:dyDescent="0.25">
      <c r="A13" s="423" t="s">
        <v>5468</v>
      </c>
      <c r="B13" s="1050" t="s">
        <v>5469</v>
      </c>
      <c r="C13" s="1049" t="s">
        <v>5470</v>
      </c>
      <c r="D13" s="1051"/>
    </row>
    <row r="14" spans="1:4" s="445" customFormat="1" ht="324.75" customHeight="1" x14ac:dyDescent="0.25">
      <c r="A14" s="439" t="s">
        <v>5471</v>
      </c>
      <c r="B14" s="1373" t="s">
        <v>5472</v>
      </c>
      <c r="C14" s="1374"/>
      <c r="D14" s="1374"/>
    </row>
    <row r="15" spans="1:4" s="452" customFormat="1" ht="27.75" customHeight="1" x14ac:dyDescent="0.25">
      <c r="A15" s="1052" t="s">
        <v>5473</v>
      </c>
      <c r="B15" s="1375" t="str">
        <f>HYPERLINK("https://synology.bildungscampus-backnang.de:50823/oo/r/nJ58P9hAWRTYc9w2qihtM4SUoUtBZx4Z", "https://synology.bildungscampus-backnang.de:50823/oo/r/nJ58P9hAWRTYc9w2qihtM4SUoUtBZx4Z")</f>
        <v>https://synology.bildungscampus-backnang.de:50823/oo/r/nJ58P9hAWRTYc9w2qihtM4SUoUtBZx4Z</v>
      </c>
      <c r="C15" s="1376"/>
      <c r="D15" s="1377"/>
    </row>
  </sheetData>
  <autoFilter ref="A1:D15" xr:uid="{00000000-0009-0000-0000-000016000000}"/>
  <mergeCells count="2">
    <mergeCell ref="B14:D14"/>
    <mergeCell ref="B15:D15"/>
  </mergeCells>
  <pageMargins left="0.75" right="0.75" top="1" bottom="1" header="0.5" footer="0.5"/>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B577"/>
  <sheetViews>
    <sheetView workbookViewId="0">
      <pane ySplit="9" topLeftCell="A10" activePane="bottomLeft" state="frozen"/>
      <selection pane="bottomLeft"/>
    </sheetView>
  </sheetViews>
  <sheetFormatPr baseColWidth="10" defaultColWidth="14.5703125" defaultRowHeight="15" x14ac:dyDescent="0.25"/>
  <cols>
    <col min="1" max="1" width="12.5703125" style="14" customWidth="1"/>
    <col min="2" max="2" width="13.28515625" style="14" customWidth="1"/>
    <col min="3" max="3" width="7.42578125" style="13" customWidth="1"/>
    <col min="4" max="4" width="3.42578125" style="13" customWidth="1"/>
    <col min="5" max="5" width="4" style="13" customWidth="1"/>
    <col min="6" max="9" width="3.42578125" style="13" customWidth="1"/>
    <col min="10" max="10" width="42.7109375" style="14" customWidth="1"/>
    <col min="11" max="11" width="59" style="14" customWidth="1"/>
    <col min="12" max="12" width="23.7109375" style="14" customWidth="1"/>
    <col min="13" max="13" width="20.7109375" style="14" customWidth="1"/>
    <col min="14" max="14" width="17" style="23" customWidth="1"/>
    <col min="15" max="15" width="17" style="14" customWidth="1"/>
    <col min="16" max="16" width="21.5703125" style="14" customWidth="1"/>
    <col min="17" max="17" width="17" style="14" customWidth="1"/>
    <col min="18" max="18" width="47.28515625" style="14" customWidth="1"/>
    <col min="19" max="19" width="14.5703125" style="14" customWidth="1"/>
    <col min="20" max="20" width="14.42578125" style="14" customWidth="1"/>
    <col min="21" max="21" width="13.85546875" style="14" customWidth="1"/>
    <col min="22" max="23" width="31.85546875" style="14" customWidth="1"/>
    <col min="24" max="24" width="14.42578125" style="14" customWidth="1"/>
    <col min="25" max="25" width="14.5703125" style="14" customWidth="1"/>
    <col min="26" max="16384" width="14.5703125" style="14"/>
  </cols>
  <sheetData>
    <row r="1" spans="1:28" x14ac:dyDescent="0.25">
      <c r="C1"/>
      <c r="H1"/>
      <c r="I1"/>
      <c r="J1"/>
      <c r="K1"/>
      <c r="N1" s="14"/>
    </row>
    <row r="2" spans="1:28" x14ac:dyDescent="0.25">
      <c r="C2"/>
      <c r="H2"/>
      <c r="I2" s="736"/>
      <c r="J2" t="s">
        <v>2547</v>
      </c>
      <c r="K2"/>
      <c r="L2"/>
      <c r="M2"/>
      <c r="N2"/>
      <c r="O2"/>
    </row>
    <row r="3" spans="1:28" x14ac:dyDescent="0.25">
      <c r="C3"/>
      <c r="H3"/>
      <c r="I3" s="43"/>
      <c r="J3" s="44" t="s">
        <v>2548</v>
      </c>
      <c r="K3"/>
      <c r="L3"/>
      <c r="M3"/>
      <c r="N3"/>
      <c r="O3"/>
    </row>
    <row r="4" spans="1:28" x14ac:dyDescent="0.25">
      <c r="C4"/>
      <c r="H4"/>
      <c r="I4" s="42"/>
      <c r="J4" t="s">
        <v>2</v>
      </c>
      <c r="K4"/>
      <c r="L4"/>
      <c r="M4"/>
      <c r="N4"/>
      <c r="O4"/>
    </row>
    <row r="5" spans="1:28" x14ac:dyDescent="0.25">
      <c r="C5"/>
      <c r="H5"/>
      <c r="I5" s="106"/>
      <c r="J5" t="s">
        <v>3</v>
      </c>
      <c r="K5"/>
      <c r="L5"/>
      <c r="M5"/>
      <c r="N5"/>
      <c r="O5"/>
    </row>
    <row r="6" spans="1:28" x14ac:dyDescent="0.25">
      <c r="C6"/>
      <c r="I6" s="121"/>
      <c r="J6" t="s">
        <v>4</v>
      </c>
      <c r="K6"/>
      <c r="L6"/>
      <c r="M6"/>
      <c r="N6"/>
      <c r="O6"/>
    </row>
    <row r="7" spans="1:28" x14ac:dyDescent="0.25">
      <c r="C7"/>
      <c r="L7" s="13"/>
      <c r="N7" s="14"/>
    </row>
    <row r="8" spans="1:28" x14ac:dyDescent="0.25">
      <c r="A8" s="122" t="s">
        <v>5</v>
      </c>
      <c r="B8" s="437" t="s">
        <v>6</v>
      </c>
      <c r="C8" s="838" t="s">
        <v>7</v>
      </c>
      <c r="D8" s="1237" t="s">
        <v>8</v>
      </c>
      <c r="E8" s="1238"/>
      <c r="F8" s="1238"/>
      <c r="G8" s="1238"/>
      <c r="H8" s="1238"/>
      <c r="I8" s="1239"/>
    </row>
    <row r="9" spans="1:28" s="13" customFormat="1" ht="36.75" customHeight="1" x14ac:dyDescent="0.2">
      <c r="A9" s="7"/>
      <c r="B9" s="434"/>
      <c r="C9" s="7"/>
      <c r="D9" s="238" t="s">
        <v>9</v>
      </c>
      <c r="E9" s="238" t="s">
        <v>10</v>
      </c>
      <c r="F9" s="238" t="s">
        <v>11</v>
      </c>
      <c r="G9" s="238" t="s">
        <v>12</v>
      </c>
      <c r="H9" s="238" t="s">
        <v>13</v>
      </c>
      <c r="I9" s="238" t="s">
        <v>14</v>
      </c>
      <c r="J9" s="826" t="s">
        <v>15</v>
      </c>
      <c r="K9" s="738" t="s">
        <v>16</v>
      </c>
      <c r="L9" s="891" t="s">
        <v>17</v>
      </c>
      <c r="M9" s="828" t="s">
        <v>18</v>
      </c>
      <c r="N9" s="919" t="s">
        <v>19</v>
      </c>
      <c r="O9" s="37" t="s">
        <v>20</v>
      </c>
      <c r="P9" s="829" t="s">
        <v>21</v>
      </c>
      <c r="Q9" s="829" t="s">
        <v>22</v>
      </c>
      <c r="R9" s="829" t="s">
        <v>23</v>
      </c>
      <c r="S9" s="828" t="s">
        <v>24</v>
      </c>
      <c r="T9" s="828" t="s">
        <v>25</v>
      </c>
      <c r="U9" s="38" t="s">
        <v>26</v>
      </c>
      <c r="V9" s="39" t="s">
        <v>27</v>
      </c>
      <c r="W9" s="38" t="s">
        <v>28</v>
      </c>
      <c r="X9" s="38" t="s">
        <v>29</v>
      </c>
    </row>
    <row r="10" spans="1:28" s="300" customFormat="1" x14ac:dyDescent="0.25">
      <c r="A10" s="909"/>
      <c r="B10" s="1053"/>
      <c r="C10" s="903"/>
      <c r="D10" s="1054"/>
      <c r="E10" s="1378" t="s">
        <v>4811</v>
      </c>
      <c r="F10" s="1348"/>
      <c r="G10" s="1348"/>
      <c r="H10" s="1348"/>
      <c r="I10" s="1348"/>
      <c r="J10" s="1348"/>
      <c r="K10" s="1348"/>
      <c r="L10" s="1348"/>
      <c r="M10" s="1348"/>
      <c r="N10" s="1348"/>
      <c r="O10" s="1348"/>
      <c r="P10" s="1348"/>
      <c r="Q10" s="1348"/>
      <c r="R10" s="1348"/>
      <c r="S10" s="1348"/>
      <c r="T10" s="1348"/>
      <c r="U10" s="1348"/>
      <c r="V10" s="1348"/>
      <c r="W10" s="1348"/>
      <c r="X10" s="1379"/>
      <c r="Y10" s="13"/>
      <c r="Z10" s="13"/>
      <c r="AA10" s="13"/>
      <c r="AB10" s="13"/>
    </row>
    <row r="11" spans="1:28" s="300" customFormat="1" ht="30" x14ac:dyDescent="0.25">
      <c r="A11" s="3"/>
      <c r="B11" s="5" t="s">
        <v>33</v>
      </c>
      <c r="C11" s="1"/>
      <c r="D11" s="41"/>
      <c r="E11" s="41"/>
      <c r="F11" s="41"/>
      <c r="G11" s="41"/>
      <c r="H11" s="41"/>
      <c r="I11" s="41"/>
      <c r="J11" s="305" t="s">
        <v>4706</v>
      </c>
      <c r="K11" s="305" t="s">
        <v>4812</v>
      </c>
      <c r="L11" s="8" t="s">
        <v>4701</v>
      </c>
      <c r="M11" s="6"/>
      <c r="N11" s="21"/>
      <c r="O11" s="10"/>
      <c r="P11" s="6"/>
      <c r="Q11" s="6"/>
      <c r="R11" s="10"/>
      <c r="S11" s="10" t="s">
        <v>4813</v>
      </c>
      <c r="T11" s="16"/>
      <c r="U11" s="16"/>
      <c r="V11" s="11"/>
      <c r="W11" s="11"/>
      <c r="X11" s="11"/>
      <c r="Y11" s="13"/>
      <c r="Z11" s="13"/>
      <c r="AA11" s="13"/>
      <c r="AB11" s="13"/>
    </row>
    <row r="12" spans="1:28" s="300" customFormat="1" x14ac:dyDescent="0.2">
      <c r="A12" s="3"/>
      <c r="B12" s="5" t="s">
        <v>33</v>
      </c>
      <c r="C12" s="218"/>
      <c r="D12" s="70"/>
      <c r="E12" s="70"/>
      <c r="F12" s="70"/>
      <c r="G12" s="70"/>
      <c r="H12" s="70"/>
      <c r="I12" s="70"/>
      <c r="J12" s="140" t="s">
        <v>5474</v>
      </c>
      <c r="K12" s="12" t="s">
        <v>4815</v>
      </c>
      <c r="L12" s="72" t="s">
        <v>4701</v>
      </c>
      <c r="M12" s="12"/>
      <c r="N12" s="303"/>
      <c r="O12" s="69"/>
      <c r="P12" s="12"/>
      <c r="Q12" s="12"/>
      <c r="R12" s="12" t="s">
        <v>4816</v>
      </c>
      <c r="S12" s="69" t="s">
        <v>4813</v>
      </c>
      <c r="T12" s="26"/>
      <c r="U12" s="26"/>
      <c r="V12" s="70"/>
      <c r="W12" s="70"/>
      <c r="X12" s="70"/>
      <c r="Y12" s="68"/>
      <c r="Z12" s="68"/>
      <c r="AA12" s="68"/>
      <c r="AB12" s="68"/>
    </row>
    <row r="13" spans="1:28" s="300" customFormat="1" ht="15.75" customHeight="1" x14ac:dyDescent="0.2">
      <c r="A13" s="25"/>
      <c r="B13" s="424"/>
      <c r="C13" s="25"/>
      <c r="D13" s="25"/>
      <c r="E13" s="25"/>
      <c r="F13" s="25"/>
      <c r="G13" s="25"/>
      <c r="H13" s="25"/>
      <c r="I13" s="25"/>
      <c r="J13" s="25"/>
      <c r="K13" s="25"/>
      <c r="L13" s="25"/>
      <c r="M13" s="25"/>
      <c r="N13" s="25"/>
      <c r="O13" s="25"/>
      <c r="P13" s="25"/>
      <c r="Q13" s="25"/>
      <c r="R13" s="25"/>
      <c r="S13" s="25"/>
      <c r="T13" s="25"/>
      <c r="U13" s="25"/>
      <c r="V13" s="25"/>
      <c r="W13" s="25"/>
      <c r="X13" s="25"/>
      <c r="Y13" s="25"/>
      <c r="Z13" s="68"/>
      <c r="AA13" s="68"/>
      <c r="AB13" s="68"/>
    </row>
    <row r="14" spans="1:28" s="300" customFormat="1" ht="45" x14ac:dyDescent="0.25">
      <c r="A14" s="3"/>
      <c r="B14" s="5" t="s">
        <v>33</v>
      </c>
      <c r="C14" s="1"/>
      <c r="D14" s="11"/>
      <c r="E14" s="11"/>
      <c r="F14" s="11"/>
      <c r="G14" s="11"/>
      <c r="H14" s="11"/>
      <c r="I14" s="11"/>
      <c r="J14" s="307" t="s">
        <v>4715</v>
      </c>
      <c r="K14" s="63" t="s">
        <v>4817</v>
      </c>
      <c r="L14" s="8" t="s">
        <v>4712</v>
      </c>
      <c r="M14" s="6" t="s">
        <v>4717</v>
      </c>
      <c r="N14" s="21"/>
      <c r="O14" s="10"/>
      <c r="P14" s="6"/>
      <c r="Q14" s="6"/>
      <c r="R14" s="10"/>
      <c r="S14" s="10" t="s">
        <v>4813</v>
      </c>
      <c r="T14" s="16"/>
      <c r="U14" s="16"/>
      <c r="V14" s="11"/>
      <c r="W14" s="11"/>
      <c r="X14" s="11"/>
      <c r="Y14" s="13"/>
      <c r="Z14" s="13"/>
      <c r="AA14" s="13"/>
      <c r="AB14" s="13"/>
    </row>
    <row r="15" spans="1:28" s="300" customFormat="1" ht="36.75" customHeight="1" x14ac:dyDescent="0.25">
      <c r="A15" s="299"/>
      <c r="B15" s="662"/>
      <c r="C15" s="299"/>
      <c r="D15" s="299"/>
      <c r="E15" s="299"/>
      <c r="F15" s="299"/>
      <c r="G15" s="299"/>
      <c r="H15" s="299"/>
      <c r="I15" s="299"/>
      <c r="J15" s="299"/>
      <c r="K15" s="299"/>
      <c r="L15" s="299"/>
      <c r="M15" s="299"/>
      <c r="N15" s="299"/>
      <c r="O15" s="299"/>
      <c r="P15" s="299"/>
      <c r="Q15" s="299"/>
      <c r="R15" s="299"/>
      <c r="S15" s="299"/>
      <c r="T15" s="299"/>
      <c r="U15" s="299"/>
      <c r="V15" s="299"/>
      <c r="W15" s="299"/>
      <c r="X15" s="299"/>
      <c r="Y15" s="299"/>
      <c r="Z15" s="13"/>
    </row>
    <row r="16" spans="1:28" s="275" customFormat="1" ht="41.25" customHeight="1" x14ac:dyDescent="0.25">
      <c r="A16" s="302"/>
      <c r="B16" s="619"/>
      <c r="C16" s="302"/>
      <c r="D16" s="139">
        <v>1</v>
      </c>
      <c r="E16" s="1291" t="s">
        <v>5475</v>
      </c>
      <c r="F16" s="1291"/>
      <c r="G16" s="1291"/>
      <c r="H16" s="1291"/>
      <c r="I16" s="1291"/>
      <c r="J16" s="1291"/>
      <c r="K16" s="53" t="s">
        <v>4821</v>
      </c>
      <c r="L16" s="53"/>
      <c r="M16" s="54"/>
      <c r="N16" s="55"/>
      <c r="O16" s="56"/>
      <c r="P16" s="54"/>
      <c r="Q16" s="54"/>
      <c r="R16" s="56"/>
      <c r="S16" s="53"/>
      <c r="T16" s="57"/>
      <c r="U16" s="57"/>
      <c r="V16" s="53"/>
      <c r="W16" s="53"/>
      <c r="X16" s="58"/>
      <c r="Y16" s="13"/>
      <c r="Z16" s="13"/>
    </row>
    <row r="17" spans="1:28" s="277" customFormat="1" ht="16.5" customHeight="1" x14ac:dyDescent="0.25">
      <c r="A17" s="3"/>
      <c r="B17" s="5"/>
      <c r="C17" s="1"/>
      <c r="D17" s="41"/>
      <c r="E17" s="1055">
        <v>2</v>
      </c>
      <c r="F17" s="1380" t="s">
        <v>5476</v>
      </c>
      <c r="G17" s="1380"/>
      <c r="H17" s="1380"/>
      <c r="I17" s="1380"/>
      <c r="J17" s="1380"/>
      <c r="K17" s="1380"/>
      <c r="L17" s="1380"/>
      <c r="M17" s="1380"/>
      <c r="N17" s="1381"/>
      <c r="O17" s="1380"/>
      <c r="P17" s="1380"/>
      <c r="Q17" s="1380"/>
      <c r="R17" s="1380"/>
      <c r="S17" s="1380"/>
      <c r="T17" s="1380"/>
      <c r="U17" s="1380"/>
      <c r="V17" s="1380"/>
      <c r="W17" s="1380"/>
      <c r="X17" s="1382"/>
      <c r="Y17" s="13"/>
      <c r="Z17" s="13"/>
      <c r="AA17" s="275"/>
      <c r="AB17" s="275"/>
    </row>
    <row r="18" spans="1:28" s="277" customFormat="1" x14ac:dyDescent="0.25">
      <c r="A18" s="3"/>
      <c r="B18" s="5"/>
      <c r="C18" s="1"/>
      <c r="D18" s="11"/>
      <c r="E18" s="11"/>
      <c r="F18" s="1017">
        <v>3</v>
      </c>
      <c r="G18" s="1378" t="s">
        <v>4823</v>
      </c>
      <c r="H18" s="1348"/>
      <c r="I18" s="1348"/>
      <c r="J18" s="1348"/>
      <c r="K18" s="1348"/>
      <c r="L18" s="1348"/>
      <c r="M18" s="1383"/>
      <c r="N18" s="1056" t="str">
        <f>HYPERLINK("http://wiki.academyofsports.online/tiki-index.php?page=Vorabrecherche-(PV-P%C3%A4d-001)", "PV-Päd-001")</f>
        <v>PV-Päd-001</v>
      </c>
      <c r="O18" s="1026"/>
      <c r="P18" s="902"/>
      <c r="Q18" s="902"/>
      <c r="R18" s="1026"/>
      <c r="S18" s="1026"/>
      <c r="T18" s="1020"/>
      <c r="U18" s="1020"/>
      <c r="V18" s="841"/>
      <c r="W18" s="841"/>
      <c r="X18" s="841"/>
      <c r="Y18" s="13"/>
      <c r="Z18" s="13"/>
      <c r="AA18" s="13"/>
      <c r="AB18" s="13"/>
    </row>
    <row r="19" spans="1:28" s="304" customFormat="1" ht="75" x14ac:dyDescent="0.2">
      <c r="A19" s="3"/>
      <c r="B19" s="5" t="s">
        <v>33</v>
      </c>
      <c r="C19" s="218"/>
      <c r="D19" s="70"/>
      <c r="E19" s="70"/>
      <c r="F19" s="70"/>
      <c r="G19" s="70"/>
      <c r="H19" s="70"/>
      <c r="I19" s="70"/>
      <c r="J19" s="140" t="s">
        <v>5477</v>
      </c>
      <c r="K19" s="12" t="s">
        <v>4815</v>
      </c>
      <c r="L19" s="72" t="s">
        <v>4701</v>
      </c>
      <c r="M19" s="12"/>
      <c r="N19" s="303"/>
      <c r="O19" s="69"/>
      <c r="P19" s="12" t="s">
        <v>4825</v>
      </c>
      <c r="Q19" s="12"/>
      <c r="R19" s="12" t="s">
        <v>4816</v>
      </c>
      <c r="S19" s="69" t="s">
        <v>4813</v>
      </c>
      <c r="T19" s="26"/>
      <c r="U19" s="26"/>
      <c r="V19" s="70"/>
      <c r="W19" s="70"/>
      <c r="X19" s="70"/>
      <c r="Y19" s="68"/>
      <c r="Z19" s="68"/>
      <c r="AA19" s="68"/>
      <c r="AB19" s="68"/>
    </row>
    <row r="20" spans="1:28" s="277" customFormat="1" x14ac:dyDescent="0.25">
      <c r="A20" s="3"/>
      <c r="B20" s="5" t="s">
        <v>35</v>
      </c>
      <c r="C20" s="1"/>
      <c r="D20" s="11"/>
      <c r="E20" s="11"/>
      <c r="F20" s="11"/>
      <c r="G20" s="41"/>
      <c r="H20" s="41"/>
      <c r="I20" s="41"/>
      <c r="J20" s="20" t="s">
        <v>5478</v>
      </c>
      <c r="K20" s="6" t="s">
        <v>4827</v>
      </c>
      <c r="L20" s="102" t="s">
        <v>4701</v>
      </c>
      <c r="M20" s="82"/>
      <c r="N20" s="21"/>
      <c r="O20" s="10"/>
      <c r="P20"/>
      <c r="Q20" s="6"/>
      <c r="R20" s="10"/>
      <c r="S20" s="10" t="s">
        <v>4813</v>
      </c>
      <c r="T20" s="16"/>
      <c r="U20" s="16"/>
      <c r="V20" s="11"/>
      <c r="W20" s="11"/>
      <c r="X20" s="11"/>
      <c r="Y20" s="13"/>
      <c r="Z20" s="13"/>
      <c r="AA20" s="13"/>
      <c r="AB20" s="13"/>
    </row>
    <row r="21" spans="1:28" s="277" customFormat="1" ht="45" x14ac:dyDescent="0.25">
      <c r="A21" s="3"/>
      <c r="B21" s="5" t="s">
        <v>35</v>
      </c>
      <c r="C21" s="1"/>
      <c r="D21" s="11"/>
      <c r="E21" s="11"/>
      <c r="F21" s="11"/>
      <c r="G21" s="11"/>
      <c r="H21" s="11"/>
      <c r="I21" s="11"/>
      <c r="J21" s="6" t="s">
        <v>5479</v>
      </c>
      <c r="K21" s="6" t="s">
        <v>4829</v>
      </c>
      <c r="L21" s="8"/>
      <c r="M21" s="6"/>
      <c r="N21" s="22"/>
      <c r="O21" s="6"/>
      <c r="P21" s="6"/>
      <c r="Q21" s="6"/>
      <c r="R21" s="6"/>
      <c r="S21" s="6"/>
      <c r="T21" s="16"/>
      <c r="U21" s="16"/>
      <c r="V21" s="6"/>
      <c r="W21" s="6"/>
      <c r="X21" s="6"/>
      <c r="Y21" s="13"/>
      <c r="Z21" s="13"/>
      <c r="AA21" s="13"/>
      <c r="AB21" s="13"/>
    </row>
    <row r="22" spans="1:28" s="277" customFormat="1" ht="45" x14ac:dyDescent="0.25">
      <c r="A22" s="3"/>
      <c r="B22" s="5" t="s">
        <v>35</v>
      </c>
      <c r="C22" s="1"/>
      <c r="D22" s="11"/>
      <c r="E22" s="11"/>
      <c r="F22" s="11"/>
      <c r="G22" s="11">
        <v>4</v>
      </c>
      <c r="H22" s="11"/>
      <c r="I22" s="11"/>
      <c r="J22" s="6" t="s">
        <v>4830</v>
      </c>
      <c r="K22" s="6" t="s">
        <v>4831</v>
      </c>
      <c r="L22" s="8" t="s">
        <v>4832</v>
      </c>
      <c r="M22" s="6" t="s">
        <v>4833</v>
      </c>
      <c r="N22" s="22"/>
      <c r="O22" s="6"/>
      <c r="P22" s="6"/>
      <c r="Q22" s="6"/>
      <c r="R22" s="6" t="s">
        <v>4834</v>
      </c>
      <c r="S22" s="6" t="s">
        <v>4813</v>
      </c>
      <c r="T22" s="16"/>
      <c r="U22" s="16"/>
      <c r="V22" s="6"/>
      <c r="W22" s="6"/>
      <c r="X22" s="6"/>
      <c r="Y22" s="13"/>
      <c r="Z22" s="13"/>
      <c r="AA22" s="13"/>
      <c r="AB22" s="13"/>
    </row>
    <row r="23" spans="1:28" s="277" customFormat="1" ht="45" x14ac:dyDescent="0.25">
      <c r="A23" s="3"/>
      <c r="B23" s="5" t="s">
        <v>35</v>
      </c>
      <c r="C23" s="1"/>
      <c r="D23" s="11"/>
      <c r="E23" s="11"/>
      <c r="F23" s="11"/>
      <c r="G23" s="11">
        <v>4</v>
      </c>
      <c r="H23" s="11"/>
      <c r="I23" s="11"/>
      <c r="J23" s="20" t="s">
        <v>4835</v>
      </c>
      <c r="K23" s="6" t="s">
        <v>4836</v>
      </c>
      <c r="L23" s="8" t="s">
        <v>4701</v>
      </c>
      <c r="M23" s="6"/>
      <c r="N23" s="21"/>
      <c r="O23" s="10"/>
      <c r="P23" s="6" t="s">
        <v>4837</v>
      </c>
      <c r="Q23" s="6"/>
      <c r="R23" s="10"/>
      <c r="S23" s="10" t="s">
        <v>4813</v>
      </c>
      <c r="T23" s="16"/>
      <c r="U23" s="16"/>
      <c r="V23" s="11"/>
      <c r="W23" s="11"/>
      <c r="X23" s="11"/>
      <c r="Y23" s="13"/>
      <c r="Z23" s="13"/>
      <c r="AA23" s="13"/>
      <c r="AB23" s="13"/>
    </row>
    <row r="24" spans="1:28" s="277" customFormat="1" ht="88.5" x14ac:dyDescent="0.25">
      <c r="A24" s="3"/>
      <c r="B24" s="5" t="s">
        <v>35</v>
      </c>
      <c r="C24" s="1"/>
      <c r="D24" s="11"/>
      <c r="E24" s="11"/>
      <c r="F24" s="11"/>
      <c r="G24" s="11">
        <v>4</v>
      </c>
      <c r="H24" s="11"/>
      <c r="I24" s="11"/>
      <c r="J24" s="20" t="s">
        <v>4838</v>
      </c>
      <c r="K24" s="6" t="s">
        <v>4839</v>
      </c>
      <c r="L24" s="8" t="s">
        <v>4701</v>
      </c>
      <c r="M24" s="6"/>
      <c r="N24" s="21"/>
      <c r="O24" s="10"/>
      <c r="P24" s="6" t="s">
        <v>4840</v>
      </c>
      <c r="Q24" s="6"/>
      <c r="R24" s="10" t="s">
        <v>4841</v>
      </c>
      <c r="S24" s="10" t="s">
        <v>4813</v>
      </c>
      <c r="T24" s="16"/>
      <c r="U24" s="16"/>
      <c r="V24" s="11"/>
      <c r="W24" s="11"/>
      <c r="X24" s="11"/>
      <c r="Y24" s="13"/>
      <c r="Z24" s="13"/>
      <c r="AA24" s="13"/>
      <c r="AB24" s="13"/>
    </row>
    <row r="25" spans="1:28" s="277" customFormat="1" ht="75" x14ac:dyDescent="0.25">
      <c r="A25" s="3"/>
      <c r="B25" s="5" t="s">
        <v>37</v>
      </c>
      <c r="C25" s="1"/>
      <c r="D25" s="11"/>
      <c r="E25" s="11"/>
      <c r="F25" s="11"/>
      <c r="G25" s="11">
        <v>4</v>
      </c>
      <c r="H25" s="11"/>
      <c r="I25" s="11"/>
      <c r="J25" s="6" t="s">
        <v>4842</v>
      </c>
      <c r="K25" s="6" t="s">
        <v>4843</v>
      </c>
      <c r="L25" s="8"/>
      <c r="M25" s="6"/>
      <c r="N25" s="21"/>
      <c r="O25" s="10"/>
      <c r="P25" s="6"/>
      <c r="Q25" s="6"/>
      <c r="R25" s="10"/>
      <c r="S25" s="11"/>
      <c r="T25" s="16"/>
      <c r="U25" s="16"/>
      <c r="V25" s="11"/>
      <c r="W25" s="11"/>
      <c r="X25" s="11"/>
      <c r="Y25" s="13"/>
      <c r="Z25" s="13"/>
      <c r="AA25" s="13"/>
      <c r="AB25" s="13"/>
    </row>
    <row r="26" spans="1:28" s="277" customFormat="1" ht="30" x14ac:dyDescent="0.25">
      <c r="A26" s="3"/>
      <c r="B26" s="5" t="s">
        <v>35</v>
      </c>
      <c r="C26" s="1"/>
      <c r="D26" s="11"/>
      <c r="E26" s="11"/>
      <c r="F26" s="28"/>
      <c r="G26" s="28"/>
      <c r="H26" s="28">
        <v>5</v>
      </c>
      <c r="I26" s="28"/>
      <c r="J26" s="6" t="s">
        <v>4844</v>
      </c>
      <c r="K26" s="6" t="s">
        <v>4845</v>
      </c>
      <c r="L26" s="27" t="s">
        <v>4701</v>
      </c>
      <c r="M26" s="6" t="s">
        <v>4846</v>
      </c>
      <c r="N26" s="24"/>
      <c r="O26" s="24"/>
      <c r="P26" s="24"/>
      <c r="Q26" s="24"/>
      <c r="R26" s="24"/>
      <c r="S26" s="24" t="s">
        <v>4813</v>
      </c>
      <c r="T26" s="24"/>
      <c r="U26" s="24"/>
      <c r="V26" s="24"/>
      <c r="W26" s="24"/>
      <c r="X26" s="24"/>
      <c r="Y26" s="13"/>
      <c r="Z26" s="13"/>
      <c r="AA26" s="13"/>
      <c r="AB26" s="13"/>
    </row>
    <row r="27" spans="1:28" s="277" customFormat="1" ht="45" x14ac:dyDescent="0.25">
      <c r="A27" s="3"/>
      <c r="B27" s="5" t="s">
        <v>35</v>
      </c>
      <c r="C27" s="1"/>
      <c r="D27" s="11"/>
      <c r="E27" s="11"/>
      <c r="F27" s="28"/>
      <c r="G27" s="233"/>
      <c r="H27" s="233">
        <v>5</v>
      </c>
      <c r="I27" s="233"/>
      <c r="J27" s="49" t="s">
        <v>4847</v>
      </c>
      <c r="K27" s="148" t="s">
        <v>4848</v>
      </c>
      <c r="L27" s="234" t="s">
        <v>4701</v>
      </c>
      <c r="M27" s="49" t="s">
        <v>4846</v>
      </c>
      <c r="N27" s="24"/>
      <c r="O27" s="24"/>
      <c r="P27" s="24"/>
      <c r="Q27" s="24"/>
      <c r="R27" s="24"/>
      <c r="S27" s="24" t="s">
        <v>4813</v>
      </c>
      <c r="T27" s="24"/>
      <c r="U27" s="24"/>
      <c r="V27" s="24"/>
      <c r="W27" s="24"/>
      <c r="X27" s="24"/>
      <c r="Y27" s="13"/>
      <c r="Z27" s="13"/>
      <c r="AA27" s="13"/>
      <c r="AB27" s="13"/>
    </row>
    <row r="28" spans="1:28" s="277" customFormat="1" ht="45" x14ac:dyDescent="0.25">
      <c r="A28" s="3"/>
      <c r="B28" s="5"/>
      <c r="C28" s="1"/>
      <c r="D28" s="11"/>
      <c r="E28" s="11"/>
      <c r="F28" s="11"/>
      <c r="G28" s="651">
        <v>4</v>
      </c>
      <c r="H28" s="651"/>
      <c r="I28" s="651"/>
      <c r="J28" s="652" t="s">
        <v>4849</v>
      </c>
      <c r="K28" s="652" t="s">
        <v>4850</v>
      </c>
      <c r="L28" s="653" t="s">
        <v>4851</v>
      </c>
      <c r="M28" s="6"/>
      <c r="N28" s="21"/>
      <c r="O28" s="10"/>
      <c r="P28" s="6" t="s">
        <v>4852</v>
      </c>
      <c r="Q28" s="6"/>
      <c r="R28" s="10"/>
      <c r="S28" s="11" t="s">
        <v>4813</v>
      </c>
      <c r="T28" s="16"/>
      <c r="U28" s="16"/>
      <c r="V28" s="11"/>
      <c r="W28" s="11"/>
      <c r="X28" s="11"/>
      <c r="Y28" s="13"/>
      <c r="Z28" s="13"/>
      <c r="AA28" s="13"/>
      <c r="AB28" s="13"/>
    </row>
    <row r="29" spans="1:28" s="277" customFormat="1" ht="45" x14ac:dyDescent="0.25">
      <c r="A29" s="3"/>
      <c r="B29" s="5"/>
      <c r="C29" s="1"/>
      <c r="D29" s="11"/>
      <c r="E29" s="11"/>
      <c r="F29" s="11"/>
      <c r="G29" s="651">
        <v>4</v>
      </c>
      <c r="H29" s="651"/>
      <c r="I29" s="651"/>
      <c r="J29" s="652" t="s">
        <v>4853</v>
      </c>
      <c r="K29" s="652" t="s">
        <v>4854</v>
      </c>
      <c r="L29" s="653" t="s">
        <v>4781</v>
      </c>
      <c r="M29" s="6"/>
      <c r="N29" s="21"/>
      <c r="O29" s="10"/>
      <c r="P29" s="6" t="s">
        <v>4852</v>
      </c>
      <c r="Q29" s="6"/>
      <c r="R29" s="10"/>
      <c r="S29" s="11" t="s">
        <v>4813</v>
      </c>
      <c r="T29" s="16"/>
      <c r="U29" s="16"/>
      <c r="V29" s="11"/>
      <c r="W29" s="11"/>
      <c r="X29" s="11"/>
      <c r="Y29" s="13"/>
      <c r="Z29" s="13"/>
      <c r="AA29" s="13"/>
      <c r="AB29" s="13"/>
    </row>
    <row r="30" spans="1:28" s="277" customFormat="1" ht="45" x14ac:dyDescent="0.25">
      <c r="A30" s="3"/>
      <c r="B30" s="5"/>
      <c r="C30" s="1"/>
      <c r="D30" s="11"/>
      <c r="E30" s="11"/>
      <c r="F30" s="11"/>
      <c r="G30" s="651">
        <v>4</v>
      </c>
      <c r="H30" s="651"/>
      <c r="I30" s="651"/>
      <c r="J30" s="652" t="s">
        <v>4855</v>
      </c>
      <c r="K30" s="652" t="s">
        <v>4856</v>
      </c>
      <c r="L30" s="653" t="s">
        <v>692</v>
      </c>
      <c r="M30" s="6"/>
      <c r="N30" s="21"/>
      <c r="O30" s="10"/>
      <c r="P30" s="6" t="s">
        <v>4852</v>
      </c>
      <c r="Q30" s="6"/>
      <c r="R30" s="10"/>
      <c r="S30" s="11" t="s">
        <v>4813</v>
      </c>
      <c r="T30" s="16"/>
      <c r="U30" s="16"/>
      <c r="V30" s="11"/>
      <c r="W30" s="11"/>
      <c r="X30" s="11"/>
      <c r="Y30" s="13"/>
      <c r="Z30" s="13"/>
      <c r="AA30" s="13"/>
      <c r="AB30" s="13"/>
    </row>
    <row r="31" spans="1:28" s="277" customFormat="1" ht="27" customHeight="1" x14ac:dyDescent="0.25">
      <c r="A31" s="3"/>
      <c r="B31" s="5" t="s">
        <v>35</v>
      </c>
      <c r="C31" s="1"/>
      <c r="D31" s="11"/>
      <c r="E31" s="11"/>
      <c r="F31" s="11"/>
      <c r="G31" s="11"/>
      <c r="H31" s="11"/>
      <c r="I31" s="11"/>
      <c r="J31" s="6" t="s">
        <v>4857</v>
      </c>
      <c r="K31" s="6"/>
      <c r="L31" s="8" t="s">
        <v>4701</v>
      </c>
      <c r="M31" s="6"/>
      <c r="N31" s="21"/>
      <c r="O31" s="10"/>
      <c r="P31" s="6"/>
      <c r="Q31" s="6"/>
      <c r="R31" s="10"/>
      <c r="S31" s="11"/>
      <c r="T31" s="16"/>
      <c r="U31" s="16"/>
      <c r="V31" s="11"/>
      <c r="W31" s="11"/>
      <c r="X31" s="11"/>
      <c r="Y31" s="13"/>
      <c r="Z31" s="13"/>
      <c r="AA31" s="13"/>
      <c r="AB31" s="13"/>
    </row>
    <row r="32" spans="1:28" s="277" customFormat="1" ht="16.5" customHeight="1" x14ac:dyDescent="0.25">
      <c r="A32" s="1039"/>
      <c r="B32" s="1057"/>
      <c r="C32" s="1039"/>
      <c r="D32" s="285"/>
      <c r="E32" s="285"/>
      <c r="F32" s="1058">
        <v>3</v>
      </c>
      <c r="G32" s="1384" t="s">
        <v>4858</v>
      </c>
      <c r="H32" s="1385"/>
      <c r="I32" s="1385"/>
      <c r="J32" s="1385"/>
      <c r="K32" s="1385"/>
      <c r="L32" s="1385"/>
      <c r="M32" s="1385"/>
      <c r="N32" s="283"/>
      <c r="O32" s="283"/>
      <c r="P32" s="283"/>
      <c r="Q32" s="283"/>
      <c r="R32" s="283"/>
      <c r="S32" s="283"/>
      <c r="T32" s="284"/>
      <c r="U32" s="284"/>
      <c r="V32" s="285"/>
      <c r="W32" s="285"/>
      <c r="X32" s="285"/>
      <c r="Y32" s="13"/>
      <c r="Z32" s="13"/>
      <c r="AA32" s="13"/>
      <c r="AB32" s="13"/>
    </row>
    <row r="33" spans="1:28" s="277" customFormat="1" ht="51" customHeight="1" x14ac:dyDescent="0.25">
      <c r="A33" s="3"/>
      <c r="B33" s="5" t="s">
        <v>35</v>
      </c>
      <c r="C33" s="180"/>
      <c r="D33" s="136"/>
      <c r="E33" s="136"/>
      <c r="F33" s="136"/>
      <c r="G33" s="286">
        <v>4</v>
      </c>
      <c r="H33" s="1059"/>
      <c r="I33" s="1059"/>
      <c r="J33" s="1060" t="s">
        <v>4859</v>
      </c>
      <c r="K33" s="1060" t="s">
        <v>4860</v>
      </c>
      <c r="L33" s="200" t="s">
        <v>4712</v>
      </c>
      <c r="M33" s="131"/>
      <c r="N33" s="132"/>
      <c r="O33" s="131"/>
      <c r="P33" s="131" t="s">
        <v>4861</v>
      </c>
      <c r="Q33" s="131"/>
      <c r="R33" s="131"/>
      <c r="S33" s="131" t="s">
        <v>129</v>
      </c>
      <c r="T33" s="133"/>
      <c r="U33" s="133"/>
      <c r="V33" s="131"/>
      <c r="W33" s="131"/>
      <c r="X33" s="131"/>
      <c r="Y33" s="13"/>
      <c r="Z33" s="13"/>
      <c r="AA33" s="13"/>
      <c r="AB33" s="13"/>
    </row>
    <row r="34" spans="1:28" s="277" customFormat="1" ht="28.5" customHeight="1" x14ac:dyDescent="0.25">
      <c r="A34" s="3"/>
      <c r="B34" s="5"/>
      <c r="C34" s="180"/>
      <c r="D34" s="136"/>
      <c r="E34" s="136"/>
      <c r="F34" s="136"/>
      <c r="G34" s="286">
        <v>4</v>
      </c>
      <c r="H34" s="1059"/>
      <c r="I34" s="1059"/>
      <c r="J34" s="1061" t="s">
        <v>4862</v>
      </c>
      <c r="K34" s="1060" t="s">
        <v>4863</v>
      </c>
      <c r="L34" s="200" t="s">
        <v>4745</v>
      </c>
      <c r="M34" s="131"/>
      <c r="N34" s="132"/>
      <c r="O34" s="131"/>
      <c r="P34" s="131"/>
      <c r="Q34" s="131"/>
      <c r="R34" s="131"/>
      <c r="S34" s="131" t="s">
        <v>129</v>
      </c>
      <c r="T34" s="133"/>
      <c r="U34" s="133"/>
      <c r="V34" s="131"/>
      <c r="W34" s="131"/>
      <c r="X34" s="131"/>
      <c r="Y34" s="13"/>
      <c r="Z34" s="13"/>
      <c r="AA34" s="13"/>
      <c r="AB34" s="13"/>
    </row>
    <row r="35" spans="1:28" s="277" customFormat="1" ht="29.25" x14ac:dyDescent="0.25">
      <c r="A35" s="3"/>
      <c r="B35" s="5"/>
      <c r="C35" s="1"/>
      <c r="D35" s="11"/>
      <c r="E35" s="11"/>
      <c r="F35" s="11"/>
      <c r="G35" s="301">
        <v>4</v>
      </c>
      <c r="H35" s="144"/>
      <c r="I35" s="144"/>
      <c r="J35" s="1034" t="s">
        <v>4864</v>
      </c>
      <c r="K35" s="1034" t="s">
        <v>4865</v>
      </c>
      <c r="L35" s="8" t="s">
        <v>4866</v>
      </c>
      <c r="M35" s="6"/>
      <c r="N35" s="22"/>
      <c r="O35" s="6"/>
      <c r="P35" s="6"/>
      <c r="Q35" s="6"/>
      <c r="R35" s="6"/>
      <c r="S35" s="6" t="s">
        <v>129</v>
      </c>
      <c r="T35" s="16"/>
      <c r="U35" s="16"/>
      <c r="V35" s="6"/>
      <c r="W35" s="6"/>
      <c r="X35" s="6"/>
      <c r="Y35" s="13"/>
      <c r="Z35" s="13"/>
      <c r="AA35" s="13"/>
      <c r="AB35" s="13"/>
    </row>
    <row r="36" spans="1:28" s="277" customFormat="1" x14ac:dyDescent="0.25">
      <c r="A36" s="3"/>
      <c r="B36" s="5"/>
      <c r="C36"/>
      <c r="D36"/>
      <c r="E36"/>
      <c r="F36"/>
      <c r="G36"/>
      <c r="H36"/>
      <c r="I36"/>
      <c r="J36"/>
      <c r="K36"/>
      <c r="L36"/>
      <c r="M36"/>
      <c r="N36"/>
      <c r="O36"/>
      <c r="P36"/>
      <c r="Q36"/>
      <c r="R36"/>
      <c r="S36"/>
      <c r="T36"/>
      <c r="U36"/>
      <c r="V36"/>
      <c r="W36"/>
      <c r="X36"/>
      <c r="Y36"/>
      <c r="Z36" s="13"/>
      <c r="AA36" s="13"/>
      <c r="AB36" s="13"/>
    </row>
    <row r="37" spans="1:28" s="277" customFormat="1" ht="22.5" customHeight="1" x14ac:dyDescent="0.25">
      <c r="A37" s="3"/>
      <c r="B37" s="5"/>
      <c r="C37" s="1"/>
      <c r="D37" s="1"/>
      <c r="E37" s="1062" t="s">
        <v>4868</v>
      </c>
      <c r="F37" s="1386" t="s">
        <v>4869</v>
      </c>
      <c r="G37" s="1386"/>
      <c r="H37" s="1386"/>
      <c r="I37" s="1386"/>
      <c r="J37" s="1386"/>
      <c r="K37" s="1386"/>
      <c r="L37" s="1386"/>
      <c r="M37" s="1386"/>
      <c r="N37" s="1387"/>
      <c r="O37" s="1386"/>
      <c r="P37" s="1386"/>
      <c r="Q37" s="1386"/>
      <c r="R37" s="1386"/>
      <c r="S37" s="1386"/>
      <c r="T37" s="1386"/>
      <c r="U37" s="1386"/>
      <c r="V37" s="1386"/>
      <c r="W37" s="1386"/>
      <c r="X37" s="1386"/>
      <c r="Y37" s="13"/>
      <c r="Z37" s="13"/>
      <c r="AA37" s="13"/>
      <c r="AB37" s="13"/>
    </row>
    <row r="38" spans="1:28" s="277" customFormat="1" ht="43.5" x14ac:dyDescent="0.25">
      <c r="A38" s="3"/>
      <c r="B38" s="5"/>
      <c r="C38" s="1"/>
      <c r="D38" s="11"/>
      <c r="E38" s="11"/>
      <c r="F38" s="28"/>
      <c r="G38" s="28">
        <v>4</v>
      </c>
      <c r="H38" s="28"/>
      <c r="I38" s="28"/>
      <c r="J38" s="6" t="s">
        <v>5480</v>
      </c>
      <c r="K38" s="848" t="s">
        <v>4871</v>
      </c>
      <c r="L38" s="27"/>
      <c r="M38" s="24"/>
      <c r="N38" s="24"/>
      <c r="O38" s="24"/>
      <c r="P38" s="24"/>
      <c r="Q38" s="24"/>
      <c r="R38" s="24"/>
      <c r="S38" s="24"/>
      <c r="T38" s="24"/>
      <c r="U38" s="24"/>
      <c r="V38" s="24"/>
      <c r="W38" s="24"/>
      <c r="X38" s="24"/>
      <c r="Y38" s="13"/>
      <c r="Z38" s="13"/>
      <c r="AA38" s="13"/>
      <c r="AB38" s="13"/>
    </row>
    <row r="39" spans="1:28" s="277" customFormat="1" ht="60" x14ac:dyDescent="0.25">
      <c r="A39" s="3"/>
      <c r="B39" s="5" t="s">
        <v>35</v>
      </c>
      <c r="C39" s="1"/>
      <c r="D39" s="11"/>
      <c r="E39" s="11"/>
      <c r="F39" s="28"/>
      <c r="G39" s="28">
        <v>4</v>
      </c>
      <c r="H39" s="28"/>
      <c r="I39" s="28"/>
      <c r="J39" s="6" t="s">
        <v>4872</v>
      </c>
      <c r="K39" s="6" t="s">
        <v>4737</v>
      </c>
      <c r="L39" s="790" t="s">
        <v>4873</v>
      </c>
      <c r="M39" s="24" t="s">
        <v>4874</v>
      </c>
      <c r="N39" s="24"/>
      <c r="O39" s="24"/>
      <c r="P39" s="6" t="s">
        <v>4739</v>
      </c>
      <c r="Q39" s="24"/>
      <c r="R39" s="24"/>
      <c r="S39" s="24" t="s">
        <v>4875</v>
      </c>
      <c r="T39" s="24"/>
      <c r="U39" s="24"/>
      <c r="V39" s="24"/>
      <c r="W39" s="24"/>
      <c r="X39" s="24"/>
      <c r="Y39" s="13"/>
      <c r="Z39" s="13"/>
      <c r="AA39" s="13"/>
      <c r="AB39" s="13"/>
    </row>
    <row r="40" spans="1:28" s="277" customFormat="1" ht="75" x14ac:dyDescent="0.25">
      <c r="A40" s="3"/>
      <c r="B40" s="5" t="s">
        <v>35</v>
      </c>
      <c r="C40" s="1"/>
      <c r="D40" s="11"/>
      <c r="E40" s="11"/>
      <c r="F40" s="28"/>
      <c r="G40" s="28">
        <v>4</v>
      </c>
      <c r="H40" s="28"/>
      <c r="I40" s="28"/>
      <c r="J40" s="6" t="s">
        <v>4876</v>
      </c>
      <c r="K40" s="6" t="s">
        <v>4877</v>
      </c>
      <c r="L40" s="27" t="s">
        <v>4701</v>
      </c>
      <c r="M40" s="24" t="s">
        <v>4878</v>
      </c>
      <c r="N40" s="24"/>
      <c r="O40" s="24"/>
      <c r="P40" s="24" t="s">
        <v>4879</v>
      </c>
      <c r="Q40" s="24"/>
      <c r="R40" s="24"/>
      <c r="S40" s="24" t="s">
        <v>4875</v>
      </c>
      <c r="T40" s="24"/>
      <c r="U40" s="24"/>
      <c r="V40" s="24"/>
      <c r="W40" s="24"/>
      <c r="X40" s="24"/>
      <c r="Y40" s="13"/>
      <c r="Z40" s="13"/>
      <c r="AA40" s="13"/>
      <c r="AB40" s="13"/>
    </row>
    <row r="41" spans="1:28" s="277" customFormat="1" ht="45" x14ac:dyDescent="0.25">
      <c r="A41" s="3"/>
      <c r="B41" s="5" t="s">
        <v>35</v>
      </c>
      <c r="C41" s="1"/>
      <c r="D41" s="11"/>
      <c r="E41" s="11"/>
      <c r="F41" s="28"/>
      <c r="G41" s="28">
        <v>4</v>
      </c>
      <c r="H41" s="28"/>
      <c r="I41" s="28"/>
      <c r="J41" s="6" t="s">
        <v>4880</v>
      </c>
      <c r="K41" s="6" t="s">
        <v>4881</v>
      </c>
      <c r="L41" s="27" t="s">
        <v>4701</v>
      </c>
      <c r="M41" s="6" t="s">
        <v>4882</v>
      </c>
      <c r="N41" s="24"/>
      <c r="O41" s="24"/>
      <c r="P41" s="24" t="s">
        <v>4879</v>
      </c>
      <c r="Q41" s="24"/>
      <c r="R41" s="24"/>
      <c r="S41" s="24"/>
      <c r="T41" s="24"/>
      <c r="U41" s="24"/>
      <c r="V41" s="24"/>
      <c r="W41" s="24"/>
      <c r="X41" s="24"/>
      <c r="Y41" s="13"/>
      <c r="Z41" s="13"/>
      <c r="AA41" s="13"/>
      <c r="AB41" s="13"/>
    </row>
    <row r="42" spans="1:28" s="277" customFormat="1" ht="30" x14ac:dyDescent="0.25">
      <c r="A42" s="3"/>
      <c r="B42" s="5" t="s">
        <v>35</v>
      </c>
      <c r="C42" s="1"/>
      <c r="D42" s="11"/>
      <c r="E42" s="11"/>
      <c r="F42" s="28"/>
      <c r="G42" s="28">
        <v>4</v>
      </c>
      <c r="H42" s="28"/>
      <c r="I42" s="28"/>
      <c r="J42" s="6" t="s">
        <v>4883</v>
      </c>
      <c r="K42" s="6" t="s">
        <v>4884</v>
      </c>
      <c r="L42" s="27"/>
      <c r="M42" s="6"/>
      <c r="N42" s="24"/>
      <c r="O42" s="24"/>
      <c r="P42" s="24"/>
      <c r="Q42" s="24"/>
      <c r="R42" s="24"/>
      <c r="S42" s="24"/>
      <c r="T42" s="24"/>
      <c r="U42" s="24"/>
      <c r="V42" s="24"/>
      <c r="W42" s="24"/>
      <c r="X42" s="24"/>
      <c r="Y42" s="13"/>
      <c r="Z42" s="13"/>
      <c r="AA42" s="13"/>
      <c r="AB42" s="13"/>
    </row>
    <row r="43" spans="1:28" s="277" customFormat="1" ht="30" x14ac:dyDescent="0.25">
      <c r="A43" s="3"/>
      <c r="B43" s="5" t="s">
        <v>35</v>
      </c>
      <c r="C43" s="1"/>
      <c r="D43" s="11"/>
      <c r="E43" s="11"/>
      <c r="F43" s="28"/>
      <c r="G43" s="28">
        <v>4</v>
      </c>
      <c r="H43" s="28"/>
      <c r="I43" s="28"/>
      <c r="J43" s="6" t="s">
        <v>4885</v>
      </c>
      <c r="K43" s="6" t="s">
        <v>4886</v>
      </c>
      <c r="L43" s="27"/>
      <c r="M43" s="6"/>
      <c r="N43" s="24"/>
      <c r="O43" s="24"/>
      <c r="P43" s="24"/>
      <c r="Q43" s="24"/>
      <c r="R43" s="24"/>
      <c r="S43" s="24"/>
      <c r="T43" s="24"/>
      <c r="U43" s="24"/>
      <c r="V43" s="24"/>
      <c r="W43" s="24"/>
      <c r="X43" s="24"/>
      <c r="Y43" s="13"/>
      <c r="Z43" s="13"/>
      <c r="AA43" s="13"/>
      <c r="AB43" s="13"/>
    </row>
    <row r="44" spans="1:28" s="277" customFormat="1" x14ac:dyDescent="0.25">
      <c r="A44" s="3"/>
      <c r="B44" s="5" t="s">
        <v>35</v>
      </c>
      <c r="C44" s="1"/>
      <c r="D44" s="11"/>
      <c r="E44" s="11"/>
      <c r="F44" s="11"/>
      <c r="G44" s="11">
        <v>4</v>
      </c>
      <c r="H44" s="11"/>
      <c r="I44" s="11"/>
      <c r="J44" s="6" t="s">
        <v>4887</v>
      </c>
      <c r="K44" s="6" t="s">
        <v>4888</v>
      </c>
      <c r="L44" s="8" t="s">
        <v>4781</v>
      </c>
      <c r="M44" s="6"/>
      <c r="N44" s="6"/>
      <c r="O44" s="6"/>
      <c r="P44" s="6"/>
      <c r="Q44" s="6"/>
      <c r="R44" s="6"/>
      <c r="S44" s="24" t="s">
        <v>4813</v>
      </c>
      <c r="T44" s="6"/>
      <c r="U44" s="6"/>
      <c r="V44" s="6"/>
      <c r="W44" s="6"/>
      <c r="X44" s="6"/>
      <c r="Y44" s="14"/>
      <c r="Z44" s="14"/>
      <c r="AA44" s="14"/>
      <c r="AB44" s="14"/>
    </row>
    <row r="45" spans="1:28" s="277" customFormat="1" x14ac:dyDescent="0.25">
      <c r="A45" s="3"/>
      <c r="B45" s="5" t="s">
        <v>35</v>
      </c>
      <c r="C45" s="1"/>
      <c r="D45" s="11"/>
      <c r="E45" s="11"/>
      <c r="F45" s="11"/>
      <c r="G45" s="11">
        <v>4</v>
      </c>
      <c r="H45" s="11"/>
      <c r="I45" s="11"/>
      <c r="J45" s="6" t="s">
        <v>4889</v>
      </c>
      <c r="K45" s="6" t="s">
        <v>4890</v>
      </c>
      <c r="L45" s="8" t="s">
        <v>4701</v>
      </c>
      <c r="M45" s="6"/>
      <c r="N45" s="6"/>
      <c r="O45" s="6"/>
      <c r="P45" s="6"/>
      <c r="Q45" s="6"/>
      <c r="R45" s="6"/>
      <c r="S45" s="24"/>
      <c r="T45" s="6"/>
      <c r="U45" s="6"/>
      <c r="V45" s="6"/>
      <c r="W45" s="6"/>
      <c r="X45" s="6"/>
      <c r="Y45" s="14"/>
      <c r="Z45" s="14"/>
      <c r="AA45" s="14"/>
      <c r="AB45" s="14"/>
    </row>
    <row r="46" spans="1:28" s="277" customFormat="1" ht="45" x14ac:dyDescent="0.25">
      <c r="A46" s="3"/>
      <c r="B46" s="5" t="s">
        <v>35</v>
      </c>
      <c r="C46" s="1"/>
      <c r="D46" s="11"/>
      <c r="E46" s="11"/>
      <c r="F46" s="11"/>
      <c r="G46" s="11"/>
      <c r="H46" s="11"/>
      <c r="I46" s="11"/>
      <c r="J46" s="6" t="s">
        <v>4891</v>
      </c>
      <c r="K46" s="6" t="s">
        <v>4892</v>
      </c>
      <c r="L46" s="8" t="s">
        <v>4750</v>
      </c>
      <c r="M46" s="6" t="s">
        <v>4893</v>
      </c>
      <c r="N46" s="6"/>
      <c r="O46" s="6"/>
      <c r="P46" s="6" t="s">
        <v>4894</v>
      </c>
      <c r="Q46" s="6"/>
      <c r="R46" s="6"/>
      <c r="S46" s="24" t="s">
        <v>4875</v>
      </c>
      <c r="T46" s="6"/>
      <c r="U46" s="6"/>
      <c r="V46" s="6"/>
      <c r="W46" s="6"/>
      <c r="X46" s="6"/>
      <c r="Y46" s="14"/>
      <c r="Z46" s="14"/>
      <c r="AA46" s="14"/>
      <c r="AB46" s="14"/>
    </row>
    <row r="47" spans="1:28" s="277" customFormat="1" x14ac:dyDescent="0.25">
      <c r="A47" s="3"/>
      <c r="B47" s="5" t="s">
        <v>35</v>
      </c>
      <c r="C47" s="1"/>
      <c r="D47" s="11"/>
      <c r="E47" s="11"/>
      <c r="F47" s="11"/>
      <c r="G47" s="11"/>
      <c r="H47" s="11"/>
      <c r="I47" s="11"/>
      <c r="J47" s="754" t="s">
        <v>4895</v>
      </c>
      <c r="K47" s="6"/>
      <c r="L47" s="8" t="s">
        <v>4701</v>
      </c>
      <c r="M47" s="6"/>
      <c r="N47" s="6"/>
      <c r="O47" s="6"/>
      <c r="P47" s="6"/>
      <c r="Q47" s="6"/>
      <c r="R47" s="6"/>
      <c r="S47" s="24"/>
      <c r="T47" s="6"/>
      <c r="U47" s="6"/>
      <c r="V47" s="6"/>
      <c r="W47" s="6"/>
      <c r="X47" s="6"/>
      <c r="Y47" s="14"/>
      <c r="Z47" s="14"/>
      <c r="AA47" s="14"/>
      <c r="AB47" s="14"/>
    </row>
    <row r="48" spans="1:28" s="277" customFormat="1" ht="60" x14ac:dyDescent="0.25">
      <c r="A48" s="3"/>
      <c r="B48" s="5" t="s">
        <v>35</v>
      </c>
      <c r="C48" s="1"/>
      <c r="D48" s="11"/>
      <c r="E48" s="11"/>
      <c r="F48" s="11"/>
      <c r="G48" s="11"/>
      <c r="H48" s="11"/>
      <c r="I48" s="11"/>
      <c r="J48" s="6" t="s">
        <v>4896</v>
      </c>
      <c r="K48" s="6" t="s">
        <v>4897</v>
      </c>
      <c r="L48" s="8" t="s">
        <v>4701</v>
      </c>
      <c r="M48" s="6" t="s">
        <v>4893</v>
      </c>
      <c r="N48" s="719" t="str">
        <f>HYPERLINK("http://wiki.academyofsports.online/tiki-index.php?page=Produktvorstellung-1-(PP-TL-002)", "PP-TL-002")</f>
        <v>PP-TL-002</v>
      </c>
      <c r="O48" s="6"/>
      <c r="P48" s="6"/>
      <c r="Q48" s="6"/>
      <c r="R48" s="6"/>
      <c r="S48" s="24"/>
      <c r="T48" s="6"/>
      <c r="U48" s="6"/>
      <c r="V48" s="6"/>
      <c r="W48" s="6"/>
      <c r="X48" s="6"/>
      <c r="Y48" s="14"/>
      <c r="Z48" s="14"/>
      <c r="AA48" s="14"/>
      <c r="AB48" s="14"/>
    </row>
    <row r="49" spans="1:28" s="277" customFormat="1" ht="45" x14ac:dyDescent="0.25">
      <c r="A49" s="3"/>
      <c r="B49" s="5" t="s">
        <v>35</v>
      </c>
      <c r="C49" s="1"/>
      <c r="D49" s="11"/>
      <c r="E49" s="11"/>
      <c r="F49" s="11"/>
      <c r="G49" s="11"/>
      <c r="H49" s="11">
        <v>5</v>
      </c>
      <c r="I49" s="11"/>
      <c r="J49" s="6" t="s">
        <v>4898</v>
      </c>
      <c r="K49" s="6" t="s">
        <v>4899</v>
      </c>
      <c r="L49" s="8" t="s">
        <v>4701</v>
      </c>
      <c r="M49" s="6" t="s">
        <v>4893</v>
      </c>
      <c r="N49" s="6"/>
      <c r="O49" s="6"/>
      <c r="P49" s="6" t="s">
        <v>4900</v>
      </c>
      <c r="Q49" s="6"/>
      <c r="R49" s="6" t="s">
        <v>4901</v>
      </c>
      <c r="S49" s="24" t="s">
        <v>4875</v>
      </c>
      <c r="T49" s="6"/>
      <c r="U49" s="6"/>
      <c r="V49" s="6"/>
      <c r="W49" s="6"/>
      <c r="X49" s="6"/>
      <c r="Y49" s="14"/>
      <c r="Z49" s="14"/>
      <c r="AA49" s="14"/>
      <c r="AB49" s="14"/>
    </row>
    <row r="50" spans="1:28" s="277" customFormat="1" ht="16.5" customHeight="1" x14ac:dyDescent="0.25">
      <c r="A50" s="276"/>
      <c r="B50" s="276"/>
      <c r="C50" s="276"/>
      <c r="E50" s="278"/>
      <c r="F50" s="278"/>
      <c r="G50" s="278"/>
      <c r="H50" s="278"/>
      <c r="I50" s="278"/>
      <c r="J50" s="374" t="s">
        <v>4902</v>
      </c>
      <c r="K50" s="278"/>
      <c r="L50" s="278"/>
      <c r="M50" s="278"/>
      <c r="N50" s="279"/>
      <c r="O50" s="278"/>
      <c r="P50" s="278"/>
      <c r="Q50" s="278"/>
      <c r="R50" s="278"/>
      <c r="S50" s="278"/>
      <c r="T50" s="278"/>
      <c r="U50" s="278"/>
      <c r="V50" s="278"/>
      <c r="W50" s="278"/>
      <c r="X50" s="278"/>
    </row>
    <row r="51" spans="1:28" s="277" customFormat="1" ht="16.5" customHeight="1" x14ac:dyDescent="0.25">
      <c r="A51" s="276"/>
      <c r="B51" s="276"/>
      <c r="C51" s="276"/>
      <c r="E51" s="278"/>
      <c r="F51" s="278"/>
      <c r="G51" s="278"/>
      <c r="H51" s="278"/>
      <c r="I51" s="278"/>
      <c r="J51" s="278"/>
      <c r="K51" s="278"/>
      <c r="L51" s="278"/>
      <c r="M51" s="278"/>
      <c r="N51" s="279"/>
      <c r="O51" s="278"/>
      <c r="P51" s="278"/>
      <c r="Q51" s="278"/>
      <c r="R51" s="278"/>
      <c r="S51" s="278"/>
      <c r="T51" s="278"/>
      <c r="U51" s="278"/>
      <c r="V51" s="278"/>
      <c r="W51" s="278"/>
      <c r="X51" s="278"/>
    </row>
    <row r="52" spans="1:28" s="277" customFormat="1" ht="16.5" customHeight="1" x14ac:dyDescent="0.25">
      <c r="A52" s="276"/>
      <c r="B52" s="276"/>
      <c r="C52" s="276"/>
      <c r="E52" s="278"/>
      <c r="F52" s="278"/>
      <c r="G52" s="278"/>
      <c r="H52" s="278"/>
      <c r="I52" s="278"/>
      <c r="J52" s="278"/>
      <c r="K52" s="278"/>
      <c r="L52" s="278"/>
      <c r="M52" s="278"/>
      <c r="N52" s="279"/>
      <c r="O52" s="278"/>
      <c r="P52" s="278"/>
      <c r="Q52" s="278"/>
      <c r="R52" s="278"/>
      <c r="S52" s="278"/>
      <c r="T52" s="278"/>
      <c r="U52" s="278"/>
      <c r="V52" s="278"/>
      <c r="W52" s="278"/>
      <c r="X52" s="278"/>
    </row>
    <row r="53" spans="1:28" s="277" customFormat="1" ht="16.5" customHeight="1" x14ac:dyDescent="0.25">
      <c r="A53" s="276"/>
      <c r="B53" s="276"/>
      <c r="C53" s="276"/>
      <c r="E53" s="278"/>
      <c r="F53" s="278"/>
      <c r="G53" s="278"/>
      <c r="H53" s="278"/>
      <c r="I53" s="278"/>
      <c r="J53" s="278"/>
      <c r="K53" s="278"/>
      <c r="L53" s="278"/>
      <c r="M53" s="278"/>
      <c r="N53" s="279"/>
      <c r="O53" s="278"/>
      <c r="P53" s="278"/>
      <c r="Q53" s="278"/>
      <c r="R53" s="278"/>
      <c r="S53" s="278"/>
      <c r="T53" s="278"/>
      <c r="U53" s="278"/>
      <c r="V53" s="278"/>
      <c r="W53" s="278"/>
      <c r="X53" s="278"/>
    </row>
    <row r="54" spans="1:28" s="277" customFormat="1" ht="15.75" x14ac:dyDescent="0.25">
      <c r="A54" s="3"/>
      <c r="B54" s="3"/>
      <c r="C54" s="1"/>
      <c r="D54" s="11"/>
      <c r="E54" s="1063" t="s">
        <v>4903</v>
      </c>
      <c r="F54" s="1388" t="s">
        <v>4904</v>
      </c>
      <c r="G54" s="1389"/>
      <c r="H54" s="1389"/>
      <c r="I54" s="1389"/>
      <c r="J54" s="1389"/>
      <c r="K54" s="1390"/>
      <c r="L54" s="1390"/>
      <c r="M54" s="1390"/>
      <c r="N54" s="1391"/>
      <c r="O54" s="1390"/>
      <c r="P54" s="1390"/>
      <c r="Q54" s="1390"/>
      <c r="R54" s="1390"/>
      <c r="S54" s="1390"/>
      <c r="T54" s="1390"/>
      <c r="U54" s="1390"/>
      <c r="V54" s="1390"/>
      <c r="W54" s="1390"/>
      <c r="X54" s="1390"/>
      <c r="Y54" s="14"/>
      <c r="Z54" s="14"/>
      <c r="AA54" s="14"/>
      <c r="AB54" s="14"/>
    </row>
    <row r="55" spans="1:28" s="277" customFormat="1" ht="78.75" x14ac:dyDescent="0.25">
      <c r="A55" s="3"/>
      <c r="B55" s="3"/>
      <c r="C55" s="276"/>
      <c r="E55"/>
      <c r="F55"/>
      <c r="G55" s="278"/>
      <c r="H55" s="278"/>
      <c r="I55" s="278"/>
      <c r="J55" s="278" t="s">
        <v>4905</v>
      </c>
      <c r="K55" s="278" t="s">
        <v>4906</v>
      </c>
      <c r="L55" s="278"/>
      <c r="M55" s="278"/>
      <c r="N55" s="279"/>
      <c r="O55" s="278"/>
      <c r="P55" s="278"/>
      <c r="Q55" s="278"/>
      <c r="R55" s="278"/>
      <c r="S55" s="278"/>
      <c r="T55" s="278"/>
      <c r="U55" s="278"/>
      <c r="V55" s="278"/>
      <c r="W55" s="278"/>
      <c r="X55" s="278"/>
    </row>
    <row r="56" spans="1:28" s="277" customFormat="1" x14ac:dyDescent="0.25">
      <c r="A56" s="3"/>
      <c r="B56" s="3"/>
      <c r="C56" s="11"/>
      <c r="D56" s="841"/>
      <c r="E56" s="841"/>
      <c r="F56" s="841">
        <v>3</v>
      </c>
      <c r="G56" s="1351" t="s">
        <v>4907</v>
      </c>
      <c r="H56" s="1352"/>
      <c r="I56" s="1352"/>
      <c r="J56" s="1352"/>
      <c r="K56" s="1352"/>
      <c r="L56" s="1352"/>
      <c r="M56" s="1353"/>
      <c r="N56" s="1030"/>
      <c r="O56" s="902"/>
      <c r="P56" s="902"/>
      <c r="Q56" s="902"/>
      <c r="R56" s="902"/>
      <c r="S56" s="1026"/>
      <c r="T56" s="1020"/>
      <c r="U56" s="1020"/>
      <c r="V56" s="902"/>
      <c r="W56" s="902"/>
      <c r="X56" s="902"/>
      <c r="Y56" s="1041"/>
      <c r="Z56" s="1041"/>
      <c r="AA56" s="1041"/>
      <c r="AB56" s="1041"/>
    </row>
    <row r="57" spans="1:28" s="661" customFormat="1" ht="105" x14ac:dyDescent="0.25">
      <c r="A57" s="655"/>
      <c r="B57" s="655"/>
      <c r="C57" s="651"/>
      <c r="D57" s="651"/>
      <c r="E57" s="651"/>
      <c r="F57" s="656"/>
      <c r="G57" s="656">
        <v>4</v>
      </c>
      <c r="H57" s="656"/>
      <c r="I57" s="656"/>
      <c r="J57" s="652" t="s">
        <v>4908</v>
      </c>
      <c r="K57" s="652" t="s">
        <v>4909</v>
      </c>
      <c r="L57" s="653" t="s">
        <v>4851</v>
      </c>
      <c r="M57" s="652" t="s">
        <v>4910</v>
      </c>
      <c r="N57" s="657"/>
      <c r="O57" s="652"/>
      <c r="P57" s="652" t="s">
        <v>4911</v>
      </c>
      <c r="Q57" s="652" t="s">
        <v>4912</v>
      </c>
      <c r="R57" s="652" t="s">
        <v>4913</v>
      </c>
      <c r="S57" s="658" t="s">
        <v>4813</v>
      </c>
      <c r="T57" s="659"/>
      <c r="U57" s="659"/>
      <c r="V57" s="652"/>
      <c r="W57" s="652"/>
      <c r="X57" s="652"/>
      <c r="Y57" s="660"/>
      <c r="Z57" s="660"/>
      <c r="AA57" s="660"/>
      <c r="AB57" s="660"/>
    </row>
    <row r="58" spans="1:28" s="661" customFormat="1" ht="105" x14ac:dyDescent="0.25">
      <c r="A58" s="655"/>
      <c r="B58" s="655"/>
      <c r="C58" s="651"/>
      <c r="D58" s="651"/>
      <c r="E58" s="651"/>
      <c r="F58" s="656"/>
      <c r="G58" s="656">
        <v>4</v>
      </c>
      <c r="H58" s="656"/>
      <c r="I58" s="656"/>
      <c r="J58" s="652" t="s">
        <v>4914</v>
      </c>
      <c r="K58" s="652" t="s">
        <v>4915</v>
      </c>
      <c r="L58" s="653" t="s">
        <v>4851</v>
      </c>
      <c r="M58" s="652" t="s">
        <v>4916</v>
      </c>
      <c r="N58" s="657"/>
      <c r="O58" s="652"/>
      <c r="P58" s="652" t="s">
        <v>4917</v>
      </c>
      <c r="Q58" s="652" t="s">
        <v>4918</v>
      </c>
      <c r="R58" s="652"/>
      <c r="S58" s="658" t="s">
        <v>4813</v>
      </c>
      <c r="T58" s="659"/>
      <c r="U58" s="659"/>
      <c r="V58" s="652"/>
      <c r="W58" s="652"/>
      <c r="X58" s="652"/>
      <c r="Y58" s="660"/>
      <c r="Z58" s="660"/>
      <c r="AA58" s="660"/>
      <c r="AB58" s="660"/>
    </row>
    <row r="59" spans="1:28" x14ac:dyDescent="0.25">
      <c r="A59" s="351"/>
      <c r="B59" s="351"/>
      <c r="C59" s="903"/>
      <c r="D59" s="841"/>
      <c r="E59" s="841"/>
      <c r="F59" s="841">
        <v>3</v>
      </c>
      <c r="G59" s="1351" t="s">
        <v>4919</v>
      </c>
      <c r="H59" s="1352"/>
      <c r="I59" s="1352"/>
      <c r="J59" s="1352"/>
      <c r="K59" s="1352"/>
      <c r="L59" s="1353"/>
      <c r="M59"/>
      <c r="N59" s="22"/>
      <c r="O59" s="6"/>
      <c r="P59" s="6"/>
      <c r="Q59" s="6"/>
      <c r="R59" s="6"/>
      <c r="S59" s="6"/>
      <c r="T59" s="16"/>
      <c r="U59" s="16"/>
      <c r="V59" s="6"/>
      <c r="W59" s="6"/>
      <c r="X59" s="6"/>
    </row>
    <row r="60" spans="1:28" x14ac:dyDescent="0.25">
      <c r="A60" s="3"/>
      <c r="B60" s="3"/>
      <c r="C60" s="1"/>
      <c r="D60" s="11"/>
      <c r="E60" s="11"/>
      <c r="F60" s="11"/>
      <c r="G60" s="11"/>
      <c r="H60" s="11"/>
      <c r="I60" s="11"/>
      <c r="J60" s="199" t="s">
        <v>4920</v>
      </c>
      <c r="K60" s="20"/>
      <c r="L60" s="200"/>
      <c r="M60" s="6"/>
      <c r="N60" s="22"/>
      <c r="O60" s="6"/>
      <c r="P60" s="6"/>
      <c r="Q60" s="6"/>
      <c r="R60" s="6"/>
      <c r="S60" s="6"/>
      <c r="T60" s="16"/>
      <c r="U60" s="16"/>
      <c r="V60" s="6"/>
      <c r="W60" s="6"/>
      <c r="X60" s="6"/>
    </row>
    <row r="61" spans="1:28" ht="30" x14ac:dyDescent="0.25">
      <c r="A61" s="3"/>
      <c r="B61" s="3"/>
      <c r="C61" s="1"/>
      <c r="D61" s="11"/>
      <c r="E61" s="11"/>
      <c r="F61" s="11"/>
      <c r="G61" s="11"/>
      <c r="H61" s="11"/>
      <c r="I61" s="11"/>
      <c r="J61" s="199" t="s">
        <v>4921</v>
      </c>
      <c r="K61" s="20" t="s">
        <v>4922</v>
      </c>
      <c r="L61" s="200" t="s">
        <v>4701</v>
      </c>
      <c r="M61" s="6"/>
      <c r="N61" s="22"/>
      <c r="O61" s="6"/>
      <c r="P61" s="6"/>
      <c r="Q61" s="6"/>
      <c r="R61" s="6"/>
      <c r="S61" s="6"/>
      <c r="T61" s="16"/>
      <c r="U61" s="16"/>
      <c r="V61" s="6"/>
      <c r="W61" s="6"/>
      <c r="X61" s="6"/>
    </row>
    <row r="62" spans="1:28" x14ac:dyDescent="0.25">
      <c r="A62" s="351"/>
      <c r="B62" s="351"/>
      <c r="C62" s="903"/>
      <c r="D62" s="841"/>
      <c r="E62" s="841"/>
      <c r="F62" s="841">
        <v>3</v>
      </c>
      <c r="G62" s="1351" t="s">
        <v>4923</v>
      </c>
      <c r="H62" s="1352"/>
      <c r="I62" s="1352"/>
      <c r="J62" s="1352"/>
      <c r="K62" s="1352"/>
      <c r="L62" s="1353"/>
      <c r="M62"/>
      <c r="N62" s="22"/>
      <c r="O62" s="6"/>
      <c r="P62" s="6"/>
      <c r="Q62" s="6"/>
      <c r="R62" s="6"/>
      <c r="S62" s="6"/>
      <c r="T62" s="16"/>
      <c r="U62" s="16"/>
      <c r="V62" s="6"/>
      <c r="W62" s="6"/>
      <c r="X62" s="6"/>
    </row>
    <row r="63" spans="1:28" ht="30" x14ac:dyDescent="0.25">
      <c r="A63" s="3"/>
      <c r="B63" s="3"/>
      <c r="C63" s="1"/>
      <c r="D63" s="11"/>
      <c r="E63" s="11"/>
      <c r="F63" s="11"/>
      <c r="G63" s="41"/>
      <c r="H63" s="41"/>
      <c r="I63" s="41"/>
      <c r="J63" s="82" t="s">
        <v>4924</v>
      </c>
      <c r="K63" s="82" t="s">
        <v>4925</v>
      </c>
      <c r="L63" s="102" t="s">
        <v>4712</v>
      </c>
      <c r="M63" s="82"/>
      <c r="N63" s="22"/>
      <c r="O63" s="6"/>
      <c r="P63" s="6" t="s">
        <v>4926</v>
      </c>
      <c r="Q63" s="6"/>
      <c r="R63" s="6"/>
      <c r="S63" s="6"/>
      <c r="T63" s="16"/>
      <c r="U63" s="16"/>
      <c r="V63" s="6"/>
      <c r="W63" s="6"/>
      <c r="X63" s="6"/>
    </row>
    <row r="64" spans="1:28" x14ac:dyDescent="0.25">
      <c r="A64" s="3"/>
      <c r="B64" s="3"/>
      <c r="C64" s="1"/>
      <c r="D64" s="11"/>
      <c r="E64" s="11"/>
      <c r="F64" s="11"/>
      <c r="G64" s="11"/>
      <c r="H64" s="11"/>
      <c r="I64" s="11"/>
      <c r="J64" s="6"/>
      <c r="K64" s="6"/>
      <c r="L64" s="102"/>
      <c r="M64" s="6"/>
      <c r="N64" s="22"/>
      <c r="O64" s="6"/>
      <c r="P64" s="22"/>
      <c r="Q64" s="6"/>
      <c r="R64" s="6"/>
      <c r="S64" s="6"/>
      <c r="T64" s="16"/>
      <c r="U64" s="16"/>
      <c r="V64" s="6"/>
      <c r="W64" s="6"/>
      <c r="X64" s="6"/>
    </row>
    <row r="65" spans="1:24" x14ac:dyDescent="0.25">
      <c r="A65" s="3"/>
      <c r="B65" s="3"/>
      <c r="C65" s="1"/>
      <c r="D65" s="11"/>
      <c r="E65" s="11"/>
      <c r="F65" s="11"/>
      <c r="G65" s="11"/>
      <c r="H65" s="11"/>
      <c r="I65" s="11"/>
      <c r="J65" s="6"/>
      <c r="K65" s="6"/>
      <c r="L65" s="102"/>
      <c r="M65" s="6"/>
      <c r="N65" s="22"/>
      <c r="O65" s="6"/>
      <c r="P65" s="22"/>
      <c r="Q65" s="6"/>
      <c r="R65" s="6"/>
      <c r="S65" s="6"/>
      <c r="T65" s="16"/>
      <c r="U65" s="16"/>
      <c r="V65" s="6"/>
      <c r="W65" s="6"/>
      <c r="X65" s="6"/>
    </row>
    <row r="66" spans="1:24" ht="30" x14ac:dyDescent="0.25">
      <c r="A66" s="3"/>
      <c r="B66" s="3"/>
      <c r="C66" s="1"/>
      <c r="D66" s="11"/>
      <c r="E66" s="11"/>
      <c r="F66" s="11"/>
      <c r="G66" s="11"/>
      <c r="H66" s="11"/>
      <c r="I66" s="11"/>
      <c r="J66" s="6" t="s">
        <v>4927</v>
      </c>
      <c r="K66" s="6" t="s">
        <v>4928</v>
      </c>
      <c r="L66" s="102" t="s">
        <v>4701</v>
      </c>
      <c r="M66" s="6"/>
      <c r="N66" s="22"/>
      <c r="O66" s="6"/>
      <c r="P66" s="22" t="s">
        <v>4929</v>
      </c>
      <c r="Q66" s="6"/>
      <c r="R66" s="6"/>
      <c r="S66" s="6"/>
      <c r="T66" s="16"/>
      <c r="U66" s="16"/>
      <c r="V66" s="6"/>
      <c r="W66" s="6"/>
      <c r="X66" s="6"/>
    </row>
    <row r="67" spans="1:24" ht="30" x14ac:dyDescent="0.25">
      <c r="A67" s="3"/>
      <c r="B67" s="3"/>
      <c r="C67" s="1"/>
      <c r="D67" s="11"/>
      <c r="E67" s="11"/>
      <c r="F67" s="11"/>
      <c r="G67" s="11"/>
      <c r="H67" s="11"/>
      <c r="I67" s="11"/>
      <c r="J67" s="6" t="s">
        <v>4930</v>
      </c>
      <c r="K67" s="848" t="s">
        <v>4931</v>
      </c>
      <c r="L67" s="102" t="s">
        <v>4701</v>
      </c>
      <c r="M67" s="6"/>
      <c r="N67" s="22"/>
      <c r="O67" s="6"/>
      <c r="P67" s="6"/>
      <c r="Q67" s="6"/>
      <c r="R67" s="6"/>
      <c r="S67" s="6"/>
      <c r="T67" s="16"/>
      <c r="U67" s="16"/>
      <c r="V67" s="6"/>
      <c r="W67" s="6"/>
      <c r="X67" s="6"/>
    </row>
    <row r="68" spans="1:24" ht="30" x14ac:dyDescent="0.25">
      <c r="A68" s="3"/>
      <c r="B68" s="3"/>
      <c r="C68" s="1"/>
      <c r="D68" s="11"/>
      <c r="E68" s="11"/>
      <c r="F68" s="11"/>
      <c r="G68" s="11"/>
      <c r="H68" s="11"/>
      <c r="I68" s="11"/>
      <c r="J68" s="6" t="s">
        <v>4932</v>
      </c>
      <c r="K68" s="6" t="s">
        <v>4933</v>
      </c>
      <c r="L68" s="102" t="s">
        <v>4701</v>
      </c>
      <c r="M68" s="6"/>
      <c r="N68" s="22"/>
      <c r="O68" s="6"/>
      <c r="P68" s="6"/>
      <c r="Q68" s="6"/>
      <c r="R68" s="6"/>
      <c r="S68" s="6"/>
      <c r="T68" s="16"/>
      <c r="U68" s="16"/>
      <c r="V68" s="6"/>
      <c r="W68" s="6"/>
      <c r="X68" s="6"/>
    </row>
    <row r="69" spans="1:24" ht="30" x14ac:dyDescent="0.25">
      <c r="A69" s="3"/>
      <c r="B69" s="3"/>
      <c r="C69" s="1"/>
      <c r="D69" s="11"/>
      <c r="E69" s="11"/>
      <c r="F69" s="11"/>
      <c r="G69" s="11"/>
      <c r="H69" s="11"/>
      <c r="I69" s="11"/>
      <c r="J69" s="6" t="s">
        <v>4934</v>
      </c>
      <c r="K69" s="6" t="s">
        <v>4935</v>
      </c>
      <c r="L69" s="102" t="s">
        <v>4701</v>
      </c>
      <c r="M69" s="6"/>
      <c r="N69" s="22"/>
      <c r="O69" s="6"/>
      <c r="P69" s="6"/>
      <c r="Q69" s="6"/>
      <c r="R69" s="6"/>
      <c r="S69" s="6"/>
      <c r="T69" s="16"/>
      <c r="U69" s="16"/>
      <c r="V69" s="6"/>
      <c r="W69" s="6"/>
      <c r="X69" s="6"/>
    </row>
    <row r="70" spans="1:24" x14ac:dyDescent="0.25">
      <c r="A70" s="3"/>
      <c r="B70" s="3"/>
      <c r="C70" s="1"/>
      <c r="D70" s="11"/>
      <c r="E70" s="11"/>
      <c r="F70" s="11"/>
      <c r="G70" s="11"/>
      <c r="H70" s="11"/>
      <c r="I70" s="11"/>
      <c r="J70" s="6" t="s">
        <v>4936</v>
      </c>
      <c r="K70" s="6"/>
      <c r="L70" s="8" t="s">
        <v>692</v>
      </c>
      <c r="M70" s="6"/>
      <c r="N70" s="22"/>
      <c r="O70" s="6"/>
      <c r="P70" s="6"/>
      <c r="Q70" s="6"/>
      <c r="R70" s="6"/>
      <c r="S70" s="6"/>
      <c r="T70" s="16"/>
      <c r="U70" s="16"/>
      <c r="V70" s="6"/>
      <c r="W70" s="6"/>
      <c r="X70" s="6"/>
    </row>
    <row r="71" spans="1:24" x14ac:dyDescent="0.25">
      <c r="A71" s="3"/>
      <c r="B71" s="3"/>
      <c r="C71" s="1"/>
      <c r="D71" s="841"/>
      <c r="E71" s="841"/>
      <c r="F71" s="841">
        <v>3</v>
      </c>
      <c r="G71" s="1392" t="s">
        <v>4795</v>
      </c>
      <c r="H71" s="1393"/>
      <c r="I71" s="1393"/>
      <c r="J71" s="1393"/>
      <c r="K71" s="1393"/>
      <c r="L71" s="1394"/>
      <c r="M71"/>
      <c r="N71" s="22"/>
      <c r="O71" s="6"/>
      <c r="P71" s="6"/>
      <c r="Q71" s="6"/>
      <c r="R71" s="6"/>
      <c r="S71" s="6"/>
      <c r="T71" s="16"/>
      <c r="U71" s="16"/>
      <c r="V71" s="6"/>
      <c r="W71" s="6"/>
      <c r="X71" s="6"/>
    </row>
    <row r="72" spans="1:24" ht="39" customHeight="1" x14ac:dyDescent="0.25">
      <c r="A72" s="3"/>
      <c r="B72" s="3"/>
      <c r="C72" s="1"/>
      <c r="D72" s="136"/>
      <c r="E72" s="136"/>
      <c r="F72" s="136"/>
      <c r="G72" s="136"/>
      <c r="H72" s="136"/>
      <c r="I72" s="136"/>
      <c r="J72" s="833" t="s">
        <v>4937</v>
      </c>
      <c r="K72" s="20" t="s">
        <v>4938</v>
      </c>
      <c r="L72" s="200" t="s">
        <v>4781</v>
      </c>
      <c r="M72" s="131"/>
      <c r="N72" s="733" t="str">
        <f>HYPERLINK("http://wiki.academyofsports.online/tiki-index.php?page=VA-Erstellung-WBT-Produkt-Leseprobe", "VA Erstellung WBT Produkt-Leseprobe")</f>
        <v>VA Erstellung WBT Produkt-Leseprobe</v>
      </c>
      <c r="O72" s="131"/>
      <c r="P72" s="131"/>
      <c r="Q72" s="131"/>
      <c r="R72" s="131"/>
      <c r="S72" s="131"/>
      <c r="T72" s="133"/>
      <c r="U72" s="133"/>
      <c r="V72" s="131"/>
      <c r="W72" s="131"/>
      <c r="X72" s="131"/>
    </row>
    <row r="73" spans="1:24" ht="39" customHeight="1" x14ac:dyDescent="0.25">
      <c r="A73" s="3"/>
      <c r="B73" s="3"/>
      <c r="C73" s="1"/>
      <c r="D73" s="136"/>
      <c r="E73" s="136"/>
      <c r="F73" s="136"/>
      <c r="G73" s="136"/>
      <c r="H73" s="136"/>
      <c r="I73" s="136"/>
      <c r="J73" s="20" t="s">
        <v>4939</v>
      </c>
      <c r="K73" s="20" t="s">
        <v>4940</v>
      </c>
      <c r="L73" s="200" t="s">
        <v>4781</v>
      </c>
      <c r="M73" s="131"/>
      <c r="N73" s="132"/>
      <c r="O73" s="131"/>
      <c r="P73" s="131"/>
      <c r="Q73" s="131"/>
      <c r="R73" s="131"/>
      <c r="S73" s="131"/>
      <c r="T73" s="133"/>
      <c r="U73" s="133"/>
      <c r="V73" s="131"/>
      <c r="W73" s="131"/>
      <c r="X73" s="131"/>
    </row>
    <row r="74" spans="1:24" x14ac:dyDescent="0.25">
      <c r="A74" s="3"/>
      <c r="B74" s="3"/>
      <c r="C74" s="1"/>
      <c r="D74" s="11"/>
      <c r="E74" s="11"/>
      <c r="F74" s="11"/>
      <c r="G74" s="11"/>
      <c r="J74" s="1065" t="s">
        <v>4941</v>
      </c>
      <c r="K74" s="13"/>
      <c r="L74" s="200"/>
      <c r="M74" s="13"/>
      <c r="N74" s="22"/>
      <c r="O74" s="6"/>
      <c r="P74" s="6"/>
      <c r="Q74" s="6"/>
      <c r="R74" s="6"/>
      <c r="S74" s="6"/>
      <c r="T74" s="16"/>
      <c r="U74" s="16"/>
      <c r="V74" s="6"/>
      <c r="W74" s="6"/>
      <c r="X74" s="6"/>
    </row>
    <row r="75" spans="1:24" x14ac:dyDescent="0.25">
      <c r="A75" s="3"/>
      <c r="B75" s="3"/>
      <c r="C75" s="1"/>
      <c r="D75" s="11"/>
      <c r="E75" s="11"/>
      <c r="F75" s="841">
        <v>3</v>
      </c>
      <c r="G75" s="1351" t="s">
        <v>4942</v>
      </c>
      <c r="H75" s="1352"/>
      <c r="I75" s="1352"/>
      <c r="J75" s="1352"/>
      <c r="K75" s="1352"/>
      <c r="L75" s="1352"/>
      <c r="M75" s="1353"/>
      <c r="N75" s="719" t="str">
        <f>HYPERLINK("http://wiki.academyofsports.online/tiki-index.php?page=Produktvorstellung-2-(EP-TL-001)", "EP-TL-001")</f>
        <v>EP-TL-001</v>
      </c>
      <c r="O75" s="6"/>
      <c r="P75" s="6"/>
      <c r="Q75" s="6"/>
      <c r="R75" s="6"/>
      <c r="S75" s="6"/>
      <c r="T75" s="16"/>
      <c r="U75" s="16"/>
      <c r="V75" s="6"/>
      <c r="W75" s="6"/>
      <c r="X75" s="6"/>
    </row>
    <row r="76" spans="1:24" ht="30" x14ac:dyDescent="0.25">
      <c r="A76" s="3"/>
      <c r="B76" s="3"/>
      <c r="C76" s="1"/>
      <c r="D76" s="11"/>
      <c r="E76" s="11"/>
      <c r="F76" s="11"/>
      <c r="G76" s="11"/>
      <c r="H76" s="11"/>
      <c r="I76" s="11"/>
      <c r="J76" s="20" t="s">
        <v>4943</v>
      </c>
      <c r="K76" s="6" t="s">
        <v>4944</v>
      </c>
      <c r="L76" s="8" t="s">
        <v>4701</v>
      </c>
      <c r="M76" s="6"/>
      <c r="N76" s="22"/>
      <c r="O76" s="6"/>
      <c r="P76" s="9" t="s">
        <v>4945</v>
      </c>
      <c r="Q76" s="6"/>
      <c r="R76" s="6"/>
      <c r="S76" s="6"/>
      <c r="T76" s="16"/>
      <c r="U76" s="16"/>
      <c r="V76" s="6"/>
      <c r="W76" s="6"/>
      <c r="X76" s="6"/>
    </row>
    <row r="77" spans="1:24" ht="27" customHeight="1" x14ac:dyDescent="0.25">
      <c r="A77" s="3"/>
      <c r="B77" s="3"/>
      <c r="C77" s="1"/>
      <c r="D77" s="11"/>
      <c r="E77" s="11"/>
      <c r="F77" s="11"/>
      <c r="G77" s="11"/>
      <c r="H77" s="11"/>
      <c r="I77" s="11"/>
      <c r="J77" s="6" t="s">
        <v>4946</v>
      </c>
      <c r="K77" s="6" t="s">
        <v>4947</v>
      </c>
      <c r="L77" s="8" t="s">
        <v>4701</v>
      </c>
      <c r="M77" s="6"/>
      <c r="N77" s="22"/>
      <c r="O77" s="6"/>
      <c r="P77" s="6" t="s">
        <v>4948</v>
      </c>
      <c r="Q77" s="6"/>
      <c r="R77" s="6"/>
      <c r="S77" s="6"/>
      <c r="T77" s="16"/>
      <c r="U77" s="16"/>
      <c r="V77" s="6"/>
      <c r="W77" s="6"/>
      <c r="X77" s="6"/>
    </row>
    <row r="78" spans="1:24" ht="30" x14ac:dyDescent="0.25">
      <c r="A78" s="3"/>
      <c r="B78" s="3"/>
      <c r="C78" s="1"/>
      <c r="D78" s="11"/>
      <c r="E78" s="11"/>
      <c r="F78" s="11"/>
      <c r="G78" s="11"/>
      <c r="H78" s="11"/>
      <c r="I78" s="11"/>
      <c r="J78" s="6" t="s">
        <v>4898</v>
      </c>
      <c r="K78" s="6" t="s">
        <v>4899</v>
      </c>
      <c r="L78" s="8" t="s">
        <v>4701</v>
      </c>
      <c r="M78" s="6"/>
      <c r="N78" s="22"/>
      <c r="O78" s="6"/>
      <c r="P78" s="6"/>
      <c r="Q78" s="6"/>
      <c r="R78" s="6"/>
      <c r="S78" s="6"/>
      <c r="T78" s="16"/>
      <c r="U78" s="16"/>
      <c r="V78" s="6"/>
      <c r="W78" s="6"/>
      <c r="X78" s="6"/>
    </row>
    <row r="79" spans="1:24" x14ac:dyDescent="0.25">
      <c r="A79" s="3"/>
      <c r="B79" s="3"/>
      <c r="C79" s="1"/>
      <c r="D79" s="11"/>
      <c r="E79" s="11"/>
      <c r="F79" s="841">
        <v>3</v>
      </c>
      <c r="G79" s="1392" t="s">
        <v>4949</v>
      </c>
      <c r="H79" s="1393"/>
      <c r="I79" s="1393"/>
      <c r="J79" s="1393"/>
      <c r="K79" s="1393"/>
      <c r="L79" s="1393"/>
      <c r="M79" s="1394"/>
      <c r="N79" s="719" t="str">
        <f>HYPERLINK("http://wiki.academyofsports.online/tiki-index.php?page=Produktvorstellung-2-(EP-TL-001)", "EP-TL-001")</f>
        <v>EP-TL-001</v>
      </c>
      <c r="O79" s="6"/>
      <c r="P79" s="6"/>
      <c r="Q79" s="6"/>
      <c r="R79" s="6"/>
      <c r="S79" s="6"/>
      <c r="T79" s="16"/>
      <c r="U79" s="16"/>
      <c r="V79" s="6"/>
      <c r="W79" s="6"/>
      <c r="X79" s="6"/>
    </row>
    <row r="80" spans="1:24" ht="45" x14ac:dyDescent="0.25">
      <c r="A80" s="3"/>
      <c r="B80" s="3"/>
      <c r="C80" s="1"/>
      <c r="D80" s="11"/>
      <c r="E80" s="11"/>
      <c r="F80" s="11"/>
      <c r="G80" s="11"/>
      <c r="H80" s="11"/>
      <c r="I80" s="11"/>
      <c r="J80" s="20" t="s">
        <v>4950</v>
      </c>
      <c r="K80" s="20" t="s">
        <v>4951</v>
      </c>
      <c r="L80" s="8" t="s">
        <v>4952</v>
      </c>
      <c r="M80" s="6"/>
      <c r="N80" s="22"/>
      <c r="O80" s="6"/>
      <c r="P80" s="6" t="s">
        <v>4953</v>
      </c>
      <c r="Q80" s="6"/>
      <c r="R80" s="6"/>
      <c r="S80" s="6"/>
      <c r="T80" s="16"/>
      <c r="U80" s="16"/>
      <c r="V80" s="6"/>
      <c r="W80" s="6"/>
      <c r="X80" s="6"/>
    </row>
    <row r="81" spans="1:28" ht="30" x14ac:dyDescent="0.25">
      <c r="A81" s="3"/>
      <c r="B81" s="3"/>
      <c r="C81" s="1"/>
      <c r="D81" s="11"/>
      <c r="E81" s="11"/>
      <c r="F81" s="11"/>
      <c r="G81" s="11"/>
      <c r="H81" s="11"/>
      <c r="I81" s="11"/>
      <c r="J81" s="9" t="s">
        <v>4954</v>
      </c>
      <c r="K81" s="6" t="s">
        <v>4955</v>
      </c>
      <c r="L81" s="8" t="s">
        <v>4701</v>
      </c>
      <c r="M81" s="6"/>
      <c r="N81" s="22"/>
      <c r="O81" s="6"/>
      <c r="P81" s="6"/>
      <c r="Q81" s="6"/>
      <c r="R81" s="6"/>
      <c r="S81" s="6"/>
      <c r="T81" s="16"/>
      <c r="U81" s="16"/>
      <c r="V81" s="6"/>
      <c r="W81" s="6"/>
      <c r="X81" s="6"/>
    </row>
    <row r="82" spans="1:28" ht="26.25" x14ac:dyDescent="0.25">
      <c r="A82" s="3"/>
      <c r="B82" s="3"/>
      <c r="C82" s="1"/>
      <c r="D82" s="11"/>
      <c r="E82" s="11"/>
      <c r="F82" s="11"/>
      <c r="G82" s="11"/>
      <c r="H82" s="11"/>
      <c r="I82" s="11"/>
      <c r="J82" s="9" t="s">
        <v>4956</v>
      </c>
      <c r="K82" s="9" t="s">
        <v>4957</v>
      </c>
      <c r="L82" s="8" t="s">
        <v>4851</v>
      </c>
      <c r="M82" s="6"/>
      <c r="N82" s="22"/>
      <c r="O82" s="6"/>
      <c r="P82" s="6"/>
      <c r="Q82" s="6"/>
      <c r="R82" s="6"/>
      <c r="S82" s="6"/>
      <c r="T82" s="16"/>
      <c r="U82" s="16"/>
      <c r="V82" s="6"/>
      <c r="W82" s="6"/>
      <c r="X82" s="6"/>
    </row>
    <row r="83" spans="1:28" s="288" customFormat="1" x14ac:dyDescent="0.25">
      <c r="A83" s="3"/>
      <c r="B83" s="3"/>
      <c r="C83" s="45"/>
      <c r="D83" s="125"/>
      <c r="E83" s="125"/>
      <c r="F83" s="125">
        <v>3</v>
      </c>
      <c r="G83" s="1395" t="s">
        <v>4958</v>
      </c>
      <c r="H83" s="1395"/>
      <c r="I83" s="1395"/>
      <c r="J83" s="1395"/>
      <c r="K83" s="1395"/>
      <c r="L83" s="1395"/>
      <c r="M83" s="1395"/>
      <c r="N83" s="111"/>
      <c r="O83" s="62"/>
      <c r="P83" s="62"/>
      <c r="Q83" s="62"/>
      <c r="R83" s="62"/>
      <c r="S83" s="62"/>
      <c r="T83" s="101"/>
      <c r="U83" s="101"/>
      <c r="V83" s="62"/>
      <c r="W83" s="62"/>
      <c r="X83" s="62"/>
    </row>
    <row r="84" spans="1:28" x14ac:dyDescent="0.25">
      <c r="A84" s="3"/>
      <c r="B84" s="3"/>
      <c r="C84" s="263"/>
      <c r="D84" s="264"/>
      <c r="E84" s="264"/>
      <c r="F84" s="264"/>
      <c r="G84" s="264"/>
      <c r="H84" s="264"/>
      <c r="I84" s="264"/>
      <c r="J84" s="268"/>
      <c r="K84" s="269"/>
      <c r="L84" s="1066" t="s">
        <v>4959</v>
      </c>
      <c r="M84" s="266"/>
      <c r="N84" s="265"/>
      <c r="O84" s="266"/>
      <c r="P84" s="266"/>
      <c r="Q84" s="266"/>
      <c r="R84" s="266"/>
      <c r="S84" s="266"/>
      <c r="T84" s="267"/>
      <c r="U84" s="267"/>
      <c r="V84" s="266"/>
      <c r="W84" s="266"/>
      <c r="X84" s="266"/>
      <c r="Y84" s="262"/>
      <c r="Z84" s="262"/>
      <c r="AA84" s="262"/>
      <c r="AB84" s="262"/>
    </row>
    <row r="85" spans="1:28" x14ac:dyDescent="0.25">
      <c r="A85" s="3"/>
      <c r="B85" s="3"/>
      <c r="C85" s="263"/>
      <c r="D85" s="264"/>
      <c r="E85" s="264"/>
      <c r="F85" s="264"/>
      <c r="G85" s="264"/>
      <c r="H85" s="264"/>
      <c r="I85" s="264"/>
      <c r="J85" s="268"/>
      <c r="K85" s="269"/>
      <c r="L85" s="269"/>
      <c r="M85" s="266"/>
      <c r="N85" s="265"/>
      <c r="O85" s="266"/>
      <c r="P85" s="266"/>
      <c r="Q85" s="266"/>
      <c r="R85" s="266"/>
      <c r="S85" s="266"/>
      <c r="T85" s="267"/>
      <c r="U85" s="267"/>
      <c r="V85" s="266"/>
      <c r="W85" s="266"/>
      <c r="X85" s="266"/>
      <c r="Y85" s="262"/>
      <c r="Z85" s="262"/>
      <c r="AA85" s="262"/>
      <c r="AB85" s="262"/>
    </row>
    <row r="86" spans="1:28" x14ac:dyDescent="0.25">
      <c r="A86" s="3"/>
      <c r="B86" s="3"/>
      <c r="C86" s="263"/>
      <c r="D86" s="264"/>
      <c r="E86" s="264"/>
      <c r="F86" s="264"/>
      <c r="G86" s="264"/>
      <c r="H86" s="264"/>
      <c r="I86" s="264"/>
      <c r="J86" s="268"/>
      <c r="K86" s="269"/>
      <c r="L86" s="269"/>
      <c r="M86" s="266"/>
      <c r="N86" s="265"/>
      <c r="O86" s="266"/>
      <c r="P86" s="266"/>
      <c r="Q86" s="266"/>
      <c r="R86" s="266"/>
      <c r="S86" s="266"/>
      <c r="T86" s="267"/>
      <c r="U86" s="267"/>
      <c r="V86" s="266"/>
      <c r="W86" s="266"/>
      <c r="X86" s="266"/>
      <c r="Y86" s="262"/>
      <c r="Z86" s="262"/>
      <c r="AA86" s="262"/>
      <c r="AB86" s="262"/>
    </row>
    <row r="87" spans="1:28" x14ac:dyDescent="0.25">
      <c r="A87" s="3"/>
      <c r="B87" s="3"/>
      <c r="C87" s="263"/>
      <c r="D87" s="264"/>
      <c r="E87" s="264"/>
      <c r="F87" s="264"/>
      <c r="G87" s="264"/>
      <c r="H87" s="264"/>
      <c r="I87" s="264"/>
      <c r="J87" s="266"/>
      <c r="K87" s="266"/>
      <c r="L87" s="269"/>
      <c r="M87" s="266"/>
      <c r="N87" s="265"/>
      <c r="O87" s="266"/>
      <c r="P87" s="266"/>
      <c r="Q87" s="266"/>
      <c r="R87" s="266"/>
      <c r="S87" s="266"/>
      <c r="T87" s="267"/>
      <c r="U87" s="267"/>
      <c r="V87" s="266"/>
      <c r="W87" s="266"/>
      <c r="X87" s="266"/>
      <c r="Y87" s="262"/>
      <c r="Z87" s="262"/>
      <c r="AA87" s="262"/>
      <c r="AB87" s="262"/>
    </row>
    <row r="88" spans="1:28" x14ac:dyDescent="0.25">
      <c r="A88" s="3"/>
      <c r="B88" s="3"/>
      <c r="C88" s="263"/>
      <c r="D88" s="264"/>
      <c r="E88" s="264"/>
      <c r="F88" s="264"/>
      <c r="G88" s="264"/>
      <c r="H88" s="264"/>
      <c r="I88" s="264"/>
      <c r="J88" s="266"/>
      <c r="K88" s="266"/>
      <c r="L88" s="269"/>
      <c r="M88" s="266"/>
      <c r="N88" s="265"/>
      <c r="O88" s="266"/>
      <c r="P88" s="266"/>
      <c r="Q88" s="266"/>
      <c r="R88" s="266"/>
      <c r="S88" s="266"/>
      <c r="T88" s="267"/>
      <c r="U88" s="267"/>
      <c r="V88" s="266"/>
      <c r="W88" s="266"/>
      <c r="X88" s="266"/>
      <c r="Y88" s="262"/>
      <c r="Z88" s="262"/>
      <c r="AA88" s="262"/>
      <c r="AB88" s="262"/>
    </row>
    <row r="89" spans="1:28" x14ac:dyDescent="0.25">
      <c r="A89" s="3"/>
      <c r="B89" s="3"/>
      <c r="C89" s="263"/>
      <c r="D89" s="264"/>
      <c r="E89" s="264"/>
      <c r="F89" s="264"/>
      <c r="G89" s="264"/>
      <c r="H89" s="264"/>
      <c r="I89" s="264"/>
      <c r="J89" s="266"/>
      <c r="K89" s="266"/>
      <c r="L89" s="269"/>
      <c r="M89" s="266"/>
      <c r="N89" s="265"/>
      <c r="O89" s="266"/>
      <c r="P89" s="266"/>
      <c r="Q89" s="266"/>
      <c r="R89" s="266"/>
      <c r="S89" s="266"/>
      <c r="T89" s="267"/>
      <c r="U89" s="267"/>
      <c r="V89" s="266"/>
      <c r="W89" s="266"/>
      <c r="X89" s="266"/>
      <c r="Y89" s="262"/>
      <c r="Z89" s="262"/>
      <c r="AA89" s="262"/>
      <c r="AB89" s="262"/>
    </row>
    <row r="90" spans="1:28" x14ac:dyDescent="0.25">
      <c r="A90" s="3"/>
      <c r="B90" s="3"/>
      <c r="C90" s="263"/>
      <c r="D90" s="264"/>
      <c r="E90" s="264"/>
      <c r="F90" s="264"/>
      <c r="G90" s="264"/>
      <c r="H90" s="264"/>
      <c r="I90" s="264"/>
      <c r="J90" s="266"/>
      <c r="K90" s="266"/>
      <c r="L90" s="269"/>
      <c r="M90" s="266"/>
      <c r="N90" s="265"/>
      <c r="O90" s="266"/>
      <c r="P90" s="266"/>
      <c r="Q90" s="266"/>
      <c r="R90" s="266"/>
      <c r="S90" s="266"/>
      <c r="T90" s="267"/>
      <c r="U90" s="267"/>
      <c r="V90" s="266"/>
      <c r="W90" s="266"/>
      <c r="X90" s="266"/>
      <c r="Y90" s="262"/>
      <c r="Z90" s="262"/>
      <c r="AA90" s="262"/>
      <c r="AB90" s="262"/>
    </row>
    <row r="91" spans="1:28" x14ac:dyDescent="0.25">
      <c r="A91" s="3"/>
      <c r="B91" s="3"/>
      <c r="C91" s="263"/>
      <c r="D91" s="264"/>
      <c r="E91" s="264"/>
      <c r="F91" s="264"/>
      <c r="G91" s="264"/>
      <c r="H91" s="264"/>
      <c r="I91" s="264"/>
      <c r="J91" s="266"/>
      <c r="K91" s="266"/>
      <c r="L91" s="269"/>
      <c r="M91" s="266"/>
      <c r="N91" s="265"/>
      <c r="O91" s="266"/>
      <c r="P91" s="266"/>
      <c r="Q91" s="266"/>
      <c r="R91" s="266"/>
      <c r="S91" s="266"/>
      <c r="T91" s="267"/>
      <c r="U91" s="267"/>
      <c r="V91" s="266"/>
      <c r="W91" s="266"/>
      <c r="X91" s="266"/>
      <c r="Y91" s="262"/>
      <c r="Z91" s="262"/>
      <c r="AA91" s="262"/>
      <c r="AB91" s="262"/>
    </row>
    <row r="92" spans="1:28" ht="15.75" customHeight="1" x14ac:dyDescent="0.25">
      <c r="A92" s="3"/>
      <c r="B92" s="3"/>
      <c r="C92" s="1"/>
      <c r="D92" s="11"/>
      <c r="E92" s="11"/>
      <c r="F92" s="11"/>
      <c r="G92" s="11"/>
      <c r="H92" s="11"/>
      <c r="I92" s="11"/>
      <c r="J92" s="6"/>
      <c r="K92" s="6"/>
      <c r="L92" s="8"/>
      <c r="M92" s="6"/>
      <c r="N92" s="22"/>
      <c r="O92" s="6"/>
      <c r="P92" s="6"/>
      <c r="Q92" s="6"/>
      <c r="R92" s="6"/>
      <c r="S92" s="6"/>
      <c r="T92" s="16"/>
      <c r="U92" s="16"/>
      <c r="V92" s="6"/>
      <c r="W92" s="6"/>
      <c r="X92" s="6"/>
    </row>
    <row r="93" spans="1:28" ht="15.75" x14ac:dyDescent="0.25">
      <c r="A93" s="3"/>
      <c r="B93" s="3"/>
      <c r="C93" s="1"/>
      <c r="D93" s="11"/>
      <c r="E93" s="1064" t="s">
        <v>4960</v>
      </c>
      <c r="F93" s="1396" t="s">
        <v>4961</v>
      </c>
      <c r="G93" s="1396"/>
      <c r="H93" s="1396"/>
      <c r="I93" s="1396"/>
      <c r="J93" s="1396"/>
      <c r="K93" s="1396"/>
      <c r="L93" s="1396"/>
      <c r="M93" s="1396"/>
      <c r="N93" s="1397"/>
      <c r="O93" s="1396"/>
      <c r="P93" s="1396"/>
      <c r="Q93" s="1396"/>
      <c r="R93" s="1396"/>
      <c r="S93" s="1396"/>
      <c r="T93" s="1396"/>
      <c r="U93" s="1396"/>
      <c r="V93" s="1396"/>
      <c r="W93" s="1396"/>
      <c r="X93" s="1396"/>
    </row>
    <row r="94" spans="1:28" x14ac:dyDescent="0.25">
      <c r="A94" s="3"/>
      <c r="B94" s="3"/>
      <c r="C94" s="1"/>
      <c r="D94" s="14"/>
      <c r="E94" s="14"/>
      <c r="F94" s="1067">
        <v>3</v>
      </c>
      <c r="G94" s="1398" t="s">
        <v>4962</v>
      </c>
      <c r="H94" s="1362"/>
      <c r="I94" s="1362"/>
      <c r="J94" s="1362"/>
      <c r="K94" s="1362"/>
      <c r="L94" s="1362"/>
      <c r="M94" s="1362"/>
      <c r="N94" s="1399"/>
      <c r="O94" s="1362"/>
      <c r="P94" s="1362"/>
      <c r="Q94" s="1362"/>
      <c r="R94" s="1362"/>
      <c r="S94" s="1362"/>
      <c r="T94" s="1362"/>
      <c r="U94" s="1362"/>
      <c r="V94" s="1362"/>
      <c r="W94" s="1362"/>
      <c r="X94" s="1400"/>
    </row>
    <row r="95" spans="1:28" ht="15.75" customHeight="1" x14ac:dyDescent="0.25">
      <c r="A95" s="3"/>
      <c r="B95" s="3"/>
      <c r="C95" s="1"/>
      <c r="D95" s="11"/>
      <c r="E95" s="11"/>
      <c r="F95" s="11"/>
      <c r="G95" s="11"/>
      <c r="H95" s="11"/>
      <c r="I95" s="11"/>
      <c r="J95" s="1398" t="s">
        <v>4963</v>
      </c>
      <c r="K95" s="1362"/>
      <c r="L95" s="1362"/>
      <c r="M95" s="1378"/>
      <c r="N95" s="1362"/>
      <c r="O95" s="1362"/>
      <c r="P95" s="1362"/>
      <c r="Q95" s="1362"/>
      <c r="R95" s="1399"/>
      <c r="S95" s="1362"/>
      <c r="T95" s="1362"/>
      <c r="U95" s="1362"/>
      <c r="V95" s="1362"/>
      <c r="W95" s="1362"/>
      <c r="X95" s="1362"/>
      <c r="Y95" s="1362"/>
      <c r="Z95" s="1362"/>
      <c r="AA95" s="1362"/>
      <c r="AB95" s="1400"/>
    </row>
    <row r="96" spans="1:28" ht="30" x14ac:dyDescent="0.25">
      <c r="A96" s="3"/>
      <c r="B96" s="3"/>
      <c r="C96" s="1"/>
      <c r="D96" s="11"/>
      <c r="E96" s="11"/>
      <c r="F96" s="11"/>
      <c r="G96" s="11"/>
      <c r="H96" s="11"/>
      <c r="I96" s="11"/>
      <c r="J96" s="62" t="s">
        <v>4964</v>
      </c>
      <c r="K96" s="6" t="s">
        <v>4965</v>
      </c>
      <c r="L96" s="8" t="s">
        <v>4701</v>
      </c>
      <c r="M96" s="31"/>
      <c r="N96" s="22"/>
      <c r="O96" s="6"/>
      <c r="P96" s="6"/>
      <c r="Q96" s="6"/>
      <c r="R96" s="6"/>
      <c r="S96" s="6"/>
      <c r="T96" s="16"/>
      <c r="U96" s="16"/>
      <c r="V96" s="6"/>
      <c r="W96" s="6"/>
      <c r="X96" s="6"/>
    </row>
    <row r="97" spans="1:24" x14ac:dyDescent="0.25">
      <c r="A97" s="3"/>
      <c r="B97" s="3"/>
      <c r="C97" s="1"/>
      <c r="D97" s="11"/>
      <c r="E97" s="11"/>
      <c r="F97" s="11"/>
      <c r="G97" s="11"/>
      <c r="H97" s="11"/>
      <c r="I97" s="11"/>
      <c r="J97" s="62" t="s">
        <v>4966</v>
      </c>
      <c r="K97" s="855" t="s">
        <v>4967</v>
      </c>
      <c r="L97" s="8" t="s">
        <v>4701</v>
      </c>
      <c r="M97" s="218"/>
      <c r="N97" s="22"/>
      <c r="O97" s="6"/>
      <c r="P97" s="6"/>
      <c r="Q97" s="6"/>
      <c r="R97" s="6"/>
      <c r="S97" s="6"/>
      <c r="T97" s="16"/>
      <c r="U97" s="16"/>
      <c r="V97" s="6"/>
      <c r="W97" s="6"/>
      <c r="X97" s="6"/>
    </row>
    <row r="98" spans="1:24" ht="30" x14ac:dyDescent="0.25">
      <c r="A98" s="3"/>
      <c r="B98" s="3"/>
      <c r="C98" s="1"/>
      <c r="D98" s="11"/>
      <c r="E98" s="11"/>
      <c r="F98" s="11"/>
      <c r="G98" s="11"/>
      <c r="H98" s="11"/>
      <c r="I98" s="11"/>
      <c r="J98" s="6" t="s">
        <v>4968</v>
      </c>
      <c r="K98" s="6" t="s">
        <v>4969</v>
      </c>
      <c r="L98" s="8" t="s">
        <v>4701</v>
      </c>
      <c r="M98" s="12"/>
      <c r="N98" s="22"/>
      <c r="O98" s="6"/>
      <c r="P98" s="6"/>
      <c r="Q98" s="6"/>
      <c r="R98" s="6"/>
      <c r="S98" s="6" t="s">
        <v>4813</v>
      </c>
      <c r="T98" s="16"/>
      <c r="U98" s="16"/>
      <c r="V98" s="6"/>
      <c r="W98" s="6"/>
      <c r="X98" s="6"/>
    </row>
    <row r="99" spans="1:24" ht="30" x14ac:dyDescent="0.25">
      <c r="A99" s="3"/>
      <c r="B99" s="3"/>
      <c r="C99" s="1"/>
      <c r="D99" s="11"/>
      <c r="E99" s="11"/>
      <c r="F99" s="11"/>
      <c r="G99" s="11"/>
      <c r="H99" s="11"/>
      <c r="I99" s="11"/>
      <c r="J99" s="6" t="s">
        <v>4970</v>
      </c>
      <c r="K99" s="6" t="s">
        <v>4969</v>
      </c>
      <c r="L99" s="8" t="s">
        <v>4701</v>
      </c>
      <c r="M99" s="12"/>
      <c r="N99" s="22"/>
      <c r="O99" s="6"/>
      <c r="P99" s="6"/>
      <c r="Q99" s="6"/>
      <c r="R99" s="6"/>
      <c r="S99" s="6" t="s">
        <v>4813</v>
      </c>
      <c r="T99" s="16"/>
      <c r="U99" s="16"/>
      <c r="V99" s="6"/>
      <c r="W99" s="6"/>
      <c r="X99" s="6"/>
    </row>
    <row r="100" spans="1:24" ht="30" x14ac:dyDescent="0.25">
      <c r="A100" s="3"/>
      <c r="B100" s="3"/>
      <c r="C100" s="1"/>
      <c r="D100" s="11"/>
      <c r="E100" s="11"/>
      <c r="F100" s="11"/>
      <c r="G100" s="11"/>
      <c r="H100" s="11"/>
      <c r="I100" s="11"/>
      <c r="J100" s="62" t="s">
        <v>4971</v>
      </c>
      <c r="K100" s="6" t="s">
        <v>4972</v>
      </c>
      <c r="L100" s="8" t="s">
        <v>4701</v>
      </c>
      <c r="M100" s="218"/>
      <c r="N100" s="22"/>
      <c r="O100" s="6"/>
      <c r="P100" s="6"/>
      <c r="Q100" s="6"/>
      <c r="R100" s="6"/>
      <c r="S100" s="6"/>
      <c r="T100" s="16"/>
      <c r="U100" s="16"/>
      <c r="V100" s="6"/>
      <c r="W100" s="6"/>
      <c r="X100" s="6"/>
    </row>
    <row r="101" spans="1:24" x14ac:dyDescent="0.25">
      <c r="A101" s="3"/>
      <c r="B101" s="3"/>
      <c r="C101" s="1"/>
      <c r="D101" s="11"/>
      <c r="E101" s="11"/>
      <c r="F101" s="11"/>
      <c r="G101" s="11"/>
      <c r="H101" s="11"/>
      <c r="I101" s="11"/>
      <c r="J101" s="6"/>
      <c r="K101" s="6"/>
      <c r="L101" s="8"/>
      <c r="M101" s="31"/>
      <c r="N101" s="22"/>
      <c r="O101" s="6"/>
      <c r="P101" s="6"/>
      <c r="Q101" s="6"/>
      <c r="R101" s="6"/>
      <c r="S101" s="6"/>
      <c r="T101" s="16"/>
      <c r="U101" s="16"/>
      <c r="V101" s="6"/>
      <c r="W101" s="6"/>
      <c r="X101" s="6"/>
    </row>
    <row r="102" spans="1:24" x14ac:dyDescent="0.25">
      <c r="A102" s="3"/>
      <c r="B102" s="3"/>
      <c r="C102" s="1"/>
      <c r="D102" s="14"/>
      <c r="E102" s="14"/>
      <c r="F102" s="1017">
        <v>3</v>
      </c>
      <c r="G102" s="1398" t="s">
        <v>4973</v>
      </c>
      <c r="H102" s="1362"/>
      <c r="I102" s="1362"/>
      <c r="J102" s="1362"/>
      <c r="K102" s="1362"/>
      <c r="L102" s="1362"/>
      <c r="M102" s="1362"/>
      <c r="N102" s="1399"/>
      <c r="O102" s="1400"/>
      <c r="P102" s="1068"/>
      <c r="Q102" s="1069"/>
      <c r="R102" s="1069"/>
      <c r="S102" s="1069"/>
      <c r="T102" s="1069"/>
      <c r="U102" s="1069"/>
      <c r="V102" s="1069"/>
      <c r="W102" s="1069"/>
      <c r="X102" s="1069"/>
    </row>
    <row r="103" spans="1:24" hidden="1" x14ac:dyDescent="0.25">
      <c r="A103" s="3"/>
      <c r="B103" s="3"/>
      <c r="C103" s="1"/>
      <c r="D103" s="11"/>
      <c r="E103" s="11"/>
      <c r="F103" s="11"/>
      <c r="G103" s="11"/>
      <c r="H103" s="11"/>
      <c r="I103" s="11"/>
      <c r="J103" s="6" t="s">
        <v>4974</v>
      </c>
      <c r="K103" s="6"/>
      <c r="L103" s="8"/>
      <c r="M103" s="31"/>
      <c r="N103" s="1070" t="s">
        <v>25</v>
      </c>
      <c r="O103" s="6"/>
      <c r="P103" s="6"/>
      <c r="Q103" s="6"/>
      <c r="R103" s="6"/>
      <c r="S103" s="6"/>
      <c r="T103" s="16"/>
      <c r="U103" s="16"/>
      <c r="V103" s="6"/>
      <c r="W103" s="6"/>
      <c r="X103" s="6"/>
    </row>
    <row r="104" spans="1:24" ht="135" hidden="1" x14ac:dyDescent="0.25">
      <c r="A104" s="3"/>
      <c r="B104" s="3"/>
      <c r="C104" s="1"/>
      <c r="D104" s="11"/>
      <c r="E104" s="11"/>
      <c r="F104" s="11"/>
      <c r="G104" s="41"/>
      <c r="H104" s="41"/>
      <c r="I104" s="41"/>
      <c r="J104" s="82" t="s">
        <v>4975</v>
      </c>
      <c r="K104" s="82"/>
      <c r="L104" s="102" t="s">
        <v>4701</v>
      </c>
      <c r="M104" s="82"/>
      <c r="N104" s="83"/>
      <c r="O104" s="82"/>
      <c r="P104" s="6" t="s">
        <v>4976</v>
      </c>
      <c r="Q104" s="6"/>
      <c r="R104" s="6"/>
      <c r="S104" s="6"/>
      <c r="T104" s="16"/>
      <c r="U104" s="16"/>
      <c r="V104" s="6"/>
      <c r="W104" s="6"/>
      <c r="X104" s="6"/>
    </row>
    <row r="105" spans="1:24" hidden="1" x14ac:dyDescent="0.25">
      <c r="A105" s="3"/>
      <c r="B105" s="3"/>
      <c r="C105" s="1"/>
      <c r="D105" s="11"/>
      <c r="E105" s="11"/>
      <c r="F105" s="11"/>
      <c r="G105" s="11">
        <v>4</v>
      </c>
      <c r="H105" s="1401" t="s">
        <v>4977</v>
      </c>
      <c r="I105" s="1401"/>
      <c r="J105" s="1401"/>
      <c r="K105" s="1401"/>
      <c r="L105" s="8"/>
      <c r="M105" s="6"/>
      <c r="N105" s="22"/>
      <c r="O105" s="6"/>
      <c r="P105" s="6"/>
      <c r="Q105" s="6"/>
      <c r="R105" s="6"/>
      <c r="S105" s="6"/>
      <c r="T105" s="16"/>
      <c r="U105" s="16"/>
      <c r="V105" s="6"/>
      <c r="W105" s="6"/>
      <c r="X105" s="6"/>
    </row>
    <row r="106" spans="1:24" ht="43.5" hidden="1" x14ac:dyDescent="0.25">
      <c r="A106" s="3"/>
      <c r="B106" s="3"/>
      <c r="C106" s="1"/>
      <c r="D106" s="11"/>
      <c r="E106" s="11"/>
      <c r="F106" s="11"/>
      <c r="G106" s="11"/>
      <c r="H106" s="11"/>
      <c r="I106" s="11"/>
      <c r="J106" s="6" t="s">
        <v>4978</v>
      </c>
      <c r="K106" s="6"/>
      <c r="L106" s="8" t="s">
        <v>4979</v>
      </c>
      <c r="M106" s="6"/>
      <c r="N106" s="22"/>
      <c r="O106" s="6"/>
      <c r="P106" s="6"/>
      <c r="Q106" s="6"/>
      <c r="R106" s="6"/>
      <c r="S106" s="6"/>
      <c r="T106" s="16"/>
      <c r="U106" s="16"/>
      <c r="V106" s="6"/>
      <c r="W106" s="6"/>
      <c r="X106" s="6"/>
    </row>
    <row r="107" spans="1:24" x14ac:dyDescent="0.25">
      <c r="A107" s="3"/>
      <c r="B107" s="3"/>
      <c r="C107" s="1"/>
      <c r="D107" s="11"/>
      <c r="E107" s="11"/>
      <c r="F107" s="11"/>
      <c r="G107" s="11"/>
      <c r="H107" s="11"/>
      <c r="I107" s="11"/>
      <c r="J107" s="6"/>
      <c r="K107" s="6"/>
      <c r="L107" s="8"/>
      <c r="M107" s="6"/>
      <c r="N107" s="22"/>
      <c r="O107" s="6"/>
      <c r="P107" s="6"/>
      <c r="Q107" s="6"/>
      <c r="R107" s="6"/>
      <c r="S107" s="6"/>
      <c r="T107" s="16"/>
      <c r="U107" s="16"/>
      <c r="V107" s="6"/>
      <c r="W107" s="6"/>
      <c r="X107" s="6"/>
    </row>
    <row r="108" spans="1:24" x14ac:dyDescent="0.25">
      <c r="A108" s="3"/>
      <c r="B108" s="3"/>
      <c r="C108" s="1"/>
      <c r="D108" s="11"/>
      <c r="E108" s="11"/>
      <c r="F108" s="11"/>
      <c r="G108" s="11"/>
      <c r="H108" s="11"/>
      <c r="I108" s="11"/>
      <c r="J108" s="11"/>
      <c r="K108" s="11"/>
      <c r="L108" s="11"/>
      <c r="M108" s="11"/>
      <c r="N108" s="11"/>
      <c r="O108" s="11"/>
      <c r="P108" s="11"/>
      <c r="Q108" s="11"/>
      <c r="R108" s="11"/>
      <c r="S108" s="11"/>
      <c r="T108" s="11"/>
      <c r="U108" s="11"/>
      <c r="V108" s="11"/>
      <c r="W108" s="11"/>
      <c r="X108" s="11"/>
    </row>
    <row r="109" spans="1:24" x14ac:dyDescent="0.25">
      <c r="A109" s="3"/>
      <c r="B109" s="3"/>
      <c r="C109" s="1"/>
      <c r="D109" s="11"/>
      <c r="E109" s="11"/>
      <c r="F109" s="11"/>
      <c r="G109" s="11"/>
      <c r="H109" s="11"/>
      <c r="I109" s="11"/>
      <c r="J109" s="11"/>
      <c r="K109" s="11"/>
      <c r="L109" s="11"/>
      <c r="M109" s="11"/>
      <c r="N109" s="11"/>
      <c r="O109" s="11"/>
      <c r="P109" s="11"/>
      <c r="Q109" s="11"/>
      <c r="R109" s="11"/>
      <c r="S109" s="11"/>
      <c r="T109" s="11"/>
      <c r="U109" s="11"/>
      <c r="V109" s="11"/>
      <c r="W109" s="11"/>
      <c r="X109" s="11"/>
    </row>
    <row r="110" spans="1:24" ht="15.75" x14ac:dyDescent="0.25">
      <c r="A110" s="3"/>
      <c r="B110" s="3"/>
      <c r="C110" s="1"/>
      <c r="D110" s="11"/>
      <c r="E110" s="1064" t="s">
        <v>4980</v>
      </c>
      <c r="F110" s="1396" t="s">
        <v>4800</v>
      </c>
      <c r="G110" s="1396"/>
      <c r="H110" s="1396"/>
      <c r="I110" s="1396"/>
      <c r="J110" s="1396"/>
      <c r="K110" s="1396"/>
      <c r="L110" s="1396"/>
      <c r="M110" s="1396"/>
      <c r="N110" s="1397"/>
      <c r="O110" s="1396"/>
      <c r="P110" s="1396"/>
      <c r="Q110" s="1396"/>
      <c r="R110" s="1396"/>
      <c r="S110" s="1396"/>
      <c r="T110" s="1396"/>
      <c r="U110" s="1396"/>
      <c r="V110" s="1396"/>
      <c r="W110" s="1396"/>
      <c r="X110" s="1396"/>
    </row>
    <row r="111" spans="1:24" x14ac:dyDescent="0.25">
      <c r="A111" s="3"/>
      <c r="B111" s="3"/>
      <c r="C111" s="1"/>
      <c r="D111" s="11"/>
      <c r="E111" s="11"/>
      <c r="F111" s="11"/>
      <c r="G111" s="11"/>
      <c r="H111" s="11"/>
      <c r="I111" s="11"/>
      <c r="J111" s="754" t="s">
        <v>4981</v>
      </c>
      <c r="K111" s="6"/>
      <c r="L111" s="8" t="s">
        <v>4701</v>
      </c>
      <c r="M111" s="6"/>
      <c r="N111" s="22"/>
      <c r="O111" s="6"/>
      <c r="P111" s="6"/>
      <c r="Q111" s="6"/>
      <c r="R111" s="6"/>
      <c r="S111" s="6"/>
      <c r="T111" s="16"/>
      <c r="U111" s="16"/>
      <c r="V111" s="6"/>
      <c r="W111" s="6"/>
      <c r="X111" s="6"/>
    </row>
    <row r="112" spans="1:24" x14ac:dyDescent="0.25">
      <c r="A112" s="3"/>
      <c r="B112" s="3"/>
      <c r="C112" s="1"/>
      <c r="D112" s="11"/>
      <c r="E112" s="11"/>
      <c r="F112" s="11"/>
      <c r="G112" s="11"/>
      <c r="H112" s="11"/>
      <c r="I112" s="11"/>
      <c r="J112" s="754" t="s">
        <v>4982</v>
      </c>
      <c r="K112" s="6"/>
      <c r="L112" s="8" t="s">
        <v>4701</v>
      </c>
      <c r="M112" s="6"/>
      <c r="N112" s="22"/>
      <c r="O112" s="6"/>
      <c r="P112" s="6"/>
      <c r="Q112" s="6"/>
      <c r="R112" s="6"/>
      <c r="S112" s="6"/>
      <c r="T112" s="16"/>
      <c r="U112" s="16"/>
      <c r="V112" s="6"/>
      <c r="W112" s="6"/>
      <c r="X112" s="6"/>
    </row>
    <row r="113" spans="1:28" x14ac:dyDescent="0.25">
      <c r="A113" s="3"/>
      <c r="B113" s="3"/>
      <c r="C113" s="1"/>
      <c r="D113" s="11"/>
      <c r="E113" s="11"/>
      <c r="F113" s="11"/>
      <c r="G113" s="11"/>
      <c r="H113" s="11"/>
      <c r="I113" s="11"/>
      <c r="J113" s="754" t="s">
        <v>4983</v>
      </c>
      <c r="K113" s="6"/>
      <c r="L113" s="8" t="s">
        <v>4701</v>
      </c>
      <c r="M113" s="6"/>
      <c r="N113" s="22"/>
      <c r="O113" s="6"/>
      <c r="P113" s="6"/>
      <c r="Q113" s="6"/>
      <c r="R113" s="6"/>
      <c r="S113" s="6"/>
      <c r="T113" s="16"/>
      <c r="U113" s="16"/>
      <c r="V113" s="6"/>
      <c r="W113" s="6"/>
      <c r="X113" s="6"/>
    </row>
    <row r="114" spans="1:28" x14ac:dyDescent="0.25">
      <c r="A114" s="3"/>
      <c r="B114" s="3"/>
      <c r="C114" s="1"/>
      <c r="D114" s="11"/>
      <c r="E114" s="11"/>
      <c r="F114" s="11"/>
      <c r="G114" s="11"/>
      <c r="H114" s="11"/>
      <c r="I114" s="11"/>
      <c r="J114" s="754" t="s">
        <v>4984</v>
      </c>
      <c r="K114" s="6"/>
      <c r="L114" s="8" t="s">
        <v>4701</v>
      </c>
      <c r="M114" s="6"/>
      <c r="N114" s="22"/>
      <c r="O114" s="6"/>
      <c r="P114" s="6"/>
      <c r="Q114" s="6"/>
      <c r="R114" s="6"/>
      <c r="S114" s="6"/>
      <c r="T114" s="16"/>
      <c r="U114" s="16"/>
      <c r="V114" s="6"/>
      <c r="W114" s="6"/>
      <c r="X114" s="6"/>
    </row>
    <row r="115" spans="1:28" s="291" customFormat="1" x14ac:dyDescent="0.25">
      <c r="A115" s="3"/>
      <c r="B115" s="3"/>
      <c r="C115" s="292"/>
      <c r="D115" s="293"/>
      <c r="E115" s="293"/>
      <c r="F115" s="293"/>
      <c r="G115" s="293"/>
      <c r="H115" s="293"/>
      <c r="I115" s="293"/>
      <c r="J115" s="294"/>
      <c r="K115" s="294"/>
      <c r="L115" s="295"/>
      <c r="M115" s="294"/>
      <c r="N115" s="296"/>
      <c r="O115" s="294"/>
      <c r="P115" s="294"/>
      <c r="Q115" s="294"/>
      <c r="R115" s="294"/>
      <c r="S115" s="294"/>
      <c r="T115" s="297"/>
      <c r="U115" s="297"/>
      <c r="V115" s="294"/>
      <c r="W115" s="294"/>
      <c r="X115" s="294"/>
    </row>
    <row r="116" spans="1:28" x14ac:dyDescent="0.25">
      <c r="A116" s="3"/>
      <c r="B116" s="3"/>
      <c r="C116" s="1"/>
      <c r="D116" s="11"/>
      <c r="E116" s="11"/>
      <c r="F116" s="11"/>
      <c r="G116" s="11"/>
      <c r="H116" s="11"/>
      <c r="I116" s="11"/>
      <c r="J116" s="6"/>
      <c r="K116" s="6"/>
      <c r="L116" s="102"/>
      <c r="M116" s="6"/>
      <c r="N116" s="22"/>
      <c r="O116" s="6"/>
      <c r="P116" s="6"/>
      <c r="Q116" s="6"/>
      <c r="R116" s="6"/>
      <c r="S116" s="6"/>
      <c r="T116" s="16"/>
      <c r="U116" s="16"/>
      <c r="V116" s="6"/>
      <c r="W116" s="6"/>
      <c r="X116" s="6"/>
    </row>
    <row r="117" spans="1:28" s="277" customFormat="1" ht="16.5" customHeight="1" x14ac:dyDescent="0.25">
      <c r="A117" s="3"/>
      <c r="B117" s="3"/>
      <c r="C117" s="276"/>
      <c r="E117"/>
      <c r="F117"/>
      <c r="G117" s="278"/>
      <c r="H117" s="278"/>
      <c r="I117" s="278"/>
      <c r="J117" s="278"/>
      <c r="K117" s="278"/>
      <c r="L117" s="278"/>
      <c r="M117" s="278"/>
      <c r="N117" s="279"/>
      <c r="O117" s="278"/>
      <c r="P117" s="278"/>
      <c r="Q117" s="278"/>
      <c r="R117" s="278"/>
      <c r="S117" s="278"/>
      <c r="T117" s="278"/>
      <c r="U117" s="278"/>
      <c r="V117" s="278"/>
      <c r="W117" s="278"/>
      <c r="X117" s="278"/>
    </row>
    <row r="118" spans="1:28" s="277" customFormat="1" ht="16.5" customHeight="1" x14ac:dyDescent="0.25">
      <c r="A118" s="3"/>
      <c r="B118" s="3"/>
      <c r="C118" s="276"/>
      <c r="E118"/>
      <c r="F118"/>
      <c r="G118" s="278"/>
      <c r="H118" s="278"/>
      <c r="I118" s="278"/>
      <c r="J118" s="278" t="s">
        <v>5481</v>
      </c>
      <c r="K118" s="278"/>
      <c r="L118" s="278"/>
      <c r="M118" s="278"/>
      <c r="N118" s="279"/>
      <c r="O118" s="278"/>
      <c r="P118" s="278"/>
      <c r="Q118" s="278"/>
      <c r="R118" s="278"/>
      <c r="S118" s="278"/>
      <c r="T118" s="278"/>
      <c r="U118" s="278"/>
      <c r="V118" s="278"/>
      <c r="W118" s="278"/>
      <c r="X118" s="278"/>
    </row>
    <row r="119" spans="1:28" s="277" customFormat="1" ht="16.5" customHeight="1" x14ac:dyDescent="0.25">
      <c r="A119" s="3"/>
      <c r="B119" s="3"/>
      <c r="C119" s="276"/>
      <c r="E119"/>
      <c r="F119"/>
      <c r="G119" s="278"/>
      <c r="H119" s="278"/>
      <c r="I119" s="278"/>
      <c r="J119" s="6" t="s">
        <v>5482</v>
      </c>
      <c r="K119" s="6" t="s">
        <v>5483</v>
      </c>
      <c r="L119" s="278"/>
      <c r="M119" s="278"/>
      <c r="N119" s="279"/>
      <c r="O119" s="278"/>
      <c r="P119" s="278"/>
      <c r="Q119" s="278"/>
      <c r="R119" s="278"/>
      <c r="S119" s="278"/>
      <c r="T119" s="278"/>
      <c r="U119" s="278"/>
      <c r="V119" s="278"/>
      <c r="W119" s="278"/>
      <c r="X119" s="278"/>
    </row>
    <row r="120" spans="1:28" s="277" customFormat="1" ht="16.5" customHeight="1" x14ac:dyDescent="0.25">
      <c r="A120" s="3"/>
      <c r="B120" s="3"/>
      <c r="C120" s="276"/>
      <c r="E120"/>
      <c r="F120"/>
      <c r="G120" s="278"/>
      <c r="H120" s="278"/>
      <c r="I120" s="278"/>
      <c r="J120" s="278" t="s">
        <v>5484</v>
      </c>
      <c r="K120" s="278"/>
      <c r="L120" s="278"/>
      <c r="M120" s="278"/>
      <c r="N120" s="279"/>
      <c r="O120" s="278"/>
      <c r="P120" s="278"/>
      <c r="Q120" s="278"/>
      <c r="R120" s="278"/>
      <c r="S120" s="278"/>
      <c r="T120" s="278"/>
      <c r="U120" s="278"/>
      <c r="V120" s="278"/>
      <c r="W120" s="278"/>
      <c r="X120" s="278"/>
    </row>
    <row r="121" spans="1:28" s="277" customFormat="1" ht="16.5" customHeight="1" x14ac:dyDescent="0.25">
      <c r="A121" s="3"/>
      <c r="B121" s="3"/>
      <c r="C121" s="276"/>
      <c r="E121"/>
      <c r="F121"/>
      <c r="G121" s="278"/>
      <c r="H121" s="278"/>
      <c r="I121" s="278"/>
      <c r="J121" s="278" t="s">
        <v>5177</v>
      </c>
      <c r="K121" s="278" t="s">
        <v>5178</v>
      </c>
      <c r="L121" s="278"/>
      <c r="M121" s="278"/>
      <c r="N121" s="279"/>
      <c r="O121" s="278"/>
      <c r="P121" s="278"/>
      <c r="Q121" s="278"/>
      <c r="R121" s="278"/>
      <c r="S121" s="278"/>
      <c r="T121" s="278"/>
      <c r="U121" s="278"/>
      <c r="V121" s="278"/>
      <c r="W121" s="278"/>
      <c r="X121" s="278"/>
    </row>
    <row r="122" spans="1:28" s="370" customFormat="1" ht="16.5" customHeight="1" x14ac:dyDescent="0.25">
      <c r="A122" s="3"/>
      <c r="B122" s="3"/>
      <c r="C122" s="369"/>
      <c r="E122" s="369"/>
      <c r="F122" s="369"/>
      <c r="G122" s="371"/>
      <c r="H122" s="371"/>
      <c r="I122" s="371"/>
      <c r="J122" s="371"/>
      <c r="K122" s="371"/>
      <c r="L122" s="371"/>
      <c r="M122" s="371"/>
      <c r="N122" s="372"/>
      <c r="O122" s="371"/>
      <c r="P122" s="371"/>
      <c r="Q122" s="371"/>
      <c r="R122" s="371"/>
      <c r="S122" s="371"/>
      <c r="T122" s="371"/>
      <c r="U122" s="371"/>
      <c r="V122" s="371"/>
      <c r="W122" s="371"/>
      <c r="X122" s="371"/>
    </row>
    <row r="123" spans="1:28" s="277" customFormat="1" ht="30" x14ac:dyDescent="0.25">
      <c r="A123" s="3"/>
      <c r="B123" s="3"/>
      <c r="C123" s="1"/>
      <c r="D123" s="11"/>
      <c r="E123" s="11"/>
      <c r="F123" s="203">
        <v>3</v>
      </c>
      <c r="G123" s="1347" t="s">
        <v>5048</v>
      </c>
      <c r="H123" s="1348"/>
      <c r="I123" s="1348"/>
      <c r="J123" s="1018"/>
      <c r="K123" s="1018"/>
      <c r="L123" s="752"/>
      <c r="M123" s="283"/>
      <c r="N123" s="1019" t="str">
        <f>HYPERLINK("http://wiki.academyofsports.online/tiki-index.php?page=Stellenanzeige-aufgeben-(0166)", "PP-Päd-001  (0166)")</f>
        <v>PP-Päd-001  (0166)</v>
      </c>
      <c r="O123" s="902"/>
      <c r="P123" s="902"/>
      <c r="Q123" s="902"/>
      <c r="R123" s="902"/>
      <c r="S123" s="902"/>
      <c r="T123" s="1020"/>
      <c r="U123" s="1020"/>
      <c r="V123" s="902"/>
      <c r="W123" s="902"/>
      <c r="X123" s="902"/>
      <c r="Y123" s="13"/>
      <c r="Z123" s="13"/>
      <c r="AA123" s="13"/>
      <c r="AB123" s="13"/>
    </row>
    <row r="124" spans="1:28" s="277" customFormat="1" ht="51.75" x14ac:dyDescent="0.25">
      <c r="A124" s="3"/>
      <c r="B124" s="3"/>
      <c r="C124" s="1"/>
      <c r="D124" s="11"/>
      <c r="E124" s="11"/>
      <c r="F124" s="11"/>
      <c r="G124" s="235">
        <v>4</v>
      </c>
      <c r="H124" s="235"/>
      <c r="I124" s="235"/>
      <c r="J124" s="236" t="s">
        <v>5049</v>
      </c>
      <c r="K124" s="82" t="s">
        <v>5050</v>
      </c>
      <c r="L124" s="237" t="s">
        <v>4701</v>
      </c>
      <c r="M124" s="236" t="s">
        <v>5051</v>
      </c>
      <c r="N124" s="149"/>
      <c r="O124" s="24"/>
      <c r="P124" s="6" t="s">
        <v>4985</v>
      </c>
      <c r="Q124" s="24"/>
      <c r="R124" s="150" t="s">
        <v>4986</v>
      </c>
      <c r="S124" s="24" t="s">
        <v>4875</v>
      </c>
      <c r="T124" s="151"/>
      <c r="U124" s="151"/>
      <c r="V124" s="24"/>
      <c r="W124" s="24"/>
      <c r="X124" s="24"/>
      <c r="Y124" s="13"/>
      <c r="Z124" s="13"/>
      <c r="AA124" s="13"/>
      <c r="AB124" s="13"/>
    </row>
    <row r="125" spans="1:28" s="277" customFormat="1" ht="45" x14ac:dyDescent="0.25">
      <c r="A125" s="3"/>
      <c r="B125" s="3"/>
      <c r="C125" s="1"/>
      <c r="D125" s="11"/>
      <c r="E125" s="11"/>
      <c r="F125" s="11"/>
      <c r="G125" s="28">
        <v>4</v>
      </c>
      <c r="H125" s="28"/>
      <c r="I125" s="28"/>
      <c r="J125" s="6" t="s">
        <v>5052</v>
      </c>
      <c r="K125" s="6" t="s">
        <v>5053</v>
      </c>
      <c r="L125" s="27" t="s">
        <v>4701</v>
      </c>
      <c r="M125" s="24"/>
      <c r="N125" s="22" t="s">
        <v>4987</v>
      </c>
      <c r="O125" s="24"/>
      <c r="P125" s="24" t="s">
        <v>4988</v>
      </c>
      <c r="Q125" s="24"/>
      <c r="R125" s="24"/>
      <c r="S125" s="24" t="s">
        <v>4813</v>
      </c>
      <c r="T125" s="24"/>
      <c r="U125" s="24"/>
      <c r="V125" s="24"/>
      <c r="W125" s="24"/>
      <c r="X125" s="24"/>
      <c r="Y125" s="14"/>
      <c r="Z125" s="14"/>
      <c r="AA125" s="14"/>
      <c r="AB125" s="14"/>
    </row>
    <row r="126" spans="1:28" s="277" customFormat="1" x14ac:dyDescent="0.25">
      <c r="A126" s="3"/>
      <c r="B126" s="3"/>
      <c r="C126" s="1"/>
      <c r="D126" s="11"/>
      <c r="E126" s="11"/>
      <c r="F126" s="11"/>
      <c r="G126" s="841">
        <v>4</v>
      </c>
      <c r="H126" s="1349" t="s">
        <v>4640</v>
      </c>
      <c r="I126" s="1230"/>
      <c r="J126" s="1230"/>
      <c r="K126" s="1230"/>
      <c r="L126" s="1230"/>
      <c r="M126" s="1230"/>
      <c r="N126" s="1021" t="str">
        <f>HYPERLINK("http://wiki.academyofsports.online/tiki-index.php?page=Stellenanzeige-aufgeben-(0166)", "0166")</f>
        <v>0166</v>
      </c>
      <c r="O126" s="902"/>
      <c r="P126" s="902"/>
      <c r="Q126" s="902"/>
      <c r="R126" s="902"/>
      <c r="S126" s="1022"/>
      <c r="T126" s="1020"/>
      <c r="U126" s="1020"/>
      <c r="V126" s="902"/>
      <c r="W126" s="902"/>
      <c r="X126" s="902"/>
      <c r="Y126" s="1041"/>
      <c r="Z126" s="1041"/>
      <c r="AA126" s="1041"/>
      <c r="AB126" s="1041"/>
    </row>
    <row r="127" spans="1:28" s="277" customFormat="1" ht="30" x14ac:dyDescent="0.25">
      <c r="A127" s="3"/>
      <c r="B127" s="3"/>
      <c r="C127" s="1"/>
      <c r="D127" s="11"/>
      <c r="E127" s="11"/>
      <c r="F127" s="11"/>
      <c r="G127" s="11"/>
      <c r="H127" s="11">
        <v>5</v>
      </c>
      <c r="I127" s="11"/>
      <c r="J127" s="6" t="s">
        <v>5054</v>
      </c>
      <c r="K127" s="6" t="s">
        <v>5055</v>
      </c>
      <c r="L127" s="27" t="s">
        <v>4701</v>
      </c>
      <c r="M127" s="24" t="s">
        <v>5056</v>
      </c>
      <c r="N127" s="24" t="s">
        <v>4989</v>
      </c>
      <c r="O127" s="6"/>
      <c r="P127" s="6" t="s">
        <v>4990</v>
      </c>
      <c r="Q127" s="6"/>
      <c r="R127" s="6"/>
      <c r="S127" s="24"/>
      <c r="T127" s="16"/>
      <c r="U127" s="16"/>
      <c r="V127" s="6"/>
      <c r="W127" s="6"/>
      <c r="X127" s="6"/>
      <c r="Y127" s="14"/>
      <c r="Z127" s="14"/>
      <c r="AA127" s="14"/>
      <c r="AB127" s="14"/>
    </row>
    <row r="128" spans="1:28" s="277" customFormat="1" ht="45" x14ac:dyDescent="0.25">
      <c r="A128" s="3"/>
      <c r="B128" s="3"/>
      <c r="C128" s="1"/>
      <c r="D128" s="11"/>
      <c r="E128" s="11"/>
      <c r="F128" s="11"/>
      <c r="G128" s="28"/>
      <c r="H128" s="28">
        <v>5</v>
      </c>
      <c r="I128" s="28"/>
      <c r="J128" s="6" t="s">
        <v>5057</v>
      </c>
      <c r="K128" s="6" t="s">
        <v>5058</v>
      </c>
      <c r="L128" s="8" t="s">
        <v>4851</v>
      </c>
      <c r="M128" s="24" t="s">
        <v>5056</v>
      </c>
      <c r="N128" s="24" t="s">
        <v>4989</v>
      </c>
      <c r="O128" s="24"/>
      <c r="P128" s="24"/>
      <c r="Q128" s="24"/>
      <c r="R128" s="24"/>
      <c r="S128" s="24" t="s">
        <v>4875</v>
      </c>
      <c r="T128" s="24"/>
      <c r="U128" s="24"/>
      <c r="V128" s="24"/>
      <c r="W128" s="24"/>
      <c r="X128" s="24"/>
      <c r="Y128" s="14"/>
      <c r="Z128" s="14"/>
      <c r="AA128" s="14"/>
      <c r="AB128" s="14"/>
    </row>
    <row r="129" spans="1:28" s="277" customFormat="1" ht="30" x14ac:dyDescent="0.25">
      <c r="A129" s="3"/>
      <c r="B129" s="3"/>
      <c r="C129" s="1"/>
      <c r="D129" s="11"/>
      <c r="E129" s="11"/>
      <c r="F129" s="11"/>
      <c r="G129" s="11"/>
      <c r="H129" s="11">
        <v>5</v>
      </c>
      <c r="I129" s="11"/>
      <c r="J129" s="6" t="s">
        <v>5059</v>
      </c>
      <c r="K129" s="6" t="s">
        <v>5060</v>
      </c>
      <c r="L129" s="27" t="s">
        <v>969</v>
      </c>
      <c r="M129" s="24" t="s">
        <v>5056</v>
      </c>
      <c r="N129" s="22"/>
      <c r="O129" s="6"/>
      <c r="P129" s="6" t="s">
        <v>4991</v>
      </c>
      <c r="Q129" s="6"/>
      <c r="R129" s="6"/>
      <c r="S129" s="24" t="s">
        <v>4813</v>
      </c>
      <c r="T129" s="16"/>
      <c r="U129" s="16"/>
      <c r="V129" s="6"/>
      <c r="W129" s="6"/>
      <c r="X129" s="6"/>
      <c r="Y129" s="14"/>
      <c r="Z129" s="14"/>
      <c r="AA129" s="14"/>
      <c r="AB129" s="14"/>
    </row>
    <row r="130" spans="1:28" s="277" customFormat="1" ht="30" x14ac:dyDescent="0.25">
      <c r="A130" s="3"/>
      <c r="B130" s="3"/>
      <c r="C130" s="1"/>
      <c r="D130" s="11"/>
      <c r="E130" s="11"/>
      <c r="F130" s="11"/>
      <c r="G130" s="11"/>
      <c r="H130" s="11">
        <v>5</v>
      </c>
      <c r="I130" s="11"/>
      <c r="J130" s="6" t="s">
        <v>5061</v>
      </c>
      <c r="K130" s="6" t="s">
        <v>5062</v>
      </c>
      <c r="L130" s="8" t="s">
        <v>4701</v>
      </c>
      <c r="M130" s="24" t="s">
        <v>5056</v>
      </c>
      <c r="N130" s="22"/>
      <c r="O130" s="6"/>
      <c r="P130" s="6"/>
      <c r="Q130" s="6"/>
      <c r="R130" s="6"/>
      <c r="S130" s="24"/>
      <c r="T130" s="16"/>
      <c r="U130" s="16"/>
      <c r="V130" s="6"/>
      <c r="W130" s="6"/>
      <c r="X130" s="6"/>
      <c r="Y130" s="14"/>
      <c r="Z130" s="14"/>
      <c r="AA130" s="14"/>
      <c r="AB130" s="14"/>
    </row>
    <row r="131" spans="1:28" s="277" customFormat="1" ht="30" x14ac:dyDescent="0.25">
      <c r="A131" s="3"/>
      <c r="B131" s="3"/>
      <c r="C131" s="1"/>
      <c r="D131" s="11"/>
      <c r="E131" s="11"/>
      <c r="F131" s="11"/>
      <c r="G131" s="11"/>
      <c r="H131" s="11">
        <v>5</v>
      </c>
      <c r="I131" s="11"/>
      <c r="J131" s="6" t="s">
        <v>5063</v>
      </c>
      <c r="K131" s="6" t="s">
        <v>5064</v>
      </c>
      <c r="L131" s="8" t="s">
        <v>4701</v>
      </c>
      <c r="M131" s="6"/>
      <c r="N131" s="22"/>
      <c r="O131" s="6"/>
      <c r="P131" s="6" t="s">
        <v>4992</v>
      </c>
      <c r="Q131" s="6"/>
      <c r="R131" s="6" t="s">
        <v>4993</v>
      </c>
      <c r="S131" s="24"/>
      <c r="T131" s="16"/>
      <c r="U131" s="16"/>
      <c r="V131" s="6"/>
      <c r="W131" s="6"/>
      <c r="X131" s="6"/>
      <c r="Y131" s="14"/>
      <c r="Z131" s="14"/>
      <c r="AA131" s="14"/>
      <c r="AB131" s="14"/>
    </row>
    <row r="132" spans="1:28" s="277" customFormat="1" ht="16.5" customHeight="1" x14ac:dyDescent="0.25">
      <c r="A132" s="3"/>
      <c r="B132" s="3"/>
      <c r="C132" s="1"/>
      <c r="D132" s="11"/>
      <c r="E132" s="11"/>
      <c r="F132" s="11"/>
      <c r="G132" s="841">
        <v>4</v>
      </c>
      <c r="H132" s="1350" t="s">
        <v>5065</v>
      </c>
      <c r="I132" s="1231"/>
      <c r="J132" s="1231"/>
      <c r="K132" s="1231"/>
      <c r="L132" s="1231"/>
      <c r="M132" s="1231"/>
      <c r="N132" s="1019" t="str">
        <f>HYPERLINK("http://wiki.academyofsports.online/tiki-index.php?page=Bewerbungsprozess---Autor-(-PP-P%C3%A4d-004)", "PP-Päd-004")</f>
        <v>PP-Päd-004</v>
      </c>
      <c r="O132" s="902"/>
      <c r="P132" s="902"/>
      <c r="Q132" s="902"/>
      <c r="R132" s="902"/>
      <c r="S132" s="1022"/>
      <c r="T132" s="1020"/>
      <c r="U132" s="1020"/>
      <c r="V132" s="902"/>
      <c r="W132" s="902"/>
      <c r="X132" s="902"/>
      <c r="Y132" s="1041"/>
      <c r="Z132" s="1041"/>
      <c r="AA132" s="1041"/>
      <c r="AB132" s="1041"/>
    </row>
    <row r="133" spans="1:28" s="277" customFormat="1" ht="60" x14ac:dyDescent="0.25">
      <c r="A133" s="3"/>
      <c r="B133" s="3"/>
      <c r="C133" s="1"/>
      <c r="D133" s="11"/>
      <c r="E133" s="11"/>
      <c r="F133" s="11"/>
      <c r="G133" s="11"/>
      <c r="H133" s="11">
        <v>5</v>
      </c>
      <c r="I133" s="11"/>
      <c r="J133" s="6" t="s">
        <v>5066</v>
      </c>
      <c r="K133" s="6" t="s">
        <v>5067</v>
      </c>
      <c r="L133" s="27" t="s">
        <v>4701</v>
      </c>
      <c r="M133" s="6" t="s">
        <v>5056</v>
      </c>
      <c r="N133" s="22"/>
      <c r="O133" s="6"/>
      <c r="P133" s="6" t="s">
        <v>4994</v>
      </c>
      <c r="Q133" s="6"/>
      <c r="R133" s="6"/>
      <c r="S133" s="24" t="s">
        <v>4875</v>
      </c>
      <c r="T133" s="16" t="s">
        <v>31</v>
      </c>
      <c r="U133" s="16"/>
      <c r="V133" s="6"/>
      <c r="W133" s="6"/>
      <c r="X133" s="6"/>
      <c r="Y133" s="14"/>
      <c r="Z133" s="14"/>
      <c r="AA133" s="14"/>
      <c r="AB133" s="14"/>
    </row>
    <row r="134" spans="1:28" s="277" customFormat="1" ht="90" x14ac:dyDescent="0.25">
      <c r="A134" s="3"/>
      <c r="B134" s="3"/>
      <c r="C134" s="1"/>
      <c r="D134" s="11"/>
      <c r="E134" s="11"/>
      <c r="F134" s="134"/>
      <c r="G134" s="134"/>
      <c r="H134" s="134">
        <v>5</v>
      </c>
      <c r="I134" s="134"/>
      <c r="J134" s="12" t="s">
        <v>5068</v>
      </c>
      <c r="K134" s="12" t="s">
        <v>5069</v>
      </c>
      <c r="L134" s="27" t="s">
        <v>4701</v>
      </c>
      <c r="M134" s="12" t="s">
        <v>5070</v>
      </c>
      <c r="N134" s="127"/>
      <c r="O134" s="127"/>
      <c r="P134" s="127" t="s">
        <v>4995</v>
      </c>
      <c r="Q134" s="127"/>
      <c r="R134" s="12"/>
      <c r="S134" s="129" t="s">
        <v>4813</v>
      </c>
      <c r="T134" s="129"/>
      <c r="U134" s="129"/>
      <c r="V134" s="127"/>
      <c r="W134" s="127"/>
      <c r="X134" s="127"/>
      <c r="Y134" s="14"/>
      <c r="Z134" s="14"/>
      <c r="AA134" s="14"/>
      <c r="AB134" s="14"/>
    </row>
    <row r="135" spans="1:28" s="277" customFormat="1" ht="45" x14ac:dyDescent="0.25">
      <c r="A135" s="3"/>
      <c r="B135" s="3"/>
      <c r="C135" s="1"/>
      <c r="D135" s="11"/>
      <c r="E135" s="11"/>
      <c r="F135" s="134"/>
      <c r="G135" s="134"/>
      <c r="H135" s="134">
        <v>5</v>
      </c>
      <c r="I135" s="134"/>
      <c r="J135" s="12" t="s">
        <v>5071</v>
      </c>
      <c r="K135" s="12" t="s">
        <v>5072</v>
      </c>
      <c r="L135" s="27" t="s">
        <v>4701</v>
      </c>
      <c r="M135" s="12" t="s">
        <v>5073</v>
      </c>
      <c r="N135" s="127"/>
      <c r="O135" s="127"/>
      <c r="P135" s="127"/>
      <c r="Q135" s="127"/>
      <c r="R135" s="12"/>
      <c r="S135" s="129"/>
      <c r="T135" s="129"/>
      <c r="U135" s="129"/>
      <c r="V135" s="127"/>
      <c r="W135" s="127"/>
      <c r="X135" s="127"/>
      <c r="Y135" s="14"/>
      <c r="Z135" s="14"/>
      <c r="AA135" s="14"/>
      <c r="AB135" s="14"/>
    </row>
    <row r="136" spans="1:28" s="277" customFormat="1" ht="25.5" x14ac:dyDescent="0.25">
      <c r="A136" s="3"/>
      <c r="B136" s="3"/>
      <c r="C136" s="1"/>
      <c r="D136" s="11"/>
      <c r="E136" s="11"/>
      <c r="F136" s="134"/>
      <c r="G136" s="134"/>
      <c r="H136" s="134">
        <v>5</v>
      </c>
      <c r="I136" s="134"/>
      <c r="J136" s="12" t="s">
        <v>5074</v>
      </c>
      <c r="K136" s="12" t="s">
        <v>5075</v>
      </c>
      <c r="L136" s="27" t="s">
        <v>4701</v>
      </c>
      <c r="M136" s="12"/>
      <c r="N136" s="127"/>
      <c r="O136" s="127"/>
      <c r="P136" s="127" t="s">
        <v>4996</v>
      </c>
      <c r="Q136" s="127"/>
      <c r="R136" s="12"/>
      <c r="S136" s="129" t="s">
        <v>4813</v>
      </c>
      <c r="T136" s="129"/>
      <c r="U136" s="129"/>
      <c r="V136" s="127"/>
      <c r="W136" s="127"/>
      <c r="X136" s="127"/>
      <c r="Y136" s="14"/>
      <c r="Z136" s="14"/>
      <c r="AA136" s="14"/>
      <c r="AB136" s="14"/>
    </row>
    <row r="137" spans="1:28" s="277" customFormat="1" ht="57.75" x14ac:dyDescent="0.25">
      <c r="A137" s="3"/>
      <c r="B137" s="3"/>
      <c r="C137" s="1"/>
      <c r="D137" s="11"/>
      <c r="E137" s="11"/>
      <c r="F137" s="134"/>
      <c r="G137" s="134"/>
      <c r="H137" s="134">
        <v>5</v>
      </c>
      <c r="I137" s="134"/>
      <c r="J137" s="12" t="s">
        <v>5076</v>
      </c>
      <c r="K137" s="12" t="s">
        <v>5077</v>
      </c>
      <c r="L137" s="27" t="s">
        <v>4701</v>
      </c>
      <c r="M137" s="12"/>
      <c r="N137" s="127"/>
      <c r="O137" s="127"/>
      <c r="P137" s="127" t="s">
        <v>4996</v>
      </c>
      <c r="Q137" s="127"/>
      <c r="R137" s="12"/>
      <c r="S137" s="129" t="s">
        <v>4813</v>
      </c>
      <c r="T137" s="129"/>
      <c r="U137" s="129"/>
      <c r="V137" s="127"/>
      <c r="W137" s="127"/>
      <c r="X137" s="127"/>
      <c r="Y137" s="14"/>
      <c r="Z137" s="14"/>
      <c r="AA137" s="14"/>
      <c r="AB137" s="14"/>
    </row>
    <row r="138" spans="1:28" s="277" customFormat="1" ht="45" x14ac:dyDescent="0.25">
      <c r="A138" s="3"/>
      <c r="B138" s="3"/>
      <c r="C138" s="1"/>
      <c r="D138" s="11"/>
      <c r="E138" s="11"/>
      <c r="F138" s="11"/>
      <c r="G138" s="40"/>
      <c r="H138" s="40">
        <v>5</v>
      </c>
      <c r="I138" s="40"/>
      <c r="J138" s="49" t="s">
        <v>5078</v>
      </c>
      <c r="K138" s="49" t="s">
        <v>5079</v>
      </c>
      <c r="L138" s="50" t="s">
        <v>4701</v>
      </c>
      <c r="M138" s="49" t="s">
        <v>5080</v>
      </c>
      <c r="N138" s="22"/>
      <c r="O138" s="6"/>
      <c r="P138" s="6"/>
      <c r="Q138" s="6"/>
      <c r="R138" s="6"/>
      <c r="S138" s="6" t="s">
        <v>4813</v>
      </c>
      <c r="T138" s="16"/>
      <c r="U138" s="16"/>
      <c r="V138" s="6"/>
      <c r="W138" s="6"/>
      <c r="X138" s="6"/>
      <c r="Y138" s="14"/>
      <c r="Z138" s="14"/>
      <c r="AA138" s="14"/>
      <c r="AB138" s="14"/>
    </row>
    <row r="139" spans="1:28" s="277" customFormat="1" x14ac:dyDescent="0.25">
      <c r="A139" s="3"/>
      <c r="B139" s="3"/>
      <c r="C139" s="1"/>
      <c r="D139" s="11"/>
      <c r="E139" s="11"/>
      <c r="F139" s="11"/>
      <c r="G139" s="40"/>
      <c r="H139" s="40">
        <v>5</v>
      </c>
      <c r="I139" s="40"/>
      <c r="J139" s="49" t="s">
        <v>5081</v>
      </c>
      <c r="K139" s="49" t="s">
        <v>5082</v>
      </c>
      <c r="L139" s="50" t="s">
        <v>5083</v>
      </c>
      <c r="M139" s="49"/>
      <c r="N139" s="22"/>
      <c r="O139" s="6"/>
      <c r="P139" s="6"/>
      <c r="Q139" s="6"/>
      <c r="R139" s="6"/>
      <c r="S139" s="6" t="s">
        <v>4813</v>
      </c>
      <c r="T139" s="16"/>
      <c r="U139" s="16"/>
      <c r="V139" s="6"/>
      <c r="W139" s="6"/>
      <c r="X139" s="6"/>
      <c r="Y139" s="14"/>
      <c r="Z139" s="14"/>
      <c r="AA139" s="14"/>
      <c r="AB139" s="14"/>
    </row>
    <row r="140" spans="1:28" s="277" customFormat="1" ht="60" x14ac:dyDescent="0.25">
      <c r="A140" s="3"/>
      <c r="B140" s="3"/>
      <c r="C140" s="1"/>
      <c r="D140" s="11"/>
      <c r="E140" s="11"/>
      <c r="F140" s="134"/>
      <c r="G140" s="134"/>
      <c r="H140" s="134">
        <v>5</v>
      </c>
      <c r="I140" s="134"/>
      <c r="J140" s="12" t="s">
        <v>5084</v>
      </c>
      <c r="K140" s="12" t="s">
        <v>5085</v>
      </c>
      <c r="L140" s="27" t="s">
        <v>4701</v>
      </c>
      <c r="M140" s="12" t="s">
        <v>5086</v>
      </c>
      <c r="N140" s="127"/>
      <c r="O140" s="127"/>
      <c r="P140" s="127" t="s">
        <v>4997</v>
      </c>
      <c r="Q140" s="127"/>
      <c r="R140" s="150" t="s">
        <v>4998</v>
      </c>
      <c r="S140" s="129"/>
      <c r="T140" s="129"/>
      <c r="U140" s="129"/>
      <c r="V140" s="127"/>
      <c r="W140" s="127"/>
      <c r="X140" s="127"/>
      <c r="Y140" s="14"/>
      <c r="Z140" s="14"/>
      <c r="AA140" s="14"/>
      <c r="AB140" s="14"/>
    </row>
    <row r="141" spans="1:28" s="277" customFormat="1" x14ac:dyDescent="0.25">
      <c r="A141" s="3"/>
      <c r="B141" s="3"/>
      <c r="C141" s="1"/>
      <c r="D141" s="11"/>
      <c r="E141" s="11"/>
      <c r="F141" s="134"/>
      <c r="G141" s="134"/>
      <c r="H141" s="134">
        <v>5</v>
      </c>
      <c r="I141" s="134"/>
      <c r="J141" s="127" t="s">
        <v>5087</v>
      </c>
      <c r="K141" s="12" t="s">
        <v>5088</v>
      </c>
      <c r="L141" s="72" t="s">
        <v>5089</v>
      </c>
      <c r="M141" s="127"/>
      <c r="N141" s="127"/>
      <c r="O141" s="127"/>
      <c r="P141" s="127"/>
      <c r="Q141" s="127"/>
      <c r="R141" s="12"/>
      <c r="S141" s="129"/>
      <c r="T141" s="129"/>
      <c r="U141" s="129"/>
      <c r="V141" s="127"/>
      <c r="W141" s="127"/>
      <c r="X141" s="127"/>
      <c r="Y141" s="14"/>
      <c r="Z141" s="14"/>
      <c r="AA141" s="14"/>
      <c r="AB141" s="14"/>
    </row>
    <row r="142" spans="1:28" s="277" customFormat="1" ht="72" x14ac:dyDescent="0.25">
      <c r="A142" s="3"/>
      <c r="B142" s="3"/>
      <c r="C142" s="1"/>
      <c r="D142" s="11"/>
      <c r="E142" s="11"/>
      <c r="F142" s="134"/>
      <c r="G142" s="134"/>
      <c r="H142" s="134"/>
      <c r="I142" s="134">
        <v>6</v>
      </c>
      <c r="J142" s="127" t="s">
        <v>5090</v>
      </c>
      <c r="K142" s="127" t="s">
        <v>5091</v>
      </c>
      <c r="L142" s="128" t="s">
        <v>4701</v>
      </c>
      <c r="M142" s="127" t="s">
        <v>5092</v>
      </c>
      <c r="N142" s="127"/>
      <c r="O142" s="127"/>
      <c r="P142" s="127" t="s">
        <v>4999</v>
      </c>
      <c r="Q142" s="127" t="s">
        <v>5000</v>
      </c>
      <c r="R142" s="12" t="s">
        <v>5001</v>
      </c>
      <c r="S142" s="129" t="s">
        <v>129</v>
      </c>
      <c r="T142" s="129"/>
      <c r="U142" s="129"/>
      <c r="V142" s="127"/>
      <c r="W142" s="127"/>
      <c r="X142" s="127"/>
      <c r="Y142" s="14"/>
      <c r="Z142" s="14"/>
      <c r="AA142" s="14"/>
      <c r="AB142" s="14"/>
    </row>
    <row r="143" spans="1:28" s="277" customFormat="1" ht="63.75" x14ac:dyDescent="0.25">
      <c r="A143" s="3"/>
      <c r="B143" s="3"/>
      <c r="C143" s="1"/>
      <c r="D143" s="11"/>
      <c r="E143" s="11"/>
      <c r="F143" s="134"/>
      <c r="G143" s="134"/>
      <c r="H143" s="134"/>
      <c r="I143" s="134">
        <v>6</v>
      </c>
      <c r="J143" s="152" t="s">
        <v>5093</v>
      </c>
      <c r="K143" s="152" t="s">
        <v>5094</v>
      </c>
      <c r="L143" s="153" t="s">
        <v>4701</v>
      </c>
      <c r="M143" s="152" t="s">
        <v>5095</v>
      </c>
      <c r="N143" s="154"/>
      <c r="O143" s="152"/>
      <c r="P143" s="152" t="s">
        <v>5002</v>
      </c>
      <c r="Q143" s="152" t="s">
        <v>5003</v>
      </c>
      <c r="R143" s="152"/>
      <c r="S143" s="24" t="s">
        <v>4813</v>
      </c>
      <c r="T143" s="155"/>
      <c r="U143" s="155"/>
      <c r="V143" s="152"/>
      <c r="W143" s="152"/>
      <c r="X143" s="152"/>
      <c r="Y143" s="14"/>
      <c r="Z143" s="14"/>
      <c r="AA143" s="14"/>
      <c r="AB143" s="14"/>
    </row>
    <row r="144" spans="1:28" s="277" customFormat="1" ht="75" x14ac:dyDescent="0.25">
      <c r="A144" s="3"/>
      <c r="B144" s="3"/>
      <c r="C144" s="1"/>
      <c r="D144" s="135"/>
      <c r="E144" s="135"/>
      <c r="F144" s="135"/>
      <c r="G144" s="135"/>
      <c r="H144" s="135"/>
      <c r="I144" s="135">
        <v>6</v>
      </c>
      <c r="J144" s="156" t="s">
        <v>5096</v>
      </c>
      <c r="K144" s="156" t="s">
        <v>5097</v>
      </c>
      <c r="L144" s="157" t="s">
        <v>5089</v>
      </c>
      <c r="M144" s="156" t="s">
        <v>5098</v>
      </c>
      <c r="N144" s="158"/>
      <c r="O144" s="156"/>
      <c r="P144" s="156" t="s">
        <v>5004</v>
      </c>
      <c r="Q144" s="156"/>
      <c r="R144" s="156"/>
      <c r="S144" s="159" t="s">
        <v>4875</v>
      </c>
      <c r="T144" s="160"/>
      <c r="U144" s="160"/>
      <c r="V144" s="156"/>
      <c r="W144" s="156"/>
      <c r="X144" s="156"/>
      <c r="Y144" s="14"/>
      <c r="Z144" s="14"/>
      <c r="AA144" s="14"/>
      <c r="AB144" s="14"/>
    </row>
    <row r="145" spans="1:28" s="277" customFormat="1" ht="30" x14ac:dyDescent="0.25">
      <c r="A145" s="3"/>
      <c r="B145" s="3"/>
      <c r="C145" s="1"/>
      <c r="D145" s="136"/>
      <c r="E145" s="136"/>
      <c r="F145" s="136"/>
      <c r="G145" s="136"/>
      <c r="H145" s="136"/>
      <c r="I145" s="136">
        <v>6</v>
      </c>
      <c r="J145" s="1023" t="s">
        <v>5099</v>
      </c>
      <c r="K145" s="1"/>
      <c r="L145" s="8" t="s">
        <v>5089</v>
      </c>
      <c r="M145" s="131"/>
      <c r="N145" s="132"/>
      <c r="O145" s="131"/>
      <c r="P145" s="131"/>
      <c r="Q145" s="131"/>
      <c r="R145" s="131" t="s">
        <v>5005</v>
      </c>
      <c r="S145" s="131"/>
      <c r="T145" s="133"/>
      <c r="U145" s="133"/>
      <c r="V145" s="131"/>
      <c r="W145" s="131"/>
      <c r="X145" s="131"/>
      <c r="Y145" s="14"/>
      <c r="Z145" s="14"/>
      <c r="AA145" s="14"/>
      <c r="AB145" s="14"/>
    </row>
    <row r="146" spans="1:28" s="277" customFormat="1" ht="75" x14ac:dyDescent="0.25">
      <c r="A146" s="3"/>
      <c r="B146" s="3"/>
      <c r="C146" s="1"/>
      <c r="D146" s="136"/>
      <c r="E146" s="136"/>
      <c r="F146" s="136"/>
      <c r="G146" s="136"/>
      <c r="H146" s="11"/>
      <c r="I146" s="11">
        <v>6</v>
      </c>
      <c r="J146" s="6" t="s">
        <v>5100</v>
      </c>
      <c r="K146" s="20" t="s">
        <v>5101</v>
      </c>
      <c r="L146" s="8" t="s">
        <v>4701</v>
      </c>
      <c r="M146" s="6" t="s">
        <v>5098</v>
      </c>
      <c r="N146" s="132"/>
      <c r="O146" s="131"/>
      <c r="P146" s="131"/>
      <c r="Q146" s="131"/>
      <c r="R146" s="131"/>
      <c r="S146" s="147" t="s">
        <v>4875</v>
      </c>
      <c r="T146" s="133"/>
      <c r="U146" s="133"/>
      <c r="V146" s="131"/>
      <c r="W146" s="131"/>
      <c r="X146" s="131"/>
      <c r="Y146" s="14"/>
      <c r="Z146" s="14"/>
      <c r="AA146" s="14"/>
      <c r="AB146" s="14"/>
    </row>
    <row r="147" spans="1:28" s="277" customFormat="1" ht="15.75" customHeight="1" x14ac:dyDescent="0.25">
      <c r="A147" s="3"/>
      <c r="B147" s="3"/>
      <c r="C147" s="1"/>
      <c r="D147" s="125"/>
      <c r="E147" s="125"/>
      <c r="F147" s="125"/>
      <c r="G147" s="125"/>
      <c r="H147" s="220"/>
      <c r="I147" s="220"/>
      <c r="J147" s="221" t="s">
        <v>5102</v>
      </c>
      <c r="K147" s="221" t="s">
        <v>5103</v>
      </c>
      <c r="L147" s="222" t="s">
        <v>4701</v>
      </c>
      <c r="M147" s="223" t="s">
        <v>5104</v>
      </c>
      <c r="N147" s="111"/>
      <c r="O147" s="62"/>
      <c r="P147" s="62"/>
      <c r="Q147" s="62"/>
      <c r="R147" s="62"/>
      <c r="S147" s="62"/>
      <c r="T147" s="101"/>
      <c r="U147" s="101"/>
      <c r="V147" s="62"/>
      <c r="W147" s="62"/>
      <c r="X147" s="62"/>
      <c r="Y147" s="62"/>
      <c r="Z147" s="62"/>
      <c r="AA147" s="62"/>
      <c r="AB147" s="62"/>
    </row>
    <row r="148" spans="1:28" s="277" customFormat="1" ht="15.75" customHeight="1" x14ac:dyDescent="0.25">
      <c r="A148" s="3"/>
      <c r="B148" s="3"/>
      <c r="C148" s="1"/>
      <c r="D148" s="125"/>
      <c r="E148" s="125"/>
      <c r="F148" s="125"/>
      <c r="G148" s="125"/>
      <c r="H148" s="125"/>
      <c r="I148" s="125"/>
      <c r="J148" s="110" t="s">
        <v>5105</v>
      </c>
      <c r="K148" s="109" t="s">
        <v>5106</v>
      </c>
      <c r="L148" s="100" t="s">
        <v>4701</v>
      </c>
      <c r="M148" s="62"/>
      <c r="N148" s="111"/>
      <c r="O148" s="62"/>
      <c r="P148" s="62"/>
      <c r="Q148" s="62"/>
      <c r="R148" s="62"/>
      <c r="S148" s="62"/>
      <c r="T148" s="101"/>
      <c r="U148" s="101"/>
      <c r="V148" s="62"/>
      <c r="W148" s="62"/>
      <c r="X148" s="62"/>
      <c r="Y148" s="62"/>
      <c r="Z148" s="62"/>
      <c r="AA148" s="62"/>
      <c r="AB148" s="62"/>
    </row>
    <row r="149" spans="1:28" s="277" customFormat="1" ht="30" x14ac:dyDescent="0.25">
      <c r="A149" s="3"/>
      <c r="B149" s="3"/>
      <c r="C149" s="1"/>
      <c r="D149" s="136"/>
      <c r="E149" s="136"/>
      <c r="F149" s="136"/>
      <c r="G149" s="136"/>
      <c r="H149" s="136">
        <v>5</v>
      </c>
      <c r="I149" s="136"/>
      <c r="J149" s="6" t="s">
        <v>5107</v>
      </c>
      <c r="K149" s="20"/>
      <c r="L149" s="8" t="s">
        <v>4851</v>
      </c>
      <c r="M149" s="131"/>
      <c r="N149" s="132"/>
      <c r="O149" s="131"/>
      <c r="P149" s="131"/>
      <c r="Q149" s="131"/>
      <c r="R149" s="131"/>
      <c r="S149" s="147"/>
      <c r="T149" s="133"/>
      <c r="U149" s="133"/>
      <c r="V149" s="131"/>
      <c r="W149" s="131"/>
      <c r="X149" s="131"/>
      <c r="Y149" s="14"/>
      <c r="Z149" s="14"/>
      <c r="AA149" s="14"/>
      <c r="AB149" s="14"/>
    </row>
    <row r="150" spans="1:28" s="277" customFormat="1" ht="16.5" customHeight="1" x14ac:dyDescent="0.25">
      <c r="A150" s="3"/>
      <c r="B150" s="3"/>
      <c r="C150" s="276"/>
      <c r="E150"/>
      <c r="F150"/>
      <c r="G150" s="278"/>
      <c r="H150" s="278"/>
      <c r="I150" s="278"/>
      <c r="J150" s="278"/>
      <c r="K150" s="278"/>
      <c r="L150" s="278"/>
      <c r="M150" s="278"/>
      <c r="N150" s="279"/>
      <c r="O150" s="278"/>
      <c r="P150" s="278"/>
      <c r="Q150" s="278"/>
      <c r="R150" s="278"/>
      <c r="S150" s="278"/>
      <c r="T150" s="278"/>
      <c r="U150" s="278"/>
      <c r="V150" s="278"/>
      <c r="W150" s="278"/>
      <c r="X150" s="278"/>
    </row>
    <row r="151" spans="1:28" s="277" customFormat="1" ht="16.5" customHeight="1" x14ac:dyDescent="0.25">
      <c r="A151" s="3"/>
      <c r="B151" s="3"/>
      <c r="C151" s="276"/>
      <c r="E151"/>
      <c r="F151"/>
      <c r="G151" s="278"/>
      <c r="H151" s="278"/>
      <c r="I151" s="278"/>
      <c r="J151" s="278" t="s">
        <v>3080</v>
      </c>
      <c r="K151" s="278"/>
      <c r="L151" s="278"/>
      <c r="M151" s="278"/>
      <c r="N151" s="279"/>
      <c r="O151" s="278"/>
      <c r="P151" s="278"/>
      <c r="Q151" s="278"/>
      <c r="R151" s="278"/>
      <c r="S151" s="278"/>
      <c r="T151" s="278"/>
      <c r="U151" s="278"/>
      <c r="V151" s="278"/>
      <c r="W151" s="278"/>
      <c r="X151" s="278"/>
    </row>
    <row r="152" spans="1:28" s="277" customFormat="1" x14ac:dyDescent="0.25">
      <c r="A152" s="3"/>
      <c r="B152" s="3"/>
      <c r="C152" s="1"/>
      <c r="D152" s="841"/>
      <c r="E152" s="841"/>
      <c r="F152" s="1024">
        <v>3</v>
      </c>
      <c r="G152" s="1351" t="s">
        <v>5179</v>
      </c>
      <c r="H152" s="1352"/>
      <c r="I152" s="1352"/>
      <c r="J152" s="1352"/>
      <c r="K152" s="1352"/>
      <c r="L152" s="1352"/>
      <c r="M152" s="1353"/>
      <c r="N152" s="902"/>
      <c r="O152" s="902"/>
      <c r="P152" s="902"/>
      <c r="Q152" s="902"/>
      <c r="R152" s="902"/>
      <c r="S152" s="1026"/>
      <c r="T152" s="1020"/>
      <c r="U152" s="1020"/>
      <c r="V152" s="902"/>
      <c r="W152" s="902"/>
      <c r="X152" s="902"/>
      <c r="Y152" s="1041"/>
      <c r="Z152" s="1041"/>
      <c r="AA152" s="1041"/>
      <c r="AB152" s="1041"/>
    </row>
    <row r="153" spans="1:28" s="277" customFormat="1" ht="63.75" x14ac:dyDescent="0.25">
      <c r="A153" s="3"/>
      <c r="B153" s="3"/>
      <c r="C153" s="1"/>
      <c r="D153" s="11"/>
      <c r="E153" s="11"/>
      <c r="F153" s="70"/>
      <c r="G153" s="70"/>
      <c r="H153" s="182">
        <v>5</v>
      </c>
      <c r="I153" s="182"/>
      <c r="J153" s="183" t="s">
        <v>5180</v>
      </c>
      <c r="K153" s="184" t="s">
        <v>5181</v>
      </c>
      <c r="L153" s="185" t="s">
        <v>4701</v>
      </c>
      <c r="M153" s="186" t="s">
        <v>5182</v>
      </c>
      <c r="N153" s="145"/>
      <c r="O153" s="12"/>
      <c r="P153" s="12" t="s">
        <v>5006</v>
      </c>
      <c r="Q153" s="69" t="s">
        <v>5007</v>
      </c>
      <c r="R153" s="69"/>
      <c r="S153" s="146" t="s">
        <v>129</v>
      </c>
      <c r="T153" s="26"/>
      <c r="U153" s="26"/>
      <c r="V153" s="70"/>
      <c r="W153" s="70"/>
      <c r="X153" s="70"/>
      <c r="Y153" s="14"/>
      <c r="Z153" s="14"/>
      <c r="AA153" s="14"/>
      <c r="AB153" s="14"/>
    </row>
    <row r="154" spans="1:28" s="277" customFormat="1" x14ac:dyDescent="0.25">
      <c r="A154" s="3"/>
      <c r="B154" s="3"/>
      <c r="C154" s="1"/>
      <c r="D154" s="136"/>
      <c r="E154" s="136"/>
      <c r="F154" s="136"/>
      <c r="G154" s="136"/>
      <c r="H154" s="136">
        <v>5</v>
      </c>
      <c r="I154" s="136"/>
      <c r="J154" s="6" t="s">
        <v>5183</v>
      </c>
      <c r="K154" s="20" t="s">
        <v>5184</v>
      </c>
      <c r="L154" s="8" t="s">
        <v>4701</v>
      </c>
      <c r="M154" s="131"/>
      <c r="N154" s="132"/>
      <c r="O154" s="131"/>
      <c r="P154" s="131"/>
      <c r="Q154" s="131"/>
      <c r="R154" s="131"/>
      <c r="S154" s="147"/>
      <c r="T154" s="133"/>
      <c r="U154" s="133"/>
      <c r="V154" s="131"/>
      <c r="W154" s="131"/>
      <c r="X154" s="131"/>
      <c r="Y154" s="14"/>
      <c r="Z154" s="14"/>
      <c r="AA154" s="14"/>
      <c r="AB154" s="14"/>
    </row>
    <row r="155" spans="1:28" s="277" customFormat="1" ht="38.25" x14ac:dyDescent="0.2">
      <c r="A155" s="3"/>
      <c r="B155" s="3"/>
      <c r="C155" s="242"/>
      <c r="D155" s="243"/>
      <c r="E155" s="243"/>
      <c r="F155" s="244"/>
      <c r="G155" s="244"/>
      <c r="H155" s="244">
        <v>5</v>
      </c>
      <c r="I155" s="244"/>
      <c r="J155" s="246" t="s">
        <v>5185</v>
      </c>
      <c r="K155" s="245" t="s">
        <v>5186</v>
      </c>
      <c r="L155" s="247" t="s">
        <v>5146</v>
      </c>
      <c r="M155" s="248" t="s">
        <v>5187</v>
      </c>
      <c r="N155" s="249"/>
      <c r="O155" s="245"/>
      <c r="P155" s="245"/>
      <c r="Q155" s="245"/>
      <c r="R155" s="245"/>
      <c r="S155" s="248" t="s">
        <v>4813</v>
      </c>
      <c r="T155" s="250"/>
      <c r="U155" s="250"/>
      <c r="V155" s="245"/>
      <c r="W155" s="245"/>
      <c r="X155" s="245"/>
      <c r="Y155" s="241"/>
      <c r="Z155" s="241"/>
      <c r="AA155" s="241"/>
      <c r="AB155" s="241"/>
    </row>
    <row r="156" spans="1:28" s="277" customFormat="1" ht="25.5" x14ac:dyDescent="0.2">
      <c r="A156" s="3"/>
      <c r="B156" s="3"/>
      <c r="C156" s="242"/>
      <c r="D156" s="243"/>
      <c r="E156" s="243"/>
      <c r="F156" s="244"/>
      <c r="G156" s="244"/>
      <c r="H156" s="244">
        <v>5</v>
      </c>
      <c r="I156" s="244"/>
      <c r="J156" s="242" t="s">
        <v>5188</v>
      </c>
      <c r="K156" s="245" t="s">
        <v>5189</v>
      </c>
      <c r="L156" s="247" t="s">
        <v>5146</v>
      </c>
      <c r="M156" s="248"/>
      <c r="N156" s="251"/>
      <c r="O156" s="248"/>
      <c r="P156" s="1027"/>
      <c r="Q156" s="248"/>
      <c r="R156" s="248"/>
      <c r="S156" s="248" t="s">
        <v>4813</v>
      </c>
      <c r="T156" s="252"/>
      <c r="U156" s="252"/>
      <c r="V156" s="248"/>
      <c r="W156" s="248"/>
      <c r="X156" s="248"/>
      <c r="Y156" s="241"/>
      <c r="Z156" s="241"/>
      <c r="AA156" s="241"/>
      <c r="AB156" s="241"/>
    </row>
    <row r="157" spans="1:28" s="277" customFormat="1" ht="75" x14ac:dyDescent="0.25">
      <c r="A157" s="3"/>
      <c r="B157" s="3"/>
      <c r="C157" s="1"/>
      <c r="D157" s="168"/>
      <c r="E157" s="168"/>
      <c r="F157" s="168"/>
      <c r="G157" s="169"/>
      <c r="H157" s="169">
        <v>5</v>
      </c>
      <c r="I157" s="169"/>
      <c r="J157" s="170" t="s">
        <v>5190</v>
      </c>
      <c r="K157" s="170" t="s">
        <v>5191</v>
      </c>
      <c r="L157" s="171" t="s">
        <v>5146</v>
      </c>
      <c r="M157" s="170" t="s">
        <v>5192</v>
      </c>
      <c r="N157" s="177"/>
      <c r="O157" s="172"/>
      <c r="P157" s="172"/>
      <c r="Q157" s="172"/>
      <c r="R157" s="172"/>
      <c r="S157" s="173" t="s">
        <v>4875</v>
      </c>
      <c r="T157" s="174"/>
      <c r="U157" s="174"/>
      <c r="V157" s="172"/>
      <c r="W157" s="172"/>
      <c r="X157" s="172"/>
      <c r="Y157" s="167"/>
      <c r="Z157" s="167"/>
      <c r="AA157" s="167"/>
      <c r="AB157" s="167"/>
    </row>
    <row r="158" spans="1:28" s="277" customFormat="1" ht="30" x14ac:dyDescent="0.25">
      <c r="A158" s="3"/>
      <c r="B158" s="3"/>
      <c r="C158" s="1"/>
      <c r="D158" s="169"/>
      <c r="E158" s="169"/>
      <c r="F158" s="169"/>
      <c r="G158" s="169"/>
      <c r="H158" s="169">
        <v>5</v>
      </c>
      <c r="I158" s="169"/>
      <c r="J158" s="170" t="s">
        <v>5193</v>
      </c>
      <c r="K158" s="170" t="s">
        <v>5194</v>
      </c>
      <c r="L158" s="171" t="s">
        <v>5021</v>
      </c>
      <c r="M158" s="170" t="s">
        <v>5195</v>
      </c>
      <c r="N158" s="178"/>
      <c r="O158" s="170"/>
      <c r="P158" s="170"/>
      <c r="Q158" s="170"/>
      <c r="R158" s="170"/>
      <c r="S158" s="175"/>
      <c r="T158" s="176"/>
      <c r="U158" s="176"/>
      <c r="V158" s="170"/>
      <c r="W158" s="170"/>
      <c r="X158" s="170"/>
      <c r="Y158" s="167"/>
      <c r="Z158" s="167"/>
      <c r="AA158" s="167"/>
      <c r="AB158" s="167"/>
    </row>
    <row r="159" spans="1:28" s="277" customFormat="1" ht="25.5" x14ac:dyDescent="0.2">
      <c r="A159" s="3"/>
      <c r="B159" s="3"/>
      <c r="C159" s="242"/>
      <c r="D159" s="243"/>
      <c r="E159" s="243"/>
      <c r="F159" s="244"/>
      <c r="G159" s="244"/>
      <c r="H159" s="244">
        <v>5</v>
      </c>
      <c r="I159" s="244"/>
      <c r="J159" s="242" t="s">
        <v>5196</v>
      </c>
      <c r="K159" s="245" t="s">
        <v>5197</v>
      </c>
      <c r="L159" s="247" t="s">
        <v>5146</v>
      </c>
      <c r="M159" s="248"/>
      <c r="N159" s="251"/>
      <c r="O159" s="248"/>
      <c r="P159" s="1027"/>
      <c r="Q159" s="248"/>
      <c r="R159" s="248"/>
      <c r="S159" s="248" t="s">
        <v>4813</v>
      </c>
      <c r="T159" s="252"/>
      <c r="U159" s="252"/>
      <c r="V159" s="248"/>
      <c r="W159" s="248"/>
      <c r="X159" s="248"/>
      <c r="Y159" s="241"/>
      <c r="Z159" s="241"/>
      <c r="AA159" s="241"/>
      <c r="AB159" s="241"/>
    </row>
    <row r="160" spans="1:28" s="277" customFormat="1" ht="25.5" x14ac:dyDescent="0.2">
      <c r="A160" s="3"/>
      <c r="B160" s="3"/>
      <c r="C160" s="242"/>
      <c r="D160" s="243"/>
      <c r="E160" s="243"/>
      <c r="F160" s="244"/>
      <c r="G160" s="244"/>
      <c r="H160" s="253">
        <v>5</v>
      </c>
      <c r="I160" s="253"/>
      <c r="J160" s="255" t="s">
        <v>5198</v>
      </c>
      <c r="K160" s="254" t="s">
        <v>5199</v>
      </c>
      <c r="L160" s="256" t="s">
        <v>5146</v>
      </c>
      <c r="M160" s="257"/>
      <c r="N160" s="251"/>
      <c r="O160" s="248"/>
      <c r="P160" s="1027"/>
      <c r="Q160" s="248"/>
      <c r="R160" s="248"/>
      <c r="S160" s="248" t="s">
        <v>4813</v>
      </c>
      <c r="T160" s="252"/>
      <c r="U160" s="252"/>
      <c r="V160" s="248"/>
      <c r="W160" s="248"/>
      <c r="X160" s="248"/>
      <c r="Y160" s="241"/>
      <c r="Z160" s="241"/>
      <c r="AA160" s="241"/>
      <c r="AB160" s="241"/>
    </row>
    <row r="161" spans="1:28" s="277" customFormat="1" ht="30" x14ac:dyDescent="0.25">
      <c r="A161" s="3"/>
      <c r="B161" s="3"/>
      <c r="C161" s="1"/>
      <c r="D161" s="11"/>
      <c r="E161" s="11"/>
      <c r="F161" s="41"/>
      <c r="G161" s="41"/>
      <c r="H161" s="11">
        <v>5</v>
      </c>
      <c r="I161" s="11"/>
      <c r="J161" s="6" t="s">
        <v>5200</v>
      </c>
      <c r="K161" s="6" t="s">
        <v>5201</v>
      </c>
      <c r="L161" s="8" t="s">
        <v>4701</v>
      </c>
      <c r="M161" s="6"/>
      <c r="N161" s="83"/>
      <c r="O161" s="82"/>
      <c r="P161" s="82"/>
      <c r="Q161" s="82"/>
      <c r="R161" s="82"/>
      <c r="S161" s="82" t="s">
        <v>5008</v>
      </c>
      <c r="T161" s="84"/>
      <c r="U161" s="84"/>
      <c r="V161" s="82"/>
      <c r="W161" s="82"/>
      <c r="X161" s="82"/>
      <c r="Y161" s="14"/>
      <c r="Z161" s="14"/>
      <c r="AA161" s="14"/>
      <c r="AB161" s="14"/>
    </row>
    <row r="162" spans="1:28" s="277" customFormat="1" ht="30" x14ac:dyDescent="0.25">
      <c r="A162" s="3"/>
      <c r="B162" s="3"/>
      <c r="C162" s="1"/>
      <c r="D162" s="11"/>
      <c r="E162" s="11"/>
      <c r="F162" s="41"/>
      <c r="G162" s="41"/>
      <c r="H162" s="41">
        <v>5</v>
      </c>
      <c r="I162" s="41"/>
      <c r="J162" s="6" t="s">
        <v>5202</v>
      </c>
      <c r="K162" s="20" t="s">
        <v>5203</v>
      </c>
      <c r="L162" s="8" t="s">
        <v>4701</v>
      </c>
      <c r="M162" s="6"/>
      <c r="N162" s="22"/>
      <c r="O162" s="6"/>
      <c r="P162" s="290"/>
      <c r="Q162" s="6"/>
      <c r="R162" s="6"/>
      <c r="S162" s="6" t="s">
        <v>4813</v>
      </c>
      <c r="T162" s="16"/>
      <c r="U162" s="16"/>
      <c r="V162" s="6"/>
      <c r="W162" s="6"/>
      <c r="X162" s="6"/>
      <c r="Y162" s="14"/>
      <c r="Z162" s="14"/>
      <c r="AA162" s="14"/>
      <c r="AB162" s="14"/>
    </row>
    <row r="163" spans="1:28" s="277" customFormat="1" x14ac:dyDescent="0.25">
      <c r="A163" s="3"/>
      <c r="B163" s="3"/>
      <c r="C163" s="1"/>
      <c r="D163" s="841"/>
      <c r="E163" s="841"/>
      <c r="F163" s="1024">
        <v>3</v>
      </c>
      <c r="G163" s="1351"/>
      <c r="H163" s="1352"/>
      <c r="I163" s="1352"/>
      <c r="J163" s="1352"/>
      <c r="K163" s="1352"/>
      <c r="L163" s="1352"/>
      <c r="M163" s="1353"/>
      <c r="N163" s="902"/>
      <c r="O163" s="902"/>
      <c r="P163" s="902"/>
      <c r="Q163" s="902"/>
      <c r="R163" s="902"/>
      <c r="S163" s="1026"/>
      <c r="T163" s="1020"/>
      <c r="U163" s="1020"/>
      <c r="V163" s="902"/>
      <c r="W163" s="902"/>
      <c r="X163" s="902"/>
      <c r="Y163" s="1041"/>
      <c r="Z163" s="1041"/>
      <c r="AA163" s="1041"/>
      <c r="AB163" s="1041"/>
    </row>
    <row r="164" spans="1:28" s="277" customFormat="1" ht="60" x14ac:dyDescent="0.25">
      <c r="A164" s="3"/>
      <c r="B164" s="3"/>
      <c r="C164" s="1"/>
      <c r="D164" s="11"/>
      <c r="E164" s="11"/>
      <c r="F164" s="41"/>
      <c r="G164" s="41"/>
      <c r="H164" s="41">
        <v>5</v>
      </c>
      <c r="I164" s="41"/>
      <c r="J164" s="1" t="s">
        <v>5204</v>
      </c>
      <c r="K164" s="20" t="s">
        <v>5205</v>
      </c>
      <c r="L164" s="8" t="s">
        <v>5089</v>
      </c>
      <c r="M164" s="6" t="s">
        <v>5206</v>
      </c>
      <c r="N164" s="22"/>
      <c r="O164" s="6"/>
      <c r="P164" s="6" t="s">
        <v>5009</v>
      </c>
      <c r="Q164" s="6"/>
      <c r="R164" s="6"/>
      <c r="S164" s="6" t="s">
        <v>4813</v>
      </c>
      <c r="T164" s="16"/>
      <c r="U164" s="16"/>
      <c r="V164" s="6"/>
      <c r="W164" s="6"/>
      <c r="X164" s="6"/>
      <c r="Y164" s="14"/>
      <c r="Z164" s="14"/>
      <c r="AA164" s="14"/>
      <c r="AB164" s="14"/>
    </row>
    <row r="165" spans="1:28" s="277" customFormat="1" ht="60" x14ac:dyDescent="0.25">
      <c r="A165" s="3"/>
      <c r="B165" s="3"/>
      <c r="C165" s="1"/>
      <c r="D165" s="11"/>
      <c r="E165" s="11"/>
      <c r="F165" s="41"/>
      <c r="G165" s="41"/>
      <c r="H165" s="41">
        <v>5</v>
      </c>
      <c r="I165" s="41"/>
      <c r="J165" s="82" t="s">
        <v>5207</v>
      </c>
      <c r="K165" s="82" t="s">
        <v>5208</v>
      </c>
      <c r="L165" s="8" t="s">
        <v>5089</v>
      </c>
      <c r="M165" s="82"/>
      <c r="N165" s="83"/>
      <c r="O165" s="82"/>
      <c r="P165" s="82"/>
      <c r="Q165" s="82"/>
      <c r="R165" s="82"/>
      <c r="S165" s="82" t="s">
        <v>5008</v>
      </c>
      <c r="T165" s="84"/>
      <c r="U165" s="84"/>
      <c r="V165" s="82"/>
      <c r="W165" s="82"/>
      <c r="X165" s="82"/>
      <c r="Y165" s="14"/>
      <c r="Z165" s="14"/>
      <c r="AA165" s="14"/>
      <c r="AB165" s="14"/>
    </row>
    <row r="166" spans="1:28" s="277" customFormat="1" ht="75" x14ac:dyDescent="0.25">
      <c r="A166" s="3"/>
      <c r="B166" s="3"/>
      <c r="C166" s="1"/>
      <c r="D166" s="11"/>
      <c r="E166" s="11"/>
      <c r="F166" s="11"/>
      <c r="G166" s="11"/>
      <c r="H166" s="11">
        <v>5</v>
      </c>
      <c r="I166" s="11"/>
      <c r="J166" s="20" t="s">
        <v>5209</v>
      </c>
      <c r="K166" s="20" t="s">
        <v>5210</v>
      </c>
      <c r="L166" s="8" t="s">
        <v>4701</v>
      </c>
      <c r="M166" s="6" t="s">
        <v>5211</v>
      </c>
      <c r="N166" s="22"/>
      <c r="O166" s="6"/>
      <c r="P166" s="6" t="s">
        <v>5010</v>
      </c>
      <c r="Q166" s="6" t="s">
        <v>5011</v>
      </c>
      <c r="R166" s="6" t="s">
        <v>5012</v>
      </c>
      <c r="S166" s="10" t="s">
        <v>4813</v>
      </c>
      <c r="T166" s="16"/>
      <c r="U166" s="16"/>
      <c r="V166" s="6"/>
      <c r="W166" s="6"/>
      <c r="X166" s="6"/>
      <c r="Y166" s="14"/>
      <c r="Z166" s="14"/>
      <c r="AA166" s="14"/>
      <c r="AB166" s="14"/>
    </row>
    <row r="167" spans="1:28" s="277" customFormat="1" x14ac:dyDescent="0.25">
      <c r="A167" s="3"/>
      <c r="B167" s="3"/>
      <c r="C167" s="1"/>
      <c r="D167" s="841"/>
      <c r="E167" s="841"/>
      <c r="F167" s="1024"/>
      <c r="G167" s="1028"/>
      <c r="H167" s="1029"/>
      <c r="I167" s="1029"/>
      <c r="J167" s="1029"/>
      <c r="K167" s="1025"/>
      <c r="L167" s="1025"/>
      <c r="M167" s="285"/>
      <c r="N167" s="902"/>
      <c r="O167" s="902"/>
      <c r="P167" s="902"/>
      <c r="Q167" s="902"/>
      <c r="R167" s="902"/>
      <c r="S167" s="1026"/>
      <c r="T167" s="1020"/>
      <c r="U167" s="1020"/>
      <c r="V167" s="902"/>
      <c r="W167" s="902"/>
      <c r="X167" s="902"/>
      <c r="Y167" s="1041"/>
      <c r="Z167" s="1041"/>
      <c r="AA167" s="1041"/>
      <c r="AB167" s="1041"/>
    </row>
    <row r="168" spans="1:28" s="277" customFormat="1" ht="16.5" customHeight="1" x14ac:dyDescent="0.25">
      <c r="A168" s="3"/>
      <c r="B168" s="3"/>
      <c r="C168" s="276"/>
      <c r="E168"/>
      <c r="F168">
        <v>3</v>
      </c>
      <c r="G168" s="1354" t="s">
        <v>5212</v>
      </c>
      <c r="H168" s="1354"/>
      <c r="I168" s="1354"/>
      <c r="J168" s="1354"/>
      <c r="K168" s="278"/>
      <c r="L168" s="278"/>
      <c r="M168" s="278"/>
      <c r="N168" s="727" t="str">
        <f>HYPERLINK("http://wiki.academyofsports.online/tiki-index.php?page=Projektbetreuung---Leitfaden-(0093)", "0093")</f>
        <v>0093</v>
      </c>
      <c r="O168" s="278"/>
      <c r="P168" s="278"/>
      <c r="Q168" s="278"/>
      <c r="R168" s="278"/>
      <c r="S168" s="278"/>
      <c r="T168" s="278"/>
      <c r="U168" s="278"/>
      <c r="V168" s="278"/>
      <c r="W168" s="278"/>
      <c r="X168" s="278"/>
    </row>
    <row r="169" spans="1:28" s="277" customFormat="1" x14ac:dyDescent="0.25">
      <c r="A169" s="3"/>
      <c r="B169" s="3"/>
      <c r="C169" s="1"/>
      <c r="D169" s="125"/>
      <c r="E169" s="125"/>
      <c r="F169" s="125"/>
      <c r="G169" s="220"/>
      <c r="H169" s="220"/>
      <c r="I169" s="220"/>
      <c r="J169" s="223" t="s">
        <v>5213</v>
      </c>
      <c r="K169" s="110"/>
      <c r="L169" s="100"/>
      <c r="M169" s="62"/>
      <c r="N169" s="111"/>
      <c r="O169" s="62"/>
      <c r="P169" s="62"/>
      <c r="Q169" s="62"/>
      <c r="R169" s="62"/>
      <c r="S169" s="82"/>
      <c r="T169" s="101"/>
      <c r="U169" s="101"/>
      <c r="V169" s="62"/>
      <c r="W169" s="62"/>
      <c r="X169" s="62"/>
      <c r="Y169" s="62"/>
      <c r="Z169" s="62"/>
      <c r="AA169" s="62"/>
      <c r="AB169" s="62"/>
    </row>
    <row r="170" spans="1:28" s="277" customFormat="1" ht="45" x14ac:dyDescent="0.25">
      <c r="A170" s="3"/>
      <c r="B170" s="3"/>
      <c r="C170" s="1"/>
      <c r="D170" s="125"/>
      <c r="E170" s="125"/>
      <c r="F170" s="125"/>
      <c r="G170" s="125"/>
      <c r="H170" s="125"/>
      <c r="I170" s="125"/>
      <c r="J170" s="62" t="s">
        <v>5214</v>
      </c>
      <c r="K170" s="110" t="s">
        <v>5215</v>
      </c>
      <c r="L170" s="100" t="s">
        <v>5089</v>
      </c>
      <c r="M170" s="62" t="s">
        <v>5216</v>
      </c>
      <c r="N170" s="111"/>
      <c r="O170" s="62"/>
      <c r="P170" s="62" t="s">
        <v>5013</v>
      </c>
      <c r="Q170" s="62"/>
      <c r="R170" s="62"/>
      <c r="S170" s="82" t="s">
        <v>129</v>
      </c>
      <c r="T170" s="101"/>
      <c r="U170" s="101"/>
      <c r="V170" s="62"/>
      <c r="W170" s="62"/>
      <c r="X170" s="62"/>
      <c r="Y170" s="62"/>
      <c r="Z170" s="62"/>
      <c r="AA170" s="62"/>
      <c r="AB170" s="62"/>
    </row>
    <row r="171" spans="1:28" s="277" customFormat="1" ht="60" x14ac:dyDescent="0.25">
      <c r="A171" s="3"/>
      <c r="B171" s="3"/>
      <c r="C171" s="1"/>
      <c r="D171" s="125"/>
      <c r="E171" s="125"/>
      <c r="F171" s="125"/>
      <c r="G171" s="125"/>
      <c r="H171" s="125"/>
      <c r="I171" s="125"/>
      <c r="J171" s="62" t="s">
        <v>5217</v>
      </c>
      <c r="K171" s="110" t="s">
        <v>5218</v>
      </c>
      <c r="L171" s="100" t="s">
        <v>5089</v>
      </c>
      <c r="M171" s="62"/>
      <c r="N171" s="111"/>
      <c r="O171" s="62"/>
      <c r="P171" s="62"/>
      <c r="Q171" s="62"/>
      <c r="R171" s="62" t="s">
        <v>5014</v>
      </c>
      <c r="S171" s="82" t="s">
        <v>129</v>
      </c>
      <c r="T171" s="101"/>
      <c r="U171" s="101"/>
      <c r="V171" s="62"/>
      <c r="W171" s="62"/>
      <c r="X171" s="62"/>
      <c r="Y171" s="62"/>
      <c r="Z171" s="62"/>
      <c r="AA171" s="62"/>
      <c r="AB171" s="62"/>
    </row>
    <row r="172" spans="1:28" s="277" customFormat="1" ht="45" x14ac:dyDescent="0.25">
      <c r="A172" s="3"/>
      <c r="B172" s="3"/>
      <c r="C172" s="1"/>
      <c r="D172" s="125"/>
      <c r="E172" s="125"/>
      <c r="F172" s="125"/>
      <c r="G172" s="125"/>
      <c r="H172" s="125"/>
      <c r="I172" s="125"/>
      <c r="J172" s="62" t="s">
        <v>5219</v>
      </c>
      <c r="K172" s="110" t="s">
        <v>5220</v>
      </c>
      <c r="L172" s="100" t="s">
        <v>5089</v>
      </c>
      <c r="M172" s="62"/>
      <c r="N172" s="111"/>
      <c r="O172" s="62"/>
      <c r="P172" s="62"/>
      <c r="Q172" s="62"/>
      <c r="R172" s="62"/>
      <c r="S172" s="82" t="s">
        <v>129</v>
      </c>
      <c r="T172" s="101" t="s">
        <v>1098</v>
      </c>
      <c r="U172" s="101"/>
      <c r="V172" s="62"/>
      <c r="W172" s="715" t="str">
        <f>HYPERLINK("https://www.meistertask.com/app/task/cVjolg0o/projekte-i-allgemein-projektabschnitte", "Projekte")</f>
        <v>Projekte</v>
      </c>
      <c r="X172" s="62" t="s">
        <v>5015</v>
      </c>
      <c r="Y172" s="62"/>
      <c r="Z172" s="62"/>
      <c r="AA172" s="62"/>
      <c r="AB172" s="62"/>
    </row>
    <row r="173" spans="1:28" s="277" customFormat="1" ht="75" x14ac:dyDescent="0.25">
      <c r="A173" s="3"/>
      <c r="B173" s="3"/>
      <c r="C173" s="1"/>
      <c r="D173" s="125"/>
      <c r="E173" s="125"/>
      <c r="F173" s="125"/>
      <c r="G173" s="125"/>
      <c r="H173" s="125"/>
      <c r="I173" s="125"/>
      <c r="J173" s="62" t="s">
        <v>5221</v>
      </c>
      <c r="K173" s="110" t="s">
        <v>5222</v>
      </c>
      <c r="L173" s="100" t="s">
        <v>5089</v>
      </c>
      <c r="M173" s="62" t="s">
        <v>5223</v>
      </c>
      <c r="N173" s="111"/>
      <c r="O173" s="62"/>
      <c r="P173" s="62"/>
      <c r="Q173" s="62"/>
      <c r="R173" s="62"/>
      <c r="S173" s="82" t="s">
        <v>5008</v>
      </c>
      <c r="T173" s="101"/>
      <c r="U173" s="101"/>
      <c r="V173" s="62"/>
      <c r="W173" s="62"/>
      <c r="X173" s="62"/>
      <c r="Y173" s="62"/>
      <c r="Z173" s="62"/>
      <c r="AA173" s="62"/>
      <c r="AB173" s="62"/>
    </row>
    <row r="174" spans="1:28" s="277" customFormat="1" ht="90" x14ac:dyDescent="0.25">
      <c r="A174" s="3"/>
      <c r="B174" s="3"/>
      <c r="C174" s="1"/>
      <c r="D174" s="125"/>
      <c r="E174" s="125"/>
      <c r="F174" s="125"/>
      <c r="G174" s="125"/>
      <c r="H174" s="125"/>
      <c r="I174" s="125"/>
      <c r="J174" s="62" t="s">
        <v>5224</v>
      </c>
      <c r="K174" s="110" t="s">
        <v>5225</v>
      </c>
      <c r="L174" s="100" t="s">
        <v>5089</v>
      </c>
      <c r="M174" s="62" t="s">
        <v>5226</v>
      </c>
      <c r="N174" s="111"/>
      <c r="O174" s="62"/>
      <c r="P174" s="62"/>
      <c r="Q174" s="62"/>
      <c r="R174" s="62" t="s">
        <v>5016</v>
      </c>
      <c r="S174" s="82" t="s">
        <v>5008</v>
      </c>
      <c r="T174" s="101"/>
      <c r="U174" s="101"/>
      <c r="V174" s="62"/>
      <c r="W174" s="62"/>
      <c r="X174" s="62"/>
      <c r="Y174" s="62"/>
      <c r="Z174" s="62"/>
      <c r="AA174" s="62"/>
      <c r="AB174" s="62"/>
    </row>
    <row r="175" spans="1:28" s="277" customFormat="1" ht="75" x14ac:dyDescent="0.25">
      <c r="A175" s="3"/>
      <c r="B175" s="3"/>
      <c r="C175" s="1"/>
      <c r="D175" s="125"/>
      <c r="E175" s="125"/>
      <c r="F175" s="125"/>
      <c r="G175" s="125"/>
      <c r="H175" s="125"/>
      <c r="I175" s="125"/>
      <c r="J175" s="62" t="s">
        <v>5227</v>
      </c>
      <c r="K175" s="110" t="s">
        <v>5228</v>
      </c>
      <c r="L175" s="100" t="s">
        <v>5089</v>
      </c>
      <c r="M175" s="62" t="s">
        <v>5229</v>
      </c>
      <c r="N175" s="111"/>
      <c r="O175" s="62"/>
      <c r="P175" s="62" t="s">
        <v>5017</v>
      </c>
      <c r="Q175" s="62"/>
      <c r="R175" s="62"/>
      <c r="S175" s="82" t="s">
        <v>5008</v>
      </c>
      <c r="T175" s="101"/>
      <c r="U175" s="101"/>
      <c r="V175" s="62"/>
      <c r="W175" s="62"/>
      <c r="X175" s="62"/>
      <c r="Y175" s="62"/>
      <c r="Z175" s="62"/>
      <c r="AA175" s="62"/>
      <c r="AB175" s="62"/>
    </row>
    <row r="176" spans="1:28" s="277" customFormat="1" ht="30" x14ac:dyDescent="0.25">
      <c r="A176" s="3"/>
      <c r="B176" s="3"/>
      <c r="C176" s="1"/>
      <c r="D176" s="125"/>
      <c r="E176" s="125"/>
      <c r="F176" s="125"/>
      <c r="G176" s="125"/>
      <c r="H176" s="125"/>
      <c r="I176" s="125"/>
      <c r="J176" s="62" t="s">
        <v>5230</v>
      </c>
      <c r="K176" s="110" t="s">
        <v>5231</v>
      </c>
      <c r="L176" s="100" t="s">
        <v>5089</v>
      </c>
      <c r="M176" s="62"/>
      <c r="N176" s="111"/>
      <c r="O176" s="62"/>
      <c r="P176" s="62"/>
      <c r="Q176" s="62"/>
      <c r="R176" s="62"/>
      <c r="S176" s="82"/>
      <c r="T176" s="101"/>
      <c r="U176" s="101"/>
      <c r="V176" s="62"/>
      <c r="W176" s="62"/>
      <c r="X176" s="62"/>
      <c r="Y176" s="62"/>
      <c r="Z176" s="62"/>
      <c r="AA176" s="62"/>
      <c r="AB176" s="62"/>
    </row>
    <row r="177" spans="1:28" s="277" customFormat="1" x14ac:dyDescent="0.25">
      <c r="A177" s="3"/>
      <c r="B177" s="3"/>
      <c r="C177" s="1"/>
      <c r="D177" s="125"/>
      <c r="E177" s="125"/>
      <c r="F177" s="125"/>
      <c r="G177" s="125"/>
      <c r="H177" s="125"/>
      <c r="I177" s="125"/>
      <c r="J177" s="62" t="s">
        <v>5232</v>
      </c>
      <c r="K177" s="110" t="s">
        <v>5233</v>
      </c>
      <c r="L177" s="100" t="s">
        <v>5089</v>
      </c>
      <c r="M177" s="62"/>
      <c r="N177" s="111"/>
      <c r="O177" s="62"/>
      <c r="P177" s="62"/>
      <c r="Q177" s="62"/>
      <c r="R177" s="62"/>
      <c r="S177" s="82"/>
      <c r="T177" s="101"/>
      <c r="U177" s="101"/>
      <c r="V177" s="62"/>
      <c r="W177" s="62"/>
      <c r="X177" s="62"/>
      <c r="Y177" s="62"/>
      <c r="Z177" s="62"/>
      <c r="AA177" s="62"/>
      <c r="AB177" s="62"/>
    </row>
    <row r="178" spans="1:28" s="277" customFormat="1" ht="30" x14ac:dyDescent="0.25">
      <c r="A178" s="3"/>
      <c r="B178" s="3"/>
      <c r="C178" s="1"/>
      <c r="D178" s="125"/>
      <c r="E178" s="125"/>
      <c r="F178" s="125"/>
      <c r="G178" s="125"/>
      <c r="H178" s="125"/>
      <c r="I178" s="125"/>
      <c r="J178" s="62" t="s">
        <v>5234</v>
      </c>
      <c r="K178" s="110" t="s">
        <v>5235</v>
      </c>
      <c r="L178" s="100" t="s">
        <v>4701</v>
      </c>
      <c r="M178" s="62"/>
      <c r="N178" s="111"/>
      <c r="O178" s="62"/>
      <c r="P178" s="62"/>
      <c r="Q178" s="62"/>
      <c r="R178" s="62"/>
      <c r="S178" s="82" t="s">
        <v>4813</v>
      </c>
      <c r="T178" s="101"/>
      <c r="U178" s="101"/>
      <c r="V178" s="62"/>
      <c r="W178" s="62"/>
      <c r="X178" s="62"/>
      <c r="Y178" s="62"/>
      <c r="Z178" s="62"/>
      <c r="AA178" s="62"/>
      <c r="AB178" s="62"/>
    </row>
    <row r="179" spans="1:28" s="277" customFormat="1" ht="60" x14ac:dyDescent="0.25">
      <c r="A179" s="3"/>
      <c r="B179" s="3"/>
      <c r="C179" s="1"/>
      <c r="D179" s="125"/>
      <c r="E179" s="125"/>
      <c r="F179" s="125"/>
      <c r="G179" s="125">
        <v>4</v>
      </c>
      <c r="H179" s="125"/>
      <c r="I179" s="125"/>
      <c r="J179" s="62" t="s">
        <v>5236</v>
      </c>
      <c r="K179" s="110" t="s">
        <v>5237</v>
      </c>
      <c r="L179" s="100" t="s">
        <v>4701</v>
      </c>
      <c r="M179" s="62"/>
      <c r="N179" s="111"/>
      <c r="O179" s="62"/>
      <c r="P179" s="62" t="s">
        <v>5018</v>
      </c>
      <c r="Q179" s="62"/>
      <c r="R179" s="62"/>
      <c r="S179" s="82" t="s">
        <v>4813</v>
      </c>
      <c r="T179" s="101"/>
      <c r="U179" s="101"/>
      <c r="V179" s="62"/>
      <c r="W179" s="62"/>
      <c r="X179" s="62"/>
      <c r="Y179" s="62"/>
      <c r="Z179" s="62"/>
      <c r="AA179" s="62"/>
      <c r="AB179" s="62"/>
    </row>
    <row r="180" spans="1:28" s="277" customFormat="1" ht="30" x14ac:dyDescent="0.25">
      <c r="A180" s="3"/>
      <c r="B180" s="3"/>
      <c r="C180" s="1"/>
      <c r="D180" s="125"/>
      <c r="E180" s="125"/>
      <c r="F180" s="125"/>
      <c r="G180" s="125">
        <v>4</v>
      </c>
      <c r="H180" s="125"/>
      <c r="I180" s="125"/>
      <c r="J180" s="62" t="s">
        <v>5238</v>
      </c>
      <c r="K180" s="110" t="s">
        <v>5239</v>
      </c>
      <c r="L180" s="100" t="s">
        <v>5089</v>
      </c>
      <c r="M180" s="62"/>
      <c r="N180" s="111"/>
      <c r="O180" s="62"/>
      <c r="P180" s="62"/>
      <c r="Q180" s="62"/>
      <c r="R180" s="62"/>
      <c r="S180" s="82" t="s">
        <v>4813</v>
      </c>
      <c r="T180" s="101"/>
      <c r="U180" s="101"/>
      <c r="V180" s="62"/>
      <c r="W180" s="62"/>
      <c r="X180" s="62"/>
      <c r="Y180" s="62"/>
      <c r="Z180" s="62"/>
      <c r="AA180" s="62"/>
      <c r="AB180" s="62"/>
    </row>
    <row r="181" spans="1:28" s="277" customFormat="1" x14ac:dyDescent="0.25">
      <c r="A181" s="3"/>
      <c r="B181" s="3"/>
      <c r="C181" s="1"/>
      <c r="D181" s="11"/>
      <c r="E181" s="11"/>
      <c r="F181" s="41"/>
      <c r="G181" s="41">
        <v>4</v>
      </c>
      <c r="H181" s="41"/>
      <c r="I181" s="41"/>
      <c r="J181" s="1" t="s">
        <v>5240</v>
      </c>
      <c r="K181" s="1" t="s">
        <v>5241</v>
      </c>
      <c r="L181" s="102" t="s">
        <v>5021</v>
      </c>
      <c r="M181" s="82"/>
      <c r="N181" s="83"/>
      <c r="O181" s="82"/>
      <c r="P181" s="82"/>
      <c r="Q181" s="82"/>
      <c r="R181" s="82"/>
      <c r="S181" s="82" t="s">
        <v>4813</v>
      </c>
      <c r="T181" s="84"/>
      <c r="U181" s="84"/>
      <c r="V181" s="82"/>
      <c r="W181" s="82"/>
      <c r="X181" s="82"/>
      <c r="Y181" s="112"/>
      <c r="Z181" s="112"/>
      <c r="AA181" s="112"/>
      <c r="AB181" s="112"/>
    </row>
    <row r="182" spans="1:28" s="277" customFormat="1" ht="30" x14ac:dyDescent="0.25">
      <c r="A182" s="3"/>
      <c r="B182" s="3"/>
      <c r="C182" s="1"/>
      <c r="D182" s="11"/>
      <c r="E182" s="11"/>
      <c r="F182" s="41"/>
      <c r="G182" s="41">
        <v>4</v>
      </c>
      <c r="H182" s="41"/>
      <c r="I182" s="41"/>
      <c r="J182" s="6" t="s">
        <v>5242</v>
      </c>
      <c r="K182" s="1" t="s">
        <v>5243</v>
      </c>
      <c r="L182" s="102" t="s">
        <v>5089</v>
      </c>
      <c r="M182" s="82"/>
      <c r="N182" s="83"/>
      <c r="O182" s="82"/>
      <c r="P182" s="82"/>
      <c r="Q182" s="82"/>
      <c r="R182" s="82"/>
      <c r="S182" s="82" t="s">
        <v>4813</v>
      </c>
      <c r="T182" s="84"/>
      <c r="U182" s="84"/>
      <c r="V182" s="82"/>
      <c r="W182" s="82"/>
      <c r="X182" s="82"/>
      <c r="Y182" s="112"/>
      <c r="Z182" s="112"/>
      <c r="AA182" s="112"/>
      <c r="AB182" s="112"/>
    </row>
    <row r="183" spans="1:28" s="277" customFormat="1" x14ac:dyDescent="0.25">
      <c r="A183" s="3"/>
      <c r="B183" s="3"/>
      <c r="C183" s="1"/>
      <c r="D183" s="125"/>
      <c r="E183" s="125"/>
      <c r="F183" s="125"/>
      <c r="G183" s="125">
        <v>4</v>
      </c>
      <c r="H183" s="125"/>
      <c r="I183" s="125"/>
      <c r="J183" s="45" t="s">
        <v>5244</v>
      </c>
      <c r="K183" s="62" t="s">
        <v>5245</v>
      </c>
      <c r="L183" s="166" t="s">
        <v>5021</v>
      </c>
      <c r="M183" s="45"/>
      <c r="N183" s="45"/>
      <c r="O183" s="45"/>
      <c r="P183" s="45"/>
      <c r="Q183" s="45"/>
      <c r="R183" s="45"/>
      <c r="S183" s="45" t="s">
        <v>4813</v>
      </c>
      <c r="T183" s="45"/>
      <c r="U183" s="45"/>
      <c r="V183" s="45"/>
      <c r="W183" s="45"/>
      <c r="X183" s="45"/>
      <c r="Y183" s="62"/>
      <c r="Z183" s="62"/>
      <c r="AA183" s="62"/>
      <c r="AB183" s="62"/>
    </row>
    <row r="184" spans="1:28" s="277" customFormat="1" ht="16.5" customHeight="1" x14ac:dyDescent="0.25">
      <c r="A184" s="3"/>
      <c r="B184" s="3"/>
      <c r="C184" s="276"/>
      <c r="E184"/>
      <c r="F184"/>
      <c r="G184" s="278"/>
      <c r="H184" s="278"/>
      <c r="I184" s="278"/>
      <c r="J184" s="278"/>
      <c r="K184" s="278"/>
      <c r="L184" s="278"/>
      <c r="M184" s="278"/>
      <c r="N184" s="279"/>
      <c r="O184" s="278"/>
      <c r="P184" s="278"/>
      <c r="Q184" s="278"/>
      <c r="R184" s="278"/>
      <c r="S184" s="278"/>
      <c r="T184" s="278"/>
      <c r="U184" s="278"/>
      <c r="V184" s="278"/>
      <c r="W184" s="278"/>
      <c r="X184" s="278"/>
    </row>
    <row r="185" spans="1:28" s="277" customFormat="1" x14ac:dyDescent="0.25">
      <c r="A185" s="3"/>
      <c r="B185" s="3"/>
      <c r="C185" s="1"/>
      <c r="D185" s="841"/>
      <c r="E185" s="841"/>
      <c r="F185" s="841">
        <v>3</v>
      </c>
      <c r="G185" s="1349" t="s">
        <v>5246</v>
      </c>
      <c r="H185" s="1349"/>
      <c r="I185" s="1349"/>
      <c r="J185" s="1349"/>
      <c r="K185" s="1349"/>
      <c r="L185" s="1349"/>
      <c r="M185" s="1349"/>
      <c r="N185" s="1030"/>
      <c r="O185" s="902"/>
      <c r="P185" s="902"/>
      <c r="Q185" s="902"/>
      <c r="R185" s="902"/>
      <c r="S185" s="902"/>
      <c r="T185" s="1020"/>
      <c r="U185" s="1020"/>
      <c r="V185" s="902"/>
      <c r="W185" s="902"/>
      <c r="X185" s="902"/>
      <c r="Y185" s="902"/>
      <c r="Z185" s="902"/>
      <c r="AA185" s="902"/>
      <c r="AB185" s="902"/>
    </row>
    <row r="186" spans="1:28" s="277" customFormat="1" ht="30" x14ac:dyDescent="0.25">
      <c r="A186" s="3"/>
      <c r="B186" s="3"/>
      <c r="C186" s="1"/>
      <c r="D186" s="125"/>
      <c r="E186" s="125"/>
      <c r="F186" s="125"/>
      <c r="G186" s="125">
        <v>4</v>
      </c>
      <c r="H186" s="125"/>
      <c r="I186" s="125"/>
      <c r="J186" s="62" t="s">
        <v>5247</v>
      </c>
      <c r="K186" s="62" t="s">
        <v>5248</v>
      </c>
      <c r="L186" s="166" t="s">
        <v>4701</v>
      </c>
      <c r="M186" s="45"/>
      <c r="N186" s="45"/>
      <c r="O186" s="45"/>
      <c r="P186" s="45"/>
      <c r="Q186" s="45"/>
      <c r="R186" s="45"/>
      <c r="S186" s="45" t="s">
        <v>4813</v>
      </c>
      <c r="T186" s="45"/>
      <c r="U186" s="45"/>
      <c r="V186" s="45"/>
      <c r="W186" s="45"/>
      <c r="X186" s="45"/>
      <c r="Y186" s="62"/>
      <c r="Z186" s="62"/>
      <c r="AA186" s="62"/>
      <c r="AB186" s="62"/>
    </row>
    <row r="187" spans="1:28" s="277" customFormat="1" x14ac:dyDescent="0.25">
      <c r="A187" s="3"/>
      <c r="B187" s="3"/>
      <c r="C187" s="1"/>
      <c r="D187" s="125"/>
      <c r="E187" s="125"/>
      <c r="F187" s="125"/>
      <c r="G187" s="203">
        <v>4</v>
      </c>
      <c r="H187" s="1202" t="s">
        <v>5249</v>
      </c>
      <c r="I187" s="1203"/>
      <c r="J187" s="1203"/>
      <c r="K187" s="1144"/>
      <c r="L187" s="1144"/>
      <c r="M187" s="1144"/>
      <c r="N187" s="728" t="str">
        <f>HYPERLINK("http://wiki.academyofsports.online/tiki-index.php?page=Begutachtung-Lehrmaterialien-(0074)", "0074")</f>
        <v>0074</v>
      </c>
      <c r="O187" s="62"/>
      <c r="P187" s="62"/>
      <c r="Q187" s="62"/>
      <c r="R187" s="62"/>
      <c r="S187" s="62"/>
      <c r="T187" s="101"/>
      <c r="U187" s="101"/>
      <c r="V187" s="62"/>
      <c r="W187" s="62"/>
      <c r="X187" s="62"/>
      <c r="Y187" s="62"/>
      <c r="Z187" s="62"/>
      <c r="AA187" s="62"/>
      <c r="AB187" s="62"/>
    </row>
    <row r="188" spans="1:28" s="277" customFormat="1" x14ac:dyDescent="0.25">
      <c r="A188" s="3"/>
      <c r="B188" s="3"/>
      <c r="C188" s="1"/>
      <c r="D188" s="125"/>
      <c r="E188" s="125"/>
      <c r="F188" s="125"/>
      <c r="G188" s="125"/>
      <c r="H188" s="125">
        <v>5</v>
      </c>
      <c r="I188" s="125"/>
      <c r="J188" s="110"/>
      <c r="K188" s="100"/>
      <c r="L188" s="100"/>
      <c r="M188" s="62"/>
      <c r="N188" s="111"/>
      <c r="O188" s="62"/>
      <c r="P188" s="62"/>
      <c r="Q188" s="62"/>
      <c r="R188" s="62"/>
      <c r="S188" s="62"/>
      <c r="T188" s="101"/>
      <c r="U188" s="101"/>
      <c r="V188" s="62"/>
      <c r="W188" s="62"/>
      <c r="X188" s="62"/>
      <c r="Y188" s="62"/>
      <c r="Z188" s="62"/>
      <c r="AA188" s="62"/>
      <c r="AB188" s="62"/>
    </row>
    <row r="189" spans="1:28" s="277" customFormat="1" x14ac:dyDescent="0.25">
      <c r="A189" s="3"/>
      <c r="B189" s="3"/>
      <c r="C189" s="1"/>
      <c r="D189" s="125"/>
      <c r="E189" s="125"/>
      <c r="F189" s="125"/>
      <c r="G189" s="125"/>
      <c r="H189" s="125"/>
      <c r="I189" s="125"/>
      <c r="J189" s="110" t="s">
        <v>5250</v>
      </c>
      <c r="K189" s="109" t="s">
        <v>5251</v>
      </c>
      <c r="L189" s="100" t="s">
        <v>4701</v>
      </c>
      <c r="M189" s="62"/>
      <c r="N189" s="111"/>
      <c r="O189" s="62"/>
      <c r="P189" s="62"/>
      <c r="Q189" s="62"/>
      <c r="R189" s="62"/>
      <c r="S189" s="62"/>
      <c r="T189" s="101"/>
      <c r="U189" s="101"/>
      <c r="V189" s="62"/>
      <c r="W189" s="62"/>
      <c r="X189" s="62"/>
      <c r="Y189" s="62"/>
      <c r="Z189" s="62"/>
      <c r="AA189" s="62"/>
      <c r="AB189" s="62"/>
    </row>
    <row r="190" spans="1:28" s="277" customFormat="1" x14ac:dyDescent="0.25">
      <c r="A190" s="3"/>
      <c r="B190" s="3"/>
      <c r="C190" s="1"/>
      <c r="D190" s="125"/>
      <c r="E190" s="125"/>
      <c r="F190" s="125"/>
      <c r="G190" s="125"/>
      <c r="H190" s="125"/>
      <c r="I190" s="125"/>
      <c r="J190" s="110" t="s">
        <v>5252</v>
      </c>
      <c r="K190" s="109" t="s">
        <v>5253</v>
      </c>
      <c r="L190" s="100" t="s">
        <v>5157</v>
      </c>
      <c r="M190" s="62"/>
      <c r="N190" s="111"/>
      <c r="O190" s="62"/>
      <c r="P190" s="62"/>
      <c r="Q190" s="62"/>
      <c r="R190" s="62"/>
      <c r="S190" s="62"/>
      <c r="T190" s="101"/>
      <c r="U190" s="101"/>
      <c r="V190" s="62"/>
      <c r="W190" s="62"/>
      <c r="X190" s="62"/>
      <c r="Y190" s="62"/>
      <c r="Z190" s="62"/>
      <c r="AA190" s="62"/>
      <c r="AB190" s="62"/>
    </row>
    <row r="191" spans="1:28" s="277" customFormat="1" x14ac:dyDescent="0.25">
      <c r="A191" s="3"/>
      <c r="B191" s="3"/>
      <c r="C191" s="1"/>
      <c r="D191" s="125"/>
      <c r="E191" s="125"/>
      <c r="F191" s="125"/>
      <c r="G191" s="125"/>
      <c r="H191" s="125"/>
      <c r="I191" s="125"/>
      <c r="J191" s="110" t="s">
        <v>5254</v>
      </c>
      <c r="K191" s="109" t="s">
        <v>5255</v>
      </c>
      <c r="L191" s="100" t="s">
        <v>5157</v>
      </c>
      <c r="M191" s="62"/>
      <c r="N191" s="111"/>
      <c r="O191" s="62"/>
      <c r="P191" s="62"/>
      <c r="Q191" s="62"/>
      <c r="R191" s="62"/>
      <c r="S191" s="62"/>
      <c r="T191" s="101"/>
      <c r="U191" s="101"/>
      <c r="V191" s="62"/>
      <c r="W191" s="62"/>
      <c r="X191" s="62"/>
      <c r="Y191" s="62"/>
      <c r="Z191" s="62"/>
      <c r="AA191" s="62"/>
      <c r="AB191" s="62"/>
    </row>
    <row r="192" spans="1:28" s="277" customFormat="1" ht="30" x14ac:dyDescent="0.25">
      <c r="A192" s="3"/>
      <c r="B192" s="3"/>
      <c r="C192" s="1"/>
      <c r="D192" s="125"/>
      <c r="E192" s="125"/>
      <c r="F192" s="125"/>
      <c r="G192" s="125"/>
      <c r="H192" s="125"/>
      <c r="I192" s="125"/>
      <c r="J192" s="110" t="s">
        <v>5256</v>
      </c>
      <c r="K192" s="109" t="s">
        <v>5256</v>
      </c>
      <c r="L192" s="100" t="s">
        <v>5157</v>
      </c>
      <c r="M192" s="62"/>
      <c r="N192" s="111"/>
      <c r="O192" s="62"/>
      <c r="P192" s="62"/>
      <c r="Q192" s="62"/>
      <c r="R192" s="62"/>
      <c r="S192" s="62"/>
      <c r="T192" s="101"/>
      <c r="U192" s="101"/>
      <c r="V192" s="62"/>
      <c r="W192" s="62"/>
      <c r="X192" s="62"/>
      <c r="Y192" s="62"/>
      <c r="Z192" s="62"/>
      <c r="AA192" s="62"/>
      <c r="AB192" s="62"/>
    </row>
    <row r="193" spans="1:28" s="277" customFormat="1" ht="26.25" x14ac:dyDescent="0.25">
      <c r="A193" s="3"/>
      <c r="B193" s="3"/>
      <c r="C193" s="1"/>
      <c r="D193" s="125"/>
      <c r="E193" s="125"/>
      <c r="F193" s="125"/>
      <c r="G193" s="125"/>
      <c r="H193" s="125"/>
      <c r="I193" s="125"/>
      <c r="J193" s="109" t="s">
        <v>5257</v>
      </c>
      <c r="K193" s="109" t="s">
        <v>5258</v>
      </c>
      <c r="L193" s="100" t="s">
        <v>4701</v>
      </c>
      <c r="M193" s="62"/>
      <c r="N193" s="111"/>
      <c r="O193" s="62"/>
      <c r="P193" s="62"/>
      <c r="Q193" s="62"/>
      <c r="R193" s="62"/>
      <c r="S193" s="62"/>
      <c r="T193" s="101"/>
      <c r="U193" s="101"/>
      <c r="V193" s="62"/>
      <c r="W193" s="62"/>
      <c r="X193" s="62"/>
      <c r="Y193" s="62"/>
      <c r="Z193" s="62"/>
      <c r="AA193" s="62"/>
      <c r="AB193" s="62"/>
    </row>
    <row r="194" spans="1:28" s="277" customFormat="1" x14ac:dyDescent="0.25">
      <c r="A194" s="3"/>
      <c r="B194" s="3"/>
      <c r="C194" s="1"/>
      <c r="D194" s="125"/>
      <c r="E194" s="125"/>
      <c r="F194" s="125"/>
      <c r="G194" s="125"/>
      <c r="H194" s="125"/>
      <c r="I194" s="125"/>
      <c r="J194" s="110" t="s">
        <v>5259</v>
      </c>
      <c r="K194" s="109" t="s">
        <v>5260</v>
      </c>
      <c r="L194" s="100" t="s">
        <v>5157</v>
      </c>
      <c r="M194" s="62"/>
      <c r="N194" s="111"/>
      <c r="O194" s="62"/>
      <c r="P194" s="62"/>
      <c r="Q194" s="62"/>
      <c r="R194" s="62"/>
      <c r="S194" s="62"/>
      <c r="T194" s="101"/>
      <c r="U194" s="101"/>
      <c r="V194" s="62"/>
      <c r="W194" s="62"/>
      <c r="X194" s="62"/>
      <c r="Y194" s="62"/>
      <c r="Z194" s="62"/>
      <c r="AA194" s="62"/>
      <c r="AB194" s="62"/>
    </row>
    <row r="195" spans="1:28" s="277" customFormat="1" x14ac:dyDescent="0.25">
      <c r="A195" s="3"/>
      <c r="B195" s="3"/>
      <c r="C195" s="1"/>
      <c r="D195" s="11"/>
      <c r="E195" s="11"/>
      <c r="F195" s="11"/>
      <c r="G195" s="11"/>
      <c r="H195" s="11">
        <v>5</v>
      </c>
      <c r="I195" s="11"/>
      <c r="J195" s="1"/>
      <c r="K195" s="9"/>
      <c r="L195" s="5"/>
      <c r="M195" s="1"/>
      <c r="N195" s="1"/>
      <c r="O195" s="1"/>
      <c r="P195" s="1"/>
      <c r="Q195" s="1"/>
      <c r="R195" s="1"/>
      <c r="S195" s="1"/>
      <c r="T195" s="1"/>
      <c r="U195" s="1"/>
      <c r="V195" s="1"/>
      <c r="W195" s="1"/>
      <c r="X195" s="1"/>
      <c r="Y195" s="112"/>
      <c r="Z195" s="112"/>
      <c r="AA195" s="112"/>
      <c r="AB195" s="112"/>
    </row>
    <row r="196" spans="1:28" s="277" customFormat="1" ht="26.25" x14ac:dyDescent="0.25">
      <c r="A196" s="3"/>
      <c r="B196" s="3"/>
      <c r="C196" s="1"/>
      <c r="D196" s="11"/>
      <c r="E196" s="11"/>
      <c r="F196" s="11"/>
      <c r="G196" s="11"/>
      <c r="H196" s="1"/>
      <c r="I196" s="1"/>
      <c r="J196" s="1" t="s">
        <v>5261</v>
      </c>
      <c r="K196" s="9" t="s">
        <v>5262</v>
      </c>
      <c r="L196" s="5" t="s">
        <v>4701</v>
      </c>
      <c r="M196" s="1"/>
      <c r="N196" s="1"/>
      <c r="O196" s="1"/>
      <c r="P196" s="1"/>
      <c r="Q196" s="1"/>
      <c r="R196" s="1"/>
      <c r="S196" s="1"/>
      <c r="T196" s="1"/>
      <c r="U196" s="1"/>
      <c r="V196" s="1"/>
      <c r="W196" s="1"/>
      <c r="X196" s="1"/>
      <c r="Y196" s="112"/>
      <c r="Z196" s="112"/>
      <c r="AA196" s="112"/>
      <c r="AB196" s="112"/>
    </row>
    <row r="197" spans="1:28" s="277" customFormat="1" x14ac:dyDescent="0.25">
      <c r="A197" s="3"/>
      <c r="B197" s="3"/>
      <c r="C197" s="1"/>
      <c r="D197" s="11"/>
      <c r="E197" s="11"/>
      <c r="F197" s="11"/>
      <c r="G197" s="11"/>
      <c r="H197" s="11"/>
      <c r="I197" s="11"/>
      <c r="J197" s="1" t="s">
        <v>5263</v>
      </c>
      <c r="K197" s="9" t="s">
        <v>5264</v>
      </c>
      <c r="L197" s="5" t="s">
        <v>5265</v>
      </c>
      <c r="M197" s="1"/>
      <c r="N197" s="1"/>
      <c r="O197" s="1"/>
      <c r="P197" s="1"/>
      <c r="Q197" s="1"/>
      <c r="R197" s="1"/>
      <c r="S197" s="1"/>
      <c r="T197" s="1"/>
      <c r="U197" s="1"/>
      <c r="V197" s="1"/>
      <c r="W197" s="1"/>
      <c r="X197" s="1"/>
      <c r="Y197" s="112"/>
      <c r="Z197" s="112"/>
      <c r="AA197" s="112"/>
      <c r="AB197" s="112"/>
    </row>
    <row r="198" spans="1:28" s="277" customFormat="1" ht="26.25" x14ac:dyDescent="0.25">
      <c r="A198" s="3"/>
      <c r="B198" s="3"/>
      <c r="C198" s="1"/>
      <c r="D198" s="11"/>
      <c r="E198" s="11"/>
      <c r="F198" s="11"/>
      <c r="G198" s="11"/>
      <c r="H198" s="11"/>
      <c r="I198" s="11"/>
      <c r="J198" s="1" t="s">
        <v>5266</v>
      </c>
      <c r="K198" s="9" t="s">
        <v>5267</v>
      </c>
      <c r="L198" s="5" t="s">
        <v>5265</v>
      </c>
      <c r="M198" s="1"/>
      <c r="N198" s="1"/>
      <c r="O198" s="1"/>
      <c r="P198" s="1"/>
      <c r="Q198" s="1"/>
      <c r="R198" s="1"/>
      <c r="S198" s="1"/>
      <c r="T198" s="1"/>
      <c r="U198" s="1"/>
      <c r="V198" s="1"/>
      <c r="W198" s="1"/>
      <c r="X198" s="1"/>
      <c r="Y198" s="14"/>
      <c r="Z198" s="14"/>
      <c r="AA198" s="14"/>
      <c r="AB198" s="14"/>
    </row>
    <row r="199" spans="1:28" s="277" customFormat="1" ht="30" x14ac:dyDescent="0.25">
      <c r="A199" s="3"/>
      <c r="B199" s="3"/>
      <c r="C199" s="1"/>
      <c r="D199" s="11"/>
      <c r="E199" s="11"/>
      <c r="F199" s="11"/>
      <c r="G199" s="11"/>
      <c r="H199" s="11"/>
      <c r="I199" s="11"/>
      <c r="J199" s="20" t="s">
        <v>5268</v>
      </c>
      <c r="K199" s="9" t="s">
        <v>5268</v>
      </c>
      <c r="L199" s="100" t="s">
        <v>5157</v>
      </c>
      <c r="M199" s="6"/>
      <c r="N199" s="22"/>
      <c r="O199" s="6"/>
      <c r="P199" s="6"/>
      <c r="Q199" s="6"/>
      <c r="R199" s="6"/>
      <c r="S199" s="6"/>
      <c r="T199" s="16"/>
      <c r="U199" s="16"/>
      <c r="V199" s="6"/>
      <c r="W199" s="6"/>
      <c r="X199" s="6"/>
      <c r="Y199" s="14"/>
      <c r="Z199" s="14"/>
      <c r="AA199" s="14"/>
      <c r="AB199" s="14"/>
    </row>
    <row r="200" spans="1:28" s="277" customFormat="1" ht="30" x14ac:dyDescent="0.25">
      <c r="A200" s="3"/>
      <c r="B200" s="3"/>
      <c r="C200" s="1"/>
      <c r="D200" s="11"/>
      <c r="E200" s="11"/>
      <c r="F200" s="11"/>
      <c r="G200" s="11"/>
      <c r="H200" s="11"/>
      <c r="I200" s="11"/>
      <c r="J200" s="20" t="s">
        <v>5269</v>
      </c>
      <c r="K200" s="9" t="s">
        <v>5270</v>
      </c>
      <c r="L200" s="8" t="s">
        <v>4701</v>
      </c>
      <c r="M200" s="6"/>
      <c r="N200" s="22"/>
      <c r="O200" s="6"/>
      <c r="P200" s="6"/>
      <c r="Q200" s="6"/>
      <c r="R200" s="6"/>
      <c r="S200" s="6"/>
      <c r="T200" s="16"/>
      <c r="U200" s="16"/>
      <c r="V200" s="6"/>
      <c r="W200" s="6"/>
      <c r="X200" s="6"/>
      <c r="Y200" s="14"/>
      <c r="Z200" s="14"/>
      <c r="AA200" s="14"/>
      <c r="AB200" s="14"/>
    </row>
    <row r="201" spans="1:28" s="277" customFormat="1" ht="15.75" customHeight="1" x14ac:dyDescent="0.25">
      <c r="A201" s="3"/>
      <c r="B201" s="3"/>
      <c r="C201" s="1"/>
      <c r="D201" s="1"/>
      <c r="E201" s="1"/>
      <c r="F201" s="1"/>
      <c r="G201" s="1"/>
      <c r="H201" s="1"/>
      <c r="I201" s="1"/>
      <c r="J201" s="1" t="s">
        <v>5271</v>
      </c>
      <c r="K201" s="9"/>
      <c r="L201" s="5" t="s">
        <v>5143</v>
      </c>
      <c r="M201"/>
      <c r="N201"/>
      <c r="O201"/>
      <c r="P201"/>
      <c r="Q201"/>
      <c r="R201"/>
      <c r="S201"/>
      <c r="T201"/>
      <c r="U201"/>
      <c r="V201"/>
      <c r="W201"/>
      <c r="X201"/>
      <c r="Y201"/>
      <c r="Z201"/>
      <c r="AA201"/>
      <c r="AB201"/>
    </row>
    <row r="202" spans="1:28" s="277" customFormat="1" ht="45" x14ac:dyDescent="0.25">
      <c r="A202" s="3"/>
      <c r="B202" s="3"/>
      <c r="C202" s="1"/>
      <c r="D202" s="11"/>
      <c r="E202" s="11"/>
      <c r="F202" s="11"/>
      <c r="G202" s="11"/>
      <c r="H202" s="11">
        <v>5</v>
      </c>
      <c r="I202" s="11"/>
      <c r="J202" s="20" t="s">
        <v>5272</v>
      </c>
      <c r="K202" s="9"/>
      <c r="L202" s="8"/>
      <c r="M202" s="6"/>
      <c r="N202" s="22"/>
      <c r="O202" s="6"/>
      <c r="P202" s="6"/>
      <c r="Q202" s="6"/>
      <c r="R202" s="6"/>
      <c r="S202" s="6"/>
      <c r="T202" s="16"/>
      <c r="U202" s="16"/>
      <c r="V202" s="6"/>
      <c r="W202" s="6"/>
      <c r="X202" s="6"/>
      <c r="Y202" s="14"/>
      <c r="Z202" s="14"/>
      <c r="AA202" s="14"/>
      <c r="AB202" s="14"/>
    </row>
    <row r="203" spans="1:28" s="277" customFormat="1" ht="26.25" x14ac:dyDescent="0.25">
      <c r="A203" s="3"/>
      <c r="B203" s="3"/>
      <c r="C203" s="1"/>
      <c r="D203" s="11"/>
      <c r="E203" s="11"/>
      <c r="F203" s="11"/>
      <c r="G203" s="11"/>
      <c r="H203" s="11"/>
      <c r="I203" s="11"/>
      <c r="J203" s="9" t="s">
        <v>5273</v>
      </c>
      <c r="K203" s="9" t="s">
        <v>5274</v>
      </c>
      <c r="L203" s="100" t="s">
        <v>5157</v>
      </c>
      <c r="M203" s="6"/>
      <c r="N203" s="22"/>
      <c r="O203" s="6"/>
      <c r="P203" s="6"/>
      <c r="Q203" s="6"/>
      <c r="R203" s="6"/>
      <c r="S203" s="6"/>
      <c r="T203" s="16"/>
      <c r="U203" s="16"/>
      <c r="V203" s="6"/>
      <c r="W203" s="6"/>
      <c r="X203" s="6"/>
      <c r="Y203" s="14"/>
      <c r="Z203" s="14"/>
      <c r="AA203" s="14"/>
      <c r="AB203" s="14"/>
    </row>
    <row r="204" spans="1:28" s="277" customFormat="1" ht="30" x14ac:dyDescent="0.25">
      <c r="A204" s="3"/>
      <c r="B204" s="3"/>
      <c r="C204" s="1"/>
      <c r="D204" s="11"/>
      <c r="E204" s="11"/>
      <c r="F204" s="11"/>
      <c r="G204" s="11"/>
      <c r="H204" s="11"/>
      <c r="I204" s="11"/>
      <c r="J204" s="20" t="s">
        <v>5275</v>
      </c>
      <c r="K204" s="9" t="s">
        <v>5275</v>
      </c>
      <c r="L204" s="100" t="s">
        <v>4701</v>
      </c>
      <c r="M204" s="6"/>
      <c r="N204" s="22"/>
      <c r="O204" s="6"/>
      <c r="P204" s="6"/>
      <c r="Q204" s="6"/>
      <c r="R204" s="6"/>
      <c r="S204" s="6"/>
      <c r="T204" s="16"/>
      <c r="U204" s="16"/>
      <c r="V204" s="6"/>
      <c r="W204" s="6"/>
      <c r="X204" s="6"/>
      <c r="Y204" s="14"/>
      <c r="Z204" s="14"/>
      <c r="AA204" s="14"/>
      <c r="AB204" s="14"/>
    </row>
    <row r="205" spans="1:28" s="277" customFormat="1" x14ac:dyDescent="0.25">
      <c r="A205" s="3"/>
      <c r="B205" s="3"/>
      <c r="C205" s="1"/>
      <c r="D205" s="11"/>
      <c r="E205" s="11"/>
      <c r="F205" s="11"/>
      <c r="G205" s="11"/>
      <c r="H205" s="11"/>
      <c r="I205" s="11"/>
      <c r="J205" s="9" t="s">
        <v>5276</v>
      </c>
      <c r="K205" s="9" t="s">
        <v>5276</v>
      </c>
      <c r="L205" s="8" t="s">
        <v>5143</v>
      </c>
      <c r="M205" s="6"/>
      <c r="N205" s="22"/>
      <c r="O205" s="6"/>
      <c r="P205" s="6"/>
      <c r="Q205" s="6"/>
      <c r="R205" s="6"/>
      <c r="S205" s="6"/>
      <c r="T205" s="16"/>
      <c r="U205" s="16"/>
      <c r="V205" s="6"/>
      <c r="W205" s="6"/>
      <c r="X205" s="6"/>
      <c r="Y205" s="14"/>
      <c r="Z205" s="14"/>
      <c r="AA205" s="14"/>
      <c r="AB205" s="14"/>
    </row>
    <row r="206" spans="1:28" s="277" customFormat="1" ht="26.25" x14ac:dyDescent="0.25">
      <c r="A206" s="3"/>
      <c r="B206" s="3"/>
      <c r="C206" s="1"/>
      <c r="D206" s="11"/>
      <c r="E206" s="11"/>
      <c r="F206" s="11"/>
      <c r="G206" s="11"/>
      <c r="H206" s="11"/>
      <c r="I206" s="11"/>
      <c r="J206" s="9" t="s">
        <v>5277</v>
      </c>
      <c r="K206" s="9" t="s">
        <v>5277</v>
      </c>
      <c r="L206" s="8" t="s">
        <v>5278</v>
      </c>
      <c r="M206" s="6"/>
      <c r="N206" s="22"/>
      <c r="O206" s="6"/>
      <c r="P206" s="6"/>
      <c r="Q206" s="6"/>
      <c r="R206" s="6"/>
      <c r="S206" s="6"/>
      <c r="T206" s="16"/>
      <c r="U206" s="16"/>
      <c r="V206" s="6"/>
      <c r="W206" s="6"/>
      <c r="X206" s="6"/>
      <c r="Y206" s="14"/>
      <c r="Z206" s="14"/>
      <c r="AA206" s="14"/>
      <c r="AB206" s="14"/>
    </row>
    <row r="207" spans="1:28" s="277" customFormat="1" ht="26.25" x14ac:dyDescent="0.25">
      <c r="A207" s="3"/>
      <c r="B207" s="3"/>
      <c r="C207" s="1"/>
      <c r="D207" s="11"/>
      <c r="E207" s="11"/>
      <c r="F207" s="11"/>
      <c r="G207" s="11"/>
      <c r="H207" s="11"/>
      <c r="I207" s="11"/>
      <c r="J207" s="9" t="s">
        <v>5279</v>
      </c>
      <c r="K207" s="9" t="s">
        <v>5279</v>
      </c>
      <c r="L207" s="8" t="s">
        <v>4701</v>
      </c>
      <c r="M207" s="6"/>
      <c r="N207" s="22"/>
      <c r="O207" s="6"/>
      <c r="P207" s="6"/>
      <c r="Q207" s="6"/>
      <c r="R207" s="6"/>
      <c r="S207" s="6"/>
      <c r="T207" s="16"/>
      <c r="U207" s="16"/>
      <c r="V207" s="6"/>
      <c r="W207" s="6"/>
      <c r="X207" s="6"/>
      <c r="Y207" s="14"/>
      <c r="Z207" s="14"/>
      <c r="AA207" s="14"/>
      <c r="AB207" s="14"/>
    </row>
    <row r="208" spans="1:28" s="277" customFormat="1" x14ac:dyDescent="0.25">
      <c r="A208" s="3"/>
      <c r="B208" s="3"/>
      <c r="C208" s="1"/>
      <c r="D208" s="11"/>
      <c r="E208" s="11"/>
      <c r="F208" s="11"/>
      <c r="G208" s="11">
        <v>4</v>
      </c>
      <c r="H208" s="1202" t="s">
        <v>5280</v>
      </c>
      <c r="I208" s="1203"/>
      <c r="J208" s="1203"/>
      <c r="K208" s="1144"/>
      <c r="L208" s="1144"/>
      <c r="M208" s="1144"/>
      <c r="N208" s="22"/>
      <c r="O208" s="6"/>
      <c r="P208" s="6"/>
      <c r="Q208" s="6"/>
      <c r="R208" s="6"/>
      <c r="S208" s="6"/>
      <c r="T208" s="16"/>
      <c r="U208" s="16"/>
      <c r="V208" s="6"/>
      <c r="W208" s="6"/>
      <c r="X208" s="6"/>
      <c r="Y208" s="14"/>
      <c r="Z208" s="14"/>
      <c r="AA208" s="14"/>
      <c r="AB208" s="14"/>
    </row>
    <row r="209" spans="1:28" s="277" customFormat="1" ht="30" x14ac:dyDescent="0.25">
      <c r="A209" s="3"/>
      <c r="B209" s="3"/>
      <c r="C209" s="1"/>
      <c r="D209" s="11"/>
      <c r="E209" s="11"/>
      <c r="F209" s="11"/>
      <c r="G209" s="1"/>
      <c r="H209" s="1"/>
      <c r="I209" s="1"/>
      <c r="J209" s="20" t="s">
        <v>5281</v>
      </c>
      <c r="K209" s="8"/>
      <c r="L209" s="8" t="s">
        <v>4701</v>
      </c>
      <c r="M209" s="6"/>
      <c r="N209" s="22"/>
      <c r="O209" s="6"/>
      <c r="P209" s="6"/>
      <c r="Q209" s="6"/>
      <c r="R209" s="6"/>
      <c r="S209" s="6"/>
      <c r="T209" s="16"/>
      <c r="U209" s="16"/>
      <c r="V209" s="6"/>
      <c r="W209" s="6"/>
      <c r="X209" s="6"/>
      <c r="Y209" s="14"/>
      <c r="Z209" s="14"/>
      <c r="AA209" s="14"/>
      <c r="AB209" s="14"/>
    </row>
    <row r="210" spans="1:28" s="277" customFormat="1" x14ac:dyDescent="0.25">
      <c r="A210" s="3"/>
      <c r="B210" s="3"/>
      <c r="C210" s="1"/>
      <c r="D210" s="11"/>
      <c r="E210" s="11"/>
      <c r="F210" s="11"/>
      <c r="G210" s="11"/>
      <c r="H210" s="11"/>
      <c r="I210" s="11"/>
      <c r="J210" s="9" t="s">
        <v>5282</v>
      </c>
      <c r="K210" s="8"/>
      <c r="L210" s="8" t="s">
        <v>4701</v>
      </c>
      <c r="M210" s="6"/>
      <c r="N210" s="22"/>
      <c r="O210" s="6"/>
      <c r="P210" s="6"/>
      <c r="Q210" s="6"/>
      <c r="R210" s="6"/>
      <c r="S210" s="6"/>
      <c r="T210" s="16"/>
      <c r="U210" s="16"/>
      <c r="V210" s="6"/>
      <c r="W210" s="6"/>
      <c r="X210" s="6"/>
      <c r="Y210" s="14"/>
      <c r="Z210" s="14"/>
      <c r="AA210" s="14"/>
      <c r="AB210" s="14"/>
    </row>
    <row r="211" spans="1:28" s="277" customFormat="1" x14ac:dyDescent="0.25">
      <c r="A211" s="3"/>
      <c r="B211" s="3"/>
      <c r="C211" s="1"/>
      <c r="D211" s="11"/>
      <c r="E211" s="11"/>
      <c r="F211" s="11"/>
      <c r="G211" s="11"/>
      <c r="H211" s="11"/>
      <c r="I211" s="11"/>
      <c r="J211" s="9" t="s">
        <v>5283</v>
      </c>
      <c r="K211" s="8"/>
      <c r="L211" s="8" t="s">
        <v>5265</v>
      </c>
      <c r="M211" s="6"/>
      <c r="N211" s="22"/>
      <c r="O211" s="6"/>
      <c r="P211" s="6"/>
      <c r="Q211" s="6"/>
      <c r="R211" s="6"/>
      <c r="S211" s="6"/>
      <c r="T211" s="16"/>
      <c r="U211" s="16"/>
      <c r="V211" s="6"/>
      <c r="W211" s="6"/>
      <c r="X211" s="6"/>
      <c r="Y211" s="14"/>
      <c r="Z211" s="14"/>
      <c r="AA211" s="14"/>
      <c r="AB211" s="14"/>
    </row>
    <row r="212" spans="1:28" s="277" customFormat="1" ht="26.25" x14ac:dyDescent="0.25">
      <c r="A212" s="3"/>
      <c r="B212" s="3"/>
      <c r="C212" s="1"/>
      <c r="D212" s="11"/>
      <c r="E212" s="11"/>
      <c r="F212" s="11"/>
      <c r="G212" s="11"/>
      <c r="H212" s="11"/>
      <c r="I212" s="11"/>
      <c r="J212" s="9" t="s">
        <v>5284</v>
      </c>
      <c r="K212" s="9" t="s">
        <v>5285</v>
      </c>
      <c r="L212" s="8" t="s">
        <v>5265</v>
      </c>
      <c r="M212" s="6"/>
      <c r="N212" s="22"/>
      <c r="O212" s="6"/>
      <c r="P212" s="6"/>
      <c r="Q212" s="6"/>
      <c r="R212" s="6"/>
      <c r="S212" s="6"/>
      <c r="T212" s="16"/>
      <c r="U212" s="16"/>
      <c r="V212" s="6"/>
      <c r="W212" s="6"/>
      <c r="X212" s="6"/>
      <c r="Y212" s="14"/>
      <c r="Z212" s="14"/>
      <c r="AA212" s="14"/>
      <c r="AB212" s="14"/>
    </row>
    <row r="213" spans="1:28" s="277" customFormat="1" x14ac:dyDescent="0.25">
      <c r="A213" s="3"/>
      <c r="B213" s="3"/>
      <c r="C213" s="1"/>
      <c r="D213" s="11"/>
      <c r="E213" s="11"/>
      <c r="F213" s="11"/>
      <c r="G213" s="11"/>
      <c r="H213" s="11"/>
      <c r="I213" s="11"/>
      <c r="J213" t="s">
        <v>5286</v>
      </c>
      <c r="K213" s="9"/>
      <c r="L213" s="8" t="s">
        <v>5146</v>
      </c>
      <c r="M213" s="6"/>
      <c r="N213" s="22"/>
      <c r="O213" s="6"/>
      <c r="P213" s="6"/>
      <c r="Q213" s="6"/>
      <c r="R213" s="6"/>
      <c r="S213" s="6"/>
      <c r="T213" s="16"/>
      <c r="U213" s="16"/>
      <c r="V213" s="6"/>
      <c r="W213" s="6"/>
      <c r="X213" s="6"/>
      <c r="Y213" s="14"/>
      <c r="Z213" s="14"/>
      <c r="AA213" s="14"/>
      <c r="AB213" s="14"/>
    </row>
    <row r="214" spans="1:28" s="277" customFormat="1" ht="45" x14ac:dyDescent="0.25">
      <c r="A214" s="3"/>
      <c r="B214" s="3"/>
      <c r="C214" s="1"/>
      <c r="D214" s="11"/>
      <c r="E214" s="11"/>
      <c r="F214" s="11"/>
      <c r="G214" s="11">
        <v>4</v>
      </c>
      <c r="H214" s="11"/>
      <c r="I214" s="11"/>
      <c r="J214" s="20" t="s">
        <v>5287</v>
      </c>
      <c r="K214" s="20" t="s">
        <v>5288</v>
      </c>
      <c r="L214" s="8" t="s">
        <v>5089</v>
      </c>
      <c r="M214" s="6"/>
      <c r="N214" s="22"/>
      <c r="O214" s="6"/>
      <c r="P214" s="6"/>
      <c r="Q214" s="6"/>
      <c r="R214" s="6"/>
      <c r="S214" s="6"/>
      <c r="T214" s="16"/>
      <c r="U214" s="16"/>
      <c r="V214" s="6"/>
      <c r="W214" s="6"/>
      <c r="X214" s="6"/>
      <c r="Y214" s="14"/>
      <c r="Z214" s="14"/>
      <c r="AA214" s="14"/>
      <c r="AB214" s="14"/>
    </row>
    <row r="215" spans="1:28" s="277" customFormat="1" ht="15.75" customHeight="1" x14ac:dyDescent="0.25">
      <c r="A215" s="3"/>
      <c r="B215" s="3"/>
      <c r="C215" s="1"/>
      <c r="D215" s="841"/>
      <c r="E215" s="841"/>
      <c r="F215" s="841">
        <v>3</v>
      </c>
      <c r="G215" s="1350" t="s">
        <v>5289</v>
      </c>
      <c r="H215" s="1350"/>
      <c r="I215" s="1350"/>
      <c r="J215" s="1350"/>
      <c r="K215" s="1350"/>
      <c r="L215" s="1350"/>
      <c r="M215" s="1350"/>
      <c r="N215" s="1030"/>
      <c r="O215" s="902"/>
      <c r="P215" s="902"/>
      <c r="Q215" s="902"/>
      <c r="R215" s="902"/>
      <c r="S215" s="902"/>
      <c r="T215" s="1020"/>
      <c r="U215" s="1020"/>
      <c r="V215" s="902"/>
      <c r="W215" s="902"/>
      <c r="X215" s="902"/>
      <c r="Y215" s="1041"/>
      <c r="Z215" s="1041"/>
      <c r="AA215" s="1041"/>
      <c r="AB215" s="1041"/>
    </row>
    <row r="216" spans="1:28" s="277" customFormat="1" ht="30" x14ac:dyDescent="0.25">
      <c r="A216" s="3"/>
      <c r="B216" s="3"/>
      <c r="C216" s="1"/>
      <c r="D216" s="11"/>
      <c r="E216" s="11"/>
      <c r="F216" s="11"/>
      <c r="G216" s="11"/>
      <c r="H216" s="11"/>
      <c r="I216" s="11"/>
      <c r="J216" s="20" t="s">
        <v>5290</v>
      </c>
      <c r="K216" s="20" t="s">
        <v>5290</v>
      </c>
      <c r="L216" s="8" t="s">
        <v>5089</v>
      </c>
      <c r="M216" s="6"/>
      <c r="N216" s="22"/>
      <c r="O216" s="6"/>
      <c r="P216" s="6"/>
      <c r="Q216" s="6"/>
      <c r="R216" s="6"/>
      <c r="S216" s="6"/>
      <c r="T216" s="16"/>
      <c r="U216" s="16"/>
      <c r="V216" s="6"/>
      <c r="W216" s="6"/>
      <c r="X216" s="6"/>
      <c r="Y216" s="14"/>
      <c r="Z216" s="14"/>
      <c r="AA216" s="14"/>
      <c r="AB216" s="14"/>
    </row>
    <row r="217" spans="1:28" s="277" customFormat="1" ht="30" x14ac:dyDescent="0.25">
      <c r="A217" s="3"/>
      <c r="B217" s="3"/>
      <c r="C217" s="1"/>
      <c r="D217" s="11"/>
      <c r="E217" s="11"/>
      <c r="F217" s="11"/>
      <c r="G217" s="11"/>
      <c r="H217" s="11"/>
      <c r="I217" s="11"/>
      <c r="J217" s="20" t="s">
        <v>5291</v>
      </c>
      <c r="K217" s="1031" t="s">
        <v>5292</v>
      </c>
      <c r="L217" s="8" t="s">
        <v>5021</v>
      </c>
      <c r="M217" s="6"/>
      <c r="N217" s="22"/>
      <c r="O217" s="6"/>
      <c r="P217" s="6"/>
      <c r="Q217" s="6"/>
      <c r="R217" s="6"/>
      <c r="S217" s="6"/>
      <c r="T217" s="16"/>
      <c r="U217" s="16"/>
      <c r="V217" s="6"/>
      <c r="W217" s="6"/>
      <c r="X217" s="6"/>
      <c r="Y217" s="14"/>
      <c r="Z217" s="14"/>
      <c r="AA217" s="14"/>
      <c r="AB217" s="14"/>
    </row>
    <row r="218" spans="1:28" s="277" customFormat="1" ht="26.25" x14ac:dyDescent="0.25">
      <c r="A218" s="3"/>
      <c r="B218" s="3"/>
      <c r="C218" s="1"/>
      <c r="D218" s="11"/>
      <c r="E218" s="11"/>
      <c r="F218" s="11"/>
      <c r="G218" s="11"/>
      <c r="H218" s="11"/>
      <c r="I218" s="11"/>
      <c r="J218" s="20" t="s">
        <v>5293</v>
      </c>
      <c r="K218" s="1031" t="s">
        <v>5294</v>
      </c>
      <c r="L218" s="8" t="s">
        <v>5021</v>
      </c>
      <c r="M218" s="6"/>
      <c r="N218" s="22"/>
      <c r="O218" s="6"/>
      <c r="P218" s="6"/>
      <c r="Q218" s="6"/>
      <c r="R218" s="6"/>
      <c r="S218" s="6"/>
      <c r="T218" s="16"/>
      <c r="U218" s="16"/>
      <c r="V218" s="6"/>
      <c r="W218" s="6"/>
      <c r="X218" s="6"/>
      <c r="Y218" s="14"/>
      <c r="Z218" s="14"/>
      <c r="AA218" s="14"/>
      <c r="AB218" s="14"/>
    </row>
    <row r="219" spans="1:28" s="277" customFormat="1" ht="45" x14ac:dyDescent="0.25">
      <c r="A219" s="3"/>
      <c r="B219" s="3"/>
      <c r="C219" s="1"/>
      <c r="D219" s="11"/>
      <c r="E219" s="11"/>
      <c r="F219" s="11"/>
      <c r="G219" s="11"/>
      <c r="H219" s="11"/>
      <c r="I219" s="11"/>
      <c r="J219" s="20" t="s">
        <v>5295</v>
      </c>
      <c r="K219" s="20" t="s">
        <v>5296</v>
      </c>
      <c r="L219" s="8" t="s">
        <v>5297</v>
      </c>
      <c r="M219" s="6"/>
      <c r="N219" s="22"/>
      <c r="O219" s="6"/>
      <c r="P219" s="6"/>
      <c r="Q219" s="6"/>
      <c r="R219" s="6"/>
      <c r="S219" s="6"/>
      <c r="T219" s="16"/>
      <c r="U219" s="16"/>
      <c r="V219" s="6"/>
      <c r="W219" s="6"/>
      <c r="X219" s="6"/>
      <c r="Y219" s="14"/>
      <c r="Z219" s="14"/>
      <c r="AA219" s="14"/>
      <c r="AB219" s="14"/>
    </row>
    <row r="220" spans="1:28" s="277" customFormat="1" x14ac:dyDescent="0.25">
      <c r="A220" s="3"/>
      <c r="B220" s="3"/>
      <c r="C220" s="1"/>
      <c r="D220" s="11"/>
      <c r="E220" s="11"/>
      <c r="F220" s="11"/>
      <c r="G220" s="11"/>
      <c r="H220" s="11"/>
      <c r="I220" s="11"/>
      <c r="J220" s="9" t="s">
        <v>5298</v>
      </c>
      <c r="K220" s="20" t="s">
        <v>5299</v>
      </c>
      <c r="L220" s="8" t="s">
        <v>5089</v>
      </c>
      <c r="M220" s="6"/>
      <c r="N220" s="22"/>
      <c r="O220" s="6"/>
      <c r="P220" s="6"/>
      <c r="Q220" s="6"/>
      <c r="R220" s="6"/>
      <c r="S220" s="6"/>
      <c r="T220" s="16"/>
      <c r="U220" s="16"/>
      <c r="V220" s="6"/>
      <c r="W220" s="6"/>
      <c r="X220" s="6"/>
      <c r="Y220" s="14"/>
      <c r="Z220" s="14"/>
      <c r="AA220" s="14"/>
      <c r="AB220" s="14"/>
    </row>
    <row r="221" spans="1:28" s="277" customFormat="1" x14ac:dyDescent="0.25">
      <c r="A221" s="3"/>
      <c r="B221" s="3"/>
      <c r="C221" s="1"/>
      <c r="D221" s="11"/>
      <c r="E221" s="11"/>
      <c r="F221" s="11"/>
      <c r="G221" s="11"/>
      <c r="H221" s="11"/>
      <c r="I221" s="11"/>
      <c r="J221" s="9" t="s">
        <v>5300</v>
      </c>
      <c r="K221" s="20" t="s">
        <v>5301</v>
      </c>
      <c r="L221" s="8" t="s">
        <v>4701</v>
      </c>
      <c r="M221" s="6"/>
      <c r="N221" s="22"/>
      <c r="O221" s="6"/>
      <c r="P221" s="6"/>
      <c r="Q221" s="6"/>
      <c r="R221" s="6"/>
      <c r="S221" s="6"/>
      <c r="T221" s="16"/>
      <c r="U221" s="16"/>
      <c r="V221" s="6"/>
      <c r="W221" s="6"/>
      <c r="X221" s="6"/>
      <c r="Y221" s="14"/>
      <c r="Z221" s="14"/>
      <c r="AA221" s="14"/>
      <c r="AB221" s="14"/>
    </row>
    <row r="222" spans="1:28" s="277" customFormat="1" x14ac:dyDescent="0.25">
      <c r="A222" s="3"/>
      <c r="B222" s="3"/>
      <c r="C222" s="1"/>
      <c r="D222" s="11"/>
      <c r="E222" s="11"/>
      <c r="F222" s="11"/>
      <c r="G222" s="11"/>
      <c r="H222" s="11"/>
      <c r="I222" s="11"/>
      <c r="J222" s="20" t="s">
        <v>5302</v>
      </c>
      <c r="K222" s="20"/>
      <c r="L222" s="8"/>
      <c r="M222" s="6"/>
      <c r="N222" s="22"/>
      <c r="O222" s="6"/>
      <c r="P222" s="6"/>
      <c r="Q222" s="6"/>
      <c r="R222" s="6"/>
      <c r="S222" s="6"/>
      <c r="T222" s="16"/>
      <c r="U222" s="16"/>
      <c r="V222" s="6"/>
      <c r="W222" s="6"/>
      <c r="X222" s="6"/>
      <c r="Y222" s="14"/>
      <c r="Z222" s="14"/>
      <c r="AA222" s="14"/>
      <c r="AB222" s="14"/>
    </row>
    <row r="223" spans="1:28" s="277" customFormat="1" ht="30" x14ac:dyDescent="0.25">
      <c r="A223" s="3"/>
      <c r="B223" s="3"/>
      <c r="C223" s="1"/>
      <c r="D223" s="11"/>
      <c r="E223" s="11"/>
      <c r="F223" s="11"/>
      <c r="G223" s="11">
        <v>4</v>
      </c>
      <c r="H223" s="11"/>
      <c r="I223" s="11"/>
      <c r="J223" s="20" t="s">
        <v>5303</v>
      </c>
      <c r="K223" s="20" t="s">
        <v>5304</v>
      </c>
      <c r="L223" s="8" t="s">
        <v>5089</v>
      </c>
      <c r="M223" s="6"/>
      <c r="N223" s="22"/>
      <c r="O223" s="6"/>
      <c r="P223" s="6"/>
      <c r="Q223" s="6"/>
      <c r="R223" s="6"/>
      <c r="S223" s="6"/>
      <c r="T223" s="16"/>
      <c r="U223" s="16"/>
      <c r="V223" s="6"/>
      <c r="W223" s="6"/>
      <c r="X223" s="6"/>
      <c r="Y223" s="14"/>
      <c r="Z223" s="14"/>
      <c r="AA223" s="14"/>
      <c r="AB223" s="14"/>
    </row>
    <row r="224" spans="1:28" s="277" customFormat="1" ht="15.75" customHeight="1" x14ac:dyDescent="0.25">
      <c r="A224" s="3"/>
      <c r="B224" s="3"/>
      <c r="C224" s="1"/>
      <c r="D224" s="841"/>
      <c r="E224" s="841"/>
      <c r="F224" s="841">
        <v>3</v>
      </c>
      <c r="G224" s="1350" t="s">
        <v>5305</v>
      </c>
      <c r="H224" s="1350"/>
      <c r="I224" s="1350"/>
      <c r="J224" s="1350"/>
      <c r="K224" s="1350"/>
      <c r="L224" s="1350"/>
      <c r="M224" s="1350"/>
      <c r="N224" s="1030"/>
      <c r="O224" s="902"/>
      <c r="P224" s="902"/>
      <c r="Q224" s="902"/>
      <c r="R224" s="902"/>
      <c r="S224" s="902"/>
      <c r="T224" s="1020"/>
      <c r="U224" s="1020"/>
      <c r="V224" s="902"/>
      <c r="W224" s="902"/>
      <c r="X224" s="902"/>
      <c r="Y224" s="1041"/>
      <c r="Z224" s="1041"/>
      <c r="AA224" s="1041"/>
      <c r="AB224" s="1041"/>
    </row>
    <row r="225" spans="1:28" s="277" customFormat="1" ht="30" x14ac:dyDescent="0.25">
      <c r="A225" s="3"/>
      <c r="B225" s="3"/>
      <c r="C225" s="1"/>
      <c r="D225" s="11"/>
      <c r="E225" s="11"/>
      <c r="F225" s="11"/>
      <c r="G225" s="11">
        <v>4</v>
      </c>
      <c r="H225" s="11"/>
      <c r="I225" s="11"/>
      <c r="J225" s="110" t="s">
        <v>5306</v>
      </c>
      <c r="K225" s="20" t="s">
        <v>5307</v>
      </c>
      <c r="L225" s="8" t="s">
        <v>5146</v>
      </c>
      <c r="M225" s="6"/>
      <c r="N225" s="22"/>
      <c r="O225" s="6"/>
      <c r="P225" s="6"/>
      <c r="Q225" s="6"/>
      <c r="R225" s="6"/>
      <c r="S225" s="6"/>
      <c r="T225" s="16"/>
      <c r="U225" s="16"/>
      <c r="V225" s="6"/>
      <c r="W225" s="6"/>
      <c r="X225" s="6"/>
      <c r="Y225" s="14"/>
      <c r="Z225" s="14"/>
      <c r="AA225" s="14"/>
      <c r="AB225" s="14"/>
    </row>
    <row r="226" spans="1:28" s="277" customFormat="1" x14ac:dyDescent="0.25">
      <c r="A226" s="3"/>
      <c r="B226" s="3"/>
      <c r="C226" s="1"/>
      <c r="D226" s="11"/>
      <c r="E226" s="11"/>
      <c r="F226" s="11"/>
      <c r="G226" s="11">
        <v>4</v>
      </c>
      <c r="H226" s="11"/>
      <c r="I226" s="11"/>
      <c r="J226" s="109" t="s">
        <v>5308</v>
      </c>
      <c r="K226" s="20" t="s">
        <v>5309</v>
      </c>
      <c r="L226" s="8" t="s">
        <v>5089</v>
      </c>
      <c r="M226" s="6"/>
      <c r="N226" s="22"/>
      <c r="O226" s="6"/>
      <c r="P226" s="6"/>
      <c r="Q226" s="6"/>
      <c r="R226" s="6"/>
      <c r="S226" s="6"/>
      <c r="T226" s="16"/>
      <c r="U226" s="16"/>
      <c r="V226" s="6"/>
      <c r="W226" s="6"/>
      <c r="X226" s="6"/>
      <c r="Y226" s="14"/>
      <c r="Z226" s="14"/>
      <c r="AA226" s="14"/>
      <c r="AB226" s="14"/>
    </row>
    <row r="227" spans="1:28" s="277" customFormat="1" ht="30" x14ac:dyDescent="0.25">
      <c r="A227" s="3"/>
      <c r="B227" s="3"/>
      <c r="C227" s="1"/>
      <c r="D227" s="11"/>
      <c r="E227" s="11"/>
      <c r="F227" s="11"/>
      <c r="G227" s="11">
        <v>4</v>
      </c>
      <c r="H227" s="11"/>
      <c r="I227" s="11"/>
      <c r="J227" s="110" t="s">
        <v>5310</v>
      </c>
      <c r="K227" s="20" t="s">
        <v>5311</v>
      </c>
      <c r="L227" s="8" t="s">
        <v>5021</v>
      </c>
      <c r="M227" s="6"/>
      <c r="N227" s="22"/>
      <c r="O227" s="6"/>
      <c r="P227" s="6"/>
      <c r="Q227" s="6"/>
      <c r="R227" s="6"/>
      <c r="S227" s="6"/>
      <c r="T227" s="16"/>
      <c r="U227" s="16"/>
      <c r="V227" s="6"/>
      <c r="W227" s="6"/>
      <c r="X227" s="6"/>
      <c r="Y227" s="14"/>
      <c r="Z227" s="14"/>
      <c r="AA227" s="14"/>
      <c r="AB227" s="14"/>
    </row>
    <row r="228" spans="1:28" s="277" customFormat="1" ht="60" x14ac:dyDescent="0.25">
      <c r="A228" s="3"/>
      <c r="B228" s="3"/>
      <c r="C228" s="1"/>
      <c r="D228" s="11"/>
      <c r="E228" s="11"/>
      <c r="F228" s="11"/>
      <c r="G228" s="11">
        <v>4</v>
      </c>
      <c r="H228" s="11"/>
      <c r="I228" s="11"/>
      <c r="J228" s="62" t="s">
        <v>5312</v>
      </c>
      <c r="K228" s="20" t="s">
        <v>5313</v>
      </c>
      <c r="L228" s="200" t="s">
        <v>4701</v>
      </c>
      <c r="M228" s="6"/>
      <c r="N228" s="22"/>
      <c r="O228" s="6"/>
      <c r="P228" s="6"/>
      <c r="Q228" s="6"/>
      <c r="R228" s="6" t="s">
        <v>5019</v>
      </c>
      <c r="S228" s="6"/>
      <c r="T228" s="16"/>
      <c r="U228" s="16"/>
      <c r="V228" s="6"/>
      <c r="W228" s="6"/>
      <c r="X228" s="6"/>
      <c r="Y228" s="14"/>
      <c r="Z228" s="14"/>
      <c r="AA228" s="14"/>
      <c r="AB228" s="14"/>
    </row>
    <row r="229" spans="1:28" s="277" customFormat="1" ht="30" x14ac:dyDescent="0.25">
      <c r="A229" s="3"/>
      <c r="B229" s="3"/>
      <c r="C229" s="1"/>
      <c r="D229" s="11"/>
      <c r="E229" s="11"/>
      <c r="F229" s="11"/>
      <c r="G229" s="11">
        <v>4</v>
      </c>
      <c r="H229" s="11"/>
      <c r="I229" s="11"/>
      <c r="J229" s="109" t="s">
        <v>5314</v>
      </c>
      <c r="K229" s="20" t="s">
        <v>5315</v>
      </c>
      <c r="L229" s="200" t="s">
        <v>4701</v>
      </c>
      <c r="M229" s="6"/>
      <c r="N229" s="22"/>
      <c r="O229" s="6"/>
      <c r="P229" s="6"/>
      <c r="Q229" s="6"/>
      <c r="R229" s="6"/>
      <c r="S229" s="6"/>
      <c r="T229" s="16"/>
      <c r="U229" s="16"/>
      <c r="V229" s="6"/>
      <c r="W229" s="6"/>
      <c r="X229" s="6"/>
      <c r="Y229" s="14"/>
      <c r="Z229" s="14"/>
      <c r="AA229" s="14"/>
      <c r="AB229" s="14"/>
    </row>
    <row r="230" spans="1:28" s="277" customFormat="1" ht="30" x14ac:dyDescent="0.25">
      <c r="A230" s="3"/>
      <c r="B230" s="3"/>
      <c r="C230" s="1"/>
      <c r="D230" s="227"/>
      <c r="E230" s="227"/>
      <c r="F230" s="227"/>
      <c r="G230" s="227"/>
      <c r="H230" s="227"/>
      <c r="I230" s="227"/>
      <c r="J230" s="231" t="s">
        <v>5316</v>
      </c>
      <c r="K230" s="231" t="s">
        <v>5317</v>
      </c>
      <c r="L230" s="232" t="s">
        <v>4701</v>
      </c>
      <c r="M230" s="228"/>
      <c r="N230" s="229"/>
      <c r="O230" s="228"/>
      <c r="P230" s="228"/>
      <c r="Q230" s="228"/>
      <c r="R230" s="228" t="s">
        <v>5020</v>
      </c>
      <c r="S230" s="228"/>
      <c r="T230" s="230"/>
      <c r="U230" s="230"/>
      <c r="V230" s="228"/>
      <c r="W230" s="228"/>
      <c r="X230" s="228"/>
      <c r="Y230" s="226"/>
      <c r="Z230" s="226"/>
      <c r="AA230" s="226"/>
      <c r="AB230" s="226"/>
    </row>
    <row r="231" spans="1:28" s="277" customFormat="1" ht="15.75" customHeight="1" x14ac:dyDescent="0.25">
      <c r="A231" s="3"/>
      <c r="B231" s="3"/>
      <c r="C231" s="1"/>
      <c r="D231" s="841"/>
      <c r="E231" s="841"/>
      <c r="F231" s="841"/>
      <c r="G231" s="841"/>
      <c r="H231" s="841"/>
      <c r="I231" s="841"/>
      <c r="J231" s="841"/>
      <c r="K231" s="841"/>
      <c r="L231" s="841"/>
      <c r="M231" s="841"/>
      <c r="N231" s="156"/>
      <c r="O231" s="156"/>
      <c r="P231" s="156"/>
      <c r="Q231" s="156"/>
      <c r="R231" s="156"/>
      <c r="S231" s="156"/>
      <c r="T231" s="160"/>
      <c r="U231" s="160"/>
      <c r="V231" s="156"/>
      <c r="W231" s="156"/>
      <c r="X231" s="156"/>
      <c r="Y231" s="14"/>
      <c r="Z231" s="14"/>
      <c r="AA231" s="14"/>
      <c r="AB231" s="14"/>
    </row>
    <row r="232" spans="1:28" s="277" customFormat="1" ht="15.75" customHeight="1" x14ac:dyDescent="0.25">
      <c r="A232" s="3"/>
      <c r="B232" s="3"/>
      <c r="C232" s="1"/>
      <c r="D232" s="841"/>
      <c r="E232" s="841"/>
      <c r="F232" s="841">
        <v>3</v>
      </c>
      <c r="G232" s="1349" t="s">
        <v>5318</v>
      </c>
      <c r="H232" s="1349"/>
      <c r="I232" s="1349"/>
      <c r="J232" s="1349"/>
      <c r="K232" s="1349"/>
      <c r="L232" s="1349"/>
      <c r="M232" s="1349"/>
      <c r="N232" s="729" t="str">
        <f>HYPERLINK("http://wiki.academyofsports.online/tiki-index.php?page=Lehrvideos-erstellen-(0346)", "0346")</f>
        <v>0346</v>
      </c>
      <c r="O232" s="156"/>
      <c r="P232" s="156"/>
      <c r="Q232" s="156"/>
      <c r="R232" s="156"/>
      <c r="S232" s="156"/>
      <c r="T232" s="160"/>
      <c r="U232" s="160"/>
      <c r="V232" s="156"/>
      <c r="W232" s="156"/>
      <c r="X232" s="156"/>
      <c r="Y232" s="14"/>
      <c r="Z232" s="14"/>
      <c r="AA232" s="14"/>
      <c r="AB232" s="14"/>
    </row>
    <row r="233" spans="1:28" s="277" customFormat="1" x14ac:dyDescent="0.25">
      <c r="A233" s="3"/>
      <c r="B233" s="3"/>
      <c r="C233" s="1"/>
      <c r="D233" s="841"/>
      <c r="E233" s="841"/>
      <c r="F233" s="1024">
        <v>3</v>
      </c>
      <c r="G233" s="1351" t="s">
        <v>5319</v>
      </c>
      <c r="H233" s="1352"/>
      <c r="I233" s="1352"/>
      <c r="J233" s="1352"/>
      <c r="K233" s="1352"/>
      <c r="L233" s="1352"/>
      <c r="M233" s="1353"/>
      <c r="N233" s="902"/>
      <c r="O233" s="902"/>
      <c r="P233" s="902"/>
      <c r="Q233" s="902"/>
      <c r="R233" s="902"/>
      <c r="S233" s="1026"/>
      <c r="T233" s="1020"/>
      <c r="U233" s="1020"/>
      <c r="V233" s="902"/>
      <c r="W233" s="902"/>
      <c r="X233" s="902"/>
      <c r="Y233" s="1041"/>
      <c r="Z233" s="1041"/>
      <c r="AA233" s="1041"/>
      <c r="AB233" s="1041"/>
    </row>
    <row r="234" spans="1:28" s="277" customFormat="1" ht="15.75" customHeight="1" x14ac:dyDescent="0.25">
      <c r="A234" s="3"/>
      <c r="B234" s="3"/>
      <c r="C234" s="1"/>
      <c r="D234" s="841"/>
      <c r="E234" s="841"/>
      <c r="F234" s="1024">
        <v>3</v>
      </c>
      <c r="G234" s="1351" t="s">
        <v>3080</v>
      </c>
      <c r="H234" s="1352"/>
      <c r="I234" s="1352"/>
      <c r="J234" s="1352"/>
      <c r="K234" s="1352"/>
      <c r="L234" s="1352"/>
      <c r="M234" s="1353"/>
      <c r="N234" s="902"/>
      <c r="O234" s="902"/>
      <c r="P234" s="902"/>
      <c r="Q234" s="902"/>
      <c r="R234" s="902"/>
      <c r="S234" s="1026"/>
      <c r="T234" s="1020"/>
      <c r="U234" s="1020"/>
      <c r="V234" s="902"/>
      <c r="W234" s="902"/>
      <c r="X234" s="902"/>
      <c r="Y234" s="1041"/>
      <c r="Z234" s="1041"/>
      <c r="AA234" s="1041"/>
      <c r="AB234" s="1041"/>
    </row>
    <row r="235" spans="1:28" s="277" customFormat="1" x14ac:dyDescent="0.25">
      <c r="A235" s="3"/>
      <c r="B235" s="3"/>
      <c r="C235" s="1"/>
      <c r="D235" s="841"/>
      <c r="E235" s="841"/>
      <c r="F235" s="1024">
        <v>3</v>
      </c>
      <c r="G235" s="1351" t="s">
        <v>5320</v>
      </c>
      <c r="H235" s="1352"/>
      <c r="I235" s="1352"/>
      <c r="J235" s="1352"/>
      <c r="K235" s="1352"/>
      <c r="L235" s="1352"/>
      <c r="M235" s="1353"/>
      <c r="N235" s="1019" t="str">
        <f>HYPERLINK("http://wiki.academyofsports.online/tiki-index.php?page=Projektbetreuung---Leitfaden-(0093)", "0093")</f>
        <v>0093</v>
      </c>
      <c r="O235" s="902"/>
      <c r="P235" s="902"/>
      <c r="Q235" s="902"/>
      <c r="R235" s="902"/>
      <c r="S235" s="1026"/>
      <c r="T235" s="1020"/>
      <c r="U235" s="1020"/>
      <c r="V235" s="902"/>
      <c r="W235" s="902"/>
      <c r="X235" s="902"/>
      <c r="Y235" s="1041"/>
      <c r="Z235" s="1041"/>
      <c r="AA235" s="1041"/>
      <c r="AB235" s="1041"/>
    </row>
    <row r="236" spans="1:28" s="277" customFormat="1" x14ac:dyDescent="0.25">
      <c r="A236" s="3"/>
      <c r="B236" s="3"/>
      <c r="C236" s="1"/>
      <c r="D236" s="136"/>
      <c r="E236" s="136"/>
      <c r="F236" s="11"/>
      <c r="G236" s="11"/>
      <c r="H236" s="11"/>
      <c r="I236" s="11"/>
      <c r="J236" s="1032" t="s">
        <v>5321</v>
      </c>
      <c r="K236" s="1" t="s">
        <v>5322</v>
      </c>
      <c r="L236" s="8" t="s">
        <v>4701</v>
      </c>
      <c r="M236" s="6"/>
      <c r="N236" s="132"/>
      <c r="O236" s="131"/>
      <c r="P236" s="131"/>
      <c r="Q236" s="131"/>
      <c r="R236" s="131"/>
      <c r="S236" s="131"/>
      <c r="T236" s="133"/>
      <c r="U236" s="133"/>
      <c r="V236" s="131"/>
      <c r="W236" s="131"/>
      <c r="X236" s="131"/>
      <c r="Y236" s="14"/>
      <c r="Z236" s="14"/>
      <c r="AA236" s="14"/>
      <c r="AB236" s="14"/>
    </row>
    <row r="237" spans="1:28" s="277" customFormat="1" ht="45" x14ac:dyDescent="0.25">
      <c r="A237" s="3"/>
      <c r="B237" s="3"/>
      <c r="C237" s="1"/>
      <c r="D237" s="136"/>
      <c r="E237" s="136"/>
      <c r="F237" s="11"/>
      <c r="G237" s="11"/>
      <c r="H237" s="11"/>
      <c r="I237" s="11"/>
      <c r="J237" s="20" t="s">
        <v>5323</v>
      </c>
      <c r="K237" s="6" t="s">
        <v>5324</v>
      </c>
      <c r="L237" s="8" t="s">
        <v>5089</v>
      </c>
      <c r="M237" s="6"/>
      <c r="N237" s="132"/>
      <c r="O237" s="131"/>
      <c r="P237" s="131"/>
      <c r="Q237" s="131"/>
      <c r="R237" s="131"/>
      <c r="S237" s="131"/>
      <c r="T237" s="133"/>
      <c r="U237" s="133"/>
      <c r="V237" s="131"/>
      <c r="W237" s="131"/>
      <c r="X237" s="131"/>
      <c r="Y237" s="14"/>
      <c r="Z237" s="14"/>
      <c r="AA237" s="14"/>
      <c r="AB237" s="14"/>
    </row>
    <row r="238" spans="1:28" s="277" customFormat="1" x14ac:dyDescent="0.25">
      <c r="A238" s="3"/>
      <c r="B238" s="3"/>
      <c r="C238" s="1"/>
      <c r="D238" s="136"/>
      <c r="E238" s="136"/>
      <c r="F238" s="11"/>
      <c r="G238" s="11"/>
      <c r="H238" s="11"/>
      <c r="I238" s="11"/>
      <c r="J238" s="20" t="s">
        <v>5325</v>
      </c>
      <c r="K238" s="1" t="s">
        <v>5326</v>
      </c>
      <c r="L238" s="8" t="s">
        <v>5089</v>
      </c>
      <c r="M238" s="6"/>
      <c r="N238" s="132"/>
      <c r="O238" s="131"/>
      <c r="P238" s="131"/>
      <c r="Q238" s="131"/>
      <c r="R238" s="131"/>
      <c r="S238" s="131"/>
      <c r="T238" s="133"/>
      <c r="U238" s="133"/>
      <c r="V238" s="131"/>
      <c r="W238" s="131"/>
      <c r="X238" s="131"/>
      <c r="Y238" s="14"/>
      <c r="Z238" s="14"/>
      <c r="AA238" s="14"/>
      <c r="AB238" s="14"/>
    </row>
    <row r="239" spans="1:28" s="277" customFormat="1" ht="45" x14ac:dyDescent="0.25">
      <c r="A239" s="3"/>
      <c r="B239" s="3"/>
      <c r="C239" s="1"/>
      <c r="D239" s="136"/>
      <c r="E239" s="136"/>
      <c r="F239" s="11"/>
      <c r="G239" s="11"/>
      <c r="H239" s="11"/>
      <c r="I239" s="11"/>
      <c r="J239" s="20" t="s">
        <v>5327</v>
      </c>
      <c r="K239" s="1" t="s">
        <v>5328</v>
      </c>
      <c r="L239" s="8" t="s">
        <v>5329</v>
      </c>
      <c r="M239" s="6"/>
      <c r="N239" s="132"/>
      <c r="O239" s="131"/>
      <c r="P239" s="131"/>
      <c r="Q239" s="131"/>
      <c r="R239" s="131"/>
      <c r="S239" s="131"/>
      <c r="T239" s="133"/>
      <c r="U239" s="133"/>
      <c r="V239" s="131"/>
      <c r="W239" s="131"/>
      <c r="X239" s="131"/>
      <c r="Y239" s="14"/>
      <c r="Z239" s="14"/>
      <c r="AA239" s="14"/>
      <c r="AB239" s="14"/>
    </row>
    <row r="240" spans="1:28" s="277" customFormat="1" ht="25.5" x14ac:dyDescent="0.2">
      <c r="A240" s="3"/>
      <c r="B240" s="3"/>
      <c r="C240" s="242"/>
      <c r="D240" s="258"/>
      <c r="E240" s="258"/>
      <c r="F240" s="243"/>
      <c r="G240" s="243"/>
      <c r="H240" s="243"/>
      <c r="I240" s="243"/>
      <c r="J240" s="246" t="s">
        <v>5330</v>
      </c>
      <c r="K240" s="248" t="s">
        <v>5331</v>
      </c>
      <c r="L240" s="247" t="s">
        <v>5089</v>
      </c>
      <c r="M240" s="248"/>
      <c r="N240" s="259"/>
      <c r="O240" s="260"/>
      <c r="P240" s="260"/>
      <c r="Q240" s="260"/>
      <c r="R240" s="260"/>
      <c r="S240" s="260"/>
      <c r="T240" s="261"/>
      <c r="U240" s="261"/>
      <c r="V240" s="260"/>
      <c r="W240" s="260"/>
      <c r="X240" s="260"/>
      <c r="Y240" s="241"/>
      <c r="Z240" s="241"/>
      <c r="AA240" s="241"/>
      <c r="AB240" s="241"/>
    </row>
    <row r="241" spans="1:28" s="277" customFormat="1" ht="12.75" x14ac:dyDescent="0.2">
      <c r="A241" s="3"/>
      <c r="B241" s="3"/>
      <c r="C241" s="242"/>
      <c r="D241" s="258"/>
      <c r="E241" s="258"/>
      <c r="F241" s="243"/>
      <c r="G241" s="243"/>
      <c r="H241" s="243"/>
      <c r="I241" s="243"/>
      <c r="J241" s="246" t="s">
        <v>5332</v>
      </c>
      <c r="K241" s="248"/>
      <c r="L241" s="247" t="s">
        <v>4701</v>
      </c>
      <c r="M241" s="248"/>
      <c r="N241" s="259"/>
      <c r="O241" s="260"/>
      <c r="P241" s="260"/>
      <c r="Q241" s="260"/>
      <c r="R241" s="260"/>
      <c r="S241" s="260"/>
      <c r="T241" s="261"/>
      <c r="U241" s="261"/>
      <c r="V241" s="260"/>
      <c r="W241" s="260"/>
      <c r="X241" s="260"/>
      <c r="Y241" s="241"/>
      <c r="Z241" s="241"/>
      <c r="AA241" s="241"/>
      <c r="AB241" s="241"/>
    </row>
    <row r="242" spans="1:28" s="277" customFormat="1" x14ac:dyDescent="0.25">
      <c r="A242" s="3"/>
      <c r="B242" s="3"/>
      <c r="C242" s="1"/>
      <c r="D242" s="841"/>
      <c r="E242" s="841"/>
      <c r="F242" s="1024">
        <v>3</v>
      </c>
      <c r="G242" s="1351" t="s">
        <v>5333</v>
      </c>
      <c r="H242" s="1352"/>
      <c r="I242" s="1352"/>
      <c r="J242" s="1352"/>
      <c r="K242" s="1352"/>
      <c r="L242" s="1352"/>
      <c r="M242" s="1353"/>
      <c r="N242" s="902"/>
      <c r="O242" s="902"/>
      <c r="P242" s="902"/>
      <c r="Q242" s="902"/>
      <c r="R242" s="902"/>
      <c r="S242" s="1026"/>
      <c r="T242" s="1020"/>
      <c r="U242" s="1020"/>
      <c r="V242" s="902"/>
      <c r="W242" s="902"/>
      <c r="X242" s="902"/>
      <c r="Y242" s="1041"/>
      <c r="Z242" s="1041"/>
      <c r="AA242" s="1041"/>
      <c r="AB242" s="1041"/>
    </row>
    <row r="243" spans="1:28" s="277" customFormat="1" ht="30" x14ac:dyDescent="0.25">
      <c r="A243" s="3"/>
      <c r="B243" s="3"/>
      <c r="C243" s="1"/>
      <c r="D243" s="136"/>
      <c r="E243" s="136"/>
      <c r="F243" s="11"/>
      <c r="G243" s="11"/>
      <c r="H243" s="11"/>
      <c r="I243" s="11"/>
      <c r="J243" s="20" t="s">
        <v>5334</v>
      </c>
      <c r="K243" s="6"/>
      <c r="L243" s="8"/>
      <c r="M243" s="6"/>
      <c r="N243" s="132"/>
      <c r="O243" s="131"/>
      <c r="P243" s="131"/>
      <c r="Q243" s="131"/>
      <c r="R243" s="131"/>
      <c r="S243" s="131"/>
      <c r="T243" s="133"/>
      <c r="U243" s="133"/>
      <c r="V243" s="131"/>
      <c r="W243" s="131"/>
      <c r="X243" s="131"/>
      <c r="Y243" s="14"/>
      <c r="Z243" s="14"/>
      <c r="AA243" s="14"/>
      <c r="AB243" s="14"/>
    </row>
    <row r="244" spans="1:28" s="277" customFormat="1" ht="15.75" customHeight="1" x14ac:dyDescent="0.25">
      <c r="A244" s="3"/>
      <c r="B244" s="3"/>
      <c r="C244" s="1"/>
      <c r="D244" s="841"/>
      <c r="E244" s="841"/>
      <c r="F244" s="841">
        <v>3</v>
      </c>
      <c r="G244" s="1350" t="s">
        <v>5289</v>
      </c>
      <c r="H244" s="1350"/>
      <c r="I244" s="1350"/>
      <c r="J244" s="1350"/>
      <c r="K244" s="1350"/>
      <c r="L244" s="1350"/>
      <c r="M244" s="1350"/>
      <c r="N244" s="1030"/>
      <c r="O244" s="902"/>
      <c r="P244" s="902"/>
      <c r="Q244" s="902"/>
      <c r="R244" s="902"/>
      <c r="S244" s="902"/>
      <c r="T244" s="1020"/>
      <c r="U244" s="1020"/>
      <c r="V244" s="902"/>
      <c r="W244" s="902"/>
      <c r="X244" s="902"/>
      <c r="Y244" s="1041"/>
      <c r="Z244" s="1041"/>
      <c r="AA244" s="1041"/>
      <c r="AB244" s="1041"/>
    </row>
    <row r="245" spans="1:28" s="277" customFormat="1" x14ac:dyDescent="0.25">
      <c r="A245" s="3"/>
      <c r="B245" s="3"/>
      <c r="C245" s="1"/>
      <c r="D245" s="136"/>
      <c r="E245" s="136"/>
      <c r="F245" s="11"/>
      <c r="G245" s="11"/>
      <c r="H245" s="11"/>
      <c r="I245" s="11"/>
      <c r="J245" s="20" t="s">
        <v>5335</v>
      </c>
      <c r="K245" s="1"/>
      <c r="L245" s="8"/>
      <c r="M245" s="6"/>
      <c r="N245" s="132"/>
      <c r="O245" s="131"/>
      <c r="P245" s="131"/>
      <c r="Q245" s="131"/>
      <c r="R245" s="131"/>
      <c r="S245" s="131"/>
      <c r="T245" s="133"/>
      <c r="U245" s="133"/>
      <c r="V245" s="131"/>
      <c r="W245" s="131"/>
      <c r="X245" s="131"/>
      <c r="Y245" s="14"/>
      <c r="Z245" s="14"/>
      <c r="AA245" s="14"/>
      <c r="AB245" s="14"/>
    </row>
    <row r="246" spans="1:28" s="277" customFormat="1" x14ac:dyDescent="0.25">
      <c r="A246" s="3"/>
      <c r="B246" s="3"/>
      <c r="C246" s="1"/>
      <c r="D246" s="136"/>
      <c r="E246" s="136"/>
      <c r="F246" s="11"/>
      <c r="G246" s="11"/>
      <c r="H246" s="11"/>
      <c r="I246" s="11"/>
      <c r="J246" s="20" t="s">
        <v>5336</v>
      </c>
      <c r="K246" s="1"/>
      <c r="L246" s="8"/>
      <c r="M246" s="6"/>
      <c r="N246" s="132"/>
      <c r="O246" s="131"/>
      <c r="P246" s="131"/>
      <c r="Q246" s="131"/>
      <c r="R246" s="131"/>
      <c r="S246" s="131"/>
      <c r="T246" s="133"/>
      <c r="U246" s="133"/>
      <c r="V246" s="131"/>
      <c r="W246" s="131"/>
      <c r="X246" s="131"/>
      <c r="Y246" s="14"/>
      <c r="Z246" s="14"/>
      <c r="AA246" s="14"/>
      <c r="AB246" s="14"/>
    </row>
    <row r="247" spans="1:28" s="277" customFormat="1" x14ac:dyDescent="0.25">
      <c r="A247" s="3"/>
      <c r="B247" s="3"/>
      <c r="C247" s="1"/>
      <c r="D247" s="136"/>
      <c r="E247" s="136"/>
      <c r="F247" s="11"/>
      <c r="G247" s="11"/>
      <c r="H247" s="11"/>
      <c r="I247" s="11"/>
      <c r="J247" s="20" t="s">
        <v>5337</v>
      </c>
      <c r="K247" s="1" t="s">
        <v>5338</v>
      </c>
      <c r="L247" s="8" t="s">
        <v>4701</v>
      </c>
      <c r="M247" s="6"/>
      <c r="N247" s="132"/>
      <c r="O247" s="131"/>
      <c r="P247" s="131"/>
      <c r="Q247" s="131"/>
      <c r="R247" s="131"/>
      <c r="S247" s="131"/>
      <c r="T247" s="133"/>
      <c r="U247" s="133"/>
      <c r="V247" s="131"/>
      <c r="W247" s="131"/>
      <c r="X247" s="131"/>
      <c r="Y247" s="14"/>
      <c r="Z247" s="14"/>
      <c r="AA247" s="14"/>
      <c r="AB247" s="14"/>
    </row>
    <row r="248" spans="1:28" s="277" customFormat="1" ht="15.75" customHeight="1" x14ac:dyDescent="0.25">
      <c r="A248" s="3"/>
      <c r="B248" s="3"/>
      <c r="C248" s="1"/>
      <c r="D248" s="841"/>
      <c r="E248" s="841"/>
      <c r="F248" s="841"/>
      <c r="G248" s="1350" t="s">
        <v>5339</v>
      </c>
      <c r="H248" s="1350"/>
      <c r="I248" s="1350"/>
      <c r="J248" s="1350"/>
      <c r="K248" s="1350"/>
      <c r="L248" s="1350"/>
      <c r="M248" s="1350"/>
      <c r="N248" s="1030"/>
      <c r="O248" s="902"/>
      <c r="P248" s="902"/>
      <c r="Q248" s="902"/>
      <c r="R248" s="902"/>
      <c r="S248" s="902"/>
      <c r="T248" s="1020"/>
      <c r="U248" s="1020"/>
      <c r="V248" s="902"/>
      <c r="W248" s="902"/>
      <c r="X248" s="902"/>
      <c r="Y248" s="1041"/>
      <c r="Z248" s="1041"/>
      <c r="AA248" s="1041"/>
      <c r="AB248" s="1041"/>
    </row>
    <row r="249" spans="1:28" x14ac:dyDescent="0.25">
      <c r="A249" s="3"/>
      <c r="B249" s="3"/>
      <c r="C249" s="1"/>
      <c r="D249" s="11"/>
      <c r="E249" s="11"/>
      <c r="F249" s="11"/>
      <c r="G249" s="11"/>
      <c r="H249" s="11"/>
      <c r="I249" s="11"/>
      <c r="J249" s="6"/>
      <c r="K249" s="6"/>
      <c r="L249" s="102"/>
      <c r="M249" s="6"/>
      <c r="N249" s="22"/>
      <c r="O249" s="6"/>
      <c r="P249" s="6"/>
      <c r="Q249" s="6"/>
      <c r="R249" s="6"/>
      <c r="S249" s="6"/>
      <c r="T249" s="16"/>
      <c r="U249" s="16"/>
      <c r="V249" s="6"/>
      <c r="W249" s="6"/>
      <c r="X249" s="6"/>
    </row>
    <row r="250" spans="1:28" x14ac:dyDescent="0.25">
      <c r="A250" s="3"/>
      <c r="B250" s="3"/>
      <c r="C250" s="1"/>
      <c r="D250" s="11"/>
      <c r="E250" s="11"/>
      <c r="F250" s="11"/>
      <c r="G250" s="11"/>
      <c r="H250" s="11"/>
      <c r="I250" s="11"/>
      <c r="J250" s="6"/>
      <c r="K250" s="6"/>
      <c r="L250" s="102"/>
      <c r="M250" s="6"/>
      <c r="N250" s="22"/>
      <c r="O250" s="6"/>
      <c r="P250" s="6"/>
      <c r="Q250" s="6"/>
      <c r="R250" s="6"/>
      <c r="S250" s="6"/>
      <c r="T250" s="16"/>
      <c r="U250" s="16"/>
      <c r="V250" s="6"/>
      <c r="W250" s="6"/>
      <c r="X250" s="6"/>
    </row>
    <row r="251" spans="1:28" x14ac:dyDescent="0.25">
      <c r="A251" s="3"/>
      <c r="B251" s="3"/>
      <c r="C251" s="1"/>
      <c r="D251" s="11"/>
      <c r="E251" s="11"/>
      <c r="F251" s="11"/>
      <c r="G251" s="11"/>
      <c r="H251" s="11"/>
      <c r="I251" s="11"/>
      <c r="J251" s="6"/>
      <c r="K251" s="6"/>
      <c r="L251" s="102"/>
      <c r="M251" s="6"/>
      <c r="N251" s="22"/>
      <c r="O251" s="6"/>
      <c r="P251" s="6"/>
      <c r="Q251" s="6"/>
      <c r="R251" s="6"/>
      <c r="S251" s="6"/>
      <c r="T251" s="16"/>
      <c r="U251" s="16"/>
      <c r="V251" s="6"/>
      <c r="W251" s="6"/>
      <c r="X251" s="6"/>
    </row>
    <row r="252" spans="1:28" x14ac:dyDescent="0.25">
      <c r="A252" s="3"/>
      <c r="B252" s="3"/>
      <c r="C252" s="1"/>
      <c r="D252" s="11"/>
      <c r="E252" s="11"/>
      <c r="F252" s="11"/>
      <c r="G252" s="11"/>
      <c r="H252" s="11"/>
      <c r="I252" s="11"/>
      <c r="J252" s="6"/>
      <c r="K252" s="6"/>
      <c r="L252" s="102"/>
      <c r="M252" s="6"/>
      <c r="N252" s="22"/>
      <c r="O252" s="6"/>
      <c r="P252" s="6"/>
      <c r="Q252" s="6"/>
      <c r="R252" s="6"/>
      <c r="S252" s="6"/>
      <c r="T252" s="16"/>
      <c r="U252" s="16"/>
      <c r="V252" s="6"/>
      <c r="W252" s="6"/>
      <c r="X252" s="6"/>
    </row>
    <row r="253" spans="1:28" x14ac:dyDescent="0.25">
      <c r="A253" s="3"/>
      <c r="B253" s="3"/>
      <c r="C253" s="1"/>
      <c r="D253" s="11"/>
      <c r="E253" s="11"/>
      <c r="F253" s="11"/>
      <c r="G253" s="11"/>
      <c r="H253" s="11"/>
      <c r="I253" s="11"/>
      <c r="J253" s="6"/>
      <c r="K253" s="6"/>
      <c r="L253" s="102"/>
      <c r="M253" s="6"/>
      <c r="N253" s="22"/>
      <c r="O253" s="6"/>
      <c r="P253" s="6"/>
      <c r="Q253" s="6"/>
      <c r="R253" s="6"/>
      <c r="S253" s="6"/>
      <c r="T253" s="16"/>
      <c r="U253" s="16"/>
      <c r="V253" s="6"/>
      <c r="W253" s="6"/>
      <c r="X253" s="6"/>
    </row>
    <row r="254" spans="1:28" x14ac:dyDescent="0.25">
      <c r="A254" s="3"/>
      <c r="B254" s="3"/>
      <c r="C254" s="1"/>
      <c r="D254" s="11"/>
      <c r="E254" s="11"/>
      <c r="F254" s="11"/>
      <c r="G254" s="11"/>
      <c r="H254" s="11"/>
      <c r="I254" s="11"/>
      <c r="J254" s="6"/>
      <c r="K254" s="6"/>
      <c r="L254" s="102"/>
      <c r="M254" s="6"/>
      <c r="N254" s="22"/>
      <c r="O254" s="6"/>
      <c r="P254" s="6"/>
      <c r="Q254" s="6"/>
      <c r="R254" s="6"/>
      <c r="S254" s="6"/>
      <c r="T254" s="16"/>
      <c r="U254" s="16"/>
      <c r="V254" s="6"/>
      <c r="W254" s="6"/>
      <c r="X254" s="6"/>
    </row>
    <row r="255" spans="1:28" x14ac:dyDescent="0.25">
      <c r="A255" s="3"/>
      <c r="B255" s="3"/>
      <c r="C255" s="1"/>
      <c r="D255" s="11"/>
      <c r="E255" s="11"/>
      <c r="F255" s="11"/>
      <c r="G255" s="11"/>
      <c r="H255" s="11"/>
      <c r="I255" s="11"/>
      <c r="J255" s="6"/>
      <c r="K255" s="6"/>
      <c r="L255" s="102"/>
      <c r="M255" s="6"/>
      <c r="N255" s="22"/>
      <c r="O255" s="6"/>
      <c r="P255" s="6"/>
      <c r="Q255" s="6"/>
      <c r="R255" s="6"/>
      <c r="S255" s="6"/>
      <c r="T255" s="16"/>
      <c r="U255" s="16"/>
      <c r="V255" s="6"/>
      <c r="W255" s="6"/>
      <c r="X255" s="6"/>
    </row>
    <row r="256" spans="1:28" x14ac:dyDescent="0.25">
      <c r="A256" s="3"/>
      <c r="B256" s="3"/>
      <c r="C256" s="1"/>
      <c r="D256" s="11"/>
      <c r="E256" s="11"/>
      <c r="F256" s="11"/>
      <c r="G256" s="11"/>
      <c r="H256" s="11"/>
      <c r="I256" s="11"/>
      <c r="J256" s="6"/>
      <c r="K256" s="6"/>
      <c r="L256" s="102"/>
      <c r="M256" s="6"/>
      <c r="N256" s="22"/>
      <c r="O256" s="6"/>
      <c r="P256" s="6"/>
      <c r="Q256" s="6"/>
      <c r="R256" s="6"/>
      <c r="S256" s="6"/>
      <c r="T256" s="16"/>
      <c r="U256" s="16"/>
      <c r="V256" s="6"/>
      <c r="W256" s="6"/>
      <c r="X256" s="6"/>
    </row>
    <row r="257" spans="1:24" x14ac:dyDescent="0.25">
      <c r="A257" s="3"/>
      <c r="B257" s="3"/>
      <c r="C257" s="1"/>
      <c r="D257" s="11"/>
      <c r="E257" s="11"/>
      <c r="F257" s="11"/>
      <c r="G257" s="11"/>
      <c r="H257" s="11"/>
      <c r="I257" s="11"/>
      <c r="J257" s="6"/>
      <c r="K257" s="6"/>
      <c r="L257" s="102"/>
      <c r="M257" s="6"/>
      <c r="N257" s="22"/>
      <c r="O257" s="6"/>
      <c r="P257" s="6"/>
      <c r="Q257" s="6"/>
      <c r="R257" s="6"/>
      <c r="S257" s="6"/>
      <c r="T257" s="16"/>
      <c r="U257" s="16"/>
      <c r="V257" s="6"/>
      <c r="W257" s="6"/>
      <c r="X257" s="6"/>
    </row>
    <row r="258" spans="1:24" x14ac:dyDescent="0.25">
      <c r="A258" s="3"/>
      <c r="B258" s="3"/>
      <c r="C258" s="1"/>
      <c r="D258" s="11"/>
      <c r="E258" s="11"/>
      <c r="F258" s="11"/>
      <c r="G258" s="11"/>
      <c r="H258" s="11"/>
      <c r="I258" s="11"/>
      <c r="J258" s="6"/>
      <c r="K258" s="6"/>
      <c r="L258" s="102"/>
      <c r="M258" s="6"/>
      <c r="N258" s="22"/>
      <c r="O258" s="6"/>
      <c r="P258" s="6"/>
      <c r="Q258" s="6"/>
      <c r="R258" s="6"/>
      <c r="S258" s="6"/>
      <c r="T258" s="16"/>
      <c r="U258" s="16"/>
      <c r="V258" s="6"/>
      <c r="W258" s="6"/>
      <c r="X258" s="6"/>
    </row>
    <row r="259" spans="1:24" x14ac:dyDescent="0.25">
      <c r="A259" s="3"/>
      <c r="B259" s="3"/>
      <c r="C259" s="1"/>
      <c r="D259" s="11"/>
      <c r="E259" s="11"/>
      <c r="F259" s="11"/>
      <c r="G259" s="11"/>
      <c r="H259" s="11"/>
      <c r="I259" s="11"/>
      <c r="J259" s="6"/>
      <c r="K259" s="6"/>
      <c r="L259" s="102"/>
      <c r="M259" s="6"/>
      <c r="N259" s="22"/>
      <c r="O259" s="6"/>
      <c r="P259" s="6"/>
      <c r="Q259" s="6"/>
      <c r="R259" s="6"/>
      <c r="S259" s="6"/>
      <c r="T259" s="16"/>
      <c r="U259" s="16"/>
      <c r="V259" s="6"/>
      <c r="W259" s="6"/>
      <c r="X259" s="6"/>
    </row>
    <row r="260" spans="1:24" x14ac:dyDescent="0.25">
      <c r="A260" s="3"/>
      <c r="B260" s="3"/>
      <c r="C260" s="1"/>
      <c r="D260" s="11"/>
      <c r="E260" s="11"/>
      <c r="F260" s="11"/>
      <c r="G260" s="11"/>
      <c r="H260" s="11"/>
      <c r="I260" s="11"/>
      <c r="J260" s="6"/>
      <c r="K260" s="6"/>
      <c r="L260" s="102"/>
      <c r="M260" s="6"/>
      <c r="N260" s="22"/>
      <c r="O260" s="6"/>
      <c r="P260" s="6"/>
      <c r="Q260" s="6"/>
      <c r="R260" s="6"/>
      <c r="S260" s="6"/>
      <c r="T260" s="16"/>
      <c r="U260" s="16"/>
      <c r="V260" s="6"/>
      <c r="W260" s="6"/>
      <c r="X260" s="6"/>
    </row>
    <row r="261" spans="1:24" x14ac:dyDescent="0.25">
      <c r="A261" s="3"/>
      <c r="B261" s="3"/>
      <c r="C261" s="1"/>
      <c r="D261" s="11"/>
      <c r="E261" s="11"/>
      <c r="F261" s="11"/>
      <c r="G261" s="11"/>
      <c r="H261" s="11"/>
      <c r="I261" s="11"/>
      <c r="J261" s="6"/>
      <c r="K261" s="6"/>
      <c r="L261" s="102"/>
      <c r="M261" s="6"/>
      <c r="N261" s="22"/>
      <c r="O261" s="6"/>
      <c r="P261" s="6"/>
      <c r="Q261" s="6"/>
      <c r="R261" s="6"/>
      <c r="S261" s="6"/>
      <c r="T261" s="16"/>
      <c r="U261" s="16"/>
      <c r="V261" s="6"/>
      <c r="W261" s="6"/>
      <c r="X261" s="6"/>
    </row>
    <row r="262" spans="1:24" x14ac:dyDescent="0.25">
      <c r="A262" s="3"/>
      <c r="B262" s="3"/>
      <c r="C262" s="1"/>
      <c r="D262" s="11"/>
      <c r="E262" s="11"/>
      <c r="F262" s="11"/>
      <c r="G262" s="11"/>
      <c r="H262" s="11"/>
      <c r="I262" s="11"/>
      <c r="J262" s="6"/>
      <c r="K262" s="6"/>
      <c r="L262" s="102"/>
      <c r="M262" s="6"/>
      <c r="N262" s="22"/>
      <c r="O262" s="6"/>
      <c r="P262" s="6"/>
      <c r="Q262" s="6"/>
      <c r="R262" s="6"/>
      <c r="S262" s="6"/>
      <c r="T262" s="16"/>
      <c r="U262" s="16"/>
      <c r="V262" s="6"/>
      <c r="W262" s="6"/>
      <c r="X262" s="6"/>
    </row>
    <row r="263" spans="1:24" x14ac:dyDescent="0.25">
      <c r="A263" s="3"/>
      <c r="B263" s="3"/>
      <c r="C263" s="1"/>
      <c r="D263" s="11"/>
      <c r="E263" s="11"/>
      <c r="F263" s="11"/>
      <c r="G263" s="11"/>
      <c r="H263" s="11"/>
      <c r="I263" s="11"/>
      <c r="J263" s="6"/>
      <c r="K263" s="6"/>
      <c r="L263" s="102"/>
      <c r="M263" s="6"/>
      <c r="N263" s="22"/>
      <c r="O263" s="6"/>
      <c r="P263" s="6"/>
      <c r="Q263" s="6"/>
      <c r="R263" s="6"/>
      <c r="S263" s="6"/>
      <c r="T263" s="16"/>
      <c r="U263" s="16"/>
      <c r="V263" s="6"/>
      <c r="W263" s="6"/>
      <c r="X263" s="6"/>
    </row>
    <row r="264" spans="1:24" x14ac:dyDescent="0.25">
      <c r="A264" s="3"/>
      <c r="B264" s="3"/>
      <c r="C264" s="1"/>
      <c r="D264" s="11"/>
      <c r="E264" s="11"/>
      <c r="F264" s="11"/>
      <c r="G264" s="11"/>
      <c r="H264" s="11"/>
      <c r="I264" s="11"/>
      <c r="J264" s="6"/>
      <c r="K264" s="6"/>
      <c r="L264" s="102"/>
      <c r="M264" s="6"/>
      <c r="N264" s="22"/>
      <c r="O264" s="6"/>
      <c r="P264" s="6"/>
      <c r="Q264" s="6"/>
      <c r="R264" s="6"/>
      <c r="S264" s="6"/>
      <c r="T264" s="16"/>
      <c r="U264" s="16"/>
      <c r="V264" s="6"/>
      <c r="W264" s="6"/>
      <c r="X264" s="6"/>
    </row>
    <row r="265" spans="1:24" x14ac:dyDescent="0.25">
      <c r="A265" s="3"/>
      <c r="B265" s="3"/>
      <c r="C265" s="1"/>
      <c r="D265" s="11"/>
      <c r="E265" s="11"/>
      <c r="F265" s="11"/>
      <c r="G265" s="11"/>
      <c r="H265" s="11"/>
      <c r="I265" s="11"/>
      <c r="J265" s="6"/>
      <c r="K265" s="6"/>
      <c r="L265" s="102"/>
      <c r="M265" s="6"/>
      <c r="N265" s="22"/>
      <c r="O265" s="6"/>
      <c r="P265" s="6"/>
      <c r="Q265" s="6"/>
      <c r="R265" s="6"/>
      <c r="S265" s="6"/>
      <c r="T265" s="16"/>
      <c r="U265" s="16"/>
      <c r="V265" s="6"/>
      <c r="W265" s="6"/>
      <c r="X265" s="6"/>
    </row>
    <row r="266" spans="1:24" x14ac:dyDescent="0.25">
      <c r="A266" s="3"/>
      <c r="B266" s="3"/>
      <c r="C266" s="1"/>
      <c r="D266" s="11"/>
      <c r="E266" s="11"/>
      <c r="F266" s="11"/>
      <c r="G266" s="11"/>
      <c r="H266" s="11"/>
      <c r="I266" s="11"/>
      <c r="J266" s="6"/>
      <c r="K266" s="6"/>
      <c r="L266" s="102"/>
      <c r="M266" s="6"/>
      <c r="N266" s="22"/>
      <c r="O266" s="6"/>
      <c r="P266" s="6"/>
      <c r="Q266" s="6"/>
      <c r="R266" s="6"/>
      <c r="S266" s="6"/>
      <c r="T266" s="16"/>
      <c r="U266" s="16"/>
      <c r="V266" s="6"/>
      <c r="W266" s="6"/>
      <c r="X266" s="6"/>
    </row>
    <row r="267" spans="1:24" x14ac:dyDescent="0.25">
      <c r="A267" s="3"/>
      <c r="B267" s="3"/>
      <c r="C267" s="1"/>
      <c r="D267" s="11"/>
      <c r="E267" s="11"/>
      <c r="F267" s="11"/>
      <c r="G267" s="11"/>
      <c r="H267" s="11"/>
      <c r="I267" s="11"/>
      <c r="J267" s="6"/>
      <c r="K267" s="6"/>
      <c r="L267" s="102"/>
      <c r="M267" s="6"/>
      <c r="N267" s="22"/>
      <c r="O267" s="6"/>
      <c r="P267" s="6"/>
      <c r="Q267" s="6"/>
      <c r="R267" s="6"/>
      <c r="S267" s="6"/>
      <c r="T267" s="16"/>
      <c r="U267" s="16"/>
      <c r="V267" s="6"/>
      <c r="W267" s="6"/>
      <c r="X267" s="6"/>
    </row>
    <row r="268" spans="1:24" x14ac:dyDescent="0.25">
      <c r="A268" s="3"/>
      <c r="B268" s="3"/>
      <c r="C268" s="1"/>
      <c r="D268" s="11"/>
      <c r="E268" s="11"/>
      <c r="F268" s="11"/>
      <c r="G268" s="11"/>
      <c r="H268" s="11"/>
      <c r="I268" s="11"/>
      <c r="J268" s="6"/>
      <c r="K268" s="6"/>
      <c r="L268" s="102"/>
      <c r="M268" s="6"/>
      <c r="N268" s="22"/>
      <c r="O268" s="6"/>
      <c r="P268" s="6"/>
      <c r="Q268" s="6"/>
      <c r="R268" s="6"/>
      <c r="S268" s="6"/>
      <c r="T268" s="16"/>
      <c r="U268" s="16"/>
      <c r="V268" s="6"/>
      <c r="W268" s="6"/>
      <c r="X268" s="6"/>
    </row>
    <row r="269" spans="1:24" x14ac:dyDescent="0.25">
      <c r="A269" s="3"/>
      <c r="B269" s="3"/>
      <c r="C269" s="1"/>
      <c r="D269" s="11"/>
      <c r="E269" s="11"/>
      <c r="F269" s="11"/>
      <c r="G269" s="11"/>
      <c r="H269" s="11"/>
      <c r="I269" s="11"/>
      <c r="J269" s="6"/>
      <c r="K269" s="6"/>
      <c r="L269" s="102"/>
      <c r="M269" s="6"/>
      <c r="N269" s="22"/>
      <c r="O269" s="6"/>
      <c r="P269" s="6"/>
      <c r="Q269" s="6"/>
      <c r="R269" s="6"/>
      <c r="S269" s="6"/>
      <c r="T269" s="16"/>
      <c r="U269" s="16"/>
      <c r="V269" s="6"/>
      <c r="W269" s="6"/>
      <c r="X269" s="6"/>
    </row>
    <row r="270" spans="1:24" x14ac:dyDescent="0.25">
      <c r="A270" s="3"/>
      <c r="B270" s="3"/>
      <c r="C270" s="1"/>
      <c r="D270" s="11"/>
      <c r="E270" s="11"/>
      <c r="F270" s="11"/>
      <c r="G270" s="11"/>
      <c r="H270" s="11"/>
      <c r="I270" s="11"/>
      <c r="J270" s="6"/>
      <c r="K270" s="6"/>
      <c r="L270" s="102"/>
      <c r="M270" s="6"/>
      <c r="N270" s="22"/>
      <c r="O270" s="6"/>
      <c r="P270" s="6"/>
      <c r="Q270" s="6"/>
      <c r="R270" s="6"/>
      <c r="S270" s="6"/>
      <c r="T270" s="16"/>
      <c r="U270" s="16"/>
      <c r="V270" s="6"/>
      <c r="W270" s="6"/>
      <c r="X270" s="6"/>
    </row>
    <row r="271" spans="1:24" x14ac:dyDescent="0.25">
      <c r="A271" s="3"/>
      <c r="B271" s="3"/>
      <c r="C271" s="1"/>
      <c r="D271" s="11"/>
      <c r="E271" s="11"/>
      <c r="F271" s="11"/>
      <c r="G271" s="11"/>
      <c r="H271" s="11"/>
      <c r="I271" s="11"/>
      <c r="J271" s="6"/>
      <c r="K271" s="6"/>
      <c r="L271" s="102"/>
      <c r="M271" s="6"/>
      <c r="N271" s="22"/>
      <c r="O271" s="6"/>
      <c r="P271" s="6"/>
      <c r="Q271" s="6"/>
      <c r="R271" s="6"/>
      <c r="S271" s="6"/>
      <c r="T271" s="16"/>
      <c r="U271" s="16"/>
      <c r="V271" s="6"/>
      <c r="W271" s="6"/>
      <c r="X271" s="6"/>
    </row>
    <row r="272" spans="1:24" x14ac:dyDescent="0.25">
      <c r="A272" s="3"/>
      <c r="B272" s="3"/>
      <c r="C272" s="1"/>
      <c r="D272" s="11"/>
      <c r="E272" s="11"/>
      <c r="F272" s="11"/>
      <c r="G272" s="11"/>
      <c r="H272" s="11"/>
      <c r="I272" s="11"/>
      <c r="J272" s="6"/>
      <c r="K272" s="6"/>
      <c r="L272" s="102"/>
      <c r="M272" s="6"/>
      <c r="N272" s="22"/>
      <c r="O272" s="6"/>
      <c r="P272" s="6"/>
      <c r="Q272" s="6"/>
      <c r="R272" s="6"/>
      <c r="S272" s="6"/>
      <c r="T272" s="16"/>
      <c r="U272" s="16"/>
      <c r="V272" s="6"/>
      <c r="W272" s="6"/>
      <c r="X272" s="6"/>
    </row>
    <row r="273" spans="1:24" x14ac:dyDescent="0.25">
      <c r="A273" s="3"/>
      <c r="B273" s="3"/>
      <c r="C273" s="1"/>
      <c r="D273" s="11"/>
      <c r="E273" s="11"/>
      <c r="F273" s="11"/>
      <c r="G273" s="11"/>
      <c r="H273" s="11"/>
      <c r="I273" s="11"/>
      <c r="J273" s="6"/>
      <c r="K273" s="6"/>
      <c r="L273" s="102"/>
      <c r="M273" s="6"/>
      <c r="N273" s="22"/>
      <c r="O273" s="6"/>
      <c r="P273" s="6"/>
      <c r="Q273" s="6"/>
      <c r="R273" s="6"/>
      <c r="S273" s="6"/>
      <c r="T273" s="16"/>
      <c r="U273" s="16"/>
      <c r="V273" s="6"/>
      <c r="W273" s="6"/>
      <c r="X273" s="6"/>
    </row>
    <row r="274" spans="1:24" x14ac:dyDescent="0.25">
      <c r="A274" s="3"/>
      <c r="B274" s="3"/>
      <c r="C274" s="1"/>
      <c r="D274" s="11"/>
      <c r="E274" s="11"/>
      <c r="F274" s="11"/>
      <c r="G274" s="11"/>
      <c r="H274" s="11"/>
      <c r="I274" s="11"/>
      <c r="J274" s="6"/>
      <c r="K274" s="6"/>
      <c r="L274" s="102"/>
      <c r="M274" s="6"/>
      <c r="N274" s="22"/>
      <c r="O274" s="6"/>
      <c r="P274" s="6"/>
      <c r="Q274" s="6"/>
      <c r="R274" s="6"/>
      <c r="S274" s="6"/>
      <c r="T274" s="16"/>
      <c r="U274" s="16"/>
      <c r="V274" s="6"/>
      <c r="W274" s="6"/>
      <c r="X274" s="6"/>
    </row>
    <row r="275" spans="1:24" x14ac:dyDescent="0.25">
      <c r="A275" s="3"/>
      <c r="B275" s="3"/>
      <c r="C275" s="1"/>
      <c r="D275" s="11"/>
      <c r="E275" s="11"/>
      <c r="F275" s="11"/>
      <c r="G275" s="11"/>
      <c r="H275" s="11"/>
      <c r="I275" s="11"/>
      <c r="J275" s="6"/>
      <c r="K275" s="6"/>
      <c r="L275" s="102"/>
      <c r="M275" s="6"/>
      <c r="N275" s="22"/>
      <c r="O275" s="6"/>
      <c r="P275" s="6"/>
      <c r="Q275" s="6"/>
      <c r="R275" s="6"/>
      <c r="S275" s="6"/>
      <c r="T275" s="16"/>
      <c r="U275" s="16"/>
      <c r="V275" s="6"/>
      <c r="W275" s="6"/>
      <c r="X275" s="6"/>
    </row>
    <row r="276" spans="1:24" x14ac:dyDescent="0.25">
      <c r="A276" s="3"/>
      <c r="B276" s="3"/>
      <c r="C276" s="1"/>
      <c r="D276" s="11"/>
      <c r="E276" s="11"/>
      <c r="F276" s="11"/>
      <c r="G276" s="11"/>
      <c r="H276" s="11"/>
      <c r="I276" s="11"/>
      <c r="J276" s="6"/>
      <c r="K276" s="6"/>
      <c r="L276" s="102"/>
      <c r="M276" s="6"/>
      <c r="N276" s="22"/>
      <c r="O276" s="6"/>
      <c r="P276" s="6"/>
      <c r="Q276" s="6"/>
      <c r="R276" s="6"/>
      <c r="S276" s="6"/>
      <c r="T276" s="16"/>
      <c r="U276" s="16"/>
      <c r="V276" s="6"/>
      <c r="W276" s="6"/>
      <c r="X276" s="6"/>
    </row>
    <row r="277" spans="1:24" x14ac:dyDescent="0.25">
      <c r="A277" s="3"/>
      <c r="B277" s="3"/>
      <c r="C277" s="1"/>
      <c r="D277" s="11"/>
      <c r="E277" s="11"/>
      <c r="F277" s="11"/>
      <c r="G277" s="11"/>
      <c r="H277" s="11"/>
      <c r="I277" s="11"/>
      <c r="J277" s="6"/>
      <c r="K277" s="6"/>
      <c r="L277" s="102"/>
      <c r="M277" s="6"/>
      <c r="N277" s="22"/>
      <c r="O277" s="6"/>
      <c r="P277" s="6"/>
      <c r="Q277" s="6"/>
      <c r="R277" s="6"/>
      <c r="S277" s="6"/>
      <c r="T277" s="16"/>
      <c r="U277" s="16"/>
      <c r="V277" s="6"/>
      <c r="W277" s="6"/>
      <c r="X277" s="6"/>
    </row>
    <row r="278" spans="1:24" x14ac:dyDescent="0.25">
      <c r="A278" s="3"/>
      <c r="B278" s="3"/>
      <c r="C278" s="1"/>
      <c r="D278" s="11"/>
      <c r="E278" s="11"/>
      <c r="F278" s="11"/>
      <c r="G278" s="11"/>
      <c r="H278" s="11"/>
      <c r="I278" s="11"/>
      <c r="J278" s="6"/>
      <c r="K278" s="6"/>
      <c r="L278" s="102"/>
      <c r="M278" s="6"/>
      <c r="N278" s="22"/>
      <c r="O278" s="6"/>
      <c r="P278" s="6"/>
      <c r="Q278" s="6"/>
      <c r="R278" s="6"/>
      <c r="S278" s="6"/>
      <c r="T278" s="16"/>
      <c r="U278" s="16"/>
      <c r="V278" s="6"/>
      <c r="W278" s="6"/>
      <c r="X278" s="6"/>
    </row>
    <row r="279" spans="1:24" x14ac:dyDescent="0.25">
      <c r="A279" s="3"/>
      <c r="B279" s="3"/>
      <c r="C279" s="1"/>
      <c r="D279" s="11"/>
      <c r="E279" s="11"/>
      <c r="F279" s="11"/>
      <c r="G279" s="11"/>
      <c r="H279" s="11"/>
      <c r="I279" s="11"/>
      <c r="J279" s="6"/>
      <c r="K279" s="6"/>
      <c r="L279" s="102"/>
      <c r="M279" s="6"/>
      <c r="N279" s="22"/>
      <c r="O279" s="6"/>
      <c r="P279" s="6"/>
      <c r="Q279" s="6"/>
      <c r="R279" s="6"/>
      <c r="S279" s="6"/>
      <c r="T279" s="16"/>
      <c r="U279" s="16"/>
      <c r="V279" s="6"/>
      <c r="W279" s="6"/>
      <c r="X279" s="6"/>
    </row>
    <row r="280" spans="1:24" x14ac:dyDescent="0.25">
      <c r="A280" s="3"/>
      <c r="B280" s="3"/>
      <c r="C280" s="1"/>
      <c r="D280" s="11"/>
      <c r="E280" s="11"/>
      <c r="F280" s="11"/>
      <c r="G280" s="11"/>
      <c r="H280" s="11"/>
      <c r="I280" s="11"/>
      <c r="J280" s="6"/>
      <c r="K280" s="6"/>
      <c r="L280" s="102"/>
      <c r="M280" s="6"/>
      <c r="N280" s="22"/>
      <c r="O280" s="6"/>
      <c r="P280" s="6"/>
      <c r="Q280" s="6"/>
      <c r="R280" s="6"/>
      <c r="S280" s="6"/>
      <c r="T280" s="16"/>
      <c r="U280" s="16"/>
      <c r="V280" s="6"/>
      <c r="W280" s="6"/>
      <c r="X280" s="6"/>
    </row>
    <row r="281" spans="1:24" x14ac:dyDescent="0.25">
      <c r="A281" s="3"/>
      <c r="B281" s="3"/>
      <c r="C281" s="1"/>
      <c r="D281" s="11"/>
      <c r="E281" s="11"/>
      <c r="F281" s="11"/>
      <c r="G281" s="11"/>
      <c r="H281" s="11"/>
      <c r="I281" s="11"/>
      <c r="J281" s="6"/>
      <c r="K281" s="6"/>
      <c r="L281" s="102"/>
      <c r="M281" s="6"/>
      <c r="N281" s="22"/>
      <c r="O281" s="6"/>
      <c r="P281" s="6"/>
      <c r="Q281" s="6"/>
      <c r="R281" s="6"/>
      <c r="S281" s="6"/>
      <c r="T281" s="16"/>
      <c r="U281" s="16"/>
      <c r="V281" s="6"/>
      <c r="W281" s="6"/>
      <c r="X281" s="6"/>
    </row>
    <row r="282" spans="1:24" x14ac:dyDescent="0.25">
      <c r="A282" s="3"/>
      <c r="B282" s="3"/>
      <c r="C282" s="1"/>
      <c r="D282" s="11"/>
      <c r="E282" s="11"/>
      <c r="F282" s="11"/>
      <c r="G282" s="11"/>
      <c r="H282" s="11"/>
      <c r="I282" s="11"/>
      <c r="J282" s="6"/>
      <c r="K282" s="6"/>
      <c r="L282" s="102"/>
      <c r="M282" s="6"/>
      <c r="N282" s="22"/>
      <c r="O282" s="6"/>
      <c r="P282" s="6"/>
      <c r="Q282" s="6"/>
      <c r="R282" s="6"/>
      <c r="S282" s="6"/>
      <c r="T282" s="16"/>
      <c r="U282" s="16"/>
      <c r="V282" s="6"/>
      <c r="W282" s="6"/>
      <c r="X282" s="6"/>
    </row>
    <row r="283" spans="1:24" x14ac:dyDescent="0.25">
      <c r="A283" s="3"/>
      <c r="B283" s="3"/>
      <c r="C283" s="1"/>
      <c r="D283" s="11"/>
      <c r="E283" s="11"/>
      <c r="F283" s="11"/>
      <c r="G283" s="11"/>
      <c r="H283" s="11"/>
      <c r="I283" s="11"/>
      <c r="J283" s="6"/>
      <c r="K283" s="6"/>
      <c r="L283" s="102"/>
      <c r="M283" s="6"/>
      <c r="N283" s="22"/>
      <c r="O283" s="6"/>
      <c r="P283" s="6"/>
      <c r="Q283" s="6"/>
      <c r="R283" s="6"/>
      <c r="S283" s="6"/>
      <c r="T283" s="16"/>
      <c r="U283" s="16"/>
      <c r="V283" s="6"/>
      <c r="W283" s="6"/>
      <c r="X283" s="6"/>
    </row>
    <row r="284" spans="1:24" x14ac:dyDescent="0.25">
      <c r="A284" s="3"/>
      <c r="B284" s="3"/>
      <c r="C284" s="1"/>
      <c r="D284" s="11"/>
      <c r="E284" s="11"/>
      <c r="F284" s="11"/>
      <c r="G284" s="11"/>
      <c r="H284" s="11"/>
      <c r="I284" s="11"/>
      <c r="J284" s="6"/>
      <c r="K284" s="6"/>
      <c r="L284" s="102"/>
      <c r="M284" s="6"/>
      <c r="N284" s="22"/>
      <c r="O284" s="6"/>
      <c r="P284" s="6"/>
      <c r="Q284" s="6"/>
      <c r="R284" s="6"/>
      <c r="S284" s="6"/>
      <c r="T284" s="16"/>
      <c r="U284" s="16"/>
      <c r="V284" s="6"/>
      <c r="W284" s="6"/>
      <c r="X284" s="6"/>
    </row>
    <row r="285" spans="1:24" x14ac:dyDescent="0.25">
      <c r="A285" s="3"/>
      <c r="B285" s="3"/>
      <c r="C285" s="1"/>
      <c r="D285" s="11"/>
      <c r="E285" s="11"/>
      <c r="F285" s="11"/>
      <c r="G285" s="11"/>
      <c r="H285" s="11"/>
      <c r="I285" s="11"/>
      <c r="J285" s="6"/>
      <c r="K285" s="6"/>
      <c r="L285" s="102"/>
      <c r="M285" s="6"/>
      <c r="N285" s="22"/>
      <c r="O285" s="6"/>
      <c r="P285" s="6"/>
      <c r="Q285" s="6"/>
      <c r="R285" s="6"/>
      <c r="S285" s="6"/>
      <c r="T285" s="16"/>
      <c r="U285" s="16"/>
      <c r="V285" s="6"/>
      <c r="W285" s="6"/>
      <c r="X285" s="6"/>
    </row>
    <row r="286" spans="1:24" x14ac:dyDescent="0.25">
      <c r="A286" s="3"/>
      <c r="B286" s="3"/>
      <c r="C286" s="1"/>
      <c r="D286" s="11"/>
      <c r="E286" s="11"/>
      <c r="F286" s="11"/>
      <c r="G286" s="11"/>
      <c r="H286" s="11"/>
      <c r="I286" s="11"/>
      <c r="J286" s="6"/>
      <c r="K286" s="6"/>
      <c r="L286" s="102"/>
      <c r="M286" s="6"/>
      <c r="N286" s="22"/>
      <c r="O286" s="6"/>
      <c r="P286" s="6"/>
      <c r="Q286" s="6"/>
      <c r="R286" s="6"/>
      <c r="S286" s="6"/>
      <c r="T286" s="16"/>
      <c r="U286" s="16"/>
      <c r="V286" s="6"/>
      <c r="W286" s="6"/>
      <c r="X286" s="6"/>
    </row>
    <row r="287" spans="1:24" x14ac:dyDescent="0.25">
      <c r="A287" s="3"/>
      <c r="B287" s="3"/>
      <c r="C287" s="1"/>
      <c r="D287" s="11"/>
      <c r="E287" s="11"/>
      <c r="F287" s="11"/>
      <c r="G287" s="11"/>
      <c r="H287" s="11"/>
      <c r="I287" s="11"/>
      <c r="J287" s="6"/>
      <c r="K287" s="6"/>
      <c r="L287" s="102"/>
      <c r="M287" s="6"/>
      <c r="N287" s="22"/>
      <c r="O287" s="6"/>
      <c r="P287" s="6"/>
      <c r="Q287" s="6"/>
      <c r="R287" s="6"/>
      <c r="S287" s="6"/>
      <c r="T287" s="16"/>
      <c r="U287" s="16"/>
      <c r="V287" s="6"/>
      <c r="W287" s="6"/>
      <c r="X287" s="6"/>
    </row>
    <row r="288" spans="1:24" x14ac:dyDescent="0.25">
      <c r="A288" s="3"/>
      <c r="B288" s="3"/>
      <c r="C288" s="1"/>
      <c r="D288" s="11"/>
      <c r="E288" s="11"/>
      <c r="F288" s="11"/>
      <c r="G288" s="11"/>
      <c r="H288" s="11"/>
      <c r="I288" s="11"/>
      <c r="J288" s="6"/>
      <c r="K288" s="6"/>
      <c r="L288" s="102"/>
      <c r="M288" s="6"/>
      <c r="N288" s="22"/>
      <c r="O288" s="6"/>
      <c r="P288" s="6"/>
      <c r="Q288" s="6"/>
      <c r="R288" s="6"/>
      <c r="S288" s="6"/>
      <c r="T288" s="16"/>
      <c r="U288" s="16"/>
      <c r="V288" s="6"/>
      <c r="W288" s="6"/>
      <c r="X288" s="6"/>
    </row>
    <row r="289" spans="1:24" x14ac:dyDescent="0.25">
      <c r="A289" s="3"/>
      <c r="B289" s="3"/>
      <c r="C289" s="1"/>
      <c r="D289" s="11"/>
      <c r="E289" s="11"/>
      <c r="F289" s="11"/>
      <c r="G289" s="11"/>
      <c r="H289" s="11"/>
      <c r="I289" s="11"/>
      <c r="J289" s="6"/>
      <c r="K289" s="6"/>
      <c r="L289" s="102"/>
      <c r="M289" s="6"/>
      <c r="N289" s="22"/>
      <c r="O289" s="6"/>
      <c r="P289" s="6"/>
      <c r="Q289" s="6"/>
      <c r="R289" s="6"/>
      <c r="S289" s="6"/>
      <c r="T289" s="16"/>
      <c r="U289" s="16"/>
      <c r="V289" s="6"/>
      <c r="W289" s="6"/>
      <c r="X289" s="6"/>
    </row>
    <row r="290" spans="1:24" x14ac:dyDescent="0.25">
      <c r="A290" s="3"/>
      <c r="B290" s="3"/>
      <c r="C290" s="1"/>
      <c r="D290" s="11"/>
      <c r="E290" s="11"/>
      <c r="F290" s="11"/>
      <c r="G290" s="11"/>
      <c r="H290" s="11"/>
      <c r="I290" s="11"/>
      <c r="J290" s="6"/>
      <c r="K290" s="6"/>
      <c r="L290" s="102"/>
      <c r="M290" s="6"/>
      <c r="N290" s="22"/>
      <c r="O290" s="6"/>
      <c r="P290" s="6"/>
      <c r="Q290" s="6"/>
      <c r="R290" s="6"/>
      <c r="S290" s="6"/>
      <c r="T290" s="16"/>
      <c r="U290" s="16"/>
      <c r="V290" s="6"/>
      <c r="W290" s="6"/>
      <c r="X290" s="6"/>
    </row>
    <row r="291" spans="1:24" x14ac:dyDescent="0.25">
      <c r="A291" s="3"/>
      <c r="B291" s="3"/>
      <c r="C291" s="1"/>
      <c r="D291" s="11"/>
      <c r="E291" s="11"/>
      <c r="F291" s="11"/>
      <c r="G291" s="11"/>
      <c r="H291" s="11"/>
      <c r="I291" s="11"/>
      <c r="J291" s="6"/>
      <c r="K291" s="6"/>
      <c r="L291" s="102"/>
      <c r="M291" s="6"/>
      <c r="N291" s="22"/>
      <c r="O291" s="6"/>
      <c r="P291" s="6"/>
      <c r="Q291" s="6"/>
      <c r="R291" s="6"/>
      <c r="S291" s="6"/>
      <c r="T291" s="16"/>
      <c r="U291" s="16"/>
      <c r="V291" s="6"/>
      <c r="W291" s="6"/>
      <c r="X291" s="6"/>
    </row>
    <row r="292" spans="1:24" x14ac:dyDescent="0.25">
      <c r="A292" s="3"/>
      <c r="B292" s="3"/>
      <c r="C292" s="1"/>
      <c r="D292" s="11"/>
      <c r="E292" s="11"/>
      <c r="F292" s="11"/>
      <c r="G292" s="11"/>
      <c r="H292" s="11"/>
      <c r="I292" s="11"/>
      <c r="J292" s="6"/>
      <c r="K292" s="6"/>
      <c r="L292" s="102"/>
      <c r="M292" s="6"/>
      <c r="N292" s="22"/>
      <c r="O292" s="6"/>
      <c r="P292" s="6"/>
      <c r="Q292" s="6"/>
      <c r="R292" s="6"/>
      <c r="S292" s="6"/>
      <c r="T292" s="16"/>
      <c r="U292" s="16"/>
      <c r="V292" s="6"/>
      <c r="W292" s="6"/>
      <c r="X292" s="6"/>
    </row>
    <row r="293" spans="1:24" x14ac:dyDescent="0.25">
      <c r="A293" s="3"/>
      <c r="B293" s="3"/>
      <c r="C293" s="1"/>
      <c r="D293" s="11"/>
      <c r="E293" s="11"/>
      <c r="F293" s="11"/>
      <c r="G293" s="11"/>
      <c r="H293" s="11"/>
      <c r="I293" s="11"/>
      <c r="J293" s="6"/>
      <c r="K293" s="6"/>
      <c r="L293" s="102"/>
      <c r="M293" s="6"/>
      <c r="N293" s="22"/>
      <c r="O293" s="6"/>
      <c r="P293" s="6"/>
      <c r="Q293" s="6"/>
      <c r="R293" s="6"/>
      <c r="S293" s="6"/>
      <c r="T293" s="16"/>
      <c r="U293" s="16"/>
      <c r="V293" s="6"/>
      <c r="W293" s="6"/>
      <c r="X293" s="6"/>
    </row>
    <row r="294" spans="1:24" x14ac:dyDescent="0.25">
      <c r="A294" s="3"/>
      <c r="B294" s="3"/>
      <c r="C294" s="1"/>
      <c r="D294" s="11"/>
      <c r="E294" s="11"/>
      <c r="F294" s="11"/>
      <c r="G294" s="11"/>
      <c r="H294" s="11"/>
      <c r="I294" s="11"/>
      <c r="J294" s="6"/>
      <c r="K294" s="6"/>
      <c r="L294" s="102"/>
      <c r="M294" s="6"/>
      <c r="N294" s="22"/>
      <c r="O294" s="6"/>
      <c r="P294" s="6"/>
      <c r="Q294" s="6"/>
      <c r="R294" s="6"/>
      <c r="S294" s="6"/>
      <c r="T294" s="16"/>
      <c r="U294" s="16"/>
      <c r="V294" s="6"/>
      <c r="W294" s="6"/>
      <c r="X294" s="6"/>
    </row>
    <row r="295" spans="1:24" x14ac:dyDescent="0.25">
      <c r="A295" s="3"/>
      <c r="B295" s="3"/>
      <c r="C295" s="1"/>
      <c r="D295" s="11"/>
      <c r="E295" s="11"/>
      <c r="F295" s="11"/>
      <c r="G295" s="11"/>
      <c r="H295" s="11"/>
      <c r="I295" s="11"/>
      <c r="J295" s="6"/>
      <c r="K295" s="6"/>
      <c r="L295" s="102"/>
      <c r="M295" s="6"/>
      <c r="N295" s="22"/>
      <c r="O295" s="6"/>
      <c r="P295" s="6"/>
      <c r="Q295" s="6"/>
      <c r="R295" s="6"/>
      <c r="S295" s="6"/>
      <c r="T295" s="16"/>
      <c r="U295" s="16"/>
      <c r="V295" s="6"/>
      <c r="W295" s="6"/>
      <c r="X295" s="6"/>
    </row>
    <row r="296" spans="1:24" x14ac:dyDescent="0.25">
      <c r="A296" s="3"/>
      <c r="B296" s="3"/>
      <c r="C296" s="1"/>
      <c r="D296" s="11"/>
      <c r="E296" s="11"/>
      <c r="F296" s="11"/>
      <c r="G296" s="11"/>
      <c r="H296" s="11"/>
      <c r="I296" s="11"/>
      <c r="J296" s="6"/>
      <c r="K296" s="6"/>
      <c r="L296" s="102"/>
      <c r="M296" s="6"/>
      <c r="N296" s="22"/>
      <c r="O296" s="6"/>
      <c r="P296" s="6"/>
      <c r="Q296" s="6"/>
      <c r="R296" s="6"/>
      <c r="S296" s="6"/>
      <c r="T296" s="16"/>
      <c r="U296" s="16"/>
      <c r="V296" s="6"/>
      <c r="W296" s="6"/>
      <c r="X296" s="6"/>
    </row>
    <row r="297" spans="1:24" x14ac:dyDescent="0.25">
      <c r="A297" s="3"/>
      <c r="B297" s="3"/>
      <c r="C297" s="1"/>
      <c r="D297" s="11"/>
      <c r="E297" s="11"/>
      <c r="F297" s="11"/>
      <c r="G297" s="11"/>
      <c r="H297" s="11"/>
      <c r="I297" s="11"/>
      <c r="J297" s="6"/>
      <c r="K297" s="6"/>
      <c r="L297" s="102"/>
      <c r="M297" s="6"/>
      <c r="N297" s="22"/>
      <c r="O297" s="6"/>
      <c r="P297" s="6"/>
      <c r="Q297" s="6"/>
      <c r="R297" s="6"/>
      <c r="S297" s="6"/>
      <c r="T297" s="16"/>
      <c r="U297" s="16"/>
      <c r="V297" s="6"/>
      <c r="W297" s="6"/>
      <c r="X297" s="6"/>
    </row>
    <row r="298" spans="1:24" x14ac:dyDescent="0.25">
      <c r="A298" s="3"/>
      <c r="B298" s="3"/>
      <c r="C298" s="1"/>
      <c r="D298" s="11"/>
      <c r="E298" s="11"/>
      <c r="F298" s="11"/>
      <c r="G298" s="11"/>
      <c r="H298" s="11"/>
      <c r="I298" s="11"/>
      <c r="J298" s="6"/>
      <c r="K298" s="6"/>
      <c r="L298" s="102"/>
      <c r="M298" s="6"/>
      <c r="N298" s="22"/>
      <c r="O298" s="6"/>
      <c r="P298" s="6"/>
      <c r="Q298" s="6"/>
      <c r="R298" s="6"/>
      <c r="S298" s="6"/>
      <c r="T298" s="16"/>
      <c r="U298" s="16"/>
      <c r="V298" s="6"/>
      <c r="W298" s="6"/>
      <c r="X298" s="6"/>
    </row>
    <row r="299" spans="1:24" x14ac:dyDescent="0.25">
      <c r="A299" s="3"/>
      <c r="B299" s="3"/>
      <c r="C299" s="1"/>
      <c r="D299" s="11"/>
      <c r="E299" s="11"/>
      <c r="F299" s="11"/>
      <c r="G299" s="11"/>
      <c r="H299" s="11"/>
      <c r="I299" s="11"/>
      <c r="J299" s="6"/>
      <c r="K299" s="6"/>
      <c r="L299" s="102"/>
      <c r="M299" s="6"/>
      <c r="N299" s="22"/>
      <c r="O299" s="6"/>
      <c r="P299" s="6"/>
      <c r="Q299" s="6"/>
      <c r="R299" s="6"/>
      <c r="S299" s="6"/>
      <c r="T299" s="16"/>
      <c r="U299" s="16"/>
      <c r="V299" s="6"/>
      <c r="W299" s="6"/>
      <c r="X299" s="6"/>
    </row>
    <row r="300" spans="1:24" x14ac:dyDescent="0.25">
      <c r="A300" s="3"/>
      <c r="B300" s="3"/>
      <c r="C300" s="1"/>
      <c r="D300" s="11"/>
      <c r="E300" s="11"/>
      <c r="F300" s="11"/>
      <c r="G300" s="11"/>
      <c r="H300" s="11"/>
      <c r="I300" s="11"/>
      <c r="J300" s="6"/>
      <c r="K300" s="6"/>
      <c r="L300" s="102"/>
      <c r="M300" s="6"/>
      <c r="N300" s="22"/>
      <c r="O300" s="6"/>
      <c r="P300" s="6"/>
      <c r="Q300" s="6"/>
      <c r="R300" s="6"/>
      <c r="S300" s="6"/>
      <c r="T300" s="16"/>
      <c r="U300" s="16"/>
      <c r="V300" s="6"/>
      <c r="W300" s="6"/>
      <c r="X300" s="6"/>
    </row>
    <row r="301" spans="1:24" x14ac:dyDescent="0.25">
      <c r="A301" s="3"/>
      <c r="B301" s="3"/>
      <c r="C301" s="1"/>
      <c r="D301" s="11"/>
      <c r="E301" s="11"/>
      <c r="F301" s="11"/>
      <c r="G301" s="11"/>
      <c r="H301" s="11"/>
      <c r="I301" s="11"/>
      <c r="J301" s="6"/>
      <c r="K301" s="6"/>
      <c r="L301" s="102"/>
      <c r="M301" s="6"/>
      <c r="N301" s="22"/>
      <c r="O301" s="6"/>
      <c r="P301" s="6"/>
      <c r="Q301" s="6"/>
      <c r="R301" s="6"/>
      <c r="S301" s="6"/>
      <c r="T301" s="16"/>
      <c r="U301" s="16"/>
      <c r="V301" s="6"/>
      <c r="W301" s="6"/>
      <c r="X301" s="6"/>
    </row>
    <row r="302" spans="1:24" x14ac:dyDescent="0.25">
      <c r="A302" s="3"/>
      <c r="B302" s="3"/>
      <c r="C302" s="1"/>
      <c r="D302" s="11"/>
      <c r="E302" s="11"/>
      <c r="F302" s="11"/>
      <c r="G302" s="11"/>
      <c r="H302" s="11"/>
      <c r="I302" s="11"/>
      <c r="J302" s="6"/>
      <c r="K302" s="6"/>
      <c r="L302" s="102"/>
      <c r="M302" s="6"/>
      <c r="N302" s="22"/>
      <c r="O302" s="6"/>
      <c r="P302" s="6"/>
      <c r="Q302" s="6"/>
      <c r="R302" s="6"/>
      <c r="S302" s="6"/>
      <c r="T302" s="16"/>
      <c r="U302" s="16"/>
      <c r="V302" s="6"/>
      <c r="W302" s="6"/>
      <c r="X302" s="6"/>
    </row>
    <row r="303" spans="1:24" x14ac:dyDescent="0.25">
      <c r="A303" s="3"/>
      <c r="B303" s="3"/>
      <c r="C303" s="1"/>
      <c r="D303" s="11"/>
      <c r="E303" s="11"/>
      <c r="F303" s="11"/>
      <c r="G303" s="11"/>
      <c r="H303" s="11"/>
      <c r="I303" s="11"/>
      <c r="J303" s="6"/>
      <c r="K303" s="6"/>
      <c r="L303" s="102"/>
      <c r="M303" s="6"/>
      <c r="N303" s="22"/>
      <c r="O303" s="6"/>
      <c r="P303" s="6"/>
      <c r="Q303" s="6"/>
      <c r="R303" s="6"/>
      <c r="S303" s="6"/>
      <c r="T303" s="16"/>
      <c r="U303" s="16"/>
      <c r="V303" s="6"/>
      <c r="W303" s="6"/>
      <c r="X303" s="6"/>
    </row>
    <row r="304" spans="1:24" x14ac:dyDescent="0.25">
      <c r="A304" s="3"/>
      <c r="B304" s="3"/>
      <c r="C304" s="1"/>
      <c r="D304" s="11"/>
      <c r="E304" s="11"/>
      <c r="F304" s="11"/>
      <c r="G304" s="11"/>
      <c r="H304" s="11"/>
      <c r="I304" s="11"/>
      <c r="J304" s="6"/>
      <c r="K304" s="6"/>
      <c r="L304" s="102"/>
      <c r="M304" s="6"/>
      <c r="N304" s="22"/>
      <c r="O304" s="6"/>
      <c r="P304" s="6"/>
      <c r="Q304" s="6"/>
      <c r="R304" s="6"/>
      <c r="S304" s="6"/>
      <c r="T304" s="16"/>
      <c r="U304" s="16"/>
      <c r="V304" s="6"/>
      <c r="W304" s="6"/>
      <c r="X304" s="6"/>
    </row>
    <row r="305" spans="1:24" x14ac:dyDescent="0.25">
      <c r="A305" s="3"/>
      <c r="B305" s="3"/>
      <c r="C305" s="1"/>
      <c r="D305" s="11"/>
      <c r="E305" s="11"/>
      <c r="F305" s="11"/>
      <c r="G305" s="11"/>
      <c r="H305" s="11"/>
      <c r="I305" s="11"/>
      <c r="J305" s="6"/>
      <c r="K305" s="6"/>
      <c r="L305" s="102"/>
      <c r="M305" s="6"/>
      <c r="N305" s="22"/>
      <c r="O305" s="6"/>
      <c r="P305" s="6"/>
      <c r="Q305" s="6"/>
      <c r="R305" s="6"/>
      <c r="S305" s="6"/>
      <c r="T305" s="16"/>
      <c r="U305" s="16"/>
      <c r="V305" s="6"/>
      <c r="W305" s="6"/>
      <c r="X305" s="6"/>
    </row>
    <row r="306" spans="1:24" x14ac:dyDescent="0.25">
      <c r="A306" s="3"/>
      <c r="B306" s="3"/>
      <c r="C306" s="1"/>
      <c r="D306" s="11"/>
      <c r="E306" s="11"/>
      <c r="F306" s="11"/>
      <c r="G306" s="11"/>
      <c r="H306" s="11"/>
      <c r="I306" s="11"/>
      <c r="J306" s="6"/>
      <c r="K306" s="6"/>
      <c r="L306" s="102"/>
      <c r="M306" s="6"/>
      <c r="N306" s="22"/>
      <c r="O306" s="6"/>
      <c r="P306" s="6"/>
      <c r="Q306" s="6"/>
      <c r="R306" s="6"/>
      <c r="S306" s="6"/>
      <c r="T306" s="16"/>
      <c r="U306" s="16"/>
      <c r="V306" s="6"/>
      <c r="W306" s="6"/>
      <c r="X306" s="6"/>
    </row>
    <row r="307" spans="1:24" x14ac:dyDescent="0.25">
      <c r="A307" s="3"/>
      <c r="B307" s="3"/>
      <c r="C307" s="1"/>
      <c r="D307" s="11"/>
      <c r="E307" s="11"/>
      <c r="F307" s="11"/>
      <c r="G307" s="11"/>
      <c r="H307" s="11"/>
      <c r="I307" s="11"/>
      <c r="J307" s="6"/>
      <c r="K307" s="6"/>
      <c r="L307" s="102"/>
      <c r="M307" s="6"/>
      <c r="N307" s="22"/>
      <c r="O307" s="6"/>
      <c r="P307" s="6"/>
      <c r="Q307" s="6"/>
      <c r="R307" s="6"/>
      <c r="S307" s="6"/>
      <c r="T307" s="16"/>
      <c r="U307" s="16"/>
      <c r="V307" s="6"/>
      <c r="W307" s="6"/>
      <c r="X307" s="6"/>
    </row>
    <row r="308" spans="1:24" x14ac:dyDescent="0.25">
      <c r="A308" s="3"/>
      <c r="B308" s="3"/>
      <c r="C308" s="1"/>
      <c r="D308" s="11"/>
      <c r="E308" s="11"/>
      <c r="F308" s="11"/>
      <c r="G308" s="11"/>
      <c r="H308" s="11"/>
      <c r="I308" s="11"/>
      <c r="J308" s="6"/>
      <c r="K308" s="6"/>
      <c r="L308" s="102"/>
      <c r="M308" s="6"/>
      <c r="N308" s="22"/>
      <c r="O308" s="6"/>
      <c r="P308" s="6"/>
      <c r="Q308" s="6"/>
      <c r="R308" s="6"/>
      <c r="S308" s="6"/>
      <c r="T308" s="16"/>
      <c r="U308" s="16"/>
      <c r="V308" s="6"/>
      <c r="W308" s="6"/>
      <c r="X308" s="6"/>
    </row>
    <row r="309" spans="1:24" x14ac:dyDescent="0.25">
      <c r="A309" s="3"/>
      <c r="B309" s="3"/>
      <c r="C309" s="1"/>
      <c r="D309" s="11"/>
      <c r="E309" s="11"/>
      <c r="F309" s="11"/>
      <c r="G309" s="11"/>
      <c r="H309" s="11"/>
      <c r="I309" s="11"/>
      <c r="J309" s="6"/>
      <c r="K309" s="6"/>
      <c r="L309" s="102"/>
      <c r="M309" s="6"/>
      <c r="N309" s="22"/>
      <c r="O309" s="6"/>
      <c r="P309" s="6"/>
      <c r="Q309" s="6"/>
      <c r="R309" s="6"/>
      <c r="S309" s="6"/>
      <c r="T309" s="16"/>
      <c r="U309" s="16"/>
      <c r="V309" s="6"/>
      <c r="W309" s="6"/>
      <c r="X309" s="6"/>
    </row>
    <row r="310" spans="1:24" x14ac:dyDescent="0.25">
      <c r="A310" s="3"/>
      <c r="B310" s="3"/>
      <c r="C310" s="1"/>
      <c r="D310" s="11"/>
      <c r="E310" s="11"/>
      <c r="F310" s="11"/>
      <c r="G310" s="11"/>
      <c r="H310" s="11"/>
      <c r="I310" s="11"/>
      <c r="J310" s="6"/>
      <c r="K310" s="6"/>
      <c r="L310" s="102"/>
      <c r="M310" s="6"/>
      <c r="N310" s="22"/>
      <c r="O310" s="6"/>
      <c r="P310" s="6"/>
      <c r="Q310" s="6"/>
      <c r="R310" s="6"/>
      <c r="S310" s="6"/>
      <c r="T310" s="16"/>
      <c r="U310" s="16"/>
      <c r="V310" s="6"/>
      <c r="W310" s="6"/>
      <c r="X310" s="6"/>
    </row>
    <row r="311" spans="1:24" x14ac:dyDescent="0.25">
      <c r="A311" s="3"/>
      <c r="B311" s="3"/>
      <c r="C311" s="1"/>
      <c r="D311" s="11"/>
      <c r="E311" s="11"/>
      <c r="F311" s="11"/>
      <c r="G311" s="11"/>
      <c r="H311" s="11"/>
      <c r="I311" s="11"/>
      <c r="J311" s="6"/>
      <c r="K311" s="6"/>
      <c r="L311" s="102"/>
      <c r="M311" s="6"/>
      <c r="N311" s="22"/>
      <c r="O311" s="6"/>
      <c r="P311" s="6"/>
      <c r="Q311" s="6"/>
      <c r="R311" s="6"/>
      <c r="S311" s="6"/>
      <c r="T311" s="16"/>
      <c r="U311" s="16"/>
      <c r="V311" s="6"/>
      <c r="W311" s="6"/>
      <c r="X311" s="6"/>
    </row>
    <row r="312" spans="1:24" x14ac:dyDescent="0.25">
      <c r="A312" s="3"/>
      <c r="B312" s="3"/>
      <c r="C312" s="1"/>
      <c r="D312" s="11"/>
      <c r="E312" s="11"/>
      <c r="F312" s="11"/>
      <c r="G312" s="11"/>
      <c r="H312" s="11"/>
      <c r="I312" s="11"/>
      <c r="J312" s="6"/>
      <c r="K312" s="6"/>
      <c r="L312" s="102"/>
      <c r="M312" s="6"/>
      <c r="N312" s="22"/>
      <c r="O312" s="6"/>
      <c r="P312" s="6"/>
      <c r="Q312" s="6"/>
      <c r="R312" s="6"/>
      <c r="S312" s="6"/>
      <c r="T312" s="16"/>
      <c r="U312" s="16"/>
      <c r="V312" s="6"/>
      <c r="W312" s="6"/>
      <c r="X312" s="6"/>
    </row>
    <row r="313" spans="1:24" x14ac:dyDescent="0.25">
      <c r="A313" s="3"/>
      <c r="B313" s="3"/>
      <c r="C313" s="1"/>
      <c r="D313" s="11"/>
      <c r="E313" s="11"/>
      <c r="F313" s="11"/>
      <c r="G313" s="11"/>
      <c r="H313" s="11"/>
      <c r="I313" s="11"/>
      <c r="J313" s="6"/>
      <c r="K313" s="6"/>
      <c r="L313" s="102"/>
      <c r="M313" s="6"/>
      <c r="N313" s="22"/>
      <c r="O313" s="6"/>
      <c r="P313" s="6"/>
      <c r="Q313" s="6"/>
      <c r="R313" s="6"/>
      <c r="S313" s="6"/>
      <c r="T313" s="16"/>
      <c r="U313" s="16"/>
      <c r="V313" s="6"/>
      <c r="W313" s="6"/>
      <c r="X313" s="6"/>
    </row>
    <row r="314" spans="1:24" x14ac:dyDescent="0.25">
      <c r="A314" s="3"/>
      <c r="B314" s="3"/>
      <c r="C314" s="1"/>
      <c r="D314" s="11"/>
      <c r="E314" s="11"/>
      <c r="F314" s="11"/>
      <c r="G314" s="11"/>
      <c r="H314" s="11"/>
      <c r="I314" s="11"/>
      <c r="J314" s="6"/>
      <c r="K314" s="6"/>
      <c r="L314" s="102"/>
      <c r="M314" s="6"/>
      <c r="N314" s="22"/>
      <c r="O314" s="6"/>
      <c r="P314" s="6"/>
      <c r="Q314" s="6"/>
      <c r="R314" s="6"/>
      <c r="S314" s="6"/>
      <c r="T314" s="16"/>
      <c r="U314" s="16"/>
      <c r="V314" s="6"/>
      <c r="W314" s="6"/>
      <c r="X314" s="6"/>
    </row>
    <row r="315" spans="1:24" x14ac:dyDescent="0.25">
      <c r="A315" s="3"/>
      <c r="B315" s="3"/>
      <c r="C315" s="1"/>
      <c r="D315" s="11"/>
      <c r="E315" s="11"/>
      <c r="F315" s="11"/>
      <c r="G315" s="11"/>
      <c r="H315" s="11"/>
      <c r="I315" s="11"/>
      <c r="J315" s="6"/>
      <c r="K315" s="6"/>
      <c r="L315" s="102"/>
      <c r="M315" s="6"/>
      <c r="N315" s="22"/>
      <c r="O315" s="6"/>
      <c r="P315" s="6"/>
      <c r="Q315" s="6"/>
      <c r="R315" s="6"/>
      <c r="S315" s="6"/>
      <c r="T315" s="16"/>
      <c r="U315" s="16"/>
      <c r="V315" s="6"/>
      <c r="W315" s="6"/>
      <c r="X315" s="6"/>
    </row>
    <row r="316" spans="1:24" x14ac:dyDescent="0.25">
      <c r="A316" s="3"/>
      <c r="B316" s="3"/>
      <c r="C316" s="1"/>
      <c r="D316" s="11"/>
      <c r="E316" s="11"/>
      <c r="F316" s="11"/>
      <c r="G316" s="11"/>
      <c r="H316" s="11"/>
      <c r="I316" s="11"/>
      <c r="J316" s="6"/>
      <c r="K316" s="6"/>
      <c r="L316" s="102"/>
      <c r="M316" s="6"/>
      <c r="N316" s="22"/>
      <c r="O316" s="6"/>
      <c r="P316" s="6"/>
      <c r="Q316" s="6"/>
      <c r="R316" s="6"/>
      <c r="S316" s="6"/>
      <c r="T316" s="16"/>
      <c r="U316" s="16"/>
      <c r="V316" s="6"/>
      <c r="W316" s="6"/>
      <c r="X316" s="6"/>
    </row>
    <row r="317" spans="1:24" x14ac:dyDescent="0.25">
      <c r="A317" s="3"/>
      <c r="B317" s="3"/>
      <c r="C317" s="1"/>
      <c r="D317" s="11"/>
      <c r="E317" s="11"/>
      <c r="F317" s="11"/>
      <c r="G317" s="11"/>
      <c r="H317" s="11"/>
      <c r="I317" s="11"/>
      <c r="J317" s="6"/>
      <c r="K317" s="6"/>
      <c r="L317" s="102"/>
      <c r="M317" s="6"/>
      <c r="N317" s="22"/>
      <c r="O317" s="6"/>
      <c r="P317" s="6"/>
      <c r="Q317" s="6"/>
      <c r="R317" s="6"/>
      <c r="S317" s="6"/>
      <c r="T317" s="16"/>
      <c r="U317" s="16"/>
      <c r="V317" s="6"/>
      <c r="W317" s="6"/>
      <c r="X317" s="6"/>
    </row>
    <row r="318" spans="1:24" x14ac:dyDescent="0.25">
      <c r="A318" s="3"/>
      <c r="B318" s="3"/>
      <c r="C318" s="1"/>
      <c r="D318" s="11"/>
      <c r="E318" s="11"/>
      <c r="F318" s="11"/>
      <c r="G318" s="11"/>
      <c r="H318" s="11"/>
      <c r="I318" s="11"/>
      <c r="J318" s="6"/>
      <c r="K318" s="6"/>
      <c r="L318" s="102"/>
      <c r="M318" s="6"/>
      <c r="N318" s="22"/>
      <c r="O318" s="6"/>
      <c r="P318" s="6"/>
      <c r="Q318" s="6"/>
      <c r="R318" s="6"/>
      <c r="S318" s="6"/>
      <c r="T318" s="16"/>
      <c r="U318" s="16"/>
      <c r="V318" s="6"/>
      <c r="W318" s="6"/>
      <c r="X318" s="6"/>
    </row>
    <row r="319" spans="1:24" x14ac:dyDescent="0.25">
      <c r="A319" s="3"/>
      <c r="B319" s="3"/>
      <c r="C319" s="1"/>
      <c r="D319" s="11"/>
      <c r="E319" s="11"/>
      <c r="F319" s="11"/>
      <c r="G319" s="11"/>
      <c r="H319" s="11"/>
      <c r="I319" s="11"/>
      <c r="J319" s="6"/>
      <c r="K319" s="6"/>
      <c r="L319" s="102"/>
      <c r="M319" s="6"/>
      <c r="N319" s="22"/>
      <c r="O319" s="6"/>
      <c r="P319" s="6"/>
      <c r="Q319" s="6"/>
      <c r="R319" s="6"/>
      <c r="S319" s="6"/>
      <c r="T319" s="16"/>
      <c r="U319" s="16"/>
      <c r="V319" s="6"/>
      <c r="W319" s="6"/>
      <c r="X319" s="6"/>
    </row>
    <row r="320" spans="1:24" x14ac:dyDescent="0.25">
      <c r="A320" s="3"/>
      <c r="B320" s="3"/>
      <c r="C320" s="1"/>
      <c r="D320" s="11"/>
      <c r="E320" s="11"/>
      <c r="F320" s="11"/>
      <c r="G320" s="11"/>
      <c r="H320" s="11"/>
      <c r="I320" s="11"/>
      <c r="J320" s="6"/>
      <c r="K320" s="6"/>
      <c r="L320" s="102"/>
      <c r="M320" s="6"/>
      <c r="N320" s="22"/>
      <c r="O320" s="6"/>
      <c r="P320" s="6"/>
      <c r="Q320" s="6"/>
      <c r="R320" s="6"/>
      <c r="S320" s="6"/>
      <c r="T320" s="16"/>
      <c r="U320" s="16"/>
      <c r="V320" s="6"/>
      <c r="W320" s="6"/>
      <c r="X320" s="6"/>
    </row>
    <row r="321" spans="1:24" x14ac:dyDescent="0.25">
      <c r="A321" s="3"/>
      <c r="B321" s="3"/>
      <c r="C321" s="1"/>
      <c r="D321" s="11"/>
      <c r="E321" s="11"/>
      <c r="F321" s="11"/>
      <c r="G321" s="11"/>
      <c r="H321" s="11"/>
      <c r="I321" s="11"/>
      <c r="J321" s="6"/>
      <c r="K321" s="6"/>
      <c r="L321" s="102"/>
      <c r="M321" s="6"/>
      <c r="N321" s="22"/>
      <c r="O321" s="6"/>
      <c r="P321" s="6"/>
      <c r="Q321" s="6"/>
      <c r="R321" s="6"/>
      <c r="S321" s="6"/>
      <c r="T321" s="16"/>
      <c r="U321" s="16"/>
      <c r="V321" s="6"/>
      <c r="W321" s="6"/>
      <c r="X321" s="6"/>
    </row>
    <row r="322" spans="1:24" x14ac:dyDescent="0.25">
      <c r="A322" s="3"/>
      <c r="B322" s="3"/>
      <c r="C322" s="1"/>
      <c r="D322" s="11"/>
      <c r="E322" s="11"/>
      <c r="F322" s="11"/>
      <c r="G322" s="11"/>
      <c r="H322" s="11"/>
      <c r="I322" s="11"/>
      <c r="J322" s="6"/>
      <c r="K322" s="6"/>
      <c r="L322" s="102"/>
      <c r="M322" s="6"/>
      <c r="N322" s="22"/>
      <c r="O322" s="6"/>
      <c r="P322" s="6"/>
      <c r="Q322" s="6"/>
      <c r="R322" s="6"/>
      <c r="S322" s="6"/>
      <c r="T322" s="16"/>
      <c r="U322" s="16"/>
      <c r="V322" s="6"/>
      <c r="W322" s="6"/>
      <c r="X322" s="6"/>
    </row>
    <row r="323" spans="1:24" x14ac:dyDescent="0.25">
      <c r="A323" s="3"/>
      <c r="B323" s="3"/>
      <c r="C323" s="1"/>
      <c r="D323" s="11"/>
      <c r="E323" s="11"/>
      <c r="F323" s="11"/>
      <c r="G323" s="11"/>
      <c r="H323" s="11"/>
      <c r="I323" s="11"/>
      <c r="J323" s="6"/>
      <c r="K323" s="6"/>
      <c r="L323" s="102"/>
      <c r="M323" s="6"/>
      <c r="N323" s="22"/>
      <c r="O323" s="6"/>
      <c r="P323" s="6"/>
      <c r="Q323" s="6"/>
      <c r="R323" s="6"/>
      <c r="S323" s="6"/>
      <c r="T323" s="16"/>
      <c r="U323" s="16"/>
      <c r="V323" s="6"/>
      <c r="W323" s="6"/>
      <c r="X323" s="6"/>
    </row>
    <row r="324" spans="1:24" x14ac:dyDescent="0.25">
      <c r="A324" s="3"/>
      <c r="B324" s="3"/>
      <c r="C324" s="1"/>
      <c r="D324" s="11"/>
      <c r="E324" s="11"/>
      <c r="F324" s="11"/>
      <c r="G324" s="11"/>
      <c r="H324" s="11"/>
      <c r="I324" s="11"/>
      <c r="J324" s="6"/>
      <c r="K324" s="6"/>
      <c r="L324" s="102"/>
      <c r="M324" s="6"/>
      <c r="N324" s="22"/>
      <c r="O324" s="6"/>
      <c r="P324" s="6"/>
      <c r="Q324" s="6"/>
      <c r="R324" s="6"/>
      <c r="S324" s="6"/>
      <c r="T324" s="16"/>
      <c r="U324" s="16"/>
      <c r="V324" s="6"/>
      <c r="W324" s="6"/>
      <c r="X324" s="6"/>
    </row>
    <row r="325" spans="1:24" x14ac:dyDescent="0.25">
      <c r="A325" s="3"/>
      <c r="B325" s="3"/>
      <c r="C325" s="1"/>
      <c r="D325" s="11"/>
      <c r="E325" s="11"/>
      <c r="F325" s="11"/>
      <c r="G325" s="11"/>
      <c r="H325" s="11"/>
      <c r="I325" s="11"/>
      <c r="J325" s="6"/>
      <c r="K325" s="6"/>
      <c r="L325" s="102"/>
      <c r="M325" s="6"/>
      <c r="N325" s="22"/>
      <c r="O325" s="6"/>
      <c r="P325" s="6"/>
      <c r="Q325" s="6"/>
      <c r="R325" s="6"/>
      <c r="S325" s="6"/>
      <c r="T325" s="16"/>
      <c r="U325" s="16"/>
      <c r="V325" s="6"/>
      <c r="W325" s="6"/>
      <c r="X325" s="6"/>
    </row>
    <row r="326" spans="1:24" x14ac:dyDescent="0.25">
      <c r="A326" s="3"/>
      <c r="B326" s="3"/>
      <c r="C326" s="1"/>
      <c r="D326" s="11"/>
      <c r="E326" s="11"/>
      <c r="F326" s="11"/>
      <c r="G326" s="11"/>
      <c r="H326" s="11"/>
      <c r="I326" s="11"/>
      <c r="J326" s="6"/>
      <c r="K326" s="6"/>
      <c r="L326" s="102"/>
      <c r="M326" s="6"/>
      <c r="N326" s="22"/>
      <c r="O326" s="6"/>
      <c r="P326" s="6"/>
      <c r="Q326" s="6"/>
      <c r="R326" s="6"/>
      <c r="S326" s="6"/>
      <c r="T326" s="16"/>
      <c r="U326" s="16"/>
      <c r="V326" s="6"/>
      <c r="W326" s="6"/>
      <c r="X326" s="6"/>
    </row>
    <row r="327" spans="1:24" x14ac:dyDescent="0.25">
      <c r="A327" s="3"/>
      <c r="B327" s="3"/>
      <c r="C327" s="1"/>
      <c r="D327" s="11"/>
      <c r="E327" s="11"/>
      <c r="F327" s="11"/>
      <c r="G327" s="11"/>
      <c r="H327" s="11"/>
      <c r="I327" s="11"/>
      <c r="J327" s="6"/>
      <c r="K327" s="6"/>
      <c r="L327" s="102"/>
      <c r="M327" s="6"/>
      <c r="N327" s="22"/>
      <c r="O327" s="6"/>
      <c r="P327" s="6"/>
      <c r="Q327" s="6"/>
      <c r="R327" s="6"/>
      <c r="S327" s="6"/>
      <c r="T327" s="16"/>
      <c r="U327" s="16"/>
      <c r="V327" s="6"/>
      <c r="W327" s="6"/>
      <c r="X327" s="6"/>
    </row>
    <row r="328" spans="1:24" x14ac:dyDescent="0.25">
      <c r="A328" s="3"/>
      <c r="B328" s="3"/>
      <c r="C328" s="1"/>
      <c r="D328" s="11"/>
      <c r="E328" s="11"/>
      <c r="F328" s="11"/>
      <c r="G328" s="11"/>
      <c r="H328" s="11"/>
      <c r="I328" s="11"/>
      <c r="J328" s="6"/>
      <c r="K328" s="6"/>
      <c r="L328" s="102"/>
      <c r="M328" s="6"/>
      <c r="N328" s="22"/>
      <c r="O328" s="6"/>
      <c r="P328" s="6"/>
      <c r="Q328" s="6"/>
      <c r="R328" s="6"/>
      <c r="S328" s="6"/>
      <c r="T328" s="16"/>
      <c r="U328" s="16"/>
      <c r="V328" s="6"/>
      <c r="W328" s="6"/>
      <c r="X328" s="6"/>
    </row>
    <row r="329" spans="1:24" x14ac:dyDescent="0.25">
      <c r="A329" s="3"/>
      <c r="B329" s="3"/>
      <c r="C329" s="1"/>
      <c r="D329" s="11"/>
      <c r="E329" s="11"/>
      <c r="F329" s="11"/>
      <c r="G329" s="11"/>
      <c r="H329" s="11"/>
      <c r="I329" s="11"/>
      <c r="J329" s="6"/>
      <c r="K329" s="6"/>
      <c r="L329" s="102"/>
      <c r="M329" s="6"/>
      <c r="N329" s="22"/>
      <c r="O329" s="6"/>
      <c r="P329" s="6"/>
      <c r="Q329" s="6"/>
      <c r="R329" s="6"/>
      <c r="S329" s="6"/>
      <c r="T329" s="16"/>
      <c r="U329" s="16"/>
      <c r="V329" s="6"/>
      <c r="W329" s="6"/>
      <c r="X329" s="6"/>
    </row>
    <row r="330" spans="1:24" x14ac:dyDescent="0.25">
      <c r="A330" s="3"/>
      <c r="B330" s="3"/>
      <c r="C330" s="1"/>
      <c r="D330" s="11"/>
      <c r="E330" s="11"/>
      <c r="F330" s="11"/>
      <c r="G330" s="11"/>
      <c r="H330" s="11"/>
      <c r="I330" s="11"/>
      <c r="J330" s="6"/>
      <c r="K330" s="6"/>
      <c r="L330" s="102"/>
      <c r="M330" s="6"/>
      <c r="N330" s="22"/>
      <c r="O330" s="6"/>
      <c r="P330" s="6"/>
      <c r="Q330" s="6"/>
      <c r="R330" s="6"/>
      <c r="S330" s="6"/>
      <c r="T330" s="16"/>
      <c r="U330" s="16"/>
      <c r="V330" s="6"/>
      <c r="W330" s="6"/>
      <c r="X330" s="6"/>
    </row>
    <row r="331" spans="1:24" x14ac:dyDescent="0.25">
      <c r="A331" s="3"/>
      <c r="B331" s="3"/>
      <c r="C331" s="1"/>
      <c r="D331" s="11"/>
      <c r="E331" s="11"/>
      <c r="F331" s="11"/>
      <c r="G331" s="11"/>
      <c r="H331" s="11"/>
      <c r="I331" s="11"/>
      <c r="J331" s="6"/>
      <c r="K331" s="6"/>
      <c r="L331" s="102"/>
      <c r="M331" s="6"/>
      <c r="N331" s="22"/>
      <c r="O331" s="6"/>
      <c r="P331" s="6"/>
      <c r="Q331" s="6"/>
      <c r="R331" s="6"/>
      <c r="S331" s="6"/>
      <c r="T331" s="16"/>
      <c r="U331" s="16"/>
      <c r="V331" s="6"/>
      <c r="W331" s="6"/>
      <c r="X331" s="6"/>
    </row>
    <row r="332" spans="1:24" x14ac:dyDescent="0.25">
      <c r="A332" s="3"/>
      <c r="B332" s="3"/>
      <c r="C332" s="1"/>
      <c r="D332" s="11"/>
      <c r="E332" s="11"/>
      <c r="F332" s="11"/>
      <c r="G332" s="11"/>
      <c r="H332" s="11"/>
      <c r="I332" s="11"/>
      <c r="J332" s="6"/>
      <c r="K332" s="6"/>
      <c r="L332" s="102"/>
      <c r="M332" s="6"/>
      <c r="N332" s="22"/>
      <c r="O332" s="6"/>
      <c r="P332" s="6"/>
      <c r="Q332" s="6"/>
      <c r="R332" s="6"/>
      <c r="S332" s="6"/>
      <c r="T332" s="16"/>
      <c r="U332" s="16"/>
      <c r="V332" s="6"/>
      <c r="W332" s="6"/>
      <c r="X332" s="6"/>
    </row>
    <row r="333" spans="1:24" x14ac:dyDescent="0.25">
      <c r="A333" s="3"/>
      <c r="B333" s="3"/>
      <c r="C333" s="1"/>
      <c r="D333" s="11"/>
      <c r="E333" s="11"/>
      <c r="F333" s="11"/>
      <c r="G333" s="11"/>
      <c r="H333" s="11"/>
      <c r="I333" s="11"/>
      <c r="J333" s="6"/>
      <c r="K333" s="6"/>
      <c r="L333" s="102"/>
      <c r="M333" s="6"/>
      <c r="N333" s="22"/>
      <c r="O333" s="6"/>
      <c r="P333" s="6"/>
      <c r="Q333" s="6"/>
      <c r="R333" s="6"/>
      <c r="S333" s="6"/>
      <c r="T333" s="16"/>
      <c r="U333" s="16"/>
      <c r="V333" s="6"/>
      <c r="W333" s="6"/>
      <c r="X333" s="6"/>
    </row>
    <row r="334" spans="1:24" x14ac:dyDescent="0.25">
      <c r="A334" s="3"/>
      <c r="B334" s="3"/>
      <c r="C334" s="1"/>
      <c r="D334" s="11"/>
      <c r="E334" s="11"/>
      <c r="F334" s="11"/>
      <c r="G334" s="11"/>
      <c r="H334" s="11"/>
      <c r="I334" s="11"/>
      <c r="J334" s="6"/>
      <c r="K334" s="6"/>
      <c r="L334" s="102"/>
      <c r="M334" s="6"/>
      <c r="N334" s="22"/>
      <c r="O334" s="6"/>
      <c r="P334" s="6"/>
      <c r="Q334" s="6"/>
      <c r="R334" s="6"/>
      <c r="S334" s="6"/>
      <c r="T334" s="16"/>
      <c r="U334" s="16"/>
      <c r="V334" s="6"/>
      <c r="W334" s="6"/>
      <c r="X334" s="6"/>
    </row>
    <row r="335" spans="1:24" x14ac:dyDescent="0.25">
      <c r="A335" s="3"/>
      <c r="B335" s="3"/>
      <c r="C335" s="1"/>
      <c r="D335" s="11"/>
      <c r="E335" s="11"/>
      <c r="F335" s="11"/>
      <c r="G335" s="11"/>
      <c r="H335" s="11"/>
      <c r="I335" s="11"/>
      <c r="J335" s="6"/>
      <c r="K335" s="6"/>
      <c r="L335" s="102"/>
      <c r="M335" s="6"/>
      <c r="N335" s="22"/>
      <c r="O335" s="6"/>
      <c r="P335" s="6"/>
      <c r="Q335" s="6"/>
      <c r="R335" s="6"/>
      <c r="S335" s="6"/>
      <c r="T335" s="16"/>
      <c r="U335" s="16"/>
      <c r="V335" s="6"/>
      <c r="W335" s="6"/>
      <c r="X335" s="6"/>
    </row>
    <row r="336" spans="1:24" x14ac:dyDescent="0.25">
      <c r="A336" s="3"/>
      <c r="B336" s="3"/>
      <c r="C336" s="1"/>
      <c r="D336" s="11"/>
      <c r="E336" s="11"/>
      <c r="F336" s="11"/>
      <c r="G336" s="11"/>
      <c r="H336" s="11"/>
      <c r="I336" s="11"/>
      <c r="J336" s="6"/>
      <c r="K336" s="6"/>
      <c r="L336" s="102"/>
      <c r="M336" s="6"/>
      <c r="N336" s="22"/>
      <c r="O336" s="6"/>
      <c r="P336" s="6"/>
      <c r="Q336" s="6"/>
      <c r="R336" s="6"/>
      <c r="S336" s="6"/>
      <c r="T336" s="16"/>
      <c r="U336" s="16"/>
      <c r="V336" s="6"/>
      <c r="W336" s="6"/>
      <c r="X336" s="6"/>
    </row>
    <row r="337" spans="1:24" x14ac:dyDescent="0.25">
      <c r="A337" s="3"/>
      <c r="B337" s="3"/>
      <c r="C337" s="1"/>
      <c r="D337" s="11"/>
      <c r="E337" s="11"/>
      <c r="F337" s="11"/>
      <c r="G337" s="11"/>
      <c r="H337" s="11"/>
      <c r="I337" s="11"/>
      <c r="J337" s="6"/>
      <c r="K337" s="6"/>
      <c r="L337" s="102"/>
      <c r="M337" s="6"/>
      <c r="N337" s="22"/>
      <c r="O337" s="6"/>
      <c r="P337" s="6"/>
      <c r="Q337" s="6"/>
      <c r="R337" s="6"/>
      <c r="S337" s="6"/>
      <c r="T337" s="16"/>
      <c r="U337" s="16"/>
      <c r="V337" s="6"/>
      <c r="W337" s="6"/>
      <c r="X337" s="6"/>
    </row>
    <row r="338" spans="1:24" x14ac:dyDescent="0.25">
      <c r="A338" s="3"/>
      <c r="B338" s="3"/>
      <c r="C338" s="1"/>
      <c r="D338" s="11"/>
      <c r="E338" s="11"/>
      <c r="F338" s="11"/>
      <c r="G338" s="11"/>
      <c r="H338" s="11"/>
      <c r="I338" s="11"/>
      <c r="J338" s="6"/>
      <c r="K338" s="6"/>
      <c r="L338" s="102"/>
      <c r="M338" s="6"/>
      <c r="N338" s="22"/>
      <c r="O338" s="6"/>
      <c r="P338" s="6"/>
      <c r="Q338" s="6"/>
      <c r="R338" s="6"/>
      <c r="S338" s="6"/>
      <c r="T338" s="16"/>
      <c r="U338" s="16"/>
      <c r="V338" s="6"/>
      <c r="W338" s="6"/>
      <c r="X338" s="6"/>
    </row>
    <row r="339" spans="1:24" x14ac:dyDescent="0.25">
      <c r="A339" s="3"/>
      <c r="B339" s="3"/>
      <c r="C339" s="1"/>
      <c r="D339" s="11"/>
      <c r="E339" s="11"/>
      <c r="F339" s="11"/>
      <c r="G339" s="11"/>
      <c r="H339" s="11"/>
      <c r="I339" s="11"/>
      <c r="J339" s="6"/>
      <c r="K339" s="6"/>
      <c r="L339" s="102"/>
      <c r="M339" s="6"/>
      <c r="N339" s="22"/>
      <c r="O339" s="6"/>
      <c r="P339" s="6"/>
      <c r="Q339" s="6"/>
      <c r="R339" s="6"/>
      <c r="S339" s="6"/>
      <c r="T339" s="16"/>
      <c r="U339" s="16"/>
      <c r="V339" s="6"/>
      <c r="W339" s="6"/>
      <c r="X339" s="6"/>
    </row>
    <row r="340" spans="1:24" x14ac:dyDescent="0.25">
      <c r="A340" s="3"/>
      <c r="B340" s="3"/>
      <c r="C340" s="1"/>
      <c r="D340" s="11"/>
      <c r="E340" s="11"/>
      <c r="F340" s="11"/>
      <c r="G340" s="11"/>
      <c r="H340" s="11"/>
      <c r="I340" s="11"/>
      <c r="J340" s="6"/>
      <c r="K340" s="6"/>
      <c r="L340" s="102"/>
      <c r="M340" s="6"/>
      <c r="N340" s="22"/>
      <c r="O340" s="6"/>
      <c r="P340" s="6"/>
      <c r="Q340" s="6"/>
      <c r="R340" s="6"/>
      <c r="S340" s="6"/>
      <c r="T340" s="16"/>
      <c r="U340" s="16"/>
      <c r="V340" s="6"/>
      <c r="W340" s="6"/>
      <c r="X340" s="6"/>
    </row>
    <row r="341" spans="1:24" x14ac:dyDescent="0.25">
      <c r="A341" s="3"/>
      <c r="B341" s="3"/>
      <c r="C341" s="1"/>
      <c r="D341" s="11"/>
      <c r="E341" s="11"/>
      <c r="F341" s="11"/>
      <c r="G341" s="11"/>
      <c r="H341" s="11"/>
      <c r="I341" s="11"/>
      <c r="J341" s="6"/>
      <c r="K341" s="6"/>
      <c r="L341" s="102"/>
      <c r="M341" s="6"/>
      <c r="N341" s="22"/>
      <c r="O341" s="6"/>
      <c r="P341" s="6"/>
      <c r="Q341" s="6"/>
      <c r="R341" s="6"/>
      <c r="S341" s="6"/>
      <c r="T341" s="16"/>
      <c r="U341" s="16"/>
      <c r="V341" s="6"/>
      <c r="W341" s="6"/>
      <c r="X341" s="6"/>
    </row>
    <row r="342" spans="1:24" x14ac:dyDescent="0.25">
      <c r="A342" s="3"/>
      <c r="B342" s="3"/>
      <c r="C342" s="1"/>
      <c r="D342" s="11"/>
      <c r="E342" s="11"/>
      <c r="F342" s="11"/>
      <c r="G342" s="11"/>
      <c r="H342" s="11"/>
      <c r="I342" s="11"/>
      <c r="J342" s="6"/>
      <c r="K342" s="6"/>
      <c r="L342" s="102"/>
      <c r="M342" s="6"/>
      <c r="N342" s="22"/>
      <c r="O342" s="6"/>
      <c r="P342" s="6"/>
      <c r="Q342" s="6"/>
      <c r="R342" s="6"/>
      <c r="S342" s="6"/>
      <c r="T342" s="16"/>
      <c r="U342" s="16"/>
      <c r="V342" s="6"/>
      <c r="W342" s="6"/>
      <c r="X342" s="6"/>
    </row>
    <row r="343" spans="1:24" x14ac:dyDescent="0.25">
      <c r="A343" s="3"/>
      <c r="B343" s="3"/>
      <c r="C343" s="1"/>
      <c r="D343" s="11"/>
      <c r="E343" s="11"/>
      <c r="F343" s="11"/>
      <c r="G343" s="11"/>
      <c r="H343" s="11"/>
      <c r="I343" s="11"/>
      <c r="J343" s="6"/>
      <c r="K343" s="6"/>
      <c r="L343" s="102"/>
      <c r="M343" s="6"/>
      <c r="N343" s="22"/>
      <c r="O343" s="6"/>
      <c r="P343" s="6"/>
      <c r="Q343" s="6"/>
      <c r="R343" s="6"/>
      <c r="S343" s="6"/>
      <c r="T343" s="16"/>
      <c r="U343" s="16"/>
      <c r="V343" s="6"/>
      <c r="W343" s="6"/>
      <c r="X343" s="6"/>
    </row>
    <row r="344" spans="1:24" x14ac:dyDescent="0.25">
      <c r="A344" s="3"/>
      <c r="B344" s="3"/>
      <c r="C344" s="1"/>
      <c r="D344" s="11"/>
      <c r="E344" s="11"/>
      <c r="F344" s="11"/>
      <c r="G344" s="11"/>
      <c r="H344" s="11"/>
      <c r="I344" s="11"/>
      <c r="J344" s="6"/>
      <c r="K344" s="6"/>
      <c r="L344" s="102"/>
      <c r="M344" s="6"/>
      <c r="N344" s="22"/>
      <c r="O344" s="6"/>
      <c r="P344" s="6"/>
      <c r="Q344" s="6"/>
      <c r="R344" s="6"/>
      <c r="S344" s="6"/>
      <c r="T344" s="16"/>
      <c r="U344" s="16"/>
      <c r="V344" s="6"/>
      <c r="W344" s="6"/>
      <c r="X344" s="6"/>
    </row>
    <row r="345" spans="1:24" x14ac:dyDescent="0.25">
      <c r="A345" s="3"/>
      <c r="B345" s="3"/>
      <c r="C345" s="1"/>
      <c r="D345" s="11"/>
      <c r="E345" s="11"/>
      <c r="F345" s="11"/>
      <c r="G345" s="11"/>
      <c r="H345" s="11"/>
      <c r="I345" s="11"/>
      <c r="J345" s="6"/>
      <c r="K345" s="6"/>
      <c r="L345" s="102"/>
      <c r="M345" s="6"/>
      <c r="N345" s="22"/>
      <c r="O345" s="6"/>
      <c r="P345" s="6"/>
      <c r="Q345" s="6"/>
      <c r="R345" s="6"/>
      <c r="S345" s="6"/>
      <c r="T345" s="16"/>
      <c r="U345" s="16"/>
      <c r="V345" s="6"/>
      <c r="W345" s="6"/>
      <c r="X345" s="6"/>
    </row>
    <row r="346" spans="1:24" x14ac:dyDescent="0.25">
      <c r="A346" s="3"/>
      <c r="B346" s="3"/>
      <c r="C346" s="1"/>
      <c r="D346" s="11"/>
      <c r="E346" s="11"/>
      <c r="F346" s="11"/>
      <c r="G346" s="11"/>
      <c r="H346" s="11"/>
      <c r="I346" s="11"/>
      <c r="J346" s="6"/>
      <c r="K346" s="6"/>
      <c r="L346" s="102"/>
      <c r="M346" s="6"/>
      <c r="N346" s="22"/>
      <c r="O346" s="6"/>
      <c r="P346" s="6"/>
      <c r="Q346" s="6"/>
      <c r="R346" s="6"/>
      <c r="S346" s="6"/>
      <c r="T346" s="16"/>
      <c r="U346" s="16"/>
      <c r="V346" s="6"/>
      <c r="W346" s="6"/>
      <c r="X346" s="6"/>
    </row>
    <row r="347" spans="1:24" x14ac:dyDescent="0.25">
      <c r="A347" s="3"/>
      <c r="B347" s="3"/>
      <c r="C347" s="1"/>
      <c r="D347" s="11"/>
      <c r="E347" s="11"/>
      <c r="F347" s="11"/>
      <c r="G347" s="11"/>
      <c r="H347" s="11"/>
      <c r="I347" s="11"/>
      <c r="J347" s="6"/>
      <c r="K347" s="6"/>
      <c r="L347" s="102"/>
      <c r="M347" s="6"/>
      <c r="N347" s="22"/>
      <c r="O347" s="6"/>
      <c r="P347" s="6"/>
      <c r="Q347" s="6"/>
      <c r="R347" s="6"/>
      <c r="S347" s="6"/>
      <c r="T347" s="16"/>
      <c r="U347" s="16"/>
      <c r="V347" s="6"/>
      <c r="W347" s="6"/>
      <c r="X347" s="6"/>
    </row>
    <row r="348" spans="1:24" x14ac:dyDescent="0.25">
      <c r="A348" s="3"/>
      <c r="B348" s="3"/>
      <c r="C348" s="1"/>
      <c r="D348" s="11"/>
      <c r="E348" s="11"/>
      <c r="F348" s="11"/>
      <c r="G348" s="11"/>
      <c r="H348" s="11"/>
      <c r="I348" s="11"/>
      <c r="J348" s="6"/>
      <c r="K348" s="6"/>
      <c r="L348" s="102"/>
      <c r="M348" s="6"/>
      <c r="N348" s="22"/>
      <c r="O348" s="6"/>
      <c r="P348" s="6"/>
      <c r="Q348" s="6"/>
      <c r="R348" s="6"/>
      <c r="S348" s="6"/>
      <c r="T348" s="16"/>
      <c r="U348" s="16"/>
      <c r="V348" s="6"/>
      <c r="W348" s="6"/>
      <c r="X348" s="6"/>
    </row>
    <row r="349" spans="1:24" x14ac:dyDescent="0.25">
      <c r="A349" s="3"/>
      <c r="B349" s="3"/>
      <c r="C349" s="1"/>
      <c r="D349" s="11"/>
      <c r="E349" s="11"/>
      <c r="F349" s="11"/>
      <c r="G349" s="11"/>
      <c r="H349" s="11"/>
      <c r="I349" s="11"/>
      <c r="J349" s="6"/>
      <c r="K349" s="6"/>
      <c r="L349" s="102"/>
      <c r="M349" s="6"/>
      <c r="N349" s="22"/>
      <c r="O349" s="6"/>
      <c r="P349" s="6"/>
      <c r="Q349" s="6"/>
      <c r="R349" s="6"/>
      <c r="S349" s="6"/>
      <c r="T349" s="16"/>
      <c r="U349" s="16"/>
      <c r="V349" s="6"/>
      <c r="W349" s="6"/>
      <c r="X349" s="6"/>
    </row>
    <row r="350" spans="1:24" x14ac:dyDescent="0.25">
      <c r="A350" s="3"/>
      <c r="B350" s="3"/>
      <c r="C350" s="1"/>
      <c r="D350" s="11"/>
      <c r="E350" s="11"/>
      <c r="F350" s="11"/>
      <c r="G350" s="11"/>
      <c r="H350" s="11"/>
      <c r="I350" s="11"/>
      <c r="J350" s="6"/>
      <c r="K350" s="6"/>
      <c r="L350" s="102"/>
      <c r="M350" s="6"/>
      <c r="N350" s="22"/>
      <c r="O350" s="6"/>
      <c r="P350" s="6"/>
      <c r="Q350" s="6"/>
      <c r="R350" s="6"/>
      <c r="S350" s="6"/>
      <c r="T350" s="16"/>
      <c r="U350" s="16"/>
      <c r="V350" s="6"/>
      <c r="W350" s="6"/>
      <c r="X350" s="6"/>
    </row>
    <row r="351" spans="1:24" x14ac:dyDescent="0.25">
      <c r="A351" s="3"/>
      <c r="B351" s="3"/>
      <c r="C351" s="1"/>
      <c r="D351" s="11"/>
      <c r="E351" s="11"/>
      <c r="F351" s="11"/>
      <c r="G351" s="11"/>
      <c r="H351" s="11"/>
      <c r="I351" s="11"/>
      <c r="J351" s="6"/>
      <c r="K351" s="6"/>
      <c r="L351" s="102"/>
      <c r="M351" s="6"/>
      <c r="N351" s="22"/>
      <c r="O351" s="6"/>
      <c r="P351" s="6"/>
      <c r="Q351" s="6"/>
      <c r="R351" s="6"/>
      <c r="S351" s="6"/>
      <c r="T351" s="16"/>
      <c r="U351" s="16"/>
      <c r="V351" s="6"/>
      <c r="W351" s="6"/>
      <c r="X351" s="6"/>
    </row>
    <row r="352" spans="1:24" x14ac:dyDescent="0.25">
      <c r="A352" s="3"/>
      <c r="B352" s="3"/>
      <c r="C352" s="1"/>
      <c r="D352" s="11"/>
      <c r="E352" s="11"/>
      <c r="F352" s="11"/>
      <c r="G352" s="11"/>
      <c r="H352" s="11"/>
      <c r="I352" s="11"/>
      <c r="J352" s="6"/>
      <c r="K352" s="6"/>
      <c r="L352" s="102"/>
      <c r="M352" s="6"/>
      <c r="N352" s="22"/>
      <c r="O352" s="6"/>
      <c r="P352" s="6"/>
      <c r="Q352" s="6"/>
      <c r="R352" s="6"/>
      <c r="S352" s="6"/>
      <c r="T352" s="16"/>
      <c r="U352" s="16"/>
      <c r="V352" s="6"/>
      <c r="W352" s="6"/>
      <c r="X352" s="6"/>
    </row>
    <row r="353" spans="1:24" x14ac:dyDescent="0.25">
      <c r="A353" s="3"/>
      <c r="B353" s="3"/>
      <c r="C353" s="1"/>
      <c r="D353" s="11"/>
      <c r="E353" s="11"/>
      <c r="F353" s="11"/>
      <c r="G353" s="11"/>
      <c r="H353" s="11"/>
      <c r="I353" s="11"/>
      <c r="J353" s="6"/>
      <c r="K353" s="6"/>
      <c r="L353" s="102"/>
      <c r="M353" s="6"/>
      <c r="N353" s="22"/>
      <c r="O353" s="6"/>
      <c r="P353" s="6"/>
      <c r="Q353" s="6"/>
      <c r="R353" s="6"/>
      <c r="S353" s="6"/>
      <c r="T353" s="16"/>
      <c r="U353" s="16"/>
      <c r="V353" s="6"/>
      <c r="W353" s="6"/>
      <c r="X353" s="6"/>
    </row>
    <row r="354" spans="1:24" x14ac:dyDescent="0.25">
      <c r="A354" s="3"/>
      <c r="B354" s="3"/>
      <c r="C354" s="1"/>
      <c r="D354" s="11"/>
      <c r="E354" s="11"/>
      <c r="F354" s="11"/>
      <c r="G354" s="11"/>
      <c r="H354" s="11"/>
      <c r="I354" s="11"/>
      <c r="J354" s="6"/>
      <c r="K354" s="6"/>
      <c r="L354" s="102"/>
      <c r="M354" s="6"/>
      <c r="N354" s="22"/>
      <c r="O354" s="6"/>
      <c r="P354" s="6"/>
      <c r="Q354" s="6"/>
      <c r="R354" s="6"/>
      <c r="S354" s="6"/>
      <c r="T354" s="16"/>
      <c r="U354" s="16"/>
      <c r="V354" s="6"/>
      <c r="W354" s="6"/>
      <c r="X354" s="6"/>
    </row>
    <row r="355" spans="1:24" x14ac:dyDescent="0.25">
      <c r="A355" s="3"/>
      <c r="B355" s="3"/>
      <c r="C355" s="1"/>
      <c r="D355" s="11"/>
      <c r="E355" s="11"/>
      <c r="F355" s="11"/>
      <c r="G355" s="11"/>
      <c r="H355" s="11"/>
      <c r="I355" s="11"/>
      <c r="J355" s="6"/>
      <c r="K355" s="6"/>
      <c r="L355" s="102"/>
      <c r="M355" s="6"/>
      <c r="N355" s="22"/>
      <c r="O355" s="6"/>
      <c r="P355" s="6"/>
      <c r="Q355" s="6"/>
      <c r="R355" s="6"/>
      <c r="S355" s="6"/>
      <c r="T355" s="16"/>
      <c r="U355" s="16"/>
      <c r="V355" s="6"/>
      <c r="W355" s="6"/>
      <c r="X355" s="6"/>
    </row>
    <row r="356" spans="1:24" x14ac:dyDescent="0.25">
      <c r="A356" s="3"/>
      <c r="B356" s="3"/>
      <c r="C356" s="1"/>
      <c r="D356" s="11"/>
      <c r="E356" s="11"/>
      <c r="F356" s="11"/>
      <c r="G356" s="11"/>
      <c r="H356" s="11"/>
      <c r="I356" s="11"/>
      <c r="J356" s="6"/>
      <c r="K356" s="6"/>
      <c r="L356" s="102"/>
      <c r="M356" s="6"/>
      <c r="N356" s="22"/>
      <c r="O356" s="6"/>
      <c r="P356" s="6"/>
      <c r="Q356" s="6"/>
      <c r="R356" s="6"/>
      <c r="S356" s="6"/>
      <c r="T356" s="16"/>
      <c r="U356" s="16"/>
      <c r="V356" s="6"/>
      <c r="W356" s="6"/>
      <c r="X356" s="6"/>
    </row>
    <row r="357" spans="1:24" x14ac:dyDescent="0.25">
      <c r="A357" s="3"/>
      <c r="B357" s="3"/>
      <c r="C357" s="1"/>
      <c r="D357" s="11"/>
      <c r="E357" s="11"/>
      <c r="F357" s="11"/>
      <c r="G357" s="11"/>
      <c r="H357" s="11"/>
      <c r="I357" s="11"/>
      <c r="J357" s="6"/>
      <c r="K357" s="6"/>
      <c r="L357" s="102"/>
      <c r="M357" s="6"/>
      <c r="N357" s="22"/>
      <c r="O357" s="6"/>
      <c r="P357" s="6"/>
      <c r="Q357" s="6"/>
      <c r="R357" s="6"/>
      <c r="S357" s="6"/>
      <c r="T357" s="16"/>
      <c r="U357" s="16"/>
      <c r="V357" s="6"/>
      <c r="W357" s="6"/>
      <c r="X357" s="6"/>
    </row>
    <row r="358" spans="1:24" x14ac:dyDescent="0.25">
      <c r="A358" s="3"/>
      <c r="B358" s="3"/>
      <c r="C358" s="1"/>
      <c r="D358" s="11"/>
      <c r="E358" s="11"/>
      <c r="F358" s="11"/>
      <c r="G358" s="11"/>
      <c r="H358" s="11"/>
      <c r="I358" s="11"/>
      <c r="J358" s="6"/>
      <c r="K358" s="6"/>
      <c r="L358" s="102"/>
      <c r="M358" s="6"/>
      <c r="N358" s="22"/>
      <c r="O358" s="6"/>
      <c r="P358" s="6"/>
      <c r="Q358" s="6"/>
      <c r="R358" s="6"/>
      <c r="S358" s="6"/>
      <c r="T358" s="16"/>
      <c r="U358" s="16"/>
      <c r="V358" s="6"/>
      <c r="W358" s="6"/>
      <c r="X358" s="6"/>
    </row>
    <row r="359" spans="1:24" x14ac:dyDescent="0.25">
      <c r="A359" s="3"/>
      <c r="B359" s="3"/>
      <c r="C359" s="1"/>
      <c r="D359" s="11"/>
      <c r="E359" s="11"/>
      <c r="F359" s="11"/>
      <c r="G359" s="11"/>
      <c r="H359" s="11"/>
      <c r="I359" s="11"/>
      <c r="J359" s="6"/>
      <c r="K359" s="6"/>
      <c r="L359" s="102"/>
      <c r="M359" s="6"/>
      <c r="N359" s="22"/>
      <c r="O359" s="6"/>
      <c r="P359" s="6"/>
      <c r="Q359" s="6"/>
      <c r="R359" s="6"/>
      <c r="S359" s="6"/>
      <c r="T359" s="16"/>
      <c r="U359" s="16"/>
      <c r="V359" s="6"/>
      <c r="W359" s="6"/>
      <c r="X359" s="6"/>
    </row>
    <row r="360" spans="1:24" x14ac:dyDescent="0.25">
      <c r="A360" s="3"/>
      <c r="B360" s="3"/>
      <c r="C360" s="1"/>
      <c r="D360" s="11"/>
      <c r="E360" s="11"/>
      <c r="F360" s="11"/>
      <c r="G360" s="11"/>
      <c r="H360" s="11"/>
      <c r="I360" s="11"/>
      <c r="J360" s="6"/>
      <c r="K360" s="6"/>
      <c r="L360" s="102"/>
      <c r="M360" s="6"/>
      <c r="N360" s="22"/>
      <c r="O360" s="6"/>
      <c r="P360" s="6"/>
      <c r="Q360" s="6"/>
      <c r="R360" s="6"/>
      <c r="S360" s="6"/>
      <c r="T360" s="16"/>
      <c r="U360" s="16"/>
      <c r="V360" s="6"/>
      <c r="W360" s="6"/>
      <c r="X360" s="6"/>
    </row>
    <row r="361" spans="1:24" x14ac:dyDescent="0.25">
      <c r="C361" s="1"/>
      <c r="D361" s="11"/>
      <c r="E361" s="11"/>
      <c r="F361" s="11"/>
      <c r="G361" s="11"/>
      <c r="H361" s="11"/>
      <c r="I361" s="11"/>
      <c r="J361" s="6"/>
      <c r="K361" s="6"/>
      <c r="L361" s="102"/>
      <c r="M361" s="6"/>
      <c r="N361" s="22"/>
      <c r="O361" s="6"/>
      <c r="P361" s="6"/>
      <c r="Q361" s="6"/>
      <c r="R361" s="6"/>
      <c r="S361" s="6"/>
      <c r="T361" s="16"/>
      <c r="U361" s="16"/>
      <c r="V361" s="6"/>
      <c r="W361" s="6"/>
      <c r="X361" s="6"/>
    </row>
    <row r="362" spans="1:24" x14ac:dyDescent="0.25">
      <c r="C362" s="1"/>
      <c r="D362" s="11"/>
      <c r="E362" s="11"/>
      <c r="F362" s="11"/>
      <c r="G362" s="11"/>
      <c r="H362" s="11"/>
      <c r="I362" s="11"/>
      <c r="J362" s="6"/>
      <c r="K362" s="6"/>
      <c r="L362" s="102"/>
      <c r="M362" s="6"/>
      <c r="N362" s="22"/>
      <c r="O362" s="6"/>
      <c r="P362" s="6"/>
      <c r="Q362" s="6"/>
      <c r="R362" s="6"/>
      <c r="S362" s="6"/>
      <c r="T362" s="16"/>
      <c r="U362" s="16"/>
      <c r="V362" s="6"/>
      <c r="W362" s="6"/>
      <c r="X362" s="6"/>
    </row>
    <row r="363" spans="1:24" x14ac:dyDescent="0.25">
      <c r="C363" s="1"/>
      <c r="D363" s="11"/>
      <c r="E363" s="11"/>
      <c r="F363" s="11"/>
      <c r="G363" s="11"/>
      <c r="H363" s="11"/>
      <c r="I363" s="11"/>
      <c r="J363" s="6"/>
      <c r="K363" s="6"/>
      <c r="L363" s="102"/>
      <c r="M363" s="6"/>
      <c r="N363" s="22"/>
      <c r="O363" s="6"/>
      <c r="P363" s="6"/>
      <c r="Q363" s="6"/>
      <c r="R363" s="6"/>
      <c r="S363" s="6"/>
      <c r="T363" s="16"/>
      <c r="U363" s="16"/>
      <c r="V363" s="6"/>
      <c r="W363" s="6"/>
      <c r="X363" s="6"/>
    </row>
    <row r="364" spans="1:24" x14ac:dyDescent="0.25">
      <c r="C364" s="1"/>
      <c r="D364" s="11"/>
      <c r="E364" s="11"/>
      <c r="F364" s="11"/>
      <c r="G364" s="11"/>
      <c r="H364" s="11"/>
      <c r="I364" s="11"/>
      <c r="J364" s="6"/>
      <c r="K364" s="6"/>
      <c r="L364" s="102"/>
      <c r="M364" s="6"/>
      <c r="N364" s="22"/>
      <c r="O364" s="6"/>
      <c r="P364" s="6"/>
      <c r="Q364" s="6"/>
      <c r="R364" s="6"/>
      <c r="S364" s="6"/>
      <c r="T364" s="16"/>
      <c r="U364" s="16"/>
      <c r="V364" s="6"/>
      <c r="W364" s="6"/>
      <c r="X364" s="6"/>
    </row>
    <row r="365" spans="1:24" x14ac:dyDescent="0.25">
      <c r="C365" s="1"/>
      <c r="D365" s="11"/>
      <c r="E365" s="11"/>
      <c r="F365" s="11"/>
      <c r="G365" s="11"/>
      <c r="H365" s="11"/>
      <c r="I365" s="11"/>
      <c r="J365" s="6"/>
      <c r="K365" s="6"/>
      <c r="L365" s="102"/>
      <c r="M365" s="6"/>
      <c r="N365" s="22"/>
      <c r="O365" s="6"/>
      <c r="P365" s="6"/>
      <c r="Q365" s="6"/>
      <c r="R365" s="6"/>
      <c r="S365" s="6"/>
      <c r="T365" s="16"/>
      <c r="U365" s="16"/>
      <c r="V365" s="6"/>
      <c r="W365" s="6"/>
      <c r="X365" s="6"/>
    </row>
    <row r="366" spans="1:24" x14ac:dyDescent="0.25">
      <c r="C366" s="1"/>
      <c r="D366" s="11"/>
      <c r="E366" s="11"/>
      <c r="F366" s="11"/>
      <c r="G366" s="11"/>
      <c r="H366" s="11"/>
      <c r="I366" s="11"/>
      <c r="J366" s="6"/>
      <c r="K366" s="6"/>
      <c r="L366" s="102"/>
      <c r="M366" s="6"/>
      <c r="N366" s="22"/>
      <c r="O366" s="6"/>
      <c r="P366" s="6"/>
      <c r="Q366" s="6"/>
      <c r="R366" s="6"/>
      <c r="S366" s="6"/>
      <c r="T366" s="16"/>
      <c r="U366" s="16"/>
      <c r="V366" s="6"/>
      <c r="W366" s="6"/>
      <c r="X366" s="6"/>
    </row>
    <row r="367" spans="1:24" x14ac:dyDescent="0.25">
      <c r="C367" s="1"/>
      <c r="D367" s="11"/>
      <c r="E367" s="11"/>
      <c r="F367" s="11"/>
      <c r="G367" s="11"/>
      <c r="H367" s="11"/>
      <c r="I367" s="11"/>
      <c r="J367" s="6"/>
      <c r="K367" s="6"/>
      <c r="L367" s="102"/>
      <c r="M367" s="6"/>
      <c r="N367" s="22"/>
      <c r="O367" s="6"/>
      <c r="P367" s="6"/>
      <c r="Q367" s="6"/>
      <c r="R367" s="6"/>
      <c r="S367" s="6"/>
      <c r="T367" s="16"/>
      <c r="U367" s="16"/>
      <c r="V367" s="6"/>
      <c r="W367" s="6"/>
      <c r="X367" s="6"/>
    </row>
    <row r="368" spans="1:24" x14ac:dyDescent="0.25">
      <c r="C368" s="1"/>
      <c r="D368" s="11"/>
      <c r="E368" s="11"/>
      <c r="F368" s="11"/>
      <c r="G368" s="11"/>
      <c r="H368" s="11"/>
      <c r="I368" s="11"/>
      <c r="J368" s="6"/>
      <c r="K368" s="6"/>
      <c r="L368" s="102"/>
      <c r="M368" s="6"/>
      <c r="N368" s="22"/>
      <c r="O368" s="6"/>
      <c r="P368" s="6"/>
      <c r="Q368" s="6"/>
      <c r="R368" s="6"/>
      <c r="S368" s="6"/>
      <c r="T368" s="16"/>
      <c r="U368" s="16"/>
      <c r="V368" s="6"/>
      <c r="W368" s="6"/>
      <c r="X368" s="6"/>
    </row>
    <row r="369" spans="3:24" x14ac:dyDescent="0.25">
      <c r="C369" s="1"/>
      <c r="D369" s="11"/>
      <c r="E369" s="11"/>
      <c r="F369" s="11"/>
      <c r="G369" s="11"/>
      <c r="H369" s="11"/>
      <c r="I369" s="11"/>
      <c r="J369" s="6"/>
      <c r="K369" s="6"/>
      <c r="L369" s="102"/>
      <c r="M369" s="6"/>
      <c r="N369" s="22"/>
      <c r="O369" s="6"/>
      <c r="P369" s="6"/>
      <c r="Q369" s="6"/>
      <c r="R369" s="6"/>
      <c r="S369" s="6"/>
      <c r="T369" s="16"/>
      <c r="U369" s="16"/>
      <c r="V369" s="6"/>
      <c r="W369" s="6"/>
      <c r="X369" s="6"/>
    </row>
    <row r="370" spans="3:24" x14ac:dyDescent="0.25">
      <c r="C370" s="1"/>
      <c r="D370" s="11"/>
      <c r="E370" s="11"/>
      <c r="F370" s="11"/>
      <c r="G370" s="11"/>
      <c r="H370" s="11"/>
      <c r="I370" s="11"/>
      <c r="J370" s="6"/>
      <c r="K370" s="6"/>
      <c r="L370" s="102"/>
      <c r="M370" s="6"/>
      <c r="N370" s="22"/>
      <c r="O370" s="6"/>
      <c r="P370" s="6"/>
      <c r="Q370" s="6"/>
      <c r="R370" s="6"/>
      <c r="S370" s="6"/>
      <c r="T370" s="16"/>
      <c r="U370" s="16"/>
      <c r="V370" s="6"/>
      <c r="W370" s="6"/>
      <c r="X370" s="6"/>
    </row>
    <row r="371" spans="3:24" x14ac:dyDescent="0.25">
      <c r="C371" s="1"/>
      <c r="D371" s="11"/>
      <c r="E371" s="11"/>
      <c r="F371" s="11"/>
      <c r="G371" s="11"/>
      <c r="H371" s="11"/>
      <c r="I371" s="11"/>
      <c r="J371" s="6"/>
      <c r="K371" s="6"/>
      <c r="L371" s="102"/>
      <c r="M371" s="6"/>
      <c r="N371" s="22"/>
      <c r="O371" s="6"/>
      <c r="P371" s="6"/>
      <c r="Q371" s="6"/>
      <c r="R371" s="6"/>
      <c r="S371" s="6"/>
      <c r="T371" s="16"/>
      <c r="U371" s="16"/>
      <c r="V371" s="6"/>
      <c r="W371" s="6"/>
      <c r="X371" s="6"/>
    </row>
    <row r="372" spans="3:24" x14ac:dyDescent="0.25">
      <c r="C372" s="1"/>
      <c r="D372" s="11"/>
      <c r="E372" s="11"/>
      <c r="F372" s="11"/>
      <c r="G372" s="11"/>
      <c r="H372" s="11"/>
      <c r="I372" s="11"/>
      <c r="J372" s="6"/>
      <c r="K372" s="6"/>
      <c r="L372" s="102"/>
      <c r="M372" s="6"/>
      <c r="N372" s="22"/>
      <c r="O372" s="6"/>
      <c r="P372" s="6"/>
      <c r="Q372" s="6"/>
      <c r="R372" s="6"/>
      <c r="S372" s="6"/>
      <c r="T372" s="16"/>
      <c r="U372" s="16"/>
      <c r="V372" s="6"/>
      <c r="W372" s="6"/>
      <c r="X372" s="6"/>
    </row>
    <row r="373" spans="3:24" x14ac:dyDescent="0.25">
      <c r="C373" s="1"/>
      <c r="D373" s="11"/>
      <c r="E373" s="11"/>
      <c r="F373" s="11"/>
      <c r="G373" s="11"/>
      <c r="H373" s="11"/>
      <c r="I373" s="11"/>
      <c r="J373" s="6"/>
      <c r="K373" s="6"/>
      <c r="L373" s="102"/>
      <c r="M373" s="6"/>
      <c r="N373" s="22"/>
      <c r="O373" s="6"/>
      <c r="P373" s="6"/>
      <c r="Q373" s="6"/>
      <c r="R373" s="6"/>
      <c r="S373" s="6"/>
      <c r="T373" s="16"/>
      <c r="U373" s="16"/>
      <c r="V373" s="6"/>
      <c r="W373" s="6"/>
      <c r="X373" s="6"/>
    </row>
    <row r="374" spans="3:24" x14ac:dyDescent="0.25">
      <c r="C374" s="1"/>
      <c r="D374" s="11"/>
      <c r="E374" s="11"/>
      <c r="F374" s="11"/>
      <c r="G374" s="11"/>
      <c r="H374" s="11"/>
      <c r="I374" s="11"/>
      <c r="J374" s="6"/>
      <c r="K374" s="6"/>
      <c r="L374" s="102"/>
      <c r="M374" s="6"/>
      <c r="N374" s="22"/>
      <c r="O374" s="6"/>
      <c r="P374" s="6"/>
      <c r="Q374" s="6"/>
      <c r="R374" s="6"/>
      <c r="S374" s="6"/>
      <c r="T374" s="16"/>
      <c r="U374" s="16"/>
      <c r="V374" s="6"/>
      <c r="W374" s="6"/>
      <c r="X374" s="6"/>
    </row>
    <row r="375" spans="3:24" x14ac:dyDescent="0.25">
      <c r="C375" s="1"/>
      <c r="D375" s="11"/>
      <c r="E375" s="11"/>
      <c r="F375" s="11"/>
      <c r="G375" s="11"/>
      <c r="H375" s="11"/>
      <c r="I375" s="11"/>
      <c r="J375" s="6"/>
      <c r="K375" s="6"/>
      <c r="L375" s="102"/>
      <c r="M375" s="6"/>
      <c r="N375" s="22"/>
      <c r="O375" s="6"/>
      <c r="P375" s="6"/>
      <c r="Q375" s="6"/>
      <c r="R375" s="6"/>
      <c r="S375" s="6"/>
      <c r="T375" s="16"/>
      <c r="U375" s="16"/>
      <c r="V375" s="6"/>
      <c r="W375" s="6"/>
      <c r="X375" s="6"/>
    </row>
    <row r="376" spans="3:24" x14ac:dyDescent="0.25">
      <c r="C376" s="1"/>
      <c r="D376" s="11"/>
      <c r="E376" s="11"/>
      <c r="F376" s="11"/>
      <c r="G376" s="11"/>
      <c r="H376" s="11"/>
      <c r="I376" s="11"/>
      <c r="J376" s="6"/>
      <c r="K376" s="6"/>
      <c r="L376" s="102"/>
      <c r="M376" s="6"/>
      <c r="N376" s="22"/>
      <c r="O376" s="6"/>
      <c r="P376" s="6"/>
      <c r="Q376" s="6"/>
      <c r="R376" s="6"/>
      <c r="S376" s="6"/>
      <c r="T376" s="16"/>
      <c r="U376" s="16"/>
      <c r="V376" s="6"/>
      <c r="W376" s="6"/>
      <c r="X376" s="6"/>
    </row>
    <row r="377" spans="3:24" x14ac:dyDescent="0.25">
      <c r="C377" s="1"/>
      <c r="D377" s="11"/>
      <c r="E377" s="11"/>
      <c r="F377" s="11"/>
      <c r="G377" s="11"/>
      <c r="H377" s="11"/>
      <c r="I377" s="11"/>
      <c r="J377" s="6"/>
      <c r="K377" s="6"/>
      <c r="L377" s="102"/>
      <c r="M377" s="6"/>
      <c r="N377" s="22"/>
      <c r="O377" s="6"/>
      <c r="P377" s="6"/>
      <c r="Q377" s="6"/>
      <c r="R377" s="6"/>
      <c r="S377" s="6"/>
      <c r="T377" s="16"/>
      <c r="U377" s="16"/>
      <c r="V377" s="6"/>
      <c r="W377" s="6"/>
      <c r="X377" s="6"/>
    </row>
    <row r="378" spans="3:24" x14ac:dyDescent="0.25">
      <c r="C378" s="1"/>
      <c r="D378" s="11"/>
      <c r="E378" s="11"/>
      <c r="F378" s="11"/>
      <c r="G378" s="11"/>
      <c r="H378" s="11"/>
      <c r="I378" s="11"/>
      <c r="J378" s="6"/>
      <c r="K378" s="6"/>
      <c r="L378" s="102"/>
      <c r="M378" s="6"/>
      <c r="N378" s="22"/>
      <c r="O378" s="6"/>
      <c r="P378" s="6"/>
      <c r="Q378" s="6"/>
      <c r="R378" s="6"/>
      <c r="S378" s="6"/>
      <c r="T378" s="16"/>
      <c r="U378" s="16"/>
      <c r="V378" s="6"/>
      <c r="W378" s="6"/>
      <c r="X378" s="6"/>
    </row>
    <row r="379" spans="3:24" x14ac:dyDescent="0.25">
      <c r="C379" s="1"/>
      <c r="D379" s="11"/>
      <c r="E379" s="11"/>
      <c r="F379" s="11"/>
      <c r="G379" s="11"/>
      <c r="H379" s="11"/>
      <c r="I379" s="11"/>
      <c r="J379" s="6"/>
      <c r="K379" s="6"/>
      <c r="L379" s="102"/>
      <c r="M379" s="6"/>
      <c r="N379" s="22"/>
      <c r="O379" s="6"/>
      <c r="P379" s="6"/>
      <c r="Q379" s="6"/>
      <c r="R379" s="6"/>
      <c r="S379" s="6"/>
      <c r="T379" s="16"/>
      <c r="U379" s="16"/>
      <c r="V379" s="6"/>
      <c r="W379" s="6"/>
      <c r="X379" s="6"/>
    </row>
    <row r="380" spans="3:24" x14ac:dyDescent="0.25">
      <c r="C380" s="1"/>
      <c r="D380" s="11"/>
      <c r="E380" s="11"/>
      <c r="F380" s="11"/>
      <c r="G380" s="11"/>
      <c r="H380" s="11"/>
      <c r="I380" s="11"/>
      <c r="J380" s="6"/>
      <c r="K380" s="6"/>
      <c r="L380" s="102"/>
      <c r="M380" s="6"/>
      <c r="N380" s="22"/>
      <c r="O380" s="6"/>
      <c r="P380" s="6"/>
      <c r="Q380" s="6"/>
      <c r="R380" s="6"/>
      <c r="S380" s="6"/>
      <c r="T380" s="16"/>
      <c r="U380" s="16"/>
      <c r="V380" s="6"/>
      <c r="W380" s="6"/>
      <c r="X380" s="6"/>
    </row>
    <row r="381" spans="3:24" x14ac:dyDescent="0.25">
      <c r="C381" s="1"/>
      <c r="D381" s="11"/>
      <c r="E381" s="11"/>
      <c r="F381" s="11"/>
      <c r="G381" s="11"/>
      <c r="H381" s="11"/>
      <c r="I381" s="11"/>
      <c r="J381" s="6"/>
      <c r="K381" s="6"/>
      <c r="L381" s="102"/>
      <c r="M381" s="6"/>
      <c r="N381" s="22"/>
      <c r="O381" s="6"/>
      <c r="P381" s="6"/>
      <c r="Q381" s="6"/>
      <c r="R381" s="6"/>
      <c r="S381" s="6"/>
      <c r="T381" s="16"/>
      <c r="U381" s="16"/>
      <c r="V381" s="6"/>
      <c r="W381" s="6"/>
      <c r="X381" s="6"/>
    </row>
    <row r="382" spans="3:24" x14ac:dyDescent="0.25">
      <c r="C382" s="1"/>
      <c r="D382" s="11"/>
      <c r="E382" s="11"/>
      <c r="F382" s="11"/>
      <c r="G382" s="11"/>
      <c r="H382" s="11"/>
      <c r="I382" s="11"/>
      <c r="J382" s="6"/>
      <c r="K382" s="6"/>
      <c r="L382" s="102"/>
      <c r="M382" s="6"/>
      <c r="N382" s="22"/>
      <c r="O382" s="6"/>
      <c r="P382" s="6"/>
      <c r="Q382" s="6"/>
      <c r="R382" s="6"/>
      <c r="S382" s="6"/>
      <c r="T382" s="16"/>
      <c r="U382" s="16"/>
      <c r="V382" s="6"/>
      <c r="W382" s="6"/>
      <c r="X382" s="6"/>
    </row>
    <row r="383" spans="3:24" x14ac:dyDescent="0.25">
      <c r="C383" s="1"/>
      <c r="D383" s="11"/>
      <c r="E383" s="11"/>
      <c r="F383" s="11"/>
      <c r="G383" s="11"/>
      <c r="H383" s="11"/>
      <c r="I383" s="11"/>
      <c r="J383" s="6"/>
      <c r="K383" s="6"/>
      <c r="L383" s="102"/>
      <c r="M383" s="6"/>
      <c r="N383" s="22"/>
      <c r="O383" s="6"/>
      <c r="P383" s="6"/>
      <c r="Q383" s="6"/>
      <c r="R383" s="6"/>
      <c r="S383" s="6"/>
      <c r="T383" s="16"/>
      <c r="U383" s="16"/>
      <c r="V383" s="6"/>
      <c r="W383" s="6"/>
      <c r="X383" s="6"/>
    </row>
    <row r="384" spans="3:24" x14ac:dyDescent="0.25">
      <c r="C384" s="1"/>
      <c r="D384" s="11"/>
      <c r="E384" s="11"/>
      <c r="F384" s="11"/>
      <c r="G384" s="11"/>
      <c r="H384" s="11"/>
      <c r="I384" s="11"/>
      <c r="J384" s="6"/>
      <c r="K384" s="6"/>
      <c r="L384" s="102"/>
      <c r="M384" s="6"/>
      <c r="N384" s="22"/>
      <c r="O384" s="6"/>
      <c r="P384" s="6"/>
      <c r="Q384" s="6"/>
      <c r="R384" s="6"/>
      <c r="S384" s="6"/>
      <c r="T384" s="16"/>
      <c r="U384" s="16"/>
      <c r="V384" s="6"/>
      <c r="W384" s="6"/>
      <c r="X384" s="6"/>
    </row>
    <row r="385" spans="3:24" x14ac:dyDescent="0.25">
      <c r="C385" s="1"/>
      <c r="D385" s="11"/>
      <c r="E385" s="11"/>
      <c r="F385" s="11"/>
      <c r="G385" s="11"/>
      <c r="H385" s="11"/>
      <c r="I385" s="11"/>
      <c r="J385" s="6"/>
      <c r="K385" s="6"/>
      <c r="L385" s="102"/>
      <c r="M385" s="6"/>
      <c r="N385" s="22"/>
      <c r="O385" s="6"/>
      <c r="P385" s="6"/>
      <c r="Q385" s="6"/>
      <c r="R385" s="6"/>
      <c r="S385" s="6"/>
      <c r="T385" s="16"/>
      <c r="U385" s="16"/>
      <c r="V385" s="6"/>
      <c r="W385" s="6"/>
      <c r="X385" s="6"/>
    </row>
    <row r="386" spans="3:24" x14ac:dyDescent="0.25">
      <c r="C386" s="1"/>
      <c r="D386" s="11"/>
      <c r="E386" s="11"/>
      <c r="F386" s="11"/>
      <c r="G386" s="11"/>
      <c r="H386" s="11"/>
      <c r="I386" s="11"/>
      <c r="J386" s="6"/>
      <c r="K386" s="6"/>
      <c r="L386" s="102"/>
      <c r="M386" s="6"/>
      <c r="N386" s="22"/>
      <c r="O386" s="6"/>
      <c r="P386" s="6"/>
      <c r="Q386" s="6"/>
      <c r="R386" s="6"/>
      <c r="S386" s="6"/>
      <c r="T386" s="16"/>
      <c r="U386" s="16"/>
      <c r="V386" s="6"/>
      <c r="W386" s="6"/>
      <c r="X386" s="6"/>
    </row>
    <row r="387" spans="3:24" x14ac:dyDescent="0.25">
      <c r="C387" s="1"/>
      <c r="D387" s="11"/>
      <c r="E387" s="11"/>
      <c r="F387" s="11"/>
      <c r="G387" s="11"/>
      <c r="H387" s="11"/>
      <c r="I387" s="11"/>
      <c r="J387" s="6"/>
      <c r="K387" s="6"/>
      <c r="L387" s="102"/>
      <c r="M387" s="6"/>
      <c r="N387" s="22"/>
      <c r="O387" s="6"/>
      <c r="P387" s="6"/>
      <c r="Q387" s="6"/>
      <c r="R387" s="6"/>
      <c r="S387" s="6"/>
      <c r="T387" s="16"/>
      <c r="U387" s="16"/>
      <c r="V387" s="6"/>
      <c r="W387" s="6"/>
      <c r="X387" s="6"/>
    </row>
    <row r="388" spans="3:24" x14ac:dyDescent="0.25">
      <c r="C388" s="1"/>
      <c r="D388" s="11"/>
      <c r="E388" s="11"/>
      <c r="F388" s="11"/>
      <c r="G388" s="11"/>
      <c r="H388" s="11"/>
      <c r="I388" s="11"/>
      <c r="J388" s="6"/>
      <c r="K388" s="6"/>
      <c r="L388" s="102"/>
      <c r="M388" s="6"/>
      <c r="N388" s="22"/>
      <c r="O388" s="6"/>
      <c r="P388" s="6"/>
      <c r="Q388" s="6"/>
      <c r="R388" s="6"/>
      <c r="S388" s="6"/>
      <c r="T388" s="16"/>
      <c r="U388" s="16"/>
      <c r="V388" s="6"/>
      <c r="W388" s="6"/>
      <c r="X388" s="6"/>
    </row>
    <row r="389" spans="3:24" x14ac:dyDescent="0.25">
      <c r="C389" s="1"/>
      <c r="D389" s="11"/>
      <c r="E389" s="11"/>
      <c r="F389" s="11"/>
      <c r="G389" s="11"/>
      <c r="H389" s="11"/>
      <c r="I389" s="11"/>
      <c r="J389" s="6"/>
      <c r="K389" s="6"/>
      <c r="L389" s="102"/>
      <c r="M389" s="6"/>
      <c r="N389" s="22"/>
      <c r="O389" s="6"/>
      <c r="P389" s="6"/>
      <c r="Q389" s="6"/>
      <c r="R389" s="6"/>
      <c r="S389" s="6"/>
      <c r="T389" s="16"/>
      <c r="U389" s="16"/>
      <c r="V389" s="6"/>
      <c r="W389" s="6"/>
      <c r="X389" s="6"/>
    </row>
    <row r="390" spans="3:24" x14ac:dyDescent="0.25">
      <c r="C390" s="1"/>
      <c r="D390" s="11"/>
      <c r="E390" s="11"/>
      <c r="F390" s="11"/>
      <c r="G390" s="11"/>
      <c r="H390" s="11"/>
      <c r="I390" s="11"/>
      <c r="J390" s="6"/>
      <c r="K390" s="6"/>
      <c r="L390" s="102"/>
      <c r="M390" s="6"/>
      <c r="N390" s="22"/>
      <c r="O390" s="6"/>
      <c r="P390" s="6"/>
      <c r="Q390" s="6"/>
      <c r="R390" s="6"/>
      <c r="S390" s="6"/>
      <c r="T390" s="16"/>
      <c r="U390" s="16"/>
      <c r="V390" s="6"/>
      <c r="W390" s="6"/>
      <c r="X390" s="6"/>
    </row>
    <row r="391" spans="3:24" x14ac:dyDescent="0.25">
      <c r="C391" s="1"/>
      <c r="D391" s="11"/>
      <c r="E391" s="11"/>
      <c r="F391" s="11"/>
      <c r="G391" s="11"/>
      <c r="H391" s="11"/>
      <c r="I391" s="11"/>
      <c r="J391" s="6"/>
      <c r="K391" s="6"/>
      <c r="L391" s="102"/>
      <c r="M391" s="6"/>
      <c r="N391" s="22"/>
      <c r="O391" s="6"/>
      <c r="P391" s="6"/>
      <c r="Q391" s="6"/>
      <c r="R391" s="6"/>
      <c r="S391" s="6"/>
      <c r="T391" s="16"/>
      <c r="U391" s="16"/>
      <c r="V391" s="6"/>
      <c r="W391" s="6"/>
      <c r="X391" s="6"/>
    </row>
    <row r="392" spans="3:24" x14ac:dyDescent="0.25">
      <c r="C392" s="1"/>
      <c r="D392" s="11"/>
      <c r="E392" s="11"/>
      <c r="F392" s="11"/>
      <c r="G392" s="11"/>
      <c r="H392" s="11"/>
      <c r="I392" s="11"/>
      <c r="J392" s="6"/>
      <c r="K392" s="6"/>
      <c r="L392" s="102"/>
      <c r="M392" s="6"/>
      <c r="N392" s="22"/>
      <c r="O392" s="6"/>
      <c r="P392" s="6"/>
      <c r="Q392" s="6"/>
      <c r="R392" s="6"/>
      <c r="S392" s="6"/>
      <c r="T392" s="16"/>
      <c r="U392" s="16"/>
      <c r="V392" s="6"/>
      <c r="W392" s="6"/>
      <c r="X392" s="6"/>
    </row>
    <row r="393" spans="3:24" x14ac:dyDescent="0.25">
      <c r="C393" s="1"/>
      <c r="D393" s="11"/>
      <c r="E393" s="11"/>
      <c r="F393" s="11"/>
      <c r="G393" s="11"/>
      <c r="H393" s="11"/>
      <c r="I393" s="11"/>
      <c r="J393" s="6"/>
      <c r="K393" s="6"/>
      <c r="L393" s="102"/>
      <c r="M393" s="6"/>
      <c r="N393" s="22"/>
      <c r="O393" s="6"/>
      <c r="P393" s="6"/>
      <c r="Q393" s="6"/>
      <c r="R393" s="6"/>
      <c r="S393" s="6"/>
      <c r="T393" s="16"/>
      <c r="U393" s="16"/>
      <c r="V393" s="6"/>
      <c r="W393" s="6"/>
      <c r="X393" s="6"/>
    </row>
    <row r="394" spans="3:24" x14ac:dyDescent="0.25">
      <c r="C394" s="1"/>
      <c r="D394" s="11"/>
      <c r="E394" s="11"/>
      <c r="F394" s="11"/>
      <c r="G394" s="11"/>
      <c r="H394" s="11"/>
      <c r="I394" s="11"/>
      <c r="J394" s="6"/>
      <c r="K394" s="6"/>
      <c r="L394" s="102"/>
      <c r="M394" s="6"/>
      <c r="N394" s="22"/>
      <c r="O394" s="6"/>
      <c r="P394" s="6"/>
      <c r="Q394" s="6"/>
      <c r="R394" s="6"/>
      <c r="S394" s="6"/>
      <c r="T394" s="16"/>
      <c r="U394" s="16"/>
      <c r="V394" s="6"/>
      <c r="W394" s="6"/>
      <c r="X394" s="6"/>
    </row>
    <row r="395" spans="3:24" x14ac:dyDescent="0.25">
      <c r="C395" s="1"/>
      <c r="D395" s="11"/>
      <c r="E395" s="11"/>
      <c r="F395" s="11"/>
      <c r="G395" s="11"/>
      <c r="H395" s="11"/>
      <c r="I395" s="11"/>
      <c r="J395" s="6"/>
      <c r="K395" s="6"/>
      <c r="L395" s="102"/>
      <c r="M395" s="6"/>
      <c r="N395" s="22"/>
      <c r="O395" s="6"/>
      <c r="P395" s="6"/>
      <c r="Q395" s="6"/>
      <c r="R395" s="6"/>
      <c r="S395" s="6"/>
      <c r="T395" s="16"/>
      <c r="U395" s="16"/>
      <c r="V395" s="6"/>
      <c r="W395" s="6"/>
      <c r="X395" s="6"/>
    </row>
    <row r="396" spans="3:24" x14ac:dyDescent="0.25">
      <c r="C396" s="1"/>
      <c r="D396" s="11"/>
      <c r="E396" s="11"/>
      <c r="F396" s="11"/>
      <c r="G396" s="11"/>
      <c r="H396" s="11"/>
      <c r="I396" s="11"/>
      <c r="J396" s="6"/>
      <c r="K396" s="6"/>
      <c r="L396" s="102"/>
      <c r="M396" s="6"/>
      <c r="N396" s="22"/>
      <c r="O396" s="6"/>
      <c r="P396" s="6"/>
      <c r="Q396" s="6"/>
      <c r="R396" s="6"/>
      <c r="S396" s="6"/>
      <c r="T396" s="16"/>
      <c r="U396" s="16"/>
      <c r="V396" s="6"/>
      <c r="W396" s="6"/>
      <c r="X396" s="6"/>
    </row>
    <row r="397" spans="3:24" x14ac:dyDescent="0.25">
      <c r="C397" s="1"/>
      <c r="D397" s="11"/>
      <c r="E397" s="11"/>
      <c r="F397" s="11"/>
      <c r="G397" s="11"/>
      <c r="H397" s="11"/>
      <c r="I397" s="11"/>
      <c r="J397" s="6"/>
      <c r="K397" s="6"/>
      <c r="L397" s="102"/>
      <c r="M397" s="6"/>
      <c r="N397" s="22"/>
      <c r="O397" s="6"/>
      <c r="P397" s="6"/>
      <c r="Q397" s="6"/>
      <c r="R397" s="6"/>
      <c r="S397" s="6"/>
      <c r="T397" s="16"/>
      <c r="U397" s="16"/>
      <c r="V397" s="6"/>
      <c r="W397" s="6"/>
      <c r="X397" s="6"/>
    </row>
    <row r="398" spans="3:24" x14ac:dyDescent="0.25">
      <c r="C398" s="1"/>
      <c r="D398" s="11"/>
      <c r="E398" s="11"/>
      <c r="F398" s="11"/>
      <c r="G398" s="11"/>
      <c r="H398" s="11"/>
      <c r="I398" s="11"/>
      <c r="J398" s="6"/>
      <c r="K398" s="6"/>
      <c r="L398" s="102"/>
      <c r="M398" s="6"/>
      <c r="N398" s="22"/>
      <c r="O398" s="6"/>
      <c r="P398" s="6"/>
      <c r="Q398" s="6"/>
      <c r="R398" s="6"/>
      <c r="S398" s="6"/>
      <c r="T398" s="16"/>
      <c r="U398" s="16"/>
      <c r="V398" s="6"/>
      <c r="W398" s="6"/>
      <c r="X398" s="6"/>
    </row>
    <row r="399" spans="3:24" x14ac:dyDescent="0.25">
      <c r="C399" s="1"/>
      <c r="D399" s="11"/>
      <c r="E399" s="11"/>
      <c r="F399" s="11"/>
      <c r="G399" s="11"/>
      <c r="H399" s="11"/>
      <c r="I399" s="11"/>
      <c r="J399" s="6"/>
      <c r="K399" s="6"/>
      <c r="L399" s="102"/>
      <c r="M399" s="6"/>
      <c r="N399" s="22"/>
      <c r="O399" s="6"/>
      <c r="P399" s="6"/>
      <c r="Q399" s="6"/>
      <c r="R399" s="6"/>
      <c r="S399" s="6"/>
      <c r="T399" s="16"/>
      <c r="U399" s="16"/>
      <c r="V399" s="6"/>
      <c r="W399" s="6"/>
      <c r="X399" s="6"/>
    </row>
    <row r="400" spans="3:24" x14ac:dyDescent="0.25">
      <c r="C400" s="1"/>
      <c r="D400" s="11"/>
      <c r="E400" s="11"/>
      <c r="F400" s="11"/>
      <c r="G400" s="11"/>
      <c r="H400" s="11"/>
      <c r="I400" s="11"/>
      <c r="J400" s="6"/>
      <c r="K400" s="6"/>
      <c r="L400" s="102"/>
      <c r="M400" s="6"/>
      <c r="N400" s="22"/>
      <c r="O400" s="6"/>
      <c r="P400" s="6"/>
      <c r="Q400" s="6"/>
      <c r="R400" s="6"/>
      <c r="S400" s="6"/>
      <c r="T400" s="16"/>
      <c r="U400" s="16"/>
      <c r="V400" s="6"/>
      <c r="W400" s="6"/>
      <c r="X400" s="6"/>
    </row>
    <row r="401" spans="3:24" x14ac:dyDescent="0.25">
      <c r="C401" s="1"/>
      <c r="D401" s="11"/>
      <c r="E401" s="11"/>
      <c r="F401" s="11"/>
      <c r="G401" s="11"/>
      <c r="H401" s="11"/>
      <c r="I401" s="11"/>
      <c r="J401" s="6"/>
      <c r="K401" s="6"/>
      <c r="L401" s="102"/>
      <c r="M401" s="6"/>
      <c r="N401" s="22"/>
      <c r="O401" s="6"/>
      <c r="P401" s="6"/>
      <c r="Q401" s="6"/>
      <c r="R401" s="6"/>
      <c r="S401" s="6"/>
      <c r="T401" s="16"/>
      <c r="U401" s="16"/>
      <c r="V401" s="6"/>
      <c r="W401" s="6"/>
      <c r="X401" s="6"/>
    </row>
    <row r="402" spans="3:24" x14ac:dyDescent="0.25">
      <c r="C402" s="1"/>
      <c r="D402" s="11"/>
      <c r="E402" s="11"/>
      <c r="F402" s="11"/>
      <c r="G402" s="11"/>
      <c r="H402" s="11"/>
      <c r="I402" s="11"/>
      <c r="J402" s="6"/>
      <c r="K402" s="6"/>
      <c r="L402" s="102"/>
      <c r="M402" s="6"/>
      <c r="N402" s="22"/>
      <c r="O402" s="6"/>
      <c r="P402" s="6"/>
      <c r="Q402" s="6"/>
      <c r="R402" s="6"/>
      <c r="S402" s="6"/>
      <c r="T402" s="16"/>
      <c r="U402" s="16"/>
      <c r="V402" s="6"/>
      <c r="W402" s="6"/>
      <c r="X402" s="6"/>
    </row>
    <row r="403" spans="3:24" x14ac:dyDescent="0.25">
      <c r="C403" s="1"/>
      <c r="D403" s="11"/>
      <c r="E403" s="11"/>
      <c r="F403" s="11"/>
      <c r="G403" s="11"/>
      <c r="H403" s="11"/>
      <c r="I403" s="11"/>
      <c r="J403" s="6"/>
      <c r="K403" s="6"/>
      <c r="L403" s="102"/>
      <c r="M403" s="6"/>
      <c r="N403" s="22"/>
      <c r="O403" s="6"/>
      <c r="P403" s="6"/>
      <c r="Q403" s="6"/>
      <c r="R403" s="6"/>
      <c r="S403" s="6"/>
      <c r="T403" s="16"/>
      <c r="U403" s="16"/>
      <c r="V403" s="6"/>
      <c r="W403" s="6"/>
      <c r="X403" s="6"/>
    </row>
    <row r="404" spans="3:24" x14ac:dyDescent="0.25">
      <c r="C404" s="1"/>
      <c r="D404" s="11"/>
      <c r="E404" s="11"/>
      <c r="F404" s="11"/>
      <c r="G404" s="11"/>
      <c r="H404" s="11"/>
      <c r="I404" s="11"/>
      <c r="J404" s="6"/>
      <c r="K404" s="6"/>
      <c r="L404" s="102"/>
      <c r="M404" s="6"/>
      <c r="N404" s="22"/>
      <c r="O404" s="6"/>
      <c r="P404" s="6"/>
      <c r="Q404" s="6"/>
      <c r="R404" s="6"/>
      <c r="S404" s="6"/>
      <c r="T404" s="16"/>
      <c r="U404" s="16"/>
      <c r="V404" s="6"/>
      <c r="W404" s="6"/>
      <c r="X404" s="6"/>
    </row>
    <row r="405" spans="3:24" x14ac:dyDescent="0.25">
      <c r="C405" s="1"/>
      <c r="D405" s="11"/>
      <c r="E405" s="11"/>
      <c r="F405" s="11"/>
      <c r="G405" s="11"/>
      <c r="H405" s="11"/>
      <c r="I405" s="11"/>
      <c r="J405" s="6"/>
      <c r="K405" s="6"/>
      <c r="L405" s="102"/>
      <c r="M405" s="6"/>
      <c r="N405" s="22"/>
      <c r="O405" s="6"/>
      <c r="P405" s="6"/>
      <c r="Q405" s="6"/>
      <c r="R405" s="6"/>
      <c r="S405" s="6"/>
      <c r="T405" s="16"/>
      <c r="U405" s="16"/>
      <c r="V405" s="6"/>
      <c r="W405" s="6"/>
      <c r="X405" s="6"/>
    </row>
    <row r="406" spans="3:24" x14ac:dyDescent="0.25">
      <c r="C406" s="1"/>
      <c r="D406" s="11"/>
      <c r="E406" s="11"/>
      <c r="F406" s="11"/>
      <c r="G406" s="11"/>
      <c r="H406" s="11"/>
      <c r="I406" s="11"/>
      <c r="J406" s="6"/>
      <c r="K406" s="6"/>
      <c r="L406" s="102"/>
      <c r="M406" s="6"/>
      <c r="N406" s="22"/>
      <c r="O406" s="6"/>
      <c r="P406" s="6"/>
      <c r="Q406" s="6"/>
      <c r="R406" s="6"/>
      <c r="S406" s="6"/>
      <c r="T406" s="16"/>
      <c r="U406" s="16"/>
      <c r="V406" s="6"/>
      <c r="W406" s="6"/>
      <c r="X406" s="6"/>
    </row>
    <row r="407" spans="3:24" x14ac:dyDescent="0.25">
      <c r="C407" s="1"/>
      <c r="D407" s="11"/>
      <c r="E407" s="11"/>
      <c r="F407" s="11"/>
      <c r="G407" s="11"/>
      <c r="H407" s="11"/>
      <c r="I407" s="11"/>
      <c r="J407" s="6"/>
      <c r="K407" s="6"/>
      <c r="L407" s="102"/>
      <c r="M407" s="6"/>
      <c r="N407" s="22"/>
      <c r="O407" s="6"/>
      <c r="P407" s="6"/>
      <c r="Q407" s="6"/>
      <c r="R407" s="6"/>
      <c r="S407" s="6"/>
      <c r="T407" s="16"/>
      <c r="U407" s="16"/>
      <c r="V407" s="6"/>
      <c r="W407" s="6"/>
      <c r="X407" s="6"/>
    </row>
    <row r="408" spans="3:24" x14ac:dyDescent="0.25">
      <c r="C408" s="1"/>
      <c r="D408" s="11"/>
      <c r="E408" s="11"/>
      <c r="F408" s="11"/>
      <c r="G408" s="11"/>
      <c r="H408" s="11"/>
      <c r="I408" s="11"/>
      <c r="J408" s="6"/>
      <c r="K408" s="6"/>
      <c r="L408" s="102"/>
      <c r="M408" s="6"/>
      <c r="N408" s="22"/>
      <c r="O408" s="6"/>
      <c r="P408" s="6"/>
      <c r="Q408" s="6"/>
      <c r="R408" s="6"/>
      <c r="S408" s="6"/>
      <c r="T408" s="16"/>
      <c r="U408" s="16"/>
      <c r="V408" s="6"/>
      <c r="W408" s="6"/>
      <c r="X408" s="6"/>
    </row>
    <row r="409" spans="3:24" x14ac:dyDescent="0.25">
      <c r="C409" s="1"/>
      <c r="D409" s="11"/>
      <c r="E409" s="11"/>
      <c r="F409" s="11"/>
      <c r="G409" s="11"/>
      <c r="H409" s="11"/>
      <c r="I409" s="11"/>
      <c r="J409" s="6"/>
      <c r="K409" s="6"/>
      <c r="L409" s="102"/>
      <c r="M409" s="6"/>
      <c r="N409" s="22"/>
      <c r="O409" s="6"/>
      <c r="P409" s="6"/>
      <c r="Q409" s="6"/>
      <c r="R409" s="6"/>
      <c r="S409" s="6"/>
      <c r="T409" s="16"/>
      <c r="U409" s="16"/>
      <c r="V409" s="6"/>
      <c r="W409" s="6"/>
      <c r="X409" s="6"/>
    </row>
    <row r="410" spans="3:24" x14ac:dyDescent="0.25">
      <c r="C410" s="1"/>
      <c r="D410" s="11"/>
      <c r="E410" s="11"/>
      <c r="F410" s="11"/>
      <c r="G410" s="11"/>
      <c r="H410" s="11"/>
      <c r="I410" s="11"/>
      <c r="J410" s="6"/>
      <c r="K410" s="6"/>
      <c r="L410" s="102"/>
      <c r="M410" s="6"/>
      <c r="N410" s="22"/>
      <c r="O410" s="6"/>
      <c r="P410" s="6"/>
      <c r="Q410" s="6"/>
      <c r="R410" s="6"/>
      <c r="S410" s="6"/>
      <c r="T410" s="16"/>
      <c r="U410" s="16"/>
      <c r="V410" s="6"/>
      <c r="W410" s="6"/>
      <c r="X410" s="6"/>
    </row>
    <row r="411" spans="3:24" x14ac:dyDescent="0.25">
      <c r="C411" s="1"/>
      <c r="D411" s="11"/>
      <c r="E411" s="11"/>
      <c r="F411" s="11"/>
      <c r="G411" s="11"/>
      <c r="H411" s="11"/>
      <c r="I411" s="11"/>
      <c r="J411" s="6"/>
      <c r="K411" s="6"/>
      <c r="L411" s="102"/>
      <c r="M411" s="6"/>
      <c r="N411" s="22"/>
      <c r="O411" s="6"/>
      <c r="P411" s="6"/>
      <c r="Q411" s="6"/>
      <c r="R411" s="6"/>
      <c r="S411" s="6"/>
      <c r="T411" s="16"/>
      <c r="U411" s="16"/>
      <c r="V411" s="6"/>
      <c r="W411" s="6"/>
      <c r="X411" s="6"/>
    </row>
    <row r="412" spans="3:24" x14ac:dyDescent="0.25">
      <c r="C412" s="1"/>
      <c r="D412" s="11"/>
      <c r="E412" s="11"/>
      <c r="F412" s="11"/>
      <c r="G412" s="11"/>
      <c r="H412" s="11"/>
      <c r="I412" s="11"/>
      <c r="J412" s="6"/>
      <c r="K412" s="6"/>
      <c r="L412" s="102"/>
      <c r="M412" s="6"/>
      <c r="N412" s="22"/>
      <c r="O412" s="6"/>
      <c r="P412" s="6"/>
      <c r="Q412" s="6"/>
      <c r="R412" s="6"/>
      <c r="S412" s="6"/>
      <c r="T412" s="16"/>
      <c r="U412" s="16"/>
      <c r="V412" s="6"/>
      <c r="W412" s="6"/>
      <c r="X412" s="6"/>
    </row>
    <row r="413" spans="3:24" x14ac:dyDescent="0.25">
      <c r="C413" s="1"/>
      <c r="D413" s="11"/>
      <c r="E413" s="11"/>
      <c r="F413" s="11"/>
      <c r="G413" s="11"/>
      <c r="H413" s="11"/>
      <c r="I413" s="11"/>
      <c r="J413" s="6"/>
      <c r="K413" s="6"/>
      <c r="L413" s="102"/>
      <c r="M413" s="6"/>
      <c r="N413" s="22"/>
      <c r="O413" s="6"/>
      <c r="P413" s="6"/>
      <c r="Q413" s="6"/>
      <c r="R413" s="6"/>
      <c r="S413" s="6"/>
      <c r="T413" s="16"/>
      <c r="U413" s="16"/>
      <c r="V413" s="6"/>
      <c r="W413" s="6"/>
      <c r="X413" s="6"/>
    </row>
    <row r="414" spans="3:24" x14ac:dyDescent="0.25">
      <c r="C414" s="1"/>
      <c r="D414" s="11"/>
      <c r="E414" s="11"/>
      <c r="F414" s="11"/>
      <c r="G414" s="11"/>
      <c r="H414" s="11"/>
      <c r="I414" s="11"/>
      <c r="J414" s="6"/>
      <c r="K414" s="6"/>
      <c r="L414" s="102"/>
      <c r="M414" s="6"/>
      <c r="N414" s="22"/>
      <c r="O414" s="6"/>
      <c r="P414" s="6"/>
      <c r="Q414" s="6"/>
      <c r="R414" s="6"/>
      <c r="S414" s="6"/>
      <c r="T414" s="16"/>
      <c r="U414" s="16"/>
      <c r="V414" s="6"/>
      <c r="W414" s="6"/>
      <c r="X414" s="6"/>
    </row>
    <row r="415" spans="3:24" x14ac:dyDescent="0.25">
      <c r="C415" s="1"/>
      <c r="D415" s="11"/>
      <c r="E415" s="11"/>
      <c r="F415" s="11"/>
      <c r="G415" s="11"/>
      <c r="H415" s="11"/>
      <c r="I415" s="11"/>
      <c r="J415" s="6"/>
      <c r="K415" s="6"/>
      <c r="L415" s="102"/>
      <c r="M415" s="6"/>
      <c r="N415" s="22"/>
      <c r="O415" s="6"/>
      <c r="P415" s="6"/>
      <c r="Q415" s="6"/>
      <c r="R415" s="6"/>
      <c r="S415" s="6"/>
      <c r="T415" s="16"/>
      <c r="U415" s="16"/>
      <c r="V415" s="6"/>
      <c r="W415" s="6"/>
      <c r="X415" s="6"/>
    </row>
    <row r="416" spans="3:24" x14ac:dyDescent="0.25">
      <c r="C416" s="1"/>
      <c r="D416" s="11"/>
      <c r="E416" s="11"/>
      <c r="F416" s="11"/>
      <c r="G416" s="11"/>
      <c r="H416" s="11"/>
      <c r="I416" s="11"/>
      <c r="J416" s="6"/>
      <c r="K416" s="6"/>
      <c r="L416" s="102"/>
      <c r="M416" s="6"/>
      <c r="N416" s="22"/>
      <c r="O416" s="6"/>
      <c r="P416" s="6"/>
      <c r="Q416" s="6"/>
      <c r="R416" s="6"/>
      <c r="S416" s="6"/>
      <c r="T416" s="16"/>
      <c r="U416" s="16"/>
      <c r="V416" s="6"/>
      <c r="W416" s="6"/>
      <c r="X416" s="6"/>
    </row>
    <row r="417" spans="3:24" x14ac:dyDescent="0.25">
      <c r="C417" s="1"/>
      <c r="D417" s="11"/>
      <c r="E417" s="11"/>
      <c r="F417" s="11"/>
      <c r="G417" s="11"/>
      <c r="H417" s="11"/>
      <c r="I417" s="11"/>
      <c r="J417" s="6"/>
      <c r="K417" s="6"/>
      <c r="L417" s="102"/>
      <c r="M417" s="6"/>
      <c r="N417" s="22"/>
      <c r="O417" s="6"/>
      <c r="P417" s="6"/>
      <c r="Q417" s="6"/>
      <c r="R417" s="6"/>
      <c r="S417" s="6"/>
      <c r="T417" s="16"/>
      <c r="U417" s="16"/>
      <c r="V417" s="6"/>
      <c r="W417" s="6"/>
      <c r="X417" s="6"/>
    </row>
    <row r="418" spans="3:24" x14ac:dyDescent="0.25">
      <c r="C418" s="1"/>
      <c r="D418" s="11"/>
      <c r="E418" s="11"/>
      <c r="F418" s="11"/>
      <c r="G418" s="11"/>
      <c r="H418" s="11"/>
      <c r="I418" s="11"/>
      <c r="J418" s="6"/>
      <c r="K418" s="6"/>
      <c r="L418" s="102"/>
      <c r="M418" s="6"/>
      <c r="N418" s="22"/>
      <c r="O418" s="6"/>
      <c r="P418" s="6"/>
      <c r="Q418" s="6"/>
      <c r="R418" s="6"/>
      <c r="S418" s="6"/>
      <c r="T418" s="16"/>
      <c r="U418" s="16"/>
      <c r="V418" s="6"/>
      <c r="W418" s="6"/>
      <c r="X418" s="6"/>
    </row>
    <row r="419" spans="3:24" x14ac:dyDescent="0.25">
      <c r="C419" s="1"/>
      <c r="D419" s="11"/>
      <c r="E419" s="11"/>
      <c r="F419" s="11"/>
      <c r="G419" s="11"/>
      <c r="H419" s="11"/>
      <c r="I419" s="11"/>
      <c r="J419" s="6"/>
      <c r="K419" s="6"/>
      <c r="L419" s="102"/>
      <c r="M419" s="6"/>
      <c r="N419" s="22"/>
      <c r="O419" s="6"/>
      <c r="P419" s="6"/>
      <c r="Q419" s="6"/>
      <c r="R419" s="6"/>
      <c r="S419" s="6"/>
      <c r="T419" s="16"/>
      <c r="U419" s="16"/>
      <c r="V419" s="6"/>
      <c r="W419" s="6"/>
      <c r="X419" s="6"/>
    </row>
    <row r="420" spans="3:24" x14ac:dyDescent="0.25">
      <c r="C420" s="1"/>
      <c r="D420" s="11"/>
      <c r="E420" s="11"/>
      <c r="F420" s="11"/>
      <c r="G420" s="11"/>
      <c r="H420" s="11"/>
      <c r="I420" s="11"/>
      <c r="J420" s="6"/>
      <c r="K420" s="6"/>
      <c r="L420" s="102"/>
      <c r="M420" s="6"/>
      <c r="N420" s="22"/>
      <c r="O420" s="6"/>
      <c r="P420" s="6"/>
      <c r="Q420" s="6"/>
      <c r="R420" s="6"/>
      <c r="S420" s="6"/>
      <c r="T420" s="16"/>
      <c r="U420" s="16"/>
      <c r="V420" s="6"/>
      <c r="W420" s="6"/>
      <c r="X420" s="6"/>
    </row>
    <row r="421" spans="3:24" x14ac:dyDescent="0.25">
      <c r="C421" s="1"/>
      <c r="D421" s="11"/>
      <c r="E421" s="11"/>
      <c r="F421" s="11"/>
      <c r="G421" s="11"/>
      <c r="H421" s="11"/>
      <c r="I421" s="11"/>
      <c r="J421" s="6"/>
      <c r="K421" s="6"/>
      <c r="L421" s="102"/>
      <c r="M421" s="6"/>
      <c r="N421" s="22"/>
      <c r="O421" s="6"/>
      <c r="P421" s="6"/>
      <c r="Q421" s="6"/>
      <c r="R421" s="6"/>
      <c r="S421" s="6"/>
      <c r="T421" s="16"/>
      <c r="U421" s="16"/>
      <c r="V421" s="6"/>
      <c r="W421" s="6"/>
      <c r="X421" s="6"/>
    </row>
    <row r="422" spans="3:24" x14ac:dyDescent="0.25">
      <c r="C422" s="1"/>
      <c r="D422" s="11"/>
      <c r="E422" s="11"/>
      <c r="F422" s="11"/>
      <c r="G422" s="11"/>
      <c r="H422" s="11"/>
      <c r="I422" s="11"/>
      <c r="J422" s="6"/>
      <c r="K422" s="6"/>
      <c r="L422" s="102"/>
      <c r="M422" s="6"/>
      <c r="N422" s="22"/>
      <c r="O422" s="6"/>
      <c r="P422" s="6"/>
      <c r="Q422" s="6"/>
      <c r="R422" s="6"/>
      <c r="S422" s="6"/>
      <c r="T422" s="16"/>
      <c r="U422" s="16"/>
      <c r="V422" s="6"/>
      <c r="W422" s="6"/>
      <c r="X422" s="6"/>
    </row>
    <row r="423" spans="3:24" x14ac:dyDescent="0.25">
      <c r="C423" s="1"/>
      <c r="D423" s="11"/>
      <c r="E423" s="11"/>
      <c r="F423" s="11"/>
      <c r="G423" s="11"/>
      <c r="H423" s="11"/>
      <c r="I423" s="11"/>
      <c r="J423" s="6"/>
      <c r="K423" s="6"/>
      <c r="L423" s="102"/>
      <c r="M423" s="6"/>
      <c r="N423" s="22"/>
      <c r="O423" s="6"/>
      <c r="P423" s="6"/>
      <c r="Q423" s="6"/>
      <c r="R423" s="6"/>
      <c r="S423" s="6"/>
      <c r="T423" s="16"/>
      <c r="U423" s="16"/>
      <c r="V423" s="6"/>
      <c r="W423" s="6"/>
      <c r="X423" s="6"/>
    </row>
    <row r="424" spans="3:24" x14ac:dyDescent="0.25">
      <c r="C424" s="1"/>
      <c r="D424" s="11"/>
      <c r="E424" s="11"/>
      <c r="F424" s="11"/>
      <c r="G424" s="11"/>
      <c r="H424" s="11"/>
      <c r="I424" s="11"/>
      <c r="J424" s="6"/>
      <c r="K424" s="6"/>
      <c r="L424" s="102"/>
      <c r="M424" s="6"/>
      <c r="N424" s="22"/>
      <c r="O424" s="6"/>
      <c r="P424" s="6"/>
      <c r="Q424" s="6"/>
      <c r="R424" s="6"/>
      <c r="S424" s="6"/>
      <c r="T424" s="16"/>
      <c r="U424" s="16"/>
      <c r="V424" s="6"/>
      <c r="W424" s="6"/>
      <c r="X424" s="6"/>
    </row>
    <row r="425" spans="3:24" x14ac:dyDescent="0.25">
      <c r="C425" s="1"/>
      <c r="D425" s="11"/>
      <c r="E425" s="11"/>
      <c r="F425" s="11"/>
      <c r="G425" s="11"/>
      <c r="H425" s="11"/>
      <c r="I425" s="11"/>
      <c r="J425" s="6"/>
      <c r="K425" s="6"/>
      <c r="L425" s="102"/>
      <c r="M425" s="6"/>
      <c r="N425" s="22"/>
      <c r="O425" s="6"/>
      <c r="P425" s="6"/>
      <c r="Q425" s="6"/>
      <c r="R425" s="6"/>
      <c r="S425" s="6"/>
      <c r="T425" s="16"/>
      <c r="U425" s="16"/>
      <c r="V425" s="6"/>
      <c r="W425" s="6"/>
      <c r="X425" s="6"/>
    </row>
    <row r="426" spans="3:24" x14ac:dyDescent="0.25">
      <c r="C426" s="1"/>
      <c r="D426" s="11"/>
      <c r="E426" s="11"/>
      <c r="F426" s="11"/>
      <c r="G426" s="11"/>
      <c r="H426" s="11"/>
      <c r="I426" s="11"/>
      <c r="J426" s="6"/>
      <c r="K426" s="6"/>
      <c r="L426" s="102"/>
      <c r="M426" s="6"/>
      <c r="N426" s="22"/>
      <c r="O426" s="6"/>
      <c r="P426" s="6"/>
      <c r="Q426" s="6"/>
      <c r="R426" s="6"/>
      <c r="S426" s="6"/>
      <c r="T426" s="16"/>
      <c r="U426" s="16"/>
      <c r="V426" s="6"/>
      <c r="W426" s="6"/>
      <c r="X426" s="6"/>
    </row>
    <row r="427" spans="3:24" x14ac:dyDescent="0.25">
      <c r="C427" s="1"/>
      <c r="D427" s="11"/>
      <c r="E427" s="11"/>
      <c r="F427" s="11"/>
      <c r="G427" s="11"/>
      <c r="H427" s="11"/>
      <c r="I427" s="11"/>
      <c r="J427" s="6"/>
      <c r="K427" s="6"/>
      <c r="L427" s="102"/>
      <c r="M427" s="6"/>
      <c r="N427" s="22"/>
      <c r="O427" s="6"/>
      <c r="P427" s="6"/>
      <c r="Q427" s="6"/>
      <c r="R427" s="6"/>
      <c r="S427" s="6"/>
      <c r="T427" s="16"/>
      <c r="U427" s="16"/>
      <c r="V427" s="6"/>
      <c r="W427" s="6"/>
      <c r="X427" s="6"/>
    </row>
    <row r="428" spans="3:24" x14ac:dyDescent="0.25">
      <c r="C428" s="1"/>
      <c r="D428" s="11"/>
      <c r="E428" s="11"/>
      <c r="F428" s="11"/>
      <c r="G428" s="11"/>
      <c r="H428" s="11"/>
      <c r="I428" s="11"/>
      <c r="J428" s="6"/>
      <c r="K428" s="6"/>
      <c r="L428" s="102"/>
      <c r="M428" s="6"/>
      <c r="N428" s="22"/>
      <c r="O428" s="6"/>
      <c r="P428" s="6"/>
      <c r="Q428" s="6"/>
      <c r="R428" s="6"/>
      <c r="S428" s="6"/>
      <c r="T428" s="16"/>
      <c r="U428" s="16"/>
      <c r="V428" s="6"/>
      <c r="W428" s="6"/>
      <c r="X428" s="6"/>
    </row>
    <row r="429" spans="3:24" x14ac:dyDescent="0.25">
      <c r="C429" s="1"/>
      <c r="D429" s="11"/>
      <c r="E429" s="11"/>
      <c r="F429" s="11"/>
      <c r="G429" s="11"/>
      <c r="H429" s="11"/>
      <c r="I429" s="11"/>
      <c r="J429" s="6"/>
      <c r="K429" s="6"/>
      <c r="L429" s="102"/>
      <c r="M429" s="6"/>
      <c r="N429" s="22"/>
      <c r="O429" s="6"/>
      <c r="P429" s="6"/>
      <c r="Q429" s="6"/>
      <c r="R429" s="6"/>
      <c r="S429" s="6"/>
      <c r="T429" s="16"/>
      <c r="U429" s="16"/>
      <c r="V429" s="6"/>
      <c r="W429" s="6"/>
      <c r="X429" s="6"/>
    </row>
    <row r="430" spans="3:24" x14ac:dyDescent="0.25">
      <c r="C430" s="1"/>
      <c r="D430" s="11"/>
      <c r="E430" s="11"/>
      <c r="F430" s="11"/>
      <c r="G430" s="11"/>
      <c r="H430" s="11"/>
      <c r="I430" s="11"/>
      <c r="J430" s="6"/>
      <c r="K430" s="6"/>
      <c r="L430" s="102"/>
      <c r="M430" s="6"/>
      <c r="N430" s="22"/>
      <c r="O430" s="6"/>
      <c r="P430" s="6"/>
      <c r="Q430" s="6"/>
      <c r="R430" s="6"/>
      <c r="S430" s="6"/>
      <c r="T430" s="16"/>
      <c r="U430" s="16"/>
      <c r="V430" s="6"/>
      <c r="W430" s="6"/>
      <c r="X430" s="6"/>
    </row>
    <row r="431" spans="3:24" x14ac:dyDescent="0.25">
      <c r="C431" s="1"/>
      <c r="D431" s="11"/>
      <c r="E431" s="11"/>
      <c r="F431" s="11"/>
      <c r="G431" s="11"/>
      <c r="H431" s="11"/>
      <c r="I431" s="11"/>
      <c r="J431" s="6"/>
      <c r="K431" s="6"/>
      <c r="L431" s="102"/>
      <c r="M431" s="6"/>
      <c r="N431" s="22"/>
      <c r="O431" s="6"/>
      <c r="P431" s="6"/>
      <c r="Q431" s="6"/>
      <c r="R431" s="6"/>
      <c r="S431" s="6"/>
      <c r="T431" s="16"/>
      <c r="U431" s="16"/>
      <c r="V431" s="6"/>
      <c r="W431" s="6"/>
      <c r="X431" s="6"/>
    </row>
    <row r="432" spans="3:24" x14ac:dyDescent="0.25">
      <c r="C432" s="1"/>
      <c r="D432" s="11"/>
      <c r="E432" s="11"/>
      <c r="F432" s="11"/>
      <c r="G432" s="11"/>
      <c r="H432" s="11"/>
      <c r="I432" s="11"/>
      <c r="J432" s="6"/>
      <c r="K432" s="6"/>
      <c r="L432" s="102"/>
      <c r="M432" s="6"/>
      <c r="N432" s="22"/>
      <c r="O432" s="6"/>
      <c r="P432" s="6"/>
      <c r="Q432" s="6"/>
      <c r="R432" s="6"/>
      <c r="S432" s="6"/>
      <c r="T432" s="16"/>
      <c r="U432" s="16"/>
      <c r="V432" s="6"/>
      <c r="W432" s="6"/>
      <c r="X432" s="6"/>
    </row>
    <row r="433" spans="1:28" x14ac:dyDescent="0.25">
      <c r="C433" s="1"/>
      <c r="D433" s="11"/>
      <c r="E433" s="11"/>
      <c r="F433" s="11"/>
      <c r="G433" s="11"/>
      <c r="H433" s="11"/>
      <c r="I433" s="11"/>
      <c r="J433" s="6"/>
      <c r="K433" s="6"/>
      <c r="L433" s="102"/>
      <c r="M433" s="6"/>
      <c r="N433" s="22"/>
      <c r="O433" s="6"/>
      <c r="P433" s="6"/>
      <c r="Q433" s="6"/>
      <c r="R433" s="6"/>
      <c r="S433" s="6"/>
      <c r="T433" s="16"/>
      <c r="U433" s="16"/>
      <c r="V433" s="6"/>
      <c r="W433" s="6"/>
      <c r="X433" s="6"/>
    </row>
    <row r="434" spans="1:28" x14ac:dyDescent="0.25">
      <c r="C434" s="1"/>
      <c r="D434" s="11"/>
      <c r="E434" s="11"/>
      <c r="F434" s="11"/>
      <c r="G434" s="11"/>
      <c r="H434" s="11"/>
      <c r="I434" s="11"/>
      <c r="J434" s="6"/>
      <c r="K434" s="6"/>
      <c r="L434" s="102"/>
      <c r="M434" s="6"/>
      <c r="N434" s="22"/>
      <c r="O434" s="6"/>
      <c r="P434" s="6"/>
      <c r="Q434" s="6"/>
      <c r="R434" s="6"/>
      <c r="S434" s="6"/>
      <c r="T434" s="16"/>
      <c r="U434" s="16"/>
      <c r="V434" s="6"/>
      <c r="W434" s="6"/>
      <c r="X434" s="6"/>
    </row>
    <row r="435" spans="1:28" x14ac:dyDescent="0.25">
      <c r="C435" s="1"/>
      <c r="D435" s="11"/>
      <c r="E435" s="11"/>
      <c r="F435" s="11"/>
      <c r="G435" s="11"/>
      <c r="H435" s="11"/>
      <c r="I435" s="11"/>
      <c r="J435" s="6"/>
      <c r="K435" s="6"/>
      <c r="L435" s="102"/>
      <c r="M435" s="6"/>
      <c r="N435" s="22"/>
      <c r="O435" s="6"/>
      <c r="P435" s="6"/>
      <c r="Q435" s="6"/>
      <c r="R435" s="6"/>
      <c r="S435" s="6"/>
      <c r="T435" s="16"/>
      <c r="U435" s="16"/>
      <c r="V435" s="6"/>
      <c r="W435" s="6"/>
      <c r="X435" s="6"/>
    </row>
    <row r="436" spans="1:28" x14ac:dyDescent="0.25">
      <c r="C436" s="1"/>
      <c r="D436" s="11"/>
      <c r="E436" s="11"/>
      <c r="F436" s="11"/>
      <c r="G436" s="11"/>
      <c r="H436" s="11"/>
      <c r="I436" s="11"/>
      <c r="J436" s="6"/>
      <c r="K436" s="6"/>
      <c r="L436" s="102"/>
      <c r="M436" s="6"/>
      <c r="N436" s="22"/>
      <c r="O436" s="6"/>
      <c r="P436" s="6"/>
      <c r="Q436" s="6"/>
      <c r="R436" s="6"/>
      <c r="S436" s="6"/>
      <c r="T436" s="16"/>
      <c r="U436" s="16"/>
      <c r="V436" s="6"/>
      <c r="W436" s="6"/>
      <c r="X436" s="6"/>
    </row>
    <row r="437" spans="1:28" x14ac:dyDescent="0.25">
      <c r="C437" s="1"/>
      <c r="D437" s="11"/>
      <c r="E437" s="11"/>
      <c r="F437" s="11"/>
      <c r="G437" s="11"/>
      <c r="H437" s="11"/>
      <c r="I437" s="11"/>
      <c r="J437" s="6"/>
      <c r="K437" s="6"/>
      <c r="L437" s="102"/>
      <c r="M437" s="6"/>
      <c r="N437" s="22"/>
      <c r="O437" s="6"/>
      <c r="P437" s="6"/>
      <c r="Q437" s="6"/>
      <c r="R437" s="6"/>
      <c r="S437" s="6"/>
      <c r="T437" s="16"/>
      <c r="U437" s="16"/>
      <c r="V437" s="6"/>
      <c r="W437" s="6"/>
      <c r="X437" s="6"/>
    </row>
    <row r="438" spans="1:28" x14ac:dyDescent="0.25">
      <c r="C438" s="1"/>
      <c r="D438" s="11"/>
      <c r="E438" s="11"/>
      <c r="F438" s="11"/>
      <c r="G438" s="11"/>
      <c r="H438" s="11"/>
      <c r="I438" s="11"/>
      <c r="J438" s="6"/>
      <c r="K438" s="6"/>
      <c r="L438" s="102"/>
      <c r="M438" s="6"/>
      <c r="N438" s="22"/>
      <c r="O438" s="6"/>
      <c r="P438" s="6"/>
      <c r="Q438" s="6"/>
      <c r="R438" s="6"/>
      <c r="S438" s="6"/>
      <c r="T438" s="16"/>
      <c r="U438" s="16"/>
      <c r="V438" s="6"/>
      <c r="W438" s="6"/>
      <c r="X438" s="6"/>
    </row>
    <row r="439" spans="1:28" x14ac:dyDescent="0.25">
      <c r="C439" s="1"/>
      <c r="D439" s="11"/>
      <c r="E439" s="11"/>
      <c r="F439" s="11"/>
      <c r="G439" s="11"/>
      <c r="H439" s="11"/>
      <c r="I439" s="11"/>
      <c r="J439" s="6"/>
      <c r="K439" s="6"/>
      <c r="L439" s="102"/>
      <c r="M439" s="6"/>
      <c r="N439" s="22"/>
      <c r="O439" s="6"/>
      <c r="P439" s="6"/>
      <c r="Q439" s="6"/>
      <c r="R439" s="6"/>
      <c r="S439" s="6"/>
      <c r="T439" s="16"/>
      <c r="U439" s="16"/>
      <c r="V439" s="6"/>
      <c r="W439" s="6"/>
      <c r="X439" s="6"/>
    </row>
    <row r="440" spans="1:28" x14ac:dyDescent="0.25">
      <c r="C440" s="1"/>
      <c r="D440" s="11"/>
      <c r="E440" s="11"/>
      <c r="F440" s="11"/>
      <c r="G440" s="11"/>
      <c r="H440" s="11"/>
      <c r="I440" s="11"/>
      <c r="J440" s="6"/>
      <c r="K440" s="6"/>
      <c r="L440" s="102"/>
      <c r="M440" s="6"/>
      <c r="N440" s="22"/>
      <c r="O440" s="6"/>
      <c r="P440" s="6"/>
      <c r="Q440" s="6"/>
      <c r="R440" s="6"/>
      <c r="S440" s="6"/>
      <c r="T440" s="16"/>
      <c r="U440" s="16"/>
      <c r="V440" s="6"/>
      <c r="W440" s="6"/>
      <c r="X440" s="6"/>
    </row>
    <row r="441" spans="1:28" x14ac:dyDescent="0.25">
      <c r="C441" s="1"/>
      <c r="D441" s="11"/>
      <c r="E441" s="11"/>
      <c r="F441" s="11"/>
      <c r="G441" s="11"/>
      <c r="H441" s="11"/>
      <c r="I441" s="11"/>
      <c r="J441" s="6"/>
      <c r="K441" s="6"/>
      <c r="L441" s="102"/>
      <c r="M441" s="6"/>
      <c r="N441" s="22"/>
      <c r="O441" s="6"/>
      <c r="P441" s="6"/>
      <c r="Q441" s="6"/>
      <c r="R441" s="6"/>
      <c r="S441" s="6"/>
      <c r="T441" s="16"/>
      <c r="U441" s="16"/>
      <c r="V441" s="6"/>
      <c r="W441" s="6"/>
      <c r="X441" s="6"/>
    </row>
    <row r="442" spans="1:28" x14ac:dyDescent="0.25">
      <c r="C442" s="1"/>
      <c r="D442" s="11"/>
      <c r="E442" s="11"/>
      <c r="F442" s="11"/>
      <c r="G442" s="11"/>
      <c r="H442" s="11"/>
      <c r="I442" s="11"/>
      <c r="J442" s="6"/>
      <c r="K442" s="6"/>
      <c r="L442" s="8"/>
      <c r="M442" s="6"/>
      <c r="N442" s="22"/>
      <c r="O442" s="6"/>
      <c r="P442" s="6"/>
      <c r="Q442" s="6"/>
      <c r="R442" s="6"/>
      <c r="S442" s="6"/>
      <c r="T442" s="16"/>
      <c r="U442" s="16"/>
      <c r="V442" s="6"/>
      <c r="W442" s="6"/>
      <c r="X442" s="6"/>
    </row>
    <row r="443" spans="1:28" ht="30" x14ac:dyDescent="0.25">
      <c r="C443" s="1"/>
      <c r="D443" s="11"/>
      <c r="E443" s="11"/>
      <c r="F443" s="11"/>
      <c r="G443" s="11"/>
      <c r="H443" s="11"/>
      <c r="I443" s="11"/>
      <c r="J443" s="6" t="s">
        <v>4934</v>
      </c>
      <c r="K443" s="6" t="s">
        <v>4935</v>
      </c>
      <c r="L443" s="102" t="s">
        <v>4701</v>
      </c>
      <c r="M443" s="6"/>
      <c r="N443" s="22"/>
      <c r="O443" s="6"/>
      <c r="P443" s="6"/>
      <c r="Q443" s="6"/>
      <c r="R443" s="6"/>
      <c r="S443" s="6"/>
      <c r="T443" s="16"/>
      <c r="U443" s="16"/>
      <c r="V443" s="6"/>
      <c r="W443" s="6"/>
      <c r="X443" s="6"/>
    </row>
    <row r="444" spans="1:28" x14ac:dyDescent="0.25">
      <c r="C444" s="1"/>
      <c r="D444" s="11"/>
      <c r="E444" s="11"/>
      <c r="F444" s="11"/>
      <c r="G444" s="11"/>
      <c r="H444" s="11"/>
      <c r="I444" s="11"/>
      <c r="J444" s="6" t="s">
        <v>4936</v>
      </c>
      <c r="K444" s="6"/>
      <c r="L444" s="8" t="s">
        <v>692</v>
      </c>
      <c r="M444" s="6"/>
      <c r="N444" s="22"/>
      <c r="O444" s="6"/>
      <c r="P444" s="6"/>
      <c r="Q444" s="6"/>
      <c r="R444" s="6"/>
      <c r="S444" s="6"/>
      <c r="T444" s="16"/>
      <c r="U444" s="16"/>
      <c r="V444" s="6"/>
      <c r="W444" s="6"/>
      <c r="X444" s="6"/>
    </row>
    <row r="445" spans="1:28" x14ac:dyDescent="0.25">
      <c r="C445" s="1"/>
      <c r="D445" s="11"/>
      <c r="E445" s="11"/>
      <c r="F445" s="11"/>
      <c r="G445" s="11"/>
      <c r="H445" s="11"/>
      <c r="I445" s="11"/>
      <c r="J445" s="6"/>
      <c r="K445" s="6"/>
      <c r="L445" s="8" t="s">
        <v>5021</v>
      </c>
      <c r="M445" s="6"/>
      <c r="N445" s="22"/>
      <c r="O445" s="6"/>
      <c r="P445" s="6"/>
      <c r="Q445" s="6"/>
      <c r="R445" s="6"/>
      <c r="S445" s="6"/>
      <c r="T445" s="16"/>
      <c r="U445" s="16"/>
      <c r="V445" s="6"/>
      <c r="W445" s="6"/>
      <c r="X445" s="6"/>
    </row>
    <row r="446" spans="1:28" x14ac:dyDescent="0.25">
      <c r="A446"/>
      <c r="B446"/>
      <c r="C446" s="11"/>
      <c r="D446" s="11"/>
      <c r="E446" s="11"/>
      <c r="F446" s="1017">
        <v>3</v>
      </c>
      <c r="G446" s="1355" t="s">
        <v>5022</v>
      </c>
      <c r="H446" s="1356"/>
      <c r="I446" s="1356"/>
      <c r="J446" s="1356"/>
      <c r="K446" s="1356"/>
      <c r="L446" s="1356"/>
      <c r="M446" s="1357"/>
      <c r="N446" s="1033"/>
      <c r="O446" s="1026"/>
      <c r="P446" s="902"/>
      <c r="Q446" s="902"/>
      <c r="R446" s="1026"/>
      <c r="S446" s="1026"/>
      <c r="T446" s="1020"/>
      <c r="U446" s="1020"/>
      <c r="V446" s="841"/>
      <c r="W446" s="841"/>
      <c r="X446" s="841"/>
      <c r="Y446" s="13"/>
      <c r="Z446" s="13"/>
      <c r="AA446" s="13"/>
      <c r="AB446" s="13"/>
    </row>
    <row r="447" spans="1:28" ht="71.25" customHeight="1" x14ac:dyDescent="0.25">
      <c r="A447"/>
      <c r="B447"/>
      <c r="C447" s="11"/>
      <c r="D447" s="11"/>
      <c r="E447" s="11"/>
      <c r="F447" s="11"/>
      <c r="G447" s="11">
        <v>4</v>
      </c>
      <c r="H447" s="144"/>
      <c r="I447" s="144"/>
      <c r="J447" s="1034" t="s">
        <v>4859</v>
      </c>
      <c r="K447" s="1034" t="s">
        <v>4860</v>
      </c>
      <c r="L447" s="8" t="s">
        <v>4712</v>
      </c>
      <c r="M447" s="6"/>
      <c r="N447" s="22"/>
      <c r="O447" s="6"/>
      <c r="P447" s="6" t="s">
        <v>4861</v>
      </c>
      <c r="Q447" s="6"/>
      <c r="R447" s="6"/>
      <c r="S447" s="6" t="s">
        <v>129</v>
      </c>
      <c r="T447" s="16"/>
      <c r="U447" s="16"/>
      <c r="V447" s="6"/>
      <c r="W447" s="6"/>
      <c r="X447" s="6"/>
      <c r="Y447" s="13"/>
      <c r="Z447" s="13"/>
      <c r="AA447" s="13"/>
      <c r="AB447" s="13"/>
    </row>
    <row r="448" spans="1:28" ht="30" x14ac:dyDescent="0.25">
      <c r="A448"/>
      <c r="B448"/>
      <c r="C448" s="11"/>
      <c r="D448" s="11"/>
      <c r="E448" s="11"/>
      <c r="F448" s="40"/>
      <c r="G448" s="11">
        <v>4</v>
      </c>
      <c r="H448" s="141"/>
      <c r="I448" s="141"/>
      <c r="J448" s="1035" t="s">
        <v>4862</v>
      </c>
      <c r="K448" s="142" t="s">
        <v>4863</v>
      </c>
      <c r="L448" s="50" t="s">
        <v>4745</v>
      </c>
      <c r="M448" s="49"/>
      <c r="N448" s="81"/>
      <c r="O448" s="49"/>
      <c r="P448" s="49"/>
      <c r="Q448" s="49"/>
      <c r="R448" s="49"/>
      <c r="S448" s="6" t="s">
        <v>129</v>
      </c>
      <c r="T448" s="52"/>
      <c r="U448" s="52"/>
      <c r="V448" s="49"/>
      <c r="W448" s="49"/>
      <c r="X448" s="49"/>
      <c r="Y448" s="13"/>
      <c r="Z448" s="13"/>
      <c r="AA448" s="13"/>
      <c r="AB448" s="13"/>
    </row>
    <row r="449" spans="1:28" ht="29.25" x14ac:dyDescent="0.25">
      <c r="A449"/>
      <c r="B449"/>
      <c r="C449" s="11"/>
      <c r="D449" s="11"/>
      <c r="E449" s="11"/>
      <c r="F449" s="40"/>
      <c r="G449" s="11">
        <v>4</v>
      </c>
      <c r="H449" s="141"/>
      <c r="I449" s="141"/>
      <c r="J449" s="142" t="s">
        <v>5023</v>
      </c>
      <c r="K449" s="142" t="s">
        <v>5024</v>
      </c>
      <c r="L449" s="50" t="s">
        <v>4866</v>
      </c>
      <c r="M449" s="49"/>
      <c r="N449" s="81"/>
      <c r="O449" s="49"/>
      <c r="P449" s="49"/>
      <c r="Q449" s="49"/>
      <c r="R449" s="49"/>
      <c r="S449" s="6" t="s">
        <v>129</v>
      </c>
      <c r="T449" s="52"/>
      <c r="U449" s="52"/>
      <c r="V449" s="49"/>
      <c r="W449" s="49"/>
      <c r="X449" s="49"/>
      <c r="Y449" s="13"/>
      <c r="Z449" s="13"/>
      <c r="AA449" s="13"/>
      <c r="AB449" s="13"/>
    </row>
    <row r="450" spans="1:28" ht="60" x14ac:dyDescent="0.25">
      <c r="A450"/>
      <c r="B450"/>
      <c r="C450" s="11"/>
      <c r="D450" s="11"/>
      <c r="E450" s="11"/>
      <c r="F450" s="40"/>
      <c r="G450" s="40"/>
      <c r="H450" s="141">
        <v>5</v>
      </c>
      <c r="I450" s="141"/>
      <c r="J450" s="1035" t="s">
        <v>5025</v>
      </c>
      <c r="K450" s="1034" t="s">
        <v>5026</v>
      </c>
      <c r="L450" s="50" t="s">
        <v>4866</v>
      </c>
      <c r="M450" s="49"/>
      <c r="N450" s="81"/>
      <c r="O450" s="49"/>
      <c r="P450" s="49"/>
      <c r="Q450" s="1036" t="s">
        <v>5027</v>
      </c>
      <c r="R450" s="49"/>
      <c r="S450" s="6" t="s">
        <v>129</v>
      </c>
      <c r="T450" s="52"/>
      <c r="U450" s="52"/>
      <c r="V450" s="49"/>
      <c r="W450" s="49"/>
      <c r="X450" s="49"/>
      <c r="Y450" s="13"/>
      <c r="Z450" s="13"/>
      <c r="AA450" s="13"/>
      <c r="AB450" s="13"/>
    </row>
    <row r="451" spans="1:28" x14ac:dyDescent="0.25">
      <c r="A451"/>
      <c r="B451"/>
      <c r="C451" s="11"/>
      <c r="D451" s="11"/>
      <c r="E451" s="11"/>
      <c r="F451" s="40"/>
      <c r="G451" s="40"/>
      <c r="H451" s="141">
        <v>5</v>
      </c>
      <c r="I451" s="141"/>
      <c r="J451" s="142" t="s">
        <v>5028</v>
      </c>
      <c r="K451"/>
      <c r="L451" s="50"/>
      <c r="M451" s="49"/>
      <c r="N451" s="81"/>
      <c r="O451" s="49"/>
      <c r="P451" s="49"/>
      <c r="Q451" s="49"/>
      <c r="R451" s="49"/>
      <c r="S451" s="49"/>
      <c r="T451" s="52"/>
      <c r="U451" s="52"/>
      <c r="V451" s="49"/>
      <c r="W451" s="49"/>
      <c r="X451" s="49"/>
      <c r="Y451" s="13"/>
      <c r="Z451" s="13"/>
      <c r="AA451" s="13"/>
      <c r="AB451" s="13"/>
    </row>
    <row r="452" spans="1:28" ht="22.5" customHeight="1" x14ac:dyDescent="0.25">
      <c r="A452" s="86"/>
      <c r="B452" s="86"/>
      <c r="C452" s="287"/>
      <c r="D452" s="280"/>
      <c r="E452" s="281" t="s">
        <v>4868</v>
      </c>
      <c r="F452" s="1358" t="s">
        <v>5029</v>
      </c>
      <c r="G452" s="1359"/>
      <c r="H452" s="1359"/>
      <c r="I452" s="1359"/>
      <c r="J452" s="1359"/>
      <c r="K452" s="1359"/>
      <c r="L452" s="1360"/>
      <c r="M452" s="1360"/>
      <c r="N452" s="1361"/>
      <c r="O452" s="1360"/>
      <c r="P452" s="1360"/>
      <c r="Q452" s="1360"/>
      <c r="R452" s="1360"/>
      <c r="S452" s="1360"/>
      <c r="T452" s="1360"/>
      <c r="U452" s="1360"/>
      <c r="V452" s="1360"/>
      <c r="W452" s="1360"/>
      <c r="X452" s="1360"/>
      <c r="Y452" s="282"/>
      <c r="Z452" s="282"/>
      <c r="AA452" s="282"/>
      <c r="AB452" s="282"/>
    </row>
    <row r="453" spans="1:28" ht="15.75" customHeight="1" x14ac:dyDescent="0.25">
      <c r="A453"/>
      <c r="B453"/>
      <c r="C453" s="11"/>
      <c r="D453" s="11"/>
      <c r="E453" s="11"/>
      <c r="F453" s="1037">
        <v>3</v>
      </c>
      <c r="G453" s="1347" t="s">
        <v>5030</v>
      </c>
      <c r="H453" s="1362"/>
      <c r="I453" s="1362"/>
      <c r="J453" s="1362"/>
      <c r="K453" s="1038"/>
      <c r="L453" s="1038"/>
      <c r="M453" s="1039"/>
      <c r="N453" s="1019" t="str">
        <f>HYPERLINK("http://wiki.academyofsports.online/tiki-index.php?page=Projektspezifizierung-(PP-P%C3%A4d-002)", "PP-Päd-002")</f>
        <v>PP-Päd-002</v>
      </c>
      <c r="O453" s="1022"/>
      <c r="P453" s="902"/>
      <c r="Q453" s="1022"/>
      <c r="R453" s="1022"/>
      <c r="S453" s="1022"/>
      <c r="T453" s="1022"/>
      <c r="U453" s="1022"/>
      <c r="V453" s="1022"/>
      <c r="W453" s="1022"/>
      <c r="X453" s="1022"/>
      <c r="Y453" s="13"/>
      <c r="Z453" s="13"/>
      <c r="AA453" s="13"/>
      <c r="AB453" s="13"/>
    </row>
    <row r="454" spans="1:28" ht="15.75" customHeight="1" x14ac:dyDescent="0.25">
      <c r="A454"/>
      <c r="B454"/>
      <c r="C454" s="11"/>
      <c r="D454" s="11"/>
      <c r="E454" s="11"/>
      <c r="F454" s="1037">
        <v>3</v>
      </c>
      <c r="G454" s="1356" t="s">
        <v>5031</v>
      </c>
      <c r="H454" s="1356"/>
      <c r="I454" s="1356"/>
      <c r="J454" s="1356"/>
      <c r="K454" s="1356"/>
      <c r="L454" s="1038"/>
      <c r="M454" s="1039"/>
      <c r="N454" s="902"/>
      <c r="O454" s="1022"/>
      <c r="P454" s="902"/>
      <c r="Q454" s="1022"/>
      <c r="R454" s="1022"/>
      <c r="S454" s="1022"/>
      <c r="T454" s="1022"/>
      <c r="U454" s="1022"/>
      <c r="V454" s="1022"/>
      <c r="W454" s="1022"/>
      <c r="X454" s="1022"/>
      <c r="Y454" s="13"/>
      <c r="Z454" s="13"/>
      <c r="AA454" s="13"/>
      <c r="AB454" s="13"/>
    </row>
    <row r="455" spans="1:28" ht="60" hidden="1" x14ac:dyDescent="0.25">
      <c r="A455"/>
      <c r="B455"/>
      <c r="C455" s="11"/>
      <c r="D455" s="11"/>
      <c r="E455" s="11"/>
      <c r="F455" s="28"/>
      <c r="G455" s="28">
        <v>4</v>
      </c>
      <c r="H455" s="28"/>
      <c r="I455" s="28"/>
      <c r="J455" s="6" t="s">
        <v>5032</v>
      </c>
      <c r="K455" s="6" t="s">
        <v>5033</v>
      </c>
      <c r="L455" s="128" t="s">
        <v>4701</v>
      </c>
      <c r="M455" s="24" t="s">
        <v>4874</v>
      </c>
      <c r="N455" s="24"/>
      <c r="O455" s="24"/>
      <c r="P455" s="6" t="s">
        <v>4739</v>
      </c>
      <c r="Q455" s="24"/>
      <c r="R455" s="24"/>
      <c r="S455" s="24" t="s">
        <v>4875</v>
      </c>
      <c r="T455" s="24"/>
      <c r="U455" s="24"/>
      <c r="V455" s="24"/>
      <c r="W455" s="24"/>
      <c r="X455" s="24"/>
      <c r="Y455" s="13"/>
      <c r="Z455" s="13"/>
      <c r="AA455" s="13"/>
      <c r="AB455" s="13"/>
    </row>
    <row r="456" spans="1:28" ht="75" hidden="1" x14ac:dyDescent="0.25">
      <c r="C456" s="11"/>
      <c r="D456" s="11"/>
      <c r="E456" s="11"/>
      <c r="F456" s="28"/>
      <c r="G456" s="28">
        <v>4</v>
      </c>
      <c r="H456" s="28"/>
      <c r="I456" s="28"/>
      <c r="J456" s="6" t="s">
        <v>5034</v>
      </c>
      <c r="K456" s="6" t="s">
        <v>4877</v>
      </c>
      <c r="L456" s="27" t="s">
        <v>4701</v>
      </c>
      <c r="M456" s="24" t="s">
        <v>4878</v>
      </c>
      <c r="N456" s="24"/>
      <c r="O456" s="24"/>
      <c r="P456" s="24" t="s">
        <v>4879</v>
      </c>
      <c r="Q456" s="24"/>
      <c r="R456" s="24"/>
      <c r="S456" s="24" t="s">
        <v>4875</v>
      </c>
      <c r="T456" s="24"/>
      <c r="U456" s="24"/>
      <c r="V456" s="24"/>
      <c r="W456" s="24"/>
      <c r="X456" s="24"/>
      <c r="Y456" s="13"/>
      <c r="Z456" s="13"/>
      <c r="AA456" s="13"/>
      <c r="AB456" s="13"/>
    </row>
    <row r="457" spans="1:28" ht="45" hidden="1" x14ac:dyDescent="0.25">
      <c r="C457" s="11"/>
      <c r="D457" s="11"/>
      <c r="E457" s="11"/>
      <c r="F457" s="28"/>
      <c r="G457" s="28">
        <v>4</v>
      </c>
      <c r="H457" s="28"/>
      <c r="I457" s="28"/>
      <c r="J457" s="6" t="s">
        <v>4880</v>
      </c>
      <c r="K457" s="24" t="s">
        <v>5035</v>
      </c>
      <c r="L457" s="27" t="s">
        <v>4701</v>
      </c>
      <c r="M457" s="6" t="s">
        <v>4882</v>
      </c>
      <c r="N457" s="24"/>
      <c r="O457" s="24"/>
      <c r="P457" s="24" t="s">
        <v>4879</v>
      </c>
      <c r="Q457" s="24"/>
      <c r="R457" s="24"/>
      <c r="S457" s="24"/>
      <c r="T457" s="24"/>
      <c r="U457" s="24"/>
      <c r="V457" s="24"/>
      <c r="W457" s="24"/>
      <c r="X457" s="24"/>
      <c r="Y457" s="13"/>
      <c r="Z457" s="13"/>
      <c r="AA457" s="13"/>
      <c r="AB457" s="13"/>
    </row>
    <row r="458" spans="1:28" hidden="1" x14ac:dyDescent="0.25">
      <c r="C458" s="11"/>
      <c r="D458" s="11"/>
      <c r="E458" s="11"/>
      <c r="F458" s="28"/>
      <c r="G458" s="28"/>
      <c r="H458" s="28"/>
      <c r="I458" s="28"/>
      <c r="J458" s="6" t="s">
        <v>5036</v>
      </c>
      <c r="K458" s="24"/>
      <c r="L458" s="27"/>
      <c r="M458" s="6"/>
      <c r="N458" s="24"/>
      <c r="O458" s="24"/>
      <c r="P458" s="24"/>
      <c r="Q458" s="24"/>
      <c r="R458" s="24"/>
      <c r="S458" s="24"/>
      <c r="T458" s="24"/>
      <c r="U458" s="24"/>
      <c r="V458" s="24"/>
      <c r="W458" s="24"/>
      <c r="X458" s="24"/>
      <c r="Y458" s="13"/>
      <c r="Z458" s="13"/>
      <c r="AA458" s="13"/>
      <c r="AB458" s="13"/>
    </row>
    <row r="459" spans="1:28" hidden="1" x14ac:dyDescent="0.25">
      <c r="C459" s="11"/>
      <c r="D459" s="11"/>
      <c r="E459" s="11"/>
      <c r="F459" s="28"/>
      <c r="G459" s="28"/>
      <c r="H459" s="28"/>
      <c r="I459" s="28"/>
      <c r="J459" s="6" t="s">
        <v>4885</v>
      </c>
      <c r="K459" s="24"/>
      <c r="L459" s="27"/>
      <c r="M459" s="6"/>
      <c r="N459" s="24"/>
      <c r="O459" s="24"/>
      <c r="P459" s="24"/>
      <c r="Q459" s="24"/>
      <c r="R459" s="24"/>
      <c r="S459" s="24"/>
      <c r="T459" s="24"/>
      <c r="U459" s="24"/>
      <c r="V459" s="24"/>
      <c r="W459" s="24"/>
      <c r="X459" s="24"/>
      <c r="Y459" s="13"/>
      <c r="Z459" s="13"/>
      <c r="AA459" s="13"/>
      <c r="AB459" s="13"/>
    </row>
    <row r="460" spans="1:28" hidden="1" x14ac:dyDescent="0.25">
      <c r="C460" s="11"/>
      <c r="D460" s="11"/>
      <c r="E460" s="11"/>
      <c r="F460" s="11"/>
      <c r="G460" s="11">
        <v>4</v>
      </c>
      <c r="H460" s="11"/>
      <c r="I460" s="11"/>
      <c r="J460" s="6"/>
      <c r="K460" s="6"/>
      <c r="L460" s="8"/>
      <c r="M460" s="6"/>
      <c r="N460" s="6"/>
      <c r="O460" s="6"/>
      <c r="P460" s="6"/>
      <c r="Q460" s="6"/>
      <c r="R460" s="6"/>
      <c r="S460" s="24"/>
      <c r="T460" s="6"/>
      <c r="U460" s="6"/>
      <c r="V460" s="6"/>
      <c r="W460" s="6"/>
      <c r="X460" s="6"/>
    </row>
    <row r="461" spans="1:28" ht="45" hidden="1" x14ac:dyDescent="0.25">
      <c r="C461" s="11"/>
      <c r="D461" s="11"/>
      <c r="E461" s="11"/>
      <c r="F461" s="11"/>
      <c r="G461" s="11"/>
      <c r="H461" s="11">
        <v>5</v>
      </c>
      <c r="I461" s="11"/>
      <c r="J461" s="6" t="s">
        <v>4891</v>
      </c>
      <c r="K461" s="6" t="s">
        <v>4892</v>
      </c>
      <c r="L461" s="8" t="s">
        <v>4701</v>
      </c>
      <c r="M461" s="6" t="s">
        <v>4893</v>
      </c>
      <c r="N461" s="6"/>
      <c r="O461" s="6"/>
      <c r="P461" s="6" t="s">
        <v>4894</v>
      </c>
      <c r="Q461" s="6"/>
      <c r="R461" s="6"/>
      <c r="S461" s="24" t="s">
        <v>4875</v>
      </c>
      <c r="T461" s="6"/>
      <c r="U461" s="6"/>
      <c r="V461" s="6"/>
      <c r="W461" s="6"/>
      <c r="X461" s="6"/>
    </row>
    <row r="462" spans="1:28" hidden="1" x14ac:dyDescent="0.25">
      <c r="C462" s="11"/>
      <c r="D462" s="11"/>
      <c r="E462" s="11"/>
      <c r="F462" s="11"/>
      <c r="G462" s="11"/>
      <c r="H462" s="11">
        <v>5</v>
      </c>
      <c r="I462" s="11"/>
      <c r="J462" s="6" t="s">
        <v>4889</v>
      </c>
      <c r="K462" s="6" t="s">
        <v>4890</v>
      </c>
      <c r="L462" s="8" t="s">
        <v>4701</v>
      </c>
      <c r="M462" s="6"/>
      <c r="N462" s="6"/>
      <c r="O462" s="6"/>
      <c r="P462" s="6"/>
      <c r="Q462" s="6"/>
      <c r="R462" s="6"/>
      <c r="S462" s="24"/>
      <c r="T462" s="6"/>
      <c r="U462" s="6"/>
      <c r="V462" s="6"/>
      <c r="W462" s="6"/>
      <c r="X462" s="6"/>
    </row>
    <row r="463" spans="1:28" hidden="1" x14ac:dyDescent="0.25">
      <c r="C463" s="11"/>
      <c r="D463" s="11"/>
      <c r="E463" s="11"/>
      <c r="F463" s="11"/>
      <c r="G463" s="11"/>
      <c r="H463" s="11">
        <v>5</v>
      </c>
      <c r="I463" s="11"/>
      <c r="J463" s="6" t="s">
        <v>4887</v>
      </c>
      <c r="K463" s="6" t="s">
        <v>4888</v>
      </c>
      <c r="L463" s="8" t="s">
        <v>4781</v>
      </c>
      <c r="M463" s="6"/>
      <c r="N463" s="6"/>
      <c r="O463" s="6"/>
      <c r="P463" s="6"/>
      <c r="Q463" s="6"/>
      <c r="R463" s="6"/>
      <c r="S463" s="24" t="s">
        <v>4813</v>
      </c>
      <c r="T463" s="6"/>
      <c r="U463" s="6"/>
      <c r="V463" s="6"/>
      <c r="W463" s="6"/>
      <c r="X463" s="6"/>
    </row>
    <row r="464" spans="1:28" ht="105" hidden="1" x14ac:dyDescent="0.25">
      <c r="C464" s="11"/>
      <c r="D464" s="11"/>
      <c r="E464" s="11"/>
      <c r="F464" s="11"/>
      <c r="G464" s="11">
        <v>4</v>
      </c>
      <c r="H464" s="11"/>
      <c r="I464" s="11"/>
      <c r="J464" s="6" t="s">
        <v>5037</v>
      </c>
      <c r="K464" s="6" t="s">
        <v>5038</v>
      </c>
      <c r="L464" s="8" t="s">
        <v>4701</v>
      </c>
      <c r="M464" s="6" t="s">
        <v>4893</v>
      </c>
      <c r="N464" s="719" t="str">
        <f>HYPERLINK("http://wiki.academyofsports.online/tiki-index.php?page=Produktvorstellung-1-(PP-TL-002)", "PP-TL-002")</f>
        <v>PP-TL-002</v>
      </c>
      <c r="O464" s="6"/>
      <c r="P464" s="754" t="s">
        <v>5039</v>
      </c>
      <c r="Q464"/>
      <c r="R464" s="6"/>
      <c r="S464" s="24" t="s">
        <v>4875</v>
      </c>
      <c r="T464" s="6"/>
      <c r="U464" s="6"/>
      <c r="V464" s="6"/>
      <c r="W464" s="6"/>
      <c r="X464" s="6"/>
    </row>
    <row r="465" spans="1:28" ht="45" hidden="1" x14ac:dyDescent="0.25">
      <c r="C465" s="11"/>
      <c r="D465" s="11"/>
      <c r="E465" s="11"/>
      <c r="F465" s="11"/>
      <c r="G465" s="11"/>
      <c r="H465" s="11">
        <v>5</v>
      </c>
      <c r="I465" s="11"/>
      <c r="J465" s="6" t="s">
        <v>4898</v>
      </c>
      <c r="K465" s="6" t="s">
        <v>4899</v>
      </c>
      <c r="L465" s="8" t="s">
        <v>4701</v>
      </c>
      <c r="M465" s="6" t="s">
        <v>4893</v>
      </c>
      <c r="N465" s="6"/>
      <c r="O465" s="6"/>
      <c r="P465" s="6" t="s">
        <v>4900</v>
      </c>
      <c r="Q465" s="6"/>
      <c r="R465" s="6" t="s">
        <v>4901</v>
      </c>
      <c r="S465" s="24" t="s">
        <v>4875</v>
      </c>
      <c r="T465" s="6"/>
      <c r="U465" s="6"/>
      <c r="V465" s="6"/>
      <c r="W465" s="6"/>
      <c r="X465" s="6"/>
    </row>
    <row r="466" spans="1:28" x14ac:dyDescent="0.25">
      <c r="C466" s="11"/>
      <c r="D466" s="11"/>
      <c r="E466" s="11"/>
      <c r="F466" s="11"/>
      <c r="G466" s="11"/>
      <c r="H466" s="11"/>
      <c r="I466" s="11"/>
      <c r="J466" s="6"/>
      <c r="K466" s="6"/>
      <c r="L466" s="8"/>
      <c r="M466" s="6"/>
      <c r="N466" s="6"/>
      <c r="O466" s="6"/>
      <c r="P466" s="6"/>
      <c r="Q466" s="6"/>
      <c r="R466" s="6"/>
      <c r="S466" s="24"/>
      <c r="T466" s="6"/>
      <c r="U466" s="6"/>
      <c r="V466" s="6"/>
      <c r="W466" s="6"/>
      <c r="X466" s="6"/>
    </row>
    <row r="467" spans="1:28" ht="15.75" customHeight="1" x14ac:dyDescent="0.25">
      <c r="C467" s="11"/>
      <c r="D467" s="11"/>
      <c r="E467" s="11"/>
      <c r="F467" s="41"/>
      <c r="G467" s="41"/>
      <c r="H467" s="41">
        <v>5</v>
      </c>
      <c r="I467" s="41"/>
      <c r="J467" s="20" t="s">
        <v>5040</v>
      </c>
      <c r="K467" s="82" t="s">
        <v>5041</v>
      </c>
      <c r="L467" s="8" t="s">
        <v>5042</v>
      </c>
      <c r="M467" s="82"/>
      <c r="N467" s="83"/>
      <c r="O467" s="82"/>
      <c r="P467" s="82"/>
      <c r="Q467" s="82"/>
      <c r="R467" s="82"/>
      <c r="S467" s="82" t="s">
        <v>5008</v>
      </c>
      <c r="T467" s="84"/>
      <c r="U467" s="84"/>
      <c r="V467" s="82"/>
      <c r="W467" s="82"/>
      <c r="X467" s="82"/>
    </row>
    <row r="468" spans="1:28" ht="30" x14ac:dyDescent="0.25">
      <c r="C468" s="11"/>
      <c r="D468" s="11"/>
      <c r="E468" s="11"/>
      <c r="F468" s="41"/>
      <c r="G468" s="41"/>
      <c r="H468" s="41"/>
      <c r="I468" s="41"/>
      <c r="J468" s="20" t="s">
        <v>5043</v>
      </c>
      <c r="K468" s="82"/>
      <c r="L468" s="8"/>
      <c r="M468" s="82"/>
      <c r="N468" s="83"/>
      <c r="O468" s="82"/>
      <c r="P468" s="82"/>
      <c r="Q468" s="82"/>
      <c r="R468" s="82"/>
      <c r="S468" s="82"/>
      <c r="T468" s="84"/>
      <c r="U468" s="84"/>
      <c r="V468" s="82"/>
      <c r="W468" s="82"/>
      <c r="X468" s="82"/>
    </row>
    <row r="469" spans="1:28" ht="15.75" customHeight="1" x14ac:dyDescent="0.25">
      <c r="A469"/>
      <c r="B469"/>
      <c r="C469" s="11"/>
      <c r="D469" s="11"/>
      <c r="E469" s="11"/>
      <c r="F469" s="1037"/>
      <c r="G469" s="1356" t="s">
        <v>5044</v>
      </c>
      <c r="H469" s="1356"/>
      <c r="I469" s="1356"/>
      <c r="J469" s="1356"/>
      <c r="K469" s="1356"/>
      <c r="L469" s="1038"/>
      <c r="M469" s="1039"/>
      <c r="N469" s="902"/>
      <c r="O469" s="1022"/>
      <c r="P469" s="902"/>
      <c r="Q469" s="1022"/>
      <c r="R469" s="1022"/>
      <c r="S469" s="1022"/>
      <c r="T469" s="1022"/>
      <c r="U469" s="1022"/>
      <c r="V469" s="1022"/>
      <c r="W469" s="1022"/>
      <c r="X469" s="1022"/>
      <c r="Y469" s="13"/>
      <c r="Z469" s="13"/>
      <c r="AA469" s="13"/>
      <c r="AB469" s="13"/>
    </row>
    <row r="470" spans="1:28" ht="60" x14ac:dyDescent="0.25">
      <c r="C470" s="11"/>
      <c r="D470" s="11"/>
      <c r="E470" s="11"/>
      <c r="F470" s="11"/>
      <c r="G470" s="11">
        <v>4</v>
      </c>
      <c r="H470" s="11"/>
      <c r="I470" s="11"/>
      <c r="J470" s="6" t="s">
        <v>5045</v>
      </c>
      <c r="K470" s="1"/>
      <c r="L470" s="8" t="s">
        <v>4701</v>
      </c>
      <c r="M470" s="6"/>
      <c r="N470" s="22"/>
      <c r="O470" s="6"/>
      <c r="P470" s="6"/>
      <c r="Q470" s="6"/>
      <c r="R470" s="6" t="s">
        <v>5046</v>
      </c>
      <c r="S470" s="24" t="s">
        <v>4875</v>
      </c>
      <c r="T470" s="16"/>
      <c r="U470" s="16"/>
      <c r="V470" s="6"/>
      <c r="W470" s="6"/>
      <c r="X470" s="6"/>
      <c r="Y470" s="13"/>
      <c r="Z470" s="13"/>
      <c r="AA470" s="13"/>
      <c r="AB470" s="13"/>
    </row>
    <row r="471" spans="1:28" x14ac:dyDescent="0.25">
      <c r="C471" s="11"/>
      <c r="D471" s="11"/>
      <c r="E471" s="11"/>
      <c r="F471" s="11"/>
      <c r="G471" s="11"/>
      <c r="H471" s="11"/>
      <c r="I471" s="11"/>
      <c r="J471" s="6" t="s">
        <v>5047</v>
      </c>
      <c r="K471" s="1"/>
      <c r="L471" s="8"/>
      <c r="M471" s="6"/>
      <c r="N471" s="22"/>
      <c r="O471" s="6"/>
      <c r="P471" s="6"/>
      <c r="Q471" s="6"/>
      <c r="R471" s="6"/>
      <c r="S471" s="24"/>
      <c r="T471" s="16"/>
      <c r="U471" s="16"/>
      <c r="V471" s="6"/>
      <c r="W471" s="6"/>
      <c r="X471" s="6"/>
      <c r="Y471" s="13"/>
      <c r="Z471" s="13"/>
      <c r="AA471" s="13"/>
      <c r="AB471" s="13"/>
    </row>
    <row r="472" spans="1:28" ht="30" x14ac:dyDescent="0.25">
      <c r="C472" s="11"/>
      <c r="D472" s="11"/>
      <c r="E472" s="11"/>
      <c r="F472" s="203">
        <v>3</v>
      </c>
      <c r="G472" s="1347" t="s">
        <v>5048</v>
      </c>
      <c r="H472" s="1348"/>
      <c r="I472" s="1348"/>
      <c r="J472" s="1018"/>
      <c r="K472" s="1018"/>
      <c r="L472" s="752"/>
      <c r="M472" s="283"/>
      <c r="N472" s="1019" t="str">
        <f>HYPERLINK("http://wiki.academyofsports.online/tiki-index.php?page=Stellenanzeige-aufgeben-(0166)", "PP-Päd-001  (0166)")</f>
        <v>PP-Päd-001  (0166)</v>
      </c>
      <c r="O472" s="902"/>
      <c r="P472" s="902"/>
      <c r="Q472" s="902"/>
      <c r="R472" s="902"/>
      <c r="S472" s="902"/>
      <c r="T472" s="1020"/>
      <c r="U472" s="1020"/>
      <c r="V472" s="902"/>
      <c r="W472" s="902"/>
      <c r="X472" s="902"/>
      <c r="Y472" s="13"/>
      <c r="Z472" s="13"/>
      <c r="AA472" s="13"/>
      <c r="AB472" s="13"/>
    </row>
    <row r="473" spans="1:28" ht="51.75" x14ac:dyDescent="0.25">
      <c r="C473" s="11"/>
      <c r="D473" s="11"/>
      <c r="E473" s="11"/>
      <c r="F473" s="11"/>
      <c r="G473" s="235">
        <v>4</v>
      </c>
      <c r="H473" s="235"/>
      <c r="I473" s="235"/>
      <c r="J473" s="236" t="s">
        <v>5049</v>
      </c>
      <c r="K473" s="82" t="s">
        <v>5050</v>
      </c>
      <c r="L473" s="237" t="s">
        <v>4701</v>
      </c>
      <c r="M473" s="236" t="s">
        <v>5051</v>
      </c>
      <c r="N473" s="149"/>
      <c r="O473" s="24"/>
      <c r="P473" s="6" t="s">
        <v>4985</v>
      </c>
      <c r="Q473" s="24"/>
      <c r="R473" s="150" t="s">
        <v>4986</v>
      </c>
      <c r="S473" s="24" t="s">
        <v>4875</v>
      </c>
      <c r="T473" s="151"/>
      <c r="U473" s="151"/>
      <c r="V473" s="24"/>
      <c r="W473" s="24"/>
      <c r="X473" s="24"/>
      <c r="Y473" s="13"/>
      <c r="Z473" s="13"/>
      <c r="AA473" s="13"/>
      <c r="AB473" s="13"/>
    </row>
    <row r="474" spans="1:28" ht="45" x14ac:dyDescent="0.25">
      <c r="C474" s="11"/>
      <c r="D474" s="11"/>
      <c r="E474" s="11"/>
      <c r="F474" s="11"/>
      <c r="G474" s="28">
        <v>4</v>
      </c>
      <c r="H474" s="28"/>
      <c r="I474" s="28"/>
      <c r="J474" s="6" t="s">
        <v>5052</v>
      </c>
      <c r="K474" s="6" t="s">
        <v>5053</v>
      </c>
      <c r="L474" s="27" t="s">
        <v>4701</v>
      </c>
      <c r="M474" s="24"/>
      <c r="N474" s="22" t="s">
        <v>4987</v>
      </c>
      <c r="O474" s="24"/>
      <c r="P474" s="24" t="s">
        <v>4988</v>
      </c>
      <c r="Q474" s="24"/>
      <c r="R474" s="24"/>
      <c r="S474" s="24" t="s">
        <v>4813</v>
      </c>
      <c r="T474" s="24"/>
      <c r="U474" s="24"/>
      <c r="V474" s="24"/>
      <c r="W474" s="24"/>
      <c r="X474" s="24"/>
    </row>
    <row r="475" spans="1:28" x14ac:dyDescent="0.25">
      <c r="C475" s="11"/>
      <c r="D475" s="11"/>
      <c r="E475" s="11"/>
      <c r="F475" s="11"/>
      <c r="G475" s="841">
        <v>4</v>
      </c>
      <c r="H475" s="1349" t="s">
        <v>4640</v>
      </c>
      <c r="I475" s="1230"/>
      <c r="J475" s="1230"/>
      <c r="K475" s="1230"/>
      <c r="L475" s="1230"/>
      <c r="M475" s="1230"/>
      <c r="N475" s="1040" t="str">
        <f>HYPERLINK("http://wiki.academyofsports.online/tiki-index.php?page=Stellenanzeige-aufgeben-(0166)", "0166")</f>
        <v>0166</v>
      </c>
      <c r="O475" s="902"/>
      <c r="P475" s="902"/>
      <c r="Q475" s="902"/>
      <c r="R475" s="902"/>
      <c r="S475" s="1022"/>
      <c r="T475" s="1020"/>
      <c r="U475" s="1020"/>
      <c r="V475" s="902"/>
      <c r="W475" s="902"/>
      <c r="X475" s="902"/>
      <c r="Y475" s="1041"/>
      <c r="Z475" s="1041"/>
      <c r="AA475" s="1041"/>
      <c r="AB475" s="1041"/>
    </row>
    <row r="476" spans="1:28" ht="30" x14ac:dyDescent="0.25">
      <c r="C476" s="11"/>
      <c r="D476" s="11"/>
      <c r="E476" s="11"/>
      <c r="F476" s="11"/>
      <c r="G476" s="11"/>
      <c r="H476" s="11">
        <v>5</v>
      </c>
      <c r="I476" s="11"/>
      <c r="J476" s="6" t="s">
        <v>5054</v>
      </c>
      <c r="K476" s="6" t="s">
        <v>5055</v>
      </c>
      <c r="L476" s="27" t="s">
        <v>4701</v>
      </c>
      <c r="M476" s="24" t="s">
        <v>5056</v>
      </c>
      <c r="N476" s="149" t="s">
        <v>4989</v>
      </c>
      <c r="O476" s="6"/>
      <c r="P476" s="6" t="s">
        <v>4990</v>
      </c>
      <c r="Q476" s="6"/>
      <c r="R476" s="6"/>
      <c r="S476" s="24"/>
      <c r="T476" s="16"/>
      <c r="U476" s="16"/>
      <c r="V476" s="6"/>
      <c r="W476" s="6"/>
      <c r="X476" s="6"/>
    </row>
    <row r="477" spans="1:28" ht="45" x14ac:dyDescent="0.25">
      <c r="C477" s="11"/>
      <c r="D477" s="11"/>
      <c r="E477" s="11"/>
      <c r="F477" s="11"/>
      <c r="G477" s="28"/>
      <c r="H477" s="28">
        <v>5</v>
      </c>
      <c r="I477" s="28"/>
      <c r="J477" s="6" t="s">
        <v>5057</v>
      </c>
      <c r="K477" s="6" t="s">
        <v>5058</v>
      </c>
      <c r="L477" s="8" t="s">
        <v>4851</v>
      </c>
      <c r="M477" s="24" t="s">
        <v>5056</v>
      </c>
      <c r="N477" s="149" t="s">
        <v>4989</v>
      </c>
      <c r="O477" s="24"/>
      <c r="P477" s="24"/>
      <c r="Q477" s="24"/>
      <c r="R477" s="24"/>
      <c r="S477" s="24" t="s">
        <v>4875</v>
      </c>
      <c r="T477" s="24"/>
      <c r="U477" s="24"/>
      <c r="V477" s="24"/>
      <c r="W477" s="24"/>
      <c r="X477" s="24"/>
    </row>
    <row r="478" spans="1:28" ht="30" x14ac:dyDescent="0.25">
      <c r="C478" s="11"/>
      <c r="D478" s="11"/>
      <c r="E478" s="11"/>
      <c r="F478" s="11"/>
      <c r="G478" s="11"/>
      <c r="H478" s="11">
        <v>5</v>
      </c>
      <c r="I478" s="11"/>
      <c r="J478" s="6" t="s">
        <v>5059</v>
      </c>
      <c r="K478" s="6" t="s">
        <v>5060</v>
      </c>
      <c r="L478" s="27" t="s">
        <v>969</v>
      </c>
      <c r="M478" s="24" t="s">
        <v>5056</v>
      </c>
      <c r="N478" s="22"/>
      <c r="O478" s="6"/>
      <c r="P478" s="6" t="s">
        <v>4991</v>
      </c>
      <c r="Q478" s="6"/>
      <c r="R478" s="6"/>
      <c r="S478" s="24" t="s">
        <v>4813</v>
      </c>
      <c r="T478" s="16"/>
      <c r="U478" s="16"/>
      <c r="V478" s="6"/>
      <c r="W478" s="6"/>
      <c r="X478" s="6"/>
    </row>
    <row r="479" spans="1:28" ht="30" x14ac:dyDescent="0.25">
      <c r="C479" s="11"/>
      <c r="D479" s="11"/>
      <c r="E479" s="11"/>
      <c r="F479" s="11"/>
      <c r="G479" s="11"/>
      <c r="H479" s="11">
        <v>5</v>
      </c>
      <c r="I479" s="11"/>
      <c r="J479" s="6" t="s">
        <v>5061</v>
      </c>
      <c r="K479" s="6" t="s">
        <v>5062</v>
      </c>
      <c r="L479" s="8" t="s">
        <v>4701</v>
      </c>
      <c r="M479" s="24" t="s">
        <v>5056</v>
      </c>
      <c r="N479" s="22"/>
      <c r="O479" s="6"/>
      <c r="P479" s="6"/>
      <c r="Q479" s="6"/>
      <c r="R479" s="6"/>
      <c r="S479" s="24"/>
      <c r="T479" s="16"/>
      <c r="U479" s="16"/>
      <c r="V479" s="6"/>
      <c r="W479" s="6"/>
      <c r="X479" s="6"/>
    </row>
    <row r="480" spans="1:28" ht="30" x14ac:dyDescent="0.25">
      <c r="C480" s="11"/>
      <c r="D480" s="11"/>
      <c r="E480" s="11"/>
      <c r="F480" s="11"/>
      <c r="G480" s="11"/>
      <c r="H480" s="11">
        <v>5</v>
      </c>
      <c r="I480" s="11"/>
      <c r="J480" s="6" t="s">
        <v>5063</v>
      </c>
      <c r="K480" s="6" t="s">
        <v>5064</v>
      </c>
      <c r="L480" s="8" t="s">
        <v>4701</v>
      </c>
      <c r="M480" s="6"/>
      <c r="N480" s="22"/>
      <c r="O480" s="6"/>
      <c r="P480" s="6" t="s">
        <v>4992</v>
      </c>
      <c r="Q480" s="6"/>
      <c r="R480" s="6" t="s">
        <v>4993</v>
      </c>
      <c r="S480" s="24"/>
      <c r="T480" s="16"/>
      <c r="U480" s="16"/>
      <c r="V480" s="6"/>
      <c r="W480" s="6"/>
      <c r="X480" s="6"/>
    </row>
    <row r="481" spans="1:28" ht="16.5" customHeight="1" x14ac:dyDescent="0.25">
      <c r="C481" s="11"/>
      <c r="D481" s="11"/>
      <c r="E481" s="11"/>
      <c r="F481" s="11"/>
      <c r="G481" s="841">
        <v>4</v>
      </c>
      <c r="H481" s="1350" t="s">
        <v>5065</v>
      </c>
      <c r="I481" s="1231"/>
      <c r="J481" s="1231"/>
      <c r="K481" s="1231"/>
      <c r="L481" s="1231"/>
      <c r="M481" s="1231"/>
      <c r="N481" s="1019" t="str">
        <f>HYPERLINK("http://wiki.academyofsports.online/tiki-index.php?page=Bewerbungsprozess---Autor-(-PP-P%C3%A4d-004)", "PP-Päd-004")</f>
        <v>PP-Päd-004</v>
      </c>
      <c r="O481" s="902"/>
      <c r="P481" s="902"/>
      <c r="Q481" s="902"/>
      <c r="R481" s="902"/>
      <c r="S481" s="1022"/>
      <c r="T481" s="1020"/>
      <c r="U481" s="1020"/>
      <c r="V481" s="902"/>
      <c r="W481" s="902"/>
      <c r="X481" s="902"/>
      <c r="Y481" s="1041"/>
      <c r="Z481" s="1041"/>
      <c r="AA481" s="1041"/>
      <c r="AB481" s="1041"/>
    </row>
    <row r="482" spans="1:28" ht="60" x14ac:dyDescent="0.25">
      <c r="C482" s="6"/>
      <c r="D482" s="11"/>
      <c r="E482" s="11"/>
      <c r="F482" s="11"/>
      <c r="G482" s="11"/>
      <c r="H482" s="11">
        <v>5</v>
      </c>
      <c r="I482" s="11"/>
      <c r="J482" s="6" t="s">
        <v>5066</v>
      </c>
      <c r="K482" s="6" t="s">
        <v>5067</v>
      </c>
      <c r="L482" s="27" t="s">
        <v>4701</v>
      </c>
      <c r="M482" s="6" t="s">
        <v>5056</v>
      </c>
      <c r="N482" s="22"/>
      <c r="O482" s="6"/>
      <c r="P482" s="6" t="s">
        <v>4994</v>
      </c>
      <c r="Q482" s="6"/>
      <c r="R482" s="6"/>
      <c r="S482" s="24" t="s">
        <v>4875</v>
      </c>
      <c r="T482" s="16" t="s">
        <v>31</v>
      </c>
      <c r="U482" s="16"/>
      <c r="V482" s="6"/>
      <c r="W482" s="6"/>
      <c r="X482" s="6"/>
    </row>
    <row r="483" spans="1:28" ht="90" x14ac:dyDescent="0.25">
      <c r="C483" s="6"/>
      <c r="D483" s="11"/>
      <c r="E483" s="11"/>
      <c r="F483" s="134"/>
      <c r="G483" s="134"/>
      <c r="H483" s="134">
        <v>5</v>
      </c>
      <c r="I483" s="134"/>
      <c r="J483" s="12" t="s">
        <v>5068</v>
      </c>
      <c r="K483" s="12" t="s">
        <v>5069</v>
      </c>
      <c r="L483" s="27" t="s">
        <v>4701</v>
      </c>
      <c r="M483" s="12" t="s">
        <v>5070</v>
      </c>
      <c r="N483" s="127"/>
      <c r="O483" s="127"/>
      <c r="P483" s="127" t="s">
        <v>4995</v>
      </c>
      <c r="Q483" s="127"/>
      <c r="R483" s="12"/>
      <c r="S483" s="129" t="s">
        <v>4813</v>
      </c>
      <c r="T483" s="129"/>
      <c r="U483" s="129"/>
      <c r="V483" s="127"/>
      <c r="W483" s="127"/>
      <c r="X483" s="127"/>
    </row>
    <row r="484" spans="1:28" ht="45" x14ac:dyDescent="0.25">
      <c r="C484" s="11"/>
      <c r="D484" s="11"/>
      <c r="E484" s="11"/>
      <c r="F484" s="134"/>
      <c r="G484" s="134"/>
      <c r="H484" s="134">
        <v>5</v>
      </c>
      <c r="I484" s="134"/>
      <c r="J484" s="12" t="s">
        <v>5071</v>
      </c>
      <c r="K484" s="12" t="s">
        <v>5072</v>
      </c>
      <c r="L484" s="27" t="s">
        <v>4701</v>
      </c>
      <c r="M484" s="12" t="s">
        <v>5073</v>
      </c>
      <c r="N484" s="289"/>
      <c r="O484" s="127"/>
      <c r="P484" s="127"/>
      <c r="Q484" s="127"/>
      <c r="R484" s="12"/>
      <c r="S484" s="129"/>
      <c r="T484" s="129"/>
      <c r="U484" s="129"/>
      <c r="V484" s="127"/>
      <c r="W484" s="127"/>
      <c r="X484" s="127"/>
    </row>
    <row r="485" spans="1:28" ht="25.5" x14ac:dyDescent="0.25">
      <c r="C485" s="11"/>
      <c r="D485" s="11"/>
      <c r="E485" s="11"/>
      <c r="F485" s="134"/>
      <c r="G485" s="134"/>
      <c r="H485" s="134">
        <v>5</v>
      </c>
      <c r="I485" s="134"/>
      <c r="J485" s="12" t="s">
        <v>5074</v>
      </c>
      <c r="K485" s="12" t="s">
        <v>5075</v>
      </c>
      <c r="L485" s="27" t="s">
        <v>4701</v>
      </c>
      <c r="M485" s="12"/>
      <c r="N485" s="127"/>
      <c r="O485" s="127"/>
      <c r="P485" s="127" t="s">
        <v>4996</v>
      </c>
      <c r="Q485" s="127"/>
      <c r="R485" s="12"/>
      <c r="S485" s="129" t="s">
        <v>4813</v>
      </c>
      <c r="T485" s="129"/>
      <c r="U485" s="129"/>
      <c r="V485" s="127"/>
      <c r="W485" s="127"/>
      <c r="X485" s="127"/>
    </row>
    <row r="486" spans="1:28" ht="57.75" x14ac:dyDescent="0.25">
      <c r="C486" s="11"/>
      <c r="D486" s="11"/>
      <c r="E486" s="11"/>
      <c r="F486" s="134"/>
      <c r="G486" s="134"/>
      <c r="H486" s="134">
        <v>5</v>
      </c>
      <c r="I486" s="134"/>
      <c r="J486" s="12" t="s">
        <v>5076</v>
      </c>
      <c r="K486" s="12" t="s">
        <v>5077</v>
      </c>
      <c r="L486" s="27" t="s">
        <v>4701</v>
      </c>
      <c r="M486" s="12"/>
      <c r="N486" s="127"/>
      <c r="O486" s="127"/>
      <c r="P486" s="127" t="s">
        <v>4996</v>
      </c>
      <c r="Q486" s="127"/>
      <c r="R486" s="12"/>
      <c r="S486" s="129" t="s">
        <v>4813</v>
      </c>
      <c r="T486" s="129"/>
      <c r="U486" s="129"/>
      <c r="V486" s="127"/>
      <c r="W486" s="127"/>
      <c r="X486" s="127"/>
    </row>
    <row r="487" spans="1:28" ht="45" x14ac:dyDescent="0.25">
      <c r="C487" s="11"/>
      <c r="D487" s="11"/>
      <c r="E487" s="11"/>
      <c r="F487" s="11"/>
      <c r="G487" s="40"/>
      <c r="H487" s="40">
        <v>5</v>
      </c>
      <c r="I487" s="40"/>
      <c r="J487" s="49" t="s">
        <v>5078</v>
      </c>
      <c r="K487" s="49" t="s">
        <v>5079</v>
      </c>
      <c r="L487" s="50" t="s">
        <v>4701</v>
      </c>
      <c r="M487" s="49" t="s">
        <v>5080</v>
      </c>
      <c r="N487" s="22"/>
      <c r="O487" s="6"/>
      <c r="P487" s="6"/>
      <c r="Q487" s="6"/>
      <c r="R487" s="6"/>
      <c r="S487" s="6" t="s">
        <v>4813</v>
      </c>
      <c r="T487" s="16"/>
      <c r="U487" s="16"/>
      <c r="V487" s="6"/>
      <c r="W487" s="6"/>
      <c r="X487" s="6"/>
    </row>
    <row r="488" spans="1:28" x14ac:dyDescent="0.25">
      <c r="C488" s="11"/>
      <c r="D488" s="11"/>
      <c r="E488" s="11"/>
      <c r="F488" s="11"/>
      <c r="G488" s="40"/>
      <c r="H488" s="40">
        <v>5</v>
      </c>
      <c r="I488" s="40"/>
      <c r="J488" s="49" t="s">
        <v>5081</v>
      </c>
      <c r="K488" s="49" t="s">
        <v>5082</v>
      </c>
      <c r="L488" s="50" t="s">
        <v>5083</v>
      </c>
      <c r="M488" s="49"/>
      <c r="N488" s="22"/>
      <c r="O488" s="6"/>
      <c r="P488" s="6"/>
      <c r="Q488" s="6"/>
      <c r="R488" s="6"/>
      <c r="S488" s="6" t="s">
        <v>4813</v>
      </c>
      <c r="T488" s="16"/>
      <c r="U488" s="16"/>
      <c r="V488" s="6"/>
      <c r="W488" s="6"/>
      <c r="X488" s="6"/>
    </row>
    <row r="489" spans="1:28" ht="60" x14ac:dyDescent="0.25">
      <c r="C489" s="11"/>
      <c r="D489" s="11"/>
      <c r="E489" s="11"/>
      <c r="F489" s="134"/>
      <c r="G489" s="134"/>
      <c r="H489" s="134">
        <v>5</v>
      </c>
      <c r="I489" s="134"/>
      <c r="J489" s="12" t="s">
        <v>5084</v>
      </c>
      <c r="K489" s="12" t="s">
        <v>5085</v>
      </c>
      <c r="L489" s="27" t="s">
        <v>4701</v>
      </c>
      <c r="M489" s="12" t="s">
        <v>5086</v>
      </c>
      <c r="N489" s="127"/>
      <c r="O489" s="127"/>
      <c r="P489" s="127" t="s">
        <v>4997</v>
      </c>
      <c r="Q489" s="127"/>
      <c r="R489" s="150" t="s">
        <v>4998</v>
      </c>
      <c r="S489" s="129"/>
      <c r="T489" s="129"/>
      <c r="U489" s="129"/>
      <c r="V489" s="127"/>
      <c r="W489" s="127"/>
      <c r="X489" s="127"/>
    </row>
    <row r="490" spans="1:28" x14ac:dyDescent="0.25">
      <c r="C490" s="11"/>
      <c r="D490" s="11"/>
      <c r="E490" s="11"/>
      <c r="F490" s="134"/>
      <c r="G490" s="134"/>
      <c r="H490" s="134">
        <v>5</v>
      </c>
      <c r="I490" s="134"/>
      <c r="J490" s="127" t="s">
        <v>5087</v>
      </c>
      <c r="K490" s="12" t="s">
        <v>5088</v>
      </c>
      <c r="L490" s="72" t="s">
        <v>5089</v>
      </c>
      <c r="M490" s="127"/>
      <c r="N490" s="127"/>
      <c r="O490" s="127"/>
      <c r="P490" s="127"/>
      <c r="Q490" s="127"/>
      <c r="R490" s="12"/>
      <c r="S490" s="129"/>
      <c r="T490" s="129"/>
      <c r="U490" s="129"/>
      <c r="V490" s="127"/>
      <c r="W490" s="127"/>
      <c r="X490" s="127"/>
    </row>
    <row r="491" spans="1:28" ht="72" x14ac:dyDescent="0.25">
      <c r="C491" s="11"/>
      <c r="D491" s="11"/>
      <c r="E491" s="11"/>
      <c r="F491" s="134"/>
      <c r="G491" s="134"/>
      <c r="H491" s="134"/>
      <c r="I491" s="134">
        <v>6</v>
      </c>
      <c r="J491" s="127" t="s">
        <v>5090</v>
      </c>
      <c r="K491" s="127" t="s">
        <v>5091</v>
      </c>
      <c r="L491" s="128" t="s">
        <v>4701</v>
      </c>
      <c r="M491" s="127" t="s">
        <v>5092</v>
      </c>
      <c r="N491" s="127"/>
      <c r="O491" s="127"/>
      <c r="P491" s="127" t="s">
        <v>4999</v>
      </c>
      <c r="Q491" s="127" t="s">
        <v>5000</v>
      </c>
      <c r="R491" s="12" t="s">
        <v>5001</v>
      </c>
      <c r="S491" s="129" t="s">
        <v>129</v>
      </c>
      <c r="T491" s="129"/>
      <c r="U491" s="129"/>
      <c r="V491" s="127"/>
      <c r="W491" s="127"/>
      <c r="X491" s="127"/>
    </row>
    <row r="492" spans="1:28" ht="63.75" x14ac:dyDescent="0.25">
      <c r="C492" s="11"/>
      <c r="D492" s="11"/>
      <c r="E492" s="11"/>
      <c r="F492" s="134"/>
      <c r="G492" s="134"/>
      <c r="H492" s="134"/>
      <c r="I492" s="134">
        <v>6</v>
      </c>
      <c r="J492" s="152" t="s">
        <v>5093</v>
      </c>
      <c r="K492" s="152" t="s">
        <v>5094</v>
      </c>
      <c r="L492" s="153" t="s">
        <v>4701</v>
      </c>
      <c r="M492" s="152" t="s">
        <v>5095</v>
      </c>
      <c r="N492" s="154"/>
      <c r="O492" s="152"/>
      <c r="P492" s="152" t="s">
        <v>5002</v>
      </c>
      <c r="Q492" s="152" t="s">
        <v>5003</v>
      </c>
      <c r="R492" s="152"/>
      <c r="S492" s="24" t="s">
        <v>4813</v>
      </c>
      <c r="T492" s="155"/>
      <c r="U492" s="155"/>
      <c r="V492" s="152"/>
      <c r="W492" s="152"/>
      <c r="X492" s="152"/>
    </row>
    <row r="493" spans="1:28" ht="75" x14ac:dyDescent="0.25">
      <c r="A493" s="130"/>
      <c r="B493" s="130"/>
      <c r="C493" s="11"/>
      <c r="D493" s="135"/>
      <c r="E493" s="135"/>
      <c r="F493" s="135"/>
      <c r="G493" s="135"/>
      <c r="H493" s="135"/>
      <c r="I493" s="135">
        <v>6</v>
      </c>
      <c r="J493" s="156" t="s">
        <v>5096</v>
      </c>
      <c r="K493" s="156" t="s">
        <v>5097</v>
      </c>
      <c r="L493" s="157" t="s">
        <v>5089</v>
      </c>
      <c r="M493" s="156" t="s">
        <v>5098</v>
      </c>
      <c r="N493" s="158"/>
      <c r="O493" s="156"/>
      <c r="P493" s="156" t="s">
        <v>5004</v>
      </c>
      <c r="Q493" s="156"/>
      <c r="R493" s="156"/>
      <c r="S493" s="159" t="s">
        <v>4875</v>
      </c>
      <c r="T493" s="160"/>
      <c r="U493" s="160"/>
      <c r="V493" s="156"/>
      <c r="W493" s="156"/>
      <c r="X493" s="156"/>
    </row>
    <row r="494" spans="1:28" ht="30" x14ac:dyDescent="0.25">
      <c r="A494" s="130"/>
      <c r="B494" s="130"/>
      <c r="C494" s="11"/>
      <c r="D494" s="136"/>
      <c r="E494" s="136"/>
      <c r="F494" s="136"/>
      <c r="G494" s="136"/>
      <c r="H494" s="136"/>
      <c r="I494" s="136">
        <v>6</v>
      </c>
      <c r="J494" s="1023" t="s">
        <v>5099</v>
      </c>
      <c r="K494" s="1"/>
      <c r="L494" s="8" t="s">
        <v>5089</v>
      </c>
      <c r="M494" s="131"/>
      <c r="N494" s="132"/>
      <c r="O494" s="131"/>
      <c r="P494" s="131"/>
      <c r="Q494" s="131"/>
      <c r="R494" s="131" t="s">
        <v>5005</v>
      </c>
      <c r="S494" s="131"/>
      <c r="T494" s="133"/>
      <c r="U494" s="133"/>
      <c r="V494" s="131"/>
      <c r="W494" s="131"/>
      <c r="X494" s="131"/>
    </row>
    <row r="495" spans="1:28" ht="75" x14ac:dyDescent="0.25">
      <c r="A495" s="130"/>
      <c r="B495" s="130"/>
      <c r="C495" s="11"/>
      <c r="D495" s="136"/>
      <c r="E495" s="136"/>
      <c r="F495" s="136"/>
      <c r="G495" s="136"/>
      <c r="H495" s="11"/>
      <c r="I495" s="11">
        <v>6</v>
      </c>
      <c r="J495" s="6" t="s">
        <v>5100</v>
      </c>
      <c r="K495" s="20" t="s">
        <v>5101</v>
      </c>
      <c r="L495" s="8" t="s">
        <v>4701</v>
      </c>
      <c r="M495" s="6" t="s">
        <v>5098</v>
      </c>
      <c r="N495" s="132"/>
      <c r="O495" s="131"/>
      <c r="P495" s="131"/>
      <c r="Q495" s="131"/>
      <c r="R495" s="131"/>
      <c r="S495" s="147" t="s">
        <v>4875</v>
      </c>
      <c r="T495" s="133"/>
      <c r="U495" s="133"/>
      <c r="V495" s="131"/>
      <c r="W495" s="131"/>
      <c r="X495" s="131"/>
    </row>
    <row r="496" spans="1:28" ht="15.75" customHeight="1" x14ac:dyDescent="0.25">
      <c r="C496" s="11"/>
      <c r="D496" s="125"/>
      <c r="E496" s="125"/>
      <c r="F496" s="125"/>
      <c r="G496" s="125"/>
      <c r="H496" s="220"/>
      <c r="I496" s="220"/>
      <c r="J496" s="221" t="s">
        <v>5102</v>
      </c>
      <c r="K496" s="221" t="s">
        <v>5103</v>
      </c>
      <c r="L496" s="222" t="s">
        <v>4701</v>
      </c>
      <c r="M496" s="223" t="s">
        <v>5104</v>
      </c>
      <c r="N496" s="111"/>
      <c r="O496" s="62"/>
      <c r="P496" s="62"/>
      <c r="Q496" s="62"/>
      <c r="R496" s="62"/>
      <c r="S496" s="62"/>
      <c r="T496" s="101"/>
      <c r="U496" s="101"/>
      <c r="V496" s="62"/>
      <c r="W496" s="62"/>
      <c r="X496" s="62"/>
      <c r="Y496" s="62"/>
      <c r="Z496" s="62"/>
      <c r="AA496" s="62"/>
      <c r="AB496" s="62"/>
    </row>
    <row r="497" spans="1:28" ht="15.75" customHeight="1" x14ac:dyDescent="0.25">
      <c r="C497" s="11"/>
      <c r="D497" s="125"/>
      <c r="E497" s="125"/>
      <c r="F497" s="125"/>
      <c r="G497" s="125"/>
      <c r="H497" s="125"/>
      <c r="I497" s="125"/>
      <c r="J497" s="110" t="s">
        <v>5105</v>
      </c>
      <c r="K497" s="109" t="s">
        <v>5106</v>
      </c>
      <c r="L497" s="100" t="s">
        <v>4701</v>
      </c>
      <c r="M497" s="62"/>
      <c r="N497" s="111"/>
      <c r="O497" s="62"/>
      <c r="P497" s="62"/>
      <c r="Q497" s="62"/>
      <c r="R497" s="62"/>
      <c r="S497" s="62"/>
      <c r="T497" s="101"/>
      <c r="U497" s="101"/>
      <c r="V497" s="62"/>
      <c r="W497" s="62"/>
      <c r="X497" s="62"/>
      <c r="Y497" s="62"/>
      <c r="Z497" s="62"/>
      <c r="AA497" s="62"/>
      <c r="AB497" s="62"/>
    </row>
    <row r="498" spans="1:28" ht="30" x14ac:dyDescent="0.25">
      <c r="A498" s="130"/>
      <c r="B498" s="130"/>
      <c r="C498" s="11"/>
      <c r="D498" s="136"/>
      <c r="E498" s="136"/>
      <c r="F498" s="136"/>
      <c r="G498" s="136"/>
      <c r="H498" s="136">
        <v>5</v>
      </c>
      <c r="I498" s="136"/>
      <c r="J498" s="6" t="s">
        <v>5107</v>
      </c>
      <c r="K498" s="20"/>
      <c r="L498" s="8" t="s">
        <v>4851</v>
      </c>
      <c r="M498" s="131"/>
      <c r="N498" s="132"/>
      <c r="O498" s="131"/>
      <c r="P498" s="131"/>
      <c r="Q498" s="131"/>
      <c r="R498" s="131"/>
      <c r="S498" s="147"/>
      <c r="T498" s="133"/>
      <c r="U498" s="133"/>
      <c r="V498" s="131"/>
      <c r="W498" s="131"/>
      <c r="X498" s="131"/>
    </row>
    <row r="522" spans="1:28" s="13" customFormat="1" x14ac:dyDescent="0.25">
      <c r="A522" s="14"/>
      <c r="B522" s="14"/>
      <c r="J522" s="14"/>
      <c r="K522" s="14"/>
      <c r="L522" s="14"/>
      <c r="M522" s="14"/>
      <c r="N522" s="23"/>
      <c r="O522" s="14"/>
      <c r="P522" s="14"/>
      <c r="Q522" s="14"/>
      <c r="R522" s="14"/>
      <c r="S522" s="14"/>
      <c r="T522" s="14"/>
      <c r="U522" s="14"/>
      <c r="V522" s="14"/>
      <c r="W522" s="14"/>
      <c r="X522" s="14"/>
      <c r="Y522" s="14"/>
      <c r="Z522" s="14"/>
      <c r="AA522" s="14"/>
      <c r="AB522" s="14"/>
    </row>
    <row r="530" spans="1:28" s="13" customFormat="1" x14ac:dyDescent="0.25">
      <c r="A530" s="14"/>
      <c r="B530" s="14"/>
      <c r="J530" s="14"/>
      <c r="K530" s="14"/>
      <c r="L530" s="14"/>
      <c r="M530" s="14"/>
      <c r="N530" s="23"/>
      <c r="O530" s="14"/>
      <c r="P530" s="14"/>
      <c r="Q530" s="14"/>
      <c r="R530" s="14"/>
      <c r="S530" s="14"/>
      <c r="T530" s="14"/>
      <c r="U530" s="14"/>
      <c r="V530" s="14"/>
      <c r="W530" s="14"/>
      <c r="X530" s="14"/>
      <c r="Y530" s="14"/>
      <c r="Z530" s="14"/>
      <c r="AA530" s="14"/>
      <c r="AB530" s="14"/>
    </row>
    <row r="577" spans="1:28" s="13" customFormat="1" x14ac:dyDescent="0.25">
      <c r="A577" s="14"/>
      <c r="B577" s="14"/>
      <c r="J577" s="14"/>
      <c r="K577" s="14"/>
      <c r="L577" s="14"/>
      <c r="M577" s="14"/>
      <c r="N577" s="23"/>
      <c r="O577" s="14"/>
      <c r="P577" s="14"/>
      <c r="Q577" s="14"/>
      <c r="R577" s="14"/>
      <c r="S577" s="14"/>
      <c r="T577" s="14"/>
      <c r="U577" s="14"/>
      <c r="V577" s="14"/>
      <c r="W577" s="14"/>
      <c r="X577" s="14"/>
      <c r="Y577" s="14"/>
      <c r="Z577" s="14"/>
      <c r="AA577" s="14"/>
      <c r="AB577" s="14"/>
    </row>
  </sheetData>
  <mergeCells count="47">
    <mergeCell ref="H475:M475"/>
    <mergeCell ref="H481:M481"/>
    <mergeCell ref="F452:X452"/>
    <mergeCell ref="G453:J453"/>
    <mergeCell ref="G454:K454"/>
    <mergeCell ref="G469:K469"/>
    <mergeCell ref="G472:I472"/>
    <mergeCell ref="G235:M235"/>
    <mergeCell ref="G242:M242"/>
    <mergeCell ref="G244:M244"/>
    <mergeCell ref="G248:M248"/>
    <mergeCell ref="G446:M446"/>
    <mergeCell ref="G215:M215"/>
    <mergeCell ref="G224:M224"/>
    <mergeCell ref="G232:M232"/>
    <mergeCell ref="G233:M233"/>
    <mergeCell ref="G234:M234"/>
    <mergeCell ref="G163:M163"/>
    <mergeCell ref="G168:J168"/>
    <mergeCell ref="G185:M185"/>
    <mergeCell ref="H187:M187"/>
    <mergeCell ref="H208:M208"/>
    <mergeCell ref="F110:X110"/>
    <mergeCell ref="G123:I123"/>
    <mergeCell ref="H126:M126"/>
    <mergeCell ref="H132:M132"/>
    <mergeCell ref="G152:M152"/>
    <mergeCell ref="F93:X93"/>
    <mergeCell ref="G94:X94"/>
    <mergeCell ref="J95:AB95"/>
    <mergeCell ref="G102:O102"/>
    <mergeCell ref="H105:K105"/>
    <mergeCell ref="G62:L62"/>
    <mergeCell ref="G71:L71"/>
    <mergeCell ref="G75:M75"/>
    <mergeCell ref="G79:M79"/>
    <mergeCell ref="G83:M83"/>
    <mergeCell ref="G32:M32"/>
    <mergeCell ref="F37:X37"/>
    <mergeCell ref="F54:X54"/>
    <mergeCell ref="G56:M56"/>
    <mergeCell ref="G59:L59"/>
    <mergeCell ref="D8:I8"/>
    <mergeCell ref="E10:X10"/>
    <mergeCell ref="E16:J16"/>
    <mergeCell ref="F17:X17"/>
    <mergeCell ref="G18:M18"/>
  </mergeCells>
  <conditionalFormatting sqref="U1:X8 S9:X14 S15:Z15 S16:X498 T499:X698">
    <cfRule type="containsText" dxfId="1" priority="1" operator="containsText" text="ja">
      <formula>NOT(ISERROR(SEARCH(("ja"),(U1))))</formula>
    </cfRule>
    <cfRule type="containsText" dxfId="0" priority="2" operator="containsText" text="nein">
      <formula>NOT(ISERROR(SEARCH(("nein"),(U1))))</formula>
    </cfRule>
  </conditionalFormatting>
  <dataValidations count="4">
    <dataValidation type="list" errorStyle="warning" showErrorMessage="1" sqref="A11:A12 A17:A31 A33:A49 A54:A360" xr:uid="{00000000-0002-0000-1700-000000000000}">
      <formula1>"ja,nein"</formula1>
    </dataValidation>
    <dataValidation type="list" errorStyle="warning" showErrorMessage="1" sqref="X11:X12 X14 X16 X18:X19 X20 X23:X25 X28:X31 X498 X493:X495 X446 X144:X146 X149 X152:X154 X233" xr:uid="{00000000-0002-0000-1700-000001000000}">
      <formula1>",Ready, CICD"</formula1>
    </dataValidation>
    <dataValidation type="list" errorStyle="warning" showErrorMessage="1" sqref="T11:U12 T14:U14 T16:U16 T18:U19 T20:U31 T38:U49 T483:U484 T486:U488 T498:U498 T492:U495 T496:U497 T489:T491 T485:U485 U489:U491 T467:U482 T453:U466 T59:U70 T71:U79 T80:U92 T111:U116 T249:U451 T56:U58 T95:U96 T98:U98 T99:U99 T104:U107 T123:U149 T152:U156 T159:U168 T170:U182 T185:U185 T187:U194 T199:U200 T202:U248" xr:uid="{00000000-0002-0000-1700-000002000000}">
      <formula1>"unbestimmt, ja, nein"</formula1>
    </dataValidation>
    <dataValidation type="list" errorStyle="warning" showErrorMessage="1" sqref="B11:B12 B14 B17:B24 B25:B26 B27:B31 B33:B45 B46:B47 B48:B49 B54:B360" xr:uid="{00000000-0002-0000-1700-000003000000}">
      <formula1>"ELA,Meistertask,Cleverreach,Synology,Miro,Google,WhatsApp,Canva,Adobe,Contao,Wiki,ecoDMS,Wiki,Facebook,Instagram,TikTok,LinkedIn,Youtube,Xing,X,SalesForce,Lexware,Volksbank,Articulate,Outlook,easy2book,Domainfactory,1&amp;1"</formula1>
    </dataValidation>
  </dataValidation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24</vt:i4>
      </vt:variant>
    </vt:vector>
  </HeadingPairs>
  <TitlesOfParts>
    <vt:vector size="24" baseType="lpstr">
      <vt:lpstr>Use-Cases (Vorlage)</vt:lpstr>
      <vt:lpstr>Projekt</vt:lpstr>
      <vt:lpstr>AZAV-Kopie</vt:lpstr>
      <vt:lpstr>AZAV (MASTER)</vt:lpstr>
      <vt:lpstr>TN-B2C</vt:lpstr>
      <vt:lpstr>MA-SB2C</vt:lpstr>
      <vt:lpstr>MA-SA</vt:lpstr>
      <vt:lpstr>MA-SB2G</vt:lpstr>
      <vt:lpstr>AZAV</vt:lpstr>
      <vt:lpstr>IN - (Interessent)</vt:lpstr>
      <vt:lpstr>MA-VB2C</vt:lpstr>
      <vt:lpstr>MA - VB2B</vt:lpstr>
      <vt:lpstr>MA-PER (Personalreferent)</vt:lpstr>
      <vt:lpstr>KO (Korrektor_in)</vt:lpstr>
      <vt:lpstr>TU (Tutor_in)</vt:lpstr>
      <vt:lpstr>DO (Dozent_in)</vt:lpstr>
      <vt:lpstr>Buchhaltung</vt:lpstr>
      <vt:lpstr>Marketing</vt:lpstr>
      <vt:lpstr>MA-P (Produkt)</vt:lpstr>
      <vt:lpstr>MA-PJ (Projekt)</vt:lpstr>
      <vt:lpstr>Undefinierte Prozesse</vt:lpstr>
      <vt:lpstr>Testing Studi+Päd Übergreifend</vt:lpstr>
      <vt:lpstr>Bemessung AZAV-Relevanz (für St</vt:lpstr>
      <vt:lpstr>Archiv _MA-P (Produktmanager)_</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Tobias Wenninger</cp:lastModifiedBy>
  <cp:revision/>
  <dcterms:created xsi:type="dcterms:W3CDTF">2024-12-19T08:11:00Z</dcterms:created>
  <dcterms:modified xsi:type="dcterms:W3CDTF">2026-03-26T08:55:19Z</dcterms:modified>
  <cp:category/>
  <cp:contentStatus/>
</cp:coreProperties>
</file>